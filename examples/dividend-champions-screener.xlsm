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lon/Library/CloudStorage/GoogleDrive-alongouldman@gmail.com/My Drive/Documents/Investments/stock market/"/>
    </mc:Choice>
  </mc:AlternateContent>
  <xr:revisionPtr revIDLastSave="0" documentId="13_ncr:1_{42CB6DE0-1367-3F4A-B939-4FAE90D88D07}" xr6:coauthVersionLast="47" xr6:coauthVersionMax="47" xr10:uidLastSave="{00000000-0000-0000-0000-000000000000}"/>
  <bookViews>
    <workbookView xWindow="0" yWindow="500" windowWidth="35840" windowHeight="19480" activeTab="1" xr2:uid="{00000000-000D-0000-FFFF-FFFF00000000}"/>
  </bookViews>
  <sheets>
    <sheet name="How to use" sheetId="3" r:id="rId1"/>
    <sheet name="Screener" sheetId="1" r:id="rId2"/>
    <sheet name="Data" sheetId="2" r:id="rId3"/>
  </sheets>
  <externalReferences>
    <externalReference r:id="rId4"/>
  </externalReferences>
  <definedNames>
    <definedName name="_xlnm._FilterDatabase" localSheetId="1" hidden="1">Screener!$A$5:$AA$899</definedName>
    <definedName name="_xlnm.Print_Area" localSheetId="1">Screener!$A$1:$Q$586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741" i="2" l="1"/>
  <c r="BE741" i="2"/>
  <c r="BC741" i="2"/>
  <c r="BB741" i="2"/>
  <c r="BA741" i="2"/>
  <c r="AZ741" i="2"/>
  <c r="AY741" i="2"/>
  <c r="AN741" i="2"/>
  <c r="AM741" i="2"/>
  <c r="AL741" i="2"/>
  <c r="AK741" i="2"/>
  <c r="AJ741" i="2"/>
  <c r="AI741" i="2"/>
  <c r="AH741" i="2"/>
  <c r="AG741" i="2"/>
  <c r="AF741" i="2"/>
  <c r="AE741" i="2"/>
  <c r="AD741" i="2"/>
  <c r="AC741" i="2"/>
  <c r="O741" i="2"/>
  <c r="K741" i="2"/>
  <c r="I741" i="2"/>
  <c r="E741" i="2"/>
  <c r="B741" i="2"/>
  <c r="BG740" i="2"/>
  <c r="BE740" i="2"/>
  <c r="BC740" i="2"/>
  <c r="BB740" i="2"/>
  <c r="BA740" i="2"/>
  <c r="AZ740" i="2"/>
  <c r="AY740" i="2"/>
  <c r="AN740" i="2"/>
  <c r="AM740" i="2"/>
  <c r="AL740" i="2"/>
  <c r="AK740" i="2"/>
  <c r="AJ740" i="2"/>
  <c r="AI740" i="2"/>
  <c r="AH740" i="2"/>
  <c r="AG740" i="2"/>
  <c r="AF740" i="2"/>
  <c r="AE740" i="2"/>
  <c r="AD740" i="2"/>
  <c r="AC740" i="2"/>
  <c r="O740" i="2"/>
  <c r="K740" i="2"/>
  <c r="I740" i="2"/>
  <c r="E740" i="2"/>
  <c r="B740" i="2"/>
  <c r="BG739" i="2"/>
  <c r="BE739" i="2"/>
  <c r="BC739" i="2"/>
  <c r="BB739" i="2"/>
  <c r="BA739" i="2"/>
  <c r="AZ739" i="2"/>
  <c r="AY739" i="2"/>
  <c r="AN739" i="2"/>
  <c r="AM739" i="2"/>
  <c r="AL739" i="2"/>
  <c r="AK739" i="2"/>
  <c r="AJ739" i="2"/>
  <c r="AI739" i="2"/>
  <c r="AH739" i="2"/>
  <c r="AG739" i="2"/>
  <c r="AF739" i="2"/>
  <c r="AE739" i="2"/>
  <c r="AD739" i="2"/>
  <c r="AC739" i="2"/>
  <c r="O739" i="2"/>
  <c r="K739" i="2"/>
  <c r="I739" i="2"/>
  <c r="E739" i="2"/>
  <c r="B739" i="2"/>
  <c r="BG738" i="2"/>
  <c r="BE738" i="2"/>
  <c r="BC738" i="2"/>
  <c r="BB738" i="2"/>
  <c r="BA738" i="2"/>
  <c r="AZ738" i="2"/>
  <c r="AY738" i="2"/>
  <c r="AN738" i="2"/>
  <c r="AM738" i="2"/>
  <c r="AL738" i="2"/>
  <c r="AK738" i="2"/>
  <c r="AJ738" i="2"/>
  <c r="AI738" i="2"/>
  <c r="AH738" i="2"/>
  <c r="AG738" i="2"/>
  <c r="AF738" i="2"/>
  <c r="AE738" i="2"/>
  <c r="AD738" i="2"/>
  <c r="AC738" i="2"/>
  <c r="O738" i="2"/>
  <c r="K738" i="2"/>
  <c r="I738" i="2"/>
  <c r="E738" i="2"/>
  <c r="B738" i="2"/>
  <c r="BG737" i="2"/>
  <c r="BE737" i="2"/>
  <c r="BC737" i="2"/>
  <c r="BB737" i="2"/>
  <c r="BA737" i="2"/>
  <c r="AZ737" i="2"/>
  <c r="AY737" i="2"/>
  <c r="AN737" i="2"/>
  <c r="AM737" i="2"/>
  <c r="AL737" i="2"/>
  <c r="AK737" i="2"/>
  <c r="AJ737" i="2"/>
  <c r="AI737" i="2"/>
  <c r="AH737" i="2"/>
  <c r="AG737" i="2"/>
  <c r="AF737" i="2"/>
  <c r="AE737" i="2"/>
  <c r="AD737" i="2"/>
  <c r="AC737" i="2"/>
  <c r="O737" i="2"/>
  <c r="K737" i="2"/>
  <c r="I737" i="2"/>
  <c r="E737" i="2"/>
  <c r="B737" i="2"/>
  <c r="BG736" i="2"/>
  <c r="BE736" i="2"/>
  <c r="BC736" i="2"/>
  <c r="BB736" i="2"/>
  <c r="BA736" i="2"/>
  <c r="AZ736" i="2"/>
  <c r="AY736" i="2"/>
  <c r="AN736" i="2"/>
  <c r="AM736" i="2"/>
  <c r="AL736" i="2"/>
  <c r="AK736" i="2"/>
  <c r="AJ736" i="2"/>
  <c r="AI736" i="2"/>
  <c r="AH736" i="2"/>
  <c r="AG736" i="2"/>
  <c r="AF736" i="2"/>
  <c r="AE736" i="2"/>
  <c r="AD736" i="2"/>
  <c r="AC736" i="2"/>
  <c r="O736" i="2"/>
  <c r="K736" i="2"/>
  <c r="I736" i="2"/>
  <c r="E736" i="2"/>
  <c r="B736" i="2"/>
  <c r="BG735" i="2"/>
  <c r="BE735" i="2"/>
  <c r="BC735" i="2"/>
  <c r="BB735" i="2"/>
  <c r="BA735" i="2"/>
  <c r="AZ735" i="2"/>
  <c r="AY735" i="2"/>
  <c r="AN735" i="2"/>
  <c r="AM735" i="2"/>
  <c r="AL735" i="2"/>
  <c r="AK735" i="2"/>
  <c r="AJ735" i="2"/>
  <c r="AI735" i="2"/>
  <c r="AH735" i="2"/>
  <c r="AG735" i="2"/>
  <c r="AF735" i="2"/>
  <c r="AE735" i="2"/>
  <c r="AD735" i="2"/>
  <c r="AC735" i="2"/>
  <c r="O735" i="2"/>
  <c r="K735" i="2"/>
  <c r="I735" i="2"/>
  <c r="E735" i="2"/>
  <c r="B735" i="2"/>
  <c r="BG734" i="2"/>
  <c r="BE734" i="2"/>
  <c r="BC734" i="2"/>
  <c r="BB734" i="2"/>
  <c r="BA734" i="2"/>
  <c r="AZ734" i="2"/>
  <c r="AY734" i="2"/>
  <c r="AN734" i="2"/>
  <c r="AM734" i="2"/>
  <c r="AL734" i="2"/>
  <c r="AK734" i="2"/>
  <c r="AJ734" i="2"/>
  <c r="AI734" i="2"/>
  <c r="AH734" i="2"/>
  <c r="AG734" i="2"/>
  <c r="AF734" i="2"/>
  <c r="AE734" i="2"/>
  <c r="AD734" i="2"/>
  <c r="AC734" i="2"/>
  <c r="O734" i="2"/>
  <c r="K734" i="2"/>
  <c r="I734" i="2"/>
  <c r="E734" i="2"/>
  <c r="B734" i="2"/>
  <c r="BG733" i="2"/>
  <c r="BE733" i="2"/>
  <c r="BC733" i="2"/>
  <c r="BB733" i="2"/>
  <c r="BA733" i="2"/>
  <c r="AZ733" i="2"/>
  <c r="AY733" i="2"/>
  <c r="AN733" i="2"/>
  <c r="AM733" i="2"/>
  <c r="AL733" i="2"/>
  <c r="AK733" i="2"/>
  <c r="AJ733" i="2"/>
  <c r="AI733" i="2"/>
  <c r="AH733" i="2"/>
  <c r="AG733" i="2"/>
  <c r="AF733" i="2"/>
  <c r="AE733" i="2"/>
  <c r="AD733" i="2"/>
  <c r="AC733" i="2"/>
  <c r="O733" i="2"/>
  <c r="K733" i="2"/>
  <c r="I733" i="2"/>
  <c r="E733" i="2"/>
  <c r="B733" i="2"/>
  <c r="BG732" i="2"/>
  <c r="BE732" i="2"/>
  <c r="BC732" i="2"/>
  <c r="BB732" i="2"/>
  <c r="BA732" i="2"/>
  <c r="AZ732" i="2"/>
  <c r="AY732" i="2"/>
  <c r="AN732" i="2"/>
  <c r="AM732" i="2"/>
  <c r="AL732" i="2"/>
  <c r="AK732" i="2"/>
  <c r="AJ732" i="2"/>
  <c r="AI732" i="2"/>
  <c r="AH732" i="2"/>
  <c r="AG732" i="2"/>
  <c r="AF732" i="2"/>
  <c r="AE732" i="2"/>
  <c r="AD732" i="2"/>
  <c r="AC732" i="2"/>
  <c r="O732" i="2"/>
  <c r="K732" i="2"/>
  <c r="I732" i="2"/>
  <c r="E732" i="2"/>
  <c r="B732" i="2"/>
  <c r="BG731" i="2"/>
  <c r="BE731" i="2"/>
  <c r="BC731" i="2"/>
  <c r="BB731" i="2"/>
  <c r="BA731" i="2"/>
  <c r="AZ731" i="2"/>
  <c r="AY731" i="2"/>
  <c r="AN731" i="2"/>
  <c r="AM731" i="2"/>
  <c r="AL731" i="2"/>
  <c r="AK731" i="2"/>
  <c r="AJ731" i="2"/>
  <c r="AI731" i="2"/>
  <c r="AH731" i="2"/>
  <c r="AG731" i="2"/>
  <c r="AF731" i="2"/>
  <c r="AE731" i="2"/>
  <c r="AD731" i="2"/>
  <c r="AC731" i="2"/>
  <c r="O731" i="2"/>
  <c r="K731" i="2"/>
  <c r="I731" i="2"/>
  <c r="E731" i="2"/>
  <c r="B731" i="2"/>
  <c r="BG728" i="2"/>
  <c r="BE728" i="2"/>
  <c r="BC728" i="2"/>
  <c r="BB728" i="2"/>
  <c r="BA728" i="2"/>
  <c r="AZ728" i="2"/>
  <c r="AY728" i="2"/>
  <c r="AN728" i="2"/>
  <c r="AM728" i="2"/>
  <c r="AL728" i="2"/>
  <c r="AK728" i="2"/>
  <c r="AJ728" i="2"/>
  <c r="AI728" i="2"/>
  <c r="AH728" i="2"/>
  <c r="AG728" i="2"/>
  <c r="AF728" i="2"/>
  <c r="AE728" i="2"/>
  <c r="AD728" i="2"/>
  <c r="AC728" i="2"/>
  <c r="O728" i="2"/>
  <c r="K728" i="2"/>
  <c r="I728" i="2"/>
  <c r="E728" i="2"/>
  <c r="B728" i="2"/>
  <c r="BG727" i="2"/>
  <c r="BE727" i="2"/>
  <c r="BC727" i="2"/>
  <c r="BB727" i="2"/>
  <c r="BA727" i="2"/>
  <c r="AZ727" i="2"/>
  <c r="AY727" i="2"/>
  <c r="AN727" i="2"/>
  <c r="AM727" i="2"/>
  <c r="AL727" i="2"/>
  <c r="AK727" i="2"/>
  <c r="AJ727" i="2"/>
  <c r="AI727" i="2"/>
  <c r="AH727" i="2"/>
  <c r="AG727" i="2"/>
  <c r="AF727" i="2"/>
  <c r="AE727" i="2"/>
  <c r="AD727" i="2"/>
  <c r="AC727" i="2"/>
  <c r="O727" i="2"/>
  <c r="K727" i="2"/>
  <c r="I727" i="2"/>
  <c r="E727" i="2"/>
  <c r="B727" i="2"/>
  <c r="BG726" i="2"/>
  <c r="BE726" i="2"/>
  <c r="BC726" i="2"/>
  <c r="BB726" i="2"/>
  <c r="BA726" i="2"/>
  <c r="AZ726" i="2"/>
  <c r="AY726" i="2"/>
  <c r="AN726" i="2"/>
  <c r="AM726" i="2"/>
  <c r="AL726" i="2"/>
  <c r="AK726" i="2"/>
  <c r="AJ726" i="2"/>
  <c r="AI726" i="2"/>
  <c r="AH726" i="2"/>
  <c r="AG726" i="2"/>
  <c r="AF726" i="2"/>
  <c r="AE726" i="2"/>
  <c r="AD726" i="2"/>
  <c r="AC726" i="2"/>
  <c r="O726" i="2"/>
  <c r="K726" i="2"/>
  <c r="I726" i="2"/>
  <c r="E726" i="2"/>
  <c r="B726" i="2"/>
  <c r="BG725" i="2"/>
  <c r="BE725" i="2"/>
  <c r="BC725" i="2"/>
  <c r="BB725" i="2"/>
  <c r="BA725" i="2"/>
  <c r="AZ725" i="2"/>
  <c r="AY725" i="2"/>
  <c r="AN725" i="2"/>
  <c r="AM725" i="2"/>
  <c r="AL725" i="2"/>
  <c r="AK725" i="2"/>
  <c r="AJ725" i="2"/>
  <c r="AI725" i="2"/>
  <c r="AH725" i="2"/>
  <c r="AG725" i="2"/>
  <c r="AF725" i="2"/>
  <c r="AE725" i="2"/>
  <c r="AD725" i="2"/>
  <c r="AC725" i="2"/>
  <c r="O725" i="2"/>
  <c r="K725" i="2"/>
  <c r="I725" i="2"/>
  <c r="E725" i="2"/>
  <c r="B725" i="2"/>
  <c r="BF723" i="2"/>
  <c r="AT723" i="2"/>
  <c r="AU723" i="2" s="1"/>
  <c r="AV723" i="2" s="1"/>
  <c r="AS723" i="2"/>
  <c r="AR723" i="2"/>
  <c r="AQ723" i="2"/>
  <c r="AA723" i="2"/>
  <c r="Z723" i="2"/>
  <c r="V723" i="2"/>
  <c r="U723" i="2"/>
  <c r="W723" i="2" s="1"/>
  <c r="T723" i="2"/>
  <c r="S723" i="2"/>
  <c r="R723" i="2"/>
  <c r="M723" i="2"/>
  <c r="J723" i="2"/>
  <c r="BF722" i="2"/>
  <c r="AR722" i="2"/>
  <c r="AQ722" i="2"/>
  <c r="AA722" i="2"/>
  <c r="V722" i="2"/>
  <c r="U722" i="2"/>
  <c r="AP722" i="2" s="1"/>
  <c r="T722" i="2"/>
  <c r="S722" i="2"/>
  <c r="R722" i="2"/>
  <c r="M722" i="2"/>
  <c r="Z722" i="2" s="1"/>
  <c r="J722" i="2"/>
  <c r="BF721" i="2"/>
  <c r="AR721" i="2"/>
  <c r="AQ721" i="2"/>
  <c r="AP721" i="2"/>
  <c r="AA721" i="2"/>
  <c r="V721" i="2"/>
  <c r="U721" i="2"/>
  <c r="AO721" i="2" s="1"/>
  <c r="T721" i="2"/>
  <c r="S721" i="2"/>
  <c r="R721" i="2"/>
  <c r="M721" i="2"/>
  <c r="Z721" i="2" s="1"/>
  <c r="J721" i="2"/>
  <c r="BF720" i="2"/>
  <c r="AR720" i="2"/>
  <c r="AQ720" i="2"/>
  <c r="AA720" i="2"/>
  <c r="V720" i="2"/>
  <c r="U720" i="2"/>
  <c r="X720" i="2" s="1"/>
  <c r="T720" i="2"/>
  <c r="S720" i="2"/>
  <c r="R720" i="2"/>
  <c r="M720" i="2"/>
  <c r="Z720" i="2" s="1"/>
  <c r="BF719" i="2"/>
  <c r="AR719" i="2"/>
  <c r="AS719" i="2" s="1"/>
  <c r="AT719" i="2" s="1"/>
  <c r="AU719" i="2" s="1"/>
  <c r="AV719" i="2" s="1"/>
  <c r="AQ719" i="2"/>
  <c r="AP719" i="2"/>
  <c r="AA719" i="2"/>
  <c r="X719" i="2"/>
  <c r="V719" i="2"/>
  <c r="U719" i="2"/>
  <c r="AO719" i="2" s="1"/>
  <c r="T719" i="2"/>
  <c r="S719" i="2"/>
  <c r="R719" i="2"/>
  <c r="M719" i="2"/>
  <c r="Z719" i="2" s="1"/>
  <c r="J719" i="2"/>
  <c r="BF718" i="2"/>
  <c r="AR718" i="2"/>
  <c r="AQ718" i="2"/>
  <c r="AA718" i="2"/>
  <c r="Z718" i="2"/>
  <c r="X718" i="2"/>
  <c r="V718" i="2"/>
  <c r="U718" i="2"/>
  <c r="AP718" i="2" s="1"/>
  <c r="T718" i="2"/>
  <c r="S718" i="2"/>
  <c r="R718" i="2"/>
  <c r="M718" i="2"/>
  <c r="J718" i="2"/>
  <c r="BF717" i="2"/>
  <c r="AR717" i="2"/>
  <c r="AQ717" i="2"/>
  <c r="AP717" i="2"/>
  <c r="AA717" i="2"/>
  <c r="AO717" i="2" s="1"/>
  <c r="X717" i="2"/>
  <c r="V717" i="2"/>
  <c r="W717" i="2" s="1"/>
  <c r="U717" i="2"/>
  <c r="T717" i="2"/>
  <c r="S717" i="2"/>
  <c r="R717" i="2"/>
  <c r="M717" i="2"/>
  <c r="Z717" i="2" s="1"/>
  <c r="J717" i="2"/>
  <c r="BF716" i="2"/>
  <c r="AR716" i="2"/>
  <c r="AS716" i="2" s="1"/>
  <c r="AT716" i="2" s="1"/>
  <c r="AU716" i="2" s="1"/>
  <c r="AV716" i="2" s="1"/>
  <c r="AQ716" i="2"/>
  <c r="AA716" i="2"/>
  <c r="Z716" i="2"/>
  <c r="V716" i="2"/>
  <c r="U716" i="2"/>
  <c r="AP716" i="2" s="1"/>
  <c r="T716" i="2"/>
  <c r="S716" i="2"/>
  <c r="R716" i="2"/>
  <c r="M716" i="2"/>
  <c r="J716" i="2"/>
  <c r="BF715" i="2"/>
  <c r="AT715" i="2"/>
  <c r="AU715" i="2" s="1"/>
  <c r="AV715" i="2" s="1"/>
  <c r="AS715" i="2"/>
  <c r="AW715" i="2" s="1"/>
  <c r="AX715" i="2" s="1"/>
  <c r="AR715" i="2"/>
  <c r="AQ715" i="2"/>
  <c r="AA715" i="2"/>
  <c r="Z715" i="2"/>
  <c r="X715" i="2"/>
  <c r="V715" i="2"/>
  <c r="U715" i="2"/>
  <c r="W715" i="2" s="1"/>
  <c r="T715" i="2"/>
  <c r="S715" i="2"/>
  <c r="R715" i="2"/>
  <c r="M715" i="2"/>
  <c r="J715" i="2"/>
  <c r="AP715" i="2" s="1"/>
  <c r="BF714" i="2"/>
  <c r="AR714" i="2"/>
  <c r="AQ714" i="2"/>
  <c r="AA714" i="2"/>
  <c r="X714" i="2"/>
  <c r="V714" i="2"/>
  <c r="U714" i="2"/>
  <c r="AO714" i="2" s="1"/>
  <c r="T714" i="2"/>
  <c r="S714" i="2"/>
  <c r="R714" i="2"/>
  <c r="M714" i="2"/>
  <c r="Z714" i="2" s="1"/>
  <c r="J714" i="2"/>
  <c r="AP714" i="2" s="1"/>
  <c r="BF713" i="2"/>
  <c r="AR713" i="2"/>
  <c r="AQ713" i="2"/>
  <c r="AP713" i="2"/>
  <c r="AA713" i="2"/>
  <c r="Z713" i="2"/>
  <c r="V713" i="2"/>
  <c r="U713" i="2"/>
  <c r="AO713" i="2" s="1"/>
  <c r="T713" i="2"/>
  <c r="S713" i="2"/>
  <c r="R713" i="2"/>
  <c r="M713" i="2"/>
  <c r="J713" i="2"/>
  <c r="BF712" i="2"/>
  <c r="AR712" i="2"/>
  <c r="AQ712" i="2"/>
  <c r="AA712" i="2"/>
  <c r="V712" i="2"/>
  <c r="U712" i="2"/>
  <c r="X712" i="2" s="1"/>
  <c r="T712" i="2"/>
  <c r="S712" i="2"/>
  <c r="R712" i="2"/>
  <c r="M712" i="2"/>
  <c r="Z712" i="2" s="1"/>
  <c r="BF711" i="2"/>
  <c r="AR711" i="2"/>
  <c r="AS711" i="2" s="1"/>
  <c r="AT711" i="2" s="1"/>
  <c r="AU711" i="2" s="1"/>
  <c r="AV711" i="2" s="1"/>
  <c r="AQ711" i="2"/>
  <c r="AP711" i="2"/>
  <c r="AA711" i="2"/>
  <c r="AO711" i="2" s="1"/>
  <c r="X711" i="2"/>
  <c r="V711" i="2"/>
  <c r="U711" i="2"/>
  <c r="W711" i="2" s="1"/>
  <c r="T711" i="2"/>
  <c r="S711" i="2"/>
  <c r="R711" i="2"/>
  <c r="M711" i="2"/>
  <c r="Z711" i="2" s="1"/>
  <c r="J711" i="2"/>
  <c r="BF710" i="2"/>
  <c r="AR710" i="2"/>
  <c r="AQ710" i="2"/>
  <c r="AA710" i="2"/>
  <c r="Z710" i="2"/>
  <c r="X710" i="2"/>
  <c r="V710" i="2"/>
  <c r="U710" i="2"/>
  <c r="AP710" i="2" s="1"/>
  <c r="T710" i="2"/>
  <c r="S710" i="2"/>
  <c r="R710" i="2"/>
  <c r="M710" i="2"/>
  <c r="J710" i="2"/>
  <c r="BF709" i="2"/>
  <c r="AR709" i="2"/>
  <c r="AQ709" i="2"/>
  <c r="AP709" i="2"/>
  <c r="AA709" i="2"/>
  <c r="AO709" i="2" s="1"/>
  <c r="X709" i="2"/>
  <c r="V709" i="2"/>
  <c r="W709" i="2" s="1"/>
  <c r="U709" i="2"/>
  <c r="T709" i="2"/>
  <c r="S709" i="2"/>
  <c r="R709" i="2"/>
  <c r="M709" i="2"/>
  <c r="Z709" i="2" s="1"/>
  <c r="J709" i="2"/>
  <c r="BF708" i="2"/>
  <c r="AR708" i="2"/>
  <c r="AS708" i="2" s="1"/>
  <c r="AT708" i="2" s="1"/>
  <c r="AU708" i="2" s="1"/>
  <c r="AV708" i="2" s="1"/>
  <c r="AQ708" i="2"/>
  <c r="AP708" i="2"/>
  <c r="AA708" i="2"/>
  <c r="Z708" i="2"/>
  <c r="V708" i="2"/>
  <c r="U708" i="2"/>
  <c r="AO708" i="2" s="1"/>
  <c r="T708" i="2"/>
  <c r="S708" i="2"/>
  <c r="R708" i="2"/>
  <c r="M708" i="2"/>
  <c r="J708" i="2"/>
  <c r="BF707" i="2"/>
  <c r="AT707" i="2"/>
  <c r="AU707" i="2" s="1"/>
  <c r="AV707" i="2" s="1"/>
  <c r="AS707" i="2"/>
  <c r="AW707" i="2" s="1"/>
  <c r="AX707" i="2" s="1"/>
  <c r="AR707" i="2"/>
  <c r="AQ707" i="2"/>
  <c r="AA707" i="2"/>
  <c r="AO707" i="2" s="1"/>
  <c r="Z707" i="2"/>
  <c r="X707" i="2"/>
  <c r="V707" i="2"/>
  <c r="U707" i="2"/>
  <c r="W707" i="2" s="1"/>
  <c r="T707" i="2"/>
  <c r="S707" i="2"/>
  <c r="R707" i="2"/>
  <c r="M707" i="2"/>
  <c r="J707" i="2"/>
  <c r="AP707" i="2" s="1"/>
  <c r="BF706" i="2"/>
  <c r="AR706" i="2"/>
  <c r="AQ706" i="2"/>
  <c r="AA706" i="2"/>
  <c r="X706" i="2"/>
  <c r="V706" i="2"/>
  <c r="U706" i="2"/>
  <c r="AO706" i="2" s="1"/>
  <c r="T706" i="2"/>
  <c r="S706" i="2"/>
  <c r="R706" i="2"/>
  <c r="M706" i="2"/>
  <c r="Z706" i="2" s="1"/>
  <c r="J706" i="2"/>
  <c r="AP706" i="2" s="1"/>
  <c r="BF705" i="2"/>
  <c r="AR705" i="2"/>
  <c r="AQ705" i="2"/>
  <c r="AP705" i="2"/>
  <c r="AA705" i="2"/>
  <c r="Z705" i="2"/>
  <c r="V705" i="2"/>
  <c r="U705" i="2"/>
  <c r="AO705" i="2" s="1"/>
  <c r="T705" i="2"/>
  <c r="S705" i="2"/>
  <c r="R705" i="2"/>
  <c r="M705" i="2"/>
  <c r="J705" i="2"/>
  <c r="BF704" i="2"/>
  <c r="AR704" i="2"/>
  <c r="AQ704" i="2"/>
  <c r="AP704" i="2"/>
  <c r="AA704" i="2"/>
  <c r="V704" i="2"/>
  <c r="U704" i="2"/>
  <c r="X704" i="2" s="1"/>
  <c r="T704" i="2"/>
  <c r="S704" i="2"/>
  <c r="R704" i="2"/>
  <c r="M704" i="2"/>
  <c r="Z704" i="2" s="1"/>
  <c r="J704" i="2"/>
  <c r="BF703" i="2"/>
  <c r="AV703" i="2"/>
  <c r="AR703" i="2"/>
  <c r="AS703" i="2" s="1"/>
  <c r="AT703" i="2" s="1"/>
  <c r="AU703" i="2" s="1"/>
  <c r="AQ703" i="2"/>
  <c r="AA703" i="2"/>
  <c r="X703" i="2"/>
  <c r="V703" i="2"/>
  <c r="U703" i="2"/>
  <c r="W703" i="2" s="1"/>
  <c r="T703" i="2"/>
  <c r="S703" i="2"/>
  <c r="R703" i="2"/>
  <c r="M703" i="2"/>
  <c r="Z703" i="2" s="1"/>
  <c r="J703" i="2"/>
  <c r="AP703" i="2" s="1"/>
  <c r="BF702" i="2"/>
  <c r="AR702" i="2"/>
  <c r="AQ702" i="2"/>
  <c r="AA702" i="2"/>
  <c r="X702" i="2"/>
  <c r="V702" i="2"/>
  <c r="U702" i="2"/>
  <c r="T702" i="2"/>
  <c r="S702" i="2"/>
  <c r="R702" i="2"/>
  <c r="M702" i="2"/>
  <c r="Z702" i="2" s="1"/>
  <c r="J702" i="2"/>
  <c r="BF701" i="2"/>
  <c r="AR701" i="2"/>
  <c r="AQ701" i="2"/>
  <c r="AA701" i="2"/>
  <c r="X701" i="2"/>
  <c r="V701" i="2"/>
  <c r="W701" i="2" s="1"/>
  <c r="U701" i="2"/>
  <c r="T701" i="2"/>
  <c r="S701" i="2"/>
  <c r="R701" i="2"/>
  <c r="M701" i="2"/>
  <c r="Z701" i="2" s="1"/>
  <c r="J701" i="2"/>
  <c r="AP701" i="2" s="1"/>
  <c r="BF700" i="2"/>
  <c r="AR700" i="2"/>
  <c r="AQ700" i="2"/>
  <c r="AA700" i="2"/>
  <c r="Z700" i="2"/>
  <c r="V700" i="2"/>
  <c r="U700" i="2"/>
  <c r="T700" i="2"/>
  <c r="S700" i="2"/>
  <c r="R700" i="2"/>
  <c r="M700" i="2"/>
  <c r="J700" i="2"/>
  <c r="AP700" i="2" s="1"/>
  <c r="BF699" i="2"/>
  <c r="AV699" i="2"/>
  <c r="AT699" i="2"/>
  <c r="AU699" i="2" s="1"/>
  <c r="AS699" i="2"/>
  <c r="AW699" i="2" s="1"/>
  <c r="AX699" i="2" s="1"/>
  <c r="AR699" i="2"/>
  <c r="AQ699" i="2"/>
  <c r="AA699" i="2"/>
  <c r="Z699" i="2"/>
  <c r="X699" i="2"/>
  <c r="V699" i="2"/>
  <c r="U699" i="2"/>
  <c r="T699" i="2"/>
  <c r="S699" i="2"/>
  <c r="R699" i="2"/>
  <c r="M699" i="2"/>
  <c r="J699" i="2"/>
  <c r="AP699" i="2" s="1"/>
  <c r="BF698" i="2"/>
  <c r="AS698" i="2"/>
  <c r="AT698" i="2" s="1"/>
  <c r="AU698" i="2" s="1"/>
  <c r="AV698" i="2" s="1"/>
  <c r="AR698" i="2"/>
  <c r="AQ698" i="2"/>
  <c r="AA698" i="2"/>
  <c r="X698" i="2"/>
  <c r="V698" i="2"/>
  <c r="U698" i="2"/>
  <c r="T698" i="2"/>
  <c r="S698" i="2"/>
  <c r="R698" i="2"/>
  <c r="M698" i="2"/>
  <c r="BF697" i="2"/>
  <c r="AR697" i="2"/>
  <c r="AQ697" i="2"/>
  <c r="AA697" i="2"/>
  <c r="Z697" i="2"/>
  <c r="V697" i="2"/>
  <c r="U697" i="2"/>
  <c r="AP697" i="2" s="1"/>
  <c r="T697" i="2"/>
  <c r="S697" i="2"/>
  <c r="R697" i="2"/>
  <c r="M697" i="2"/>
  <c r="J697" i="2"/>
  <c r="BF696" i="2"/>
  <c r="AR696" i="2"/>
  <c r="AQ696" i="2"/>
  <c r="AA696" i="2"/>
  <c r="X696" i="2"/>
  <c r="V696" i="2"/>
  <c r="U696" i="2"/>
  <c r="W696" i="2" s="1"/>
  <c r="T696" i="2"/>
  <c r="S696" i="2"/>
  <c r="R696" i="2"/>
  <c r="M696" i="2"/>
  <c r="BF695" i="2"/>
  <c r="AT695" i="2"/>
  <c r="AR695" i="2"/>
  <c r="AS695" i="2" s="1"/>
  <c r="AQ695" i="2"/>
  <c r="AP695" i="2"/>
  <c r="AO695" i="2"/>
  <c r="AA695" i="2"/>
  <c r="X695" i="2"/>
  <c r="W695" i="2"/>
  <c r="V695" i="2"/>
  <c r="U695" i="2"/>
  <c r="T695" i="2"/>
  <c r="S695" i="2"/>
  <c r="R695" i="2"/>
  <c r="M695" i="2"/>
  <c r="Z695" i="2" s="1"/>
  <c r="BF694" i="2"/>
  <c r="AR694" i="2"/>
  <c r="AQ694" i="2"/>
  <c r="AA694" i="2"/>
  <c r="X694" i="2"/>
  <c r="V694" i="2"/>
  <c r="W694" i="2" s="1"/>
  <c r="U694" i="2"/>
  <c r="T694" i="2"/>
  <c r="S694" i="2"/>
  <c r="R694" i="2"/>
  <c r="M694" i="2"/>
  <c r="Z694" i="2" s="1"/>
  <c r="J694" i="2"/>
  <c r="BF693" i="2"/>
  <c r="AR693" i="2"/>
  <c r="AQ693" i="2"/>
  <c r="AP693" i="2"/>
  <c r="AA693" i="2"/>
  <c r="X693" i="2"/>
  <c r="W693" i="2"/>
  <c r="V693" i="2"/>
  <c r="U693" i="2"/>
  <c r="T693" i="2"/>
  <c r="S693" i="2"/>
  <c r="R693" i="2"/>
  <c r="M693" i="2"/>
  <c r="Z693" i="2" s="1"/>
  <c r="J693" i="2"/>
  <c r="BF692" i="2"/>
  <c r="AR692" i="2"/>
  <c r="AQ692" i="2"/>
  <c r="AA692" i="2"/>
  <c r="Z692" i="2"/>
  <c r="V692" i="2"/>
  <c r="U692" i="2"/>
  <c r="T692" i="2"/>
  <c r="S692" i="2"/>
  <c r="R692" i="2"/>
  <c r="M692" i="2"/>
  <c r="J692" i="2"/>
  <c r="AP692" i="2" s="1"/>
  <c r="BF691" i="2"/>
  <c r="AT691" i="2"/>
  <c r="AU691" i="2" s="1"/>
  <c r="AV691" i="2" s="1"/>
  <c r="AS691" i="2"/>
  <c r="AR691" i="2"/>
  <c r="AQ691" i="2"/>
  <c r="AP691" i="2"/>
  <c r="AO691" i="2"/>
  <c r="AA691" i="2"/>
  <c r="Z691" i="2"/>
  <c r="X691" i="2"/>
  <c r="V691" i="2"/>
  <c r="U691" i="2"/>
  <c r="T691" i="2"/>
  <c r="S691" i="2"/>
  <c r="R691" i="2"/>
  <c r="M691" i="2"/>
  <c r="J691" i="2"/>
  <c r="BF690" i="2"/>
  <c r="AR690" i="2"/>
  <c r="AQ690" i="2"/>
  <c r="AP690" i="2"/>
  <c r="AA690" i="2"/>
  <c r="Z690" i="2"/>
  <c r="V690" i="2"/>
  <c r="U690" i="2"/>
  <c r="T690" i="2"/>
  <c r="S690" i="2"/>
  <c r="R690" i="2"/>
  <c r="M690" i="2"/>
  <c r="J690" i="2"/>
  <c r="BF689" i="2"/>
  <c r="AS689" i="2"/>
  <c r="AR689" i="2"/>
  <c r="AQ689" i="2"/>
  <c r="AA689" i="2"/>
  <c r="Z689" i="2"/>
  <c r="W689" i="2"/>
  <c r="V689" i="2"/>
  <c r="U689" i="2"/>
  <c r="X689" i="2" s="1"/>
  <c r="T689" i="2"/>
  <c r="S689" i="2"/>
  <c r="R689" i="2"/>
  <c r="M689" i="2"/>
  <c r="J689" i="2" s="1"/>
  <c r="BF688" i="2"/>
  <c r="AR688" i="2"/>
  <c r="AQ688" i="2"/>
  <c r="AO688" i="2"/>
  <c r="AA688" i="2"/>
  <c r="Z688" i="2"/>
  <c r="X688" i="2"/>
  <c r="V688" i="2"/>
  <c r="U688" i="2"/>
  <c r="W688" i="2" s="1"/>
  <c r="T688" i="2"/>
  <c r="S688" i="2"/>
  <c r="R688" i="2"/>
  <c r="M688" i="2"/>
  <c r="J688" i="2" s="1"/>
  <c r="BF687" i="2"/>
  <c r="AR687" i="2"/>
  <c r="AS687" i="2" s="1"/>
  <c r="AQ687" i="2"/>
  <c r="AA687" i="2"/>
  <c r="X687" i="2"/>
  <c r="W687" i="2"/>
  <c r="V687" i="2"/>
  <c r="U687" i="2"/>
  <c r="T687" i="2"/>
  <c r="S687" i="2"/>
  <c r="R687" i="2"/>
  <c r="M687" i="2"/>
  <c r="BF686" i="2"/>
  <c r="AR686" i="2"/>
  <c r="AS686" i="2" s="1"/>
  <c r="AT686" i="2" s="1"/>
  <c r="AU686" i="2" s="1"/>
  <c r="AV686" i="2" s="1"/>
  <c r="AQ686" i="2"/>
  <c r="AA686" i="2"/>
  <c r="V686" i="2"/>
  <c r="U686" i="2"/>
  <c r="T686" i="2"/>
  <c r="S686" i="2"/>
  <c r="R686" i="2"/>
  <c r="M686" i="2"/>
  <c r="Z686" i="2" s="1"/>
  <c r="J686" i="2"/>
  <c r="BF685" i="2"/>
  <c r="AT685" i="2"/>
  <c r="AS685" i="2"/>
  <c r="AR685" i="2"/>
  <c r="AQ685" i="2"/>
  <c r="AA685" i="2"/>
  <c r="AO685" i="2" s="1"/>
  <c r="X685" i="2"/>
  <c r="V685" i="2"/>
  <c r="W685" i="2" s="1"/>
  <c r="U685" i="2"/>
  <c r="T685" i="2"/>
  <c r="S685" i="2"/>
  <c r="R685" i="2"/>
  <c r="M685" i="2"/>
  <c r="Z685" i="2" s="1"/>
  <c r="J685" i="2"/>
  <c r="AP685" i="2" s="1"/>
  <c r="BF684" i="2"/>
  <c r="AR684" i="2"/>
  <c r="AQ684" i="2"/>
  <c r="AA684" i="2"/>
  <c r="V684" i="2"/>
  <c r="W684" i="2" s="1"/>
  <c r="U684" i="2"/>
  <c r="T684" i="2"/>
  <c r="S684" i="2"/>
  <c r="R684" i="2"/>
  <c r="M684" i="2"/>
  <c r="Z684" i="2" s="1"/>
  <c r="BF683" i="2"/>
  <c r="AS683" i="2"/>
  <c r="AT683" i="2" s="1"/>
  <c r="AU683" i="2" s="1"/>
  <c r="AV683" i="2" s="1"/>
  <c r="AR683" i="2"/>
  <c r="AQ683" i="2"/>
  <c r="AA683" i="2"/>
  <c r="Z683" i="2"/>
  <c r="V683" i="2"/>
  <c r="U683" i="2"/>
  <c r="AP683" i="2" s="1"/>
  <c r="T683" i="2"/>
  <c r="S683" i="2"/>
  <c r="R683" i="2"/>
  <c r="M683" i="2"/>
  <c r="J683" i="2"/>
  <c r="BF682" i="2"/>
  <c r="AR682" i="2"/>
  <c r="AQ682" i="2"/>
  <c r="AA682" i="2"/>
  <c r="Z682" i="2"/>
  <c r="V682" i="2"/>
  <c r="U682" i="2"/>
  <c r="T682" i="2"/>
  <c r="S682" i="2"/>
  <c r="R682" i="2"/>
  <c r="M682" i="2"/>
  <c r="J682" i="2"/>
  <c r="BF681" i="2"/>
  <c r="AR681" i="2"/>
  <c r="AS681" i="2" s="1"/>
  <c r="AT681" i="2" s="1"/>
  <c r="AU681" i="2" s="1"/>
  <c r="AV681" i="2" s="1"/>
  <c r="AQ681" i="2"/>
  <c r="AO681" i="2"/>
  <c r="AA681" i="2"/>
  <c r="Z681" i="2"/>
  <c r="V681" i="2"/>
  <c r="U681" i="2"/>
  <c r="X681" i="2" s="1"/>
  <c r="T681" i="2"/>
  <c r="S681" i="2"/>
  <c r="R681" i="2"/>
  <c r="M681" i="2"/>
  <c r="J681" i="2"/>
  <c r="BF680" i="2"/>
  <c r="AS680" i="2"/>
  <c r="AT680" i="2" s="1"/>
  <c r="AU680" i="2" s="1"/>
  <c r="AV680" i="2" s="1"/>
  <c r="AR680" i="2"/>
  <c r="AQ680" i="2"/>
  <c r="AP680" i="2"/>
  <c r="AO680" i="2"/>
  <c r="AA680" i="2"/>
  <c r="X680" i="2"/>
  <c r="W680" i="2"/>
  <c r="V680" i="2"/>
  <c r="U680" i="2"/>
  <c r="T680" i="2"/>
  <c r="S680" i="2"/>
  <c r="R680" i="2"/>
  <c r="M680" i="2"/>
  <c r="BF679" i="2"/>
  <c r="AR679" i="2"/>
  <c r="AQ679" i="2"/>
  <c r="AA679" i="2"/>
  <c r="V679" i="2"/>
  <c r="U679" i="2"/>
  <c r="T679" i="2"/>
  <c r="S679" i="2"/>
  <c r="R679" i="2"/>
  <c r="M679" i="2"/>
  <c r="Z679" i="2" s="1"/>
  <c r="BF678" i="2"/>
  <c r="AU678" i="2"/>
  <c r="AT678" i="2"/>
  <c r="AR678" i="2"/>
  <c r="AS678" i="2" s="1"/>
  <c r="AQ678" i="2"/>
  <c r="AA678" i="2"/>
  <c r="Z678" i="2"/>
  <c r="W678" i="2"/>
  <c r="V678" i="2"/>
  <c r="U678" i="2"/>
  <c r="T678" i="2"/>
  <c r="S678" i="2"/>
  <c r="R678" i="2"/>
  <c r="M678" i="2"/>
  <c r="J678" i="2" s="1"/>
  <c r="BF677" i="2"/>
  <c r="AR677" i="2"/>
  <c r="AQ677" i="2"/>
  <c r="AA677" i="2"/>
  <c r="X677" i="2"/>
  <c r="V677" i="2"/>
  <c r="W677" i="2" s="1"/>
  <c r="U677" i="2"/>
  <c r="T677" i="2"/>
  <c r="S677" i="2"/>
  <c r="R677" i="2"/>
  <c r="M677" i="2"/>
  <c r="Z677" i="2" s="1"/>
  <c r="BF676" i="2"/>
  <c r="AT676" i="2"/>
  <c r="AU676" i="2" s="1"/>
  <c r="AV676" i="2" s="1"/>
  <c r="AS676" i="2"/>
  <c r="AR676" i="2"/>
  <c r="AQ676" i="2"/>
  <c r="AA676" i="2"/>
  <c r="Z676" i="2"/>
  <c r="V676" i="2"/>
  <c r="U676" i="2"/>
  <c r="T676" i="2"/>
  <c r="S676" i="2"/>
  <c r="R676" i="2"/>
  <c r="M676" i="2"/>
  <c r="J676" i="2"/>
  <c r="BF675" i="2"/>
  <c r="AS675" i="2"/>
  <c r="AR675" i="2"/>
  <c r="AQ675" i="2"/>
  <c r="AA675" i="2"/>
  <c r="Z675" i="2"/>
  <c r="V675" i="2"/>
  <c r="U675" i="2"/>
  <c r="T675" i="2"/>
  <c r="S675" i="2"/>
  <c r="R675" i="2"/>
  <c r="M675" i="2"/>
  <c r="J675" i="2"/>
  <c r="BF674" i="2"/>
  <c r="AS674" i="2"/>
  <c r="AT674" i="2" s="1"/>
  <c r="AU674" i="2" s="1"/>
  <c r="AV674" i="2" s="1"/>
  <c r="AR674" i="2"/>
  <c r="AQ674" i="2"/>
  <c r="AA674" i="2"/>
  <c r="X674" i="2"/>
  <c r="V674" i="2"/>
  <c r="U674" i="2"/>
  <c r="T674" i="2"/>
  <c r="S674" i="2"/>
  <c r="R674" i="2"/>
  <c r="M674" i="2"/>
  <c r="BF673" i="2"/>
  <c r="AS673" i="2"/>
  <c r="AR673" i="2"/>
  <c r="AQ673" i="2"/>
  <c r="AA673" i="2"/>
  <c r="X673" i="2"/>
  <c r="W673" i="2"/>
  <c r="V673" i="2"/>
  <c r="U673" i="2"/>
  <c r="T673" i="2"/>
  <c r="S673" i="2"/>
  <c r="R673" i="2"/>
  <c r="M673" i="2"/>
  <c r="BF672" i="2"/>
  <c r="AU672" i="2"/>
  <c r="AV672" i="2" s="1"/>
  <c r="AS672" i="2"/>
  <c r="AT672" i="2" s="1"/>
  <c r="AR672" i="2"/>
  <c r="AQ672" i="2"/>
  <c r="AA672" i="2"/>
  <c r="V672" i="2"/>
  <c r="U672" i="2"/>
  <c r="T672" i="2"/>
  <c r="S672" i="2"/>
  <c r="R672" i="2"/>
  <c r="M672" i="2"/>
  <c r="J672" i="2" s="1"/>
  <c r="BF671" i="2"/>
  <c r="AT671" i="2"/>
  <c r="AU671" i="2" s="1"/>
  <c r="AV671" i="2" s="1"/>
  <c r="AR671" i="2"/>
  <c r="AS671" i="2" s="1"/>
  <c r="AQ671" i="2"/>
  <c r="AA671" i="2"/>
  <c r="W671" i="2"/>
  <c r="V671" i="2"/>
  <c r="U671" i="2"/>
  <c r="T671" i="2"/>
  <c r="S671" i="2"/>
  <c r="R671" i="2"/>
  <c r="M671" i="2"/>
  <c r="Z671" i="2" s="1"/>
  <c r="BF670" i="2"/>
  <c r="AR670" i="2"/>
  <c r="AQ670" i="2"/>
  <c r="AO670" i="2"/>
  <c r="AA670" i="2"/>
  <c r="Z670" i="2"/>
  <c r="V670" i="2"/>
  <c r="U670" i="2"/>
  <c r="T670" i="2"/>
  <c r="S670" i="2"/>
  <c r="R670" i="2"/>
  <c r="M670" i="2"/>
  <c r="J670" i="2"/>
  <c r="BF669" i="2"/>
  <c r="AR669" i="2"/>
  <c r="AS669" i="2" s="1"/>
  <c r="AQ669" i="2"/>
  <c r="AA669" i="2"/>
  <c r="AO669" i="2" s="1"/>
  <c r="Z669" i="2"/>
  <c r="X669" i="2"/>
  <c r="V669" i="2"/>
  <c r="W669" i="2" s="1"/>
  <c r="U669" i="2"/>
  <c r="T669" i="2"/>
  <c r="S669" i="2"/>
  <c r="R669" i="2"/>
  <c r="M669" i="2"/>
  <c r="J669" i="2"/>
  <c r="AP669" i="2" s="1"/>
  <c r="BF668" i="2"/>
  <c r="AR668" i="2"/>
  <c r="AQ668" i="2"/>
  <c r="AA668" i="2"/>
  <c r="Z668" i="2"/>
  <c r="V668" i="2"/>
  <c r="W668" i="2" s="1"/>
  <c r="U668" i="2"/>
  <c r="T668" i="2"/>
  <c r="S668" i="2"/>
  <c r="R668" i="2"/>
  <c r="M668" i="2"/>
  <c r="J668" i="2" s="1"/>
  <c r="BF667" i="2"/>
  <c r="AS667" i="2"/>
  <c r="AT667" i="2" s="1"/>
  <c r="AR667" i="2"/>
  <c r="AQ667" i="2"/>
  <c r="AP667" i="2"/>
  <c r="AO667" i="2"/>
  <c r="AA667" i="2"/>
  <c r="Z667" i="2"/>
  <c r="V667" i="2"/>
  <c r="W667" i="2" s="1"/>
  <c r="U667" i="2"/>
  <c r="X667" i="2" s="1"/>
  <c r="T667" i="2"/>
  <c r="S667" i="2"/>
  <c r="R667" i="2"/>
  <c r="M667" i="2"/>
  <c r="J667" i="2"/>
  <c r="BF666" i="2"/>
  <c r="AR666" i="2"/>
  <c r="AQ666" i="2"/>
  <c r="AA666" i="2"/>
  <c r="V666" i="2"/>
  <c r="U666" i="2"/>
  <c r="T666" i="2"/>
  <c r="S666" i="2"/>
  <c r="R666" i="2"/>
  <c r="M666" i="2"/>
  <c r="Z666" i="2" s="1"/>
  <c r="J666" i="2"/>
  <c r="BF665" i="2"/>
  <c r="AR665" i="2"/>
  <c r="AS665" i="2" s="1"/>
  <c r="AT665" i="2" s="1"/>
  <c r="AU665" i="2" s="1"/>
  <c r="AV665" i="2" s="1"/>
  <c r="AQ665" i="2"/>
  <c r="AO665" i="2"/>
  <c r="AA665" i="2"/>
  <c r="V665" i="2"/>
  <c r="U665" i="2"/>
  <c r="T665" i="2"/>
  <c r="S665" i="2"/>
  <c r="R665" i="2"/>
  <c r="M665" i="2"/>
  <c r="Z665" i="2" s="1"/>
  <c r="J665" i="2"/>
  <c r="BF664" i="2"/>
  <c r="AS664" i="2"/>
  <c r="AT664" i="2" s="1"/>
  <c r="AU664" i="2" s="1"/>
  <c r="AV664" i="2" s="1"/>
  <c r="AR664" i="2"/>
  <c r="AQ664" i="2"/>
  <c r="AA664" i="2"/>
  <c r="Z664" i="2"/>
  <c r="W664" i="2"/>
  <c r="V664" i="2"/>
  <c r="U664" i="2"/>
  <c r="AP664" i="2" s="1"/>
  <c r="T664" i="2"/>
  <c r="S664" i="2"/>
  <c r="R664" i="2"/>
  <c r="M664" i="2"/>
  <c r="J664" i="2" s="1"/>
  <c r="BF663" i="2"/>
  <c r="AR663" i="2"/>
  <c r="AQ663" i="2"/>
  <c r="AP663" i="2"/>
  <c r="AA663" i="2"/>
  <c r="V663" i="2"/>
  <c r="U663" i="2"/>
  <c r="AO663" i="2" s="1"/>
  <c r="T663" i="2"/>
  <c r="S663" i="2"/>
  <c r="R663" i="2"/>
  <c r="M663" i="2"/>
  <c r="Z663" i="2" s="1"/>
  <c r="J663" i="2"/>
  <c r="BF662" i="2"/>
  <c r="AR662" i="2"/>
  <c r="AS662" i="2" s="1"/>
  <c r="AT662" i="2" s="1"/>
  <c r="AQ662" i="2"/>
  <c r="AA662" i="2"/>
  <c r="X662" i="2"/>
  <c r="W662" i="2"/>
  <c r="V662" i="2"/>
  <c r="U662" i="2"/>
  <c r="T662" i="2"/>
  <c r="S662" i="2"/>
  <c r="R662" i="2"/>
  <c r="M662" i="2"/>
  <c r="BF661" i="2"/>
  <c r="AR661" i="2"/>
  <c r="AQ661" i="2"/>
  <c r="AA661" i="2"/>
  <c r="Z661" i="2"/>
  <c r="X661" i="2"/>
  <c r="V661" i="2"/>
  <c r="W661" i="2" s="1"/>
  <c r="U661" i="2"/>
  <c r="T661" i="2"/>
  <c r="S661" i="2"/>
  <c r="R661" i="2"/>
  <c r="M661" i="2"/>
  <c r="J661" i="2" s="1"/>
  <c r="AP661" i="2" s="1"/>
  <c r="BF660" i="2"/>
  <c r="AS660" i="2"/>
  <c r="AT660" i="2" s="1"/>
  <c r="AU660" i="2" s="1"/>
  <c r="AV660" i="2" s="1"/>
  <c r="AR660" i="2"/>
  <c r="AW660" i="2" s="1"/>
  <c r="AX660" i="2" s="1"/>
  <c r="AQ660" i="2"/>
  <c r="AA660" i="2"/>
  <c r="Z660" i="2"/>
  <c r="V660" i="2"/>
  <c r="U660" i="2"/>
  <c r="T660" i="2"/>
  <c r="S660" i="2"/>
  <c r="R660" i="2"/>
  <c r="M660" i="2"/>
  <c r="J660" i="2"/>
  <c r="AP660" i="2" s="1"/>
  <c r="BF659" i="2"/>
  <c r="AS659" i="2"/>
  <c r="AR659" i="2"/>
  <c r="AQ659" i="2"/>
  <c r="AA659" i="2"/>
  <c r="Z659" i="2"/>
  <c r="V659" i="2"/>
  <c r="U659" i="2"/>
  <c r="T659" i="2"/>
  <c r="S659" i="2"/>
  <c r="R659" i="2"/>
  <c r="M659" i="2"/>
  <c r="J659" i="2"/>
  <c r="BF658" i="2"/>
  <c r="AS658" i="2"/>
  <c r="AT658" i="2" s="1"/>
  <c r="AU658" i="2" s="1"/>
  <c r="AV658" i="2" s="1"/>
  <c r="AR658" i="2"/>
  <c r="AQ658" i="2"/>
  <c r="AA658" i="2"/>
  <c r="Z658" i="2"/>
  <c r="V658" i="2"/>
  <c r="U658" i="2"/>
  <c r="T658" i="2"/>
  <c r="S658" i="2"/>
  <c r="R658" i="2"/>
  <c r="M658" i="2"/>
  <c r="J658" i="2" s="1"/>
  <c r="AP658" i="2" s="1"/>
  <c r="BF657" i="2"/>
  <c r="AS657" i="2"/>
  <c r="AR657" i="2"/>
  <c r="AQ657" i="2"/>
  <c r="AA657" i="2"/>
  <c r="Z657" i="2"/>
  <c r="W657" i="2"/>
  <c r="V657" i="2"/>
  <c r="U657" i="2"/>
  <c r="AP657" i="2" s="1"/>
  <c r="T657" i="2"/>
  <c r="S657" i="2"/>
  <c r="R657" i="2"/>
  <c r="M657" i="2"/>
  <c r="J657" i="2" s="1"/>
  <c r="BF656" i="2"/>
  <c r="AR656" i="2"/>
  <c r="AQ656" i="2"/>
  <c r="AO656" i="2"/>
  <c r="AA656" i="2"/>
  <c r="Z656" i="2"/>
  <c r="X656" i="2"/>
  <c r="V656" i="2"/>
  <c r="U656" i="2"/>
  <c r="W656" i="2" s="1"/>
  <c r="T656" i="2"/>
  <c r="S656" i="2"/>
  <c r="R656" i="2"/>
  <c r="M656" i="2"/>
  <c r="J656" i="2" s="1"/>
  <c r="BF655" i="2"/>
  <c r="AR655" i="2"/>
  <c r="AS655" i="2" s="1"/>
  <c r="AQ655" i="2"/>
  <c r="AA655" i="2"/>
  <c r="X655" i="2"/>
  <c r="W655" i="2"/>
  <c r="V655" i="2"/>
  <c r="U655" i="2"/>
  <c r="T655" i="2"/>
  <c r="S655" i="2"/>
  <c r="R655" i="2"/>
  <c r="M655" i="2"/>
  <c r="BF654" i="2"/>
  <c r="AR654" i="2"/>
  <c r="AS654" i="2" s="1"/>
  <c r="AT654" i="2" s="1"/>
  <c r="AU654" i="2" s="1"/>
  <c r="AV654" i="2" s="1"/>
  <c r="AQ654" i="2"/>
  <c r="AO654" i="2"/>
  <c r="AA654" i="2"/>
  <c r="V654" i="2"/>
  <c r="U654" i="2"/>
  <c r="T654" i="2"/>
  <c r="S654" i="2"/>
  <c r="R654" i="2"/>
  <c r="M654" i="2"/>
  <c r="Z654" i="2" s="1"/>
  <c r="J654" i="2"/>
  <c r="BF653" i="2"/>
  <c r="AT653" i="2"/>
  <c r="AU653" i="2" s="1"/>
  <c r="AV653" i="2" s="1"/>
  <c r="AR653" i="2"/>
  <c r="AS653" i="2" s="1"/>
  <c r="AQ653" i="2"/>
  <c r="AA653" i="2"/>
  <c r="AO653" i="2" s="1"/>
  <c r="X653" i="2"/>
  <c r="V653" i="2"/>
  <c r="W653" i="2" s="1"/>
  <c r="U653" i="2"/>
  <c r="T653" i="2"/>
  <c r="S653" i="2"/>
  <c r="R653" i="2"/>
  <c r="M653" i="2"/>
  <c r="Z653" i="2" s="1"/>
  <c r="J653" i="2"/>
  <c r="AP653" i="2" s="1"/>
  <c r="BF652" i="2"/>
  <c r="AR652" i="2"/>
  <c r="AQ652" i="2"/>
  <c r="AA652" i="2"/>
  <c r="V652" i="2"/>
  <c r="U652" i="2"/>
  <c r="T652" i="2"/>
  <c r="S652" i="2"/>
  <c r="R652" i="2"/>
  <c r="M652" i="2"/>
  <c r="Z652" i="2" s="1"/>
  <c r="BF651" i="2"/>
  <c r="AS651" i="2"/>
  <c r="AT651" i="2" s="1"/>
  <c r="AU651" i="2" s="1"/>
  <c r="AV651" i="2" s="1"/>
  <c r="AR651" i="2"/>
  <c r="AQ651" i="2"/>
  <c r="AO651" i="2"/>
  <c r="AA651" i="2"/>
  <c r="Z651" i="2"/>
  <c r="V651" i="2"/>
  <c r="U651" i="2"/>
  <c r="AP651" i="2" s="1"/>
  <c r="T651" i="2"/>
  <c r="S651" i="2"/>
  <c r="R651" i="2"/>
  <c r="M651" i="2"/>
  <c r="J651" i="2"/>
  <c r="BF650" i="2"/>
  <c r="AR650" i="2"/>
  <c r="AQ650" i="2"/>
  <c r="AA650" i="2"/>
  <c r="Z650" i="2"/>
  <c r="V650" i="2"/>
  <c r="U650" i="2"/>
  <c r="T650" i="2"/>
  <c r="S650" i="2"/>
  <c r="R650" i="2"/>
  <c r="M650" i="2"/>
  <c r="J650" i="2" s="1"/>
  <c r="BF649" i="2"/>
  <c r="AR649" i="2"/>
  <c r="AS649" i="2" s="1"/>
  <c r="AT649" i="2" s="1"/>
  <c r="AU649" i="2" s="1"/>
  <c r="AV649" i="2" s="1"/>
  <c r="AQ649" i="2"/>
  <c r="AO649" i="2"/>
  <c r="AA649" i="2"/>
  <c r="Z649" i="2"/>
  <c r="V649" i="2"/>
  <c r="U649" i="2"/>
  <c r="X649" i="2" s="1"/>
  <c r="T649" i="2"/>
  <c r="S649" i="2"/>
  <c r="R649" i="2"/>
  <c r="M649" i="2"/>
  <c r="J649" i="2"/>
  <c r="BF648" i="2"/>
  <c r="AV648" i="2"/>
  <c r="AS648" i="2"/>
  <c r="AT648" i="2" s="1"/>
  <c r="AU648" i="2" s="1"/>
  <c r="AR648" i="2"/>
  <c r="AQ648" i="2"/>
  <c r="AA648" i="2"/>
  <c r="AO648" i="2" s="1"/>
  <c r="Z648" i="2"/>
  <c r="X648" i="2"/>
  <c r="W648" i="2"/>
  <c r="V648" i="2"/>
  <c r="U648" i="2"/>
  <c r="T648" i="2"/>
  <c r="S648" i="2"/>
  <c r="R648" i="2"/>
  <c r="M648" i="2"/>
  <c r="J648" i="2" s="1"/>
  <c r="AP648" i="2" s="1"/>
  <c r="BF647" i="2"/>
  <c r="AR647" i="2"/>
  <c r="AQ647" i="2"/>
  <c r="AA647" i="2"/>
  <c r="V647" i="2"/>
  <c r="U647" i="2"/>
  <c r="T647" i="2"/>
  <c r="S647" i="2"/>
  <c r="R647" i="2"/>
  <c r="M647" i="2"/>
  <c r="Z647" i="2" s="1"/>
  <c r="BF646" i="2"/>
  <c r="AR646" i="2"/>
  <c r="AS646" i="2" s="1"/>
  <c r="AT646" i="2" s="1"/>
  <c r="AQ646" i="2"/>
  <c r="AA646" i="2"/>
  <c r="Z646" i="2"/>
  <c r="W646" i="2"/>
  <c r="V646" i="2"/>
  <c r="U646" i="2"/>
  <c r="AO646" i="2" s="1"/>
  <c r="T646" i="2"/>
  <c r="S646" i="2"/>
  <c r="R646" i="2"/>
  <c r="M646" i="2"/>
  <c r="J646" i="2" s="1"/>
  <c r="BF645" i="2"/>
  <c r="AR645" i="2"/>
  <c r="AQ645" i="2"/>
  <c r="AA645" i="2"/>
  <c r="X645" i="2"/>
  <c r="V645" i="2"/>
  <c r="W645" i="2" s="1"/>
  <c r="U645" i="2"/>
  <c r="T645" i="2"/>
  <c r="S645" i="2"/>
  <c r="R645" i="2"/>
  <c r="M645" i="2"/>
  <c r="Z645" i="2" s="1"/>
  <c r="BF644" i="2"/>
  <c r="AT644" i="2"/>
  <c r="AU644" i="2" s="1"/>
  <c r="AV644" i="2" s="1"/>
  <c r="AS644" i="2"/>
  <c r="AR644" i="2"/>
  <c r="AQ644" i="2"/>
  <c r="AA644" i="2"/>
  <c r="Z644" i="2"/>
  <c r="V644" i="2"/>
  <c r="U644" i="2"/>
  <c r="T644" i="2"/>
  <c r="S644" i="2"/>
  <c r="R644" i="2"/>
  <c r="M644" i="2"/>
  <c r="J644" i="2"/>
  <c r="AP644" i="2" s="1"/>
  <c r="BF643" i="2"/>
  <c r="AS643" i="2"/>
  <c r="AR643" i="2"/>
  <c r="AQ643" i="2"/>
  <c r="AA643" i="2"/>
  <c r="Z643" i="2"/>
  <c r="V643" i="2"/>
  <c r="U643" i="2"/>
  <c r="T643" i="2"/>
  <c r="S643" i="2"/>
  <c r="R643" i="2"/>
  <c r="M643" i="2"/>
  <c r="J643" i="2"/>
  <c r="BF642" i="2"/>
  <c r="AV642" i="2"/>
  <c r="AS642" i="2"/>
  <c r="AT642" i="2" s="1"/>
  <c r="AU642" i="2" s="1"/>
  <c r="AR642" i="2"/>
  <c r="AQ642" i="2"/>
  <c r="AA642" i="2"/>
  <c r="X642" i="2"/>
  <c r="V642" i="2"/>
  <c r="U642" i="2"/>
  <c r="T642" i="2"/>
  <c r="S642" i="2"/>
  <c r="R642" i="2"/>
  <c r="M642" i="2"/>
  <c r="BF641" i="2"/>
  <c r="AS641" i="2"/>
  <c r="AR641" i="2"/>
  <c r="AQ641" i="2"/>
  <c r="AA641" i="2"/>
  <c r="W641" i="2"/>
  <c r="V641" i="2"/>
  <c r="U641" i="2"/>
  <c r="X641" i="2" s="1"/>
  <c r="T641" i="2"/>
  <c r="S641" i="2"/>
  <c r="R641" i="2"/>
  <c r="M641" i="2"/>
  <c r="BF640" i="2"/>
  <c r="AS640" i="2"/>
  <c r="AR640" i="2"/>
  <c r="AQ640" i="2"/>
  <c r="AA640" i="2"/>
  <c r="Z640" i="2"/>
  <c r="V640" i="2"/>
  <c r="U640" i="2"/>
  <c r="T640" i="2"/>
  <c r="S640" i="2"/>
  <c r="R640" i="2"/>
  <c r="M640" i="2"/>
  <c r="J640" i="2" s="1"/>
  <c r="BF639" i="2"/>
  <c r="AR639" i="2"/>
  <c r="AS639" i="2" s="1"/>
  <c r="AT639" i="2" s="1"/>
  <c r="AU639" i="2" s="1"/>
  <c r="AV639" i="2" s="1"/>
  <c r="AQ639" i="2"/>
  <c r="AO639" i="2"/>
  <c r="AA639" i="2"/>
  <c r="Z639" i="2"/>
  <c r="V639" i="2"/>
  <c r="U639" i="2"/>
  <c r="X639" i="2" s="1"/>
  <c r="T639" i="2"/>
  <c r="S639" i="2"/>
  <c r="R639" i="2"/>
  <c r="M639" i="2"/>
  <c r="J639" i="2"/>
  <c r="BF638" i="2"/>
  <c r="AS638" i="2"/>
  <c r="AT638" i="2" s="1"/>
  <c r="AU638" i="2" s="1"/>
  <c r="AR638" i="2"/>
  <c r="AQ638" i="2"/>
  <c r="AA638" i="2"/>
  <c r="V638" i="2"/>
  <c r="U638" i="2"/>
  <c r="T638" i="2"/>
  <c r="S638" i="2"/>
  <c r="R638" i="2"/>
  <c r="M638" i="2"/>
  <c r="BF637" i="2"/>
  <c r="AS637" i="2"/>
  <c r="AR637" i="2"/>
  <c r="AQ637" i="2"/>
  <c r="AA637" i="2"/>
  <c r="Z637" i="2"/>
  <c r="W637" i="2"/>
  <c r="V637" i="2"/>
  <c r="U637" i="2"/>
  <c r="T637" i="2"/>
  <c r="S637" i="2"/>
  <c r="R637" i="2"/>
  <c r="M637" i="2"/>
  <c r="J637" i="2" s="1"/>
  <c r="BF636" i="2"/>
  <c r="AS636" i="2"/>
  <c r="AR636" i="2"/>
  <c r="AQ636" i="2"/>
  <c r="AA636" i="2"/>
  <c r="V636" i="2"/>
  <c r="U636" i="2"/>
  <c r="T636" i="2"/>
  <c r="S636" i="2"/>
  <c r="R636" i="2"/>
  <c r="M636" i="2"/>
  <c r="Z636" i="2" s="1"/>
  <c r="J636" i="2"/>
  <c r="BF635" i="2"/>
  <c r="AR635" i="2"/>
  <c r="AS635" i="2" s="1"/>
  <c r="AT635" i="2" s="1"/>
  <c r="AU635" i="2" s="1"/>
  <c r="AV635" i="2" s="1"/>
  <c r="AQ635" i="2"/>
  <c r="AO635" i="2"/>
  <c r="AA635" i="2"/>
  <c r="V635" i="2"/>
  <c r="U635" i="2"/>
  <c r="T635" i="2"/>
  <c r="S635" i="2"/>
  <c r="R635" i="2"/>
  <c r="M635" i="2"/>
  <c r="J635" i="2" s="1"/>
  <c r="BF634" i="2"/>
  <c r="AR634" i="2"/>
  <c r="AS634" i="2" s="1"/>
  <c r="AQ634" i="2"/>
  <c r="AO634" i="2"/>
  <c r="AA634" i="2"/>
  <c r="Z634" i="2"/>
  <c r="W634" i="2"/>
  <c r="V634" i="2"/>
  <c r="U634" i="2"/>
  <c r="X634" i="2" s="1"/>
  <c r="T634" i="2"/>
  <c r="S634" i="2"/>
  <c r="R634" i="2"/>
  <c r="M634" i="2"/>
  <c r="J634" i="2" s="1"/>
  <c r="AP634" i="2" s="1"/>
  <c r="BF633" i="2"/>
  <c r="AS633" i="2"/>
  <c r="AR633" i="2"/>
  <c r="AQ633" i="2"/>
  <c r="AA633" i="2"/>
  <c r="W633" i="2"/>
  <c r="V633" i="2"/>
  <c r="U633" i="2"/>
  <c r="X633" i="2" s="1"/>
  <c r="T633" i="2"/>
  <c r="S633" i="2"/>
  <c r="R633" i="2"/>
  <c r="M633" i="2"/>
  <c r="BF632" i="2"/>
  <c r="AS632" i="2"/>
  <c r="AR632" i="2"/>
  <c r="AQ632" i="2"/>
  <c r="AA632" i="2"/>
  <c r="Z632" i="2"/>
  <c r="W632" i="2"/>
  <c r="V632" i="2"/>
  <c r="U632" i="2"/>
  <c r="T632" i="2"/>
  <c r="S632" i="2"/>
  <c r="R632" i="2"/>
  <c r="M632" i="2"/>
  <c r="J632" i="2" s="1"/>
  <c r="BF631" i="2"/>
  <c r="AR631" i="2"/>
  <c r="AS631" i="2" s="1"/>
  <c r="AT631" i="2" s="1"/>
  <c r="AU631" i="2" s="1"/>
  <c r="AV631" i="2" s="1"/>
  <c r="AQ631" i="2"/>
  <c r="AO631" i="2"/>
  <c r="AA631" i="2"/>
  <c r="Z631" i="2"/>
  <c r="V631" i="2"/>
  <c r="U631" i="2"/>
  <c r="X631" i="2" s="1"/>
  <c r="T631" i="2"/>
  <c r="S631" i="2"/>
  <c r="R631" i="2"/>
  <c r="M631" i="2"/>
  <c r="J631" i="2"/>
  <c r="BF630" i="2"/>
  <c r="AU630" i="2"/>
  <c r="AV630" i="2" s="1"/>
  <c r="AS630" i="2"/>
  <c r="AT630" i="2" s="1"/>
  <c r="AR630" i="2"/>
  <c r="AQ630" i="2"/>
  <c r="AA630" i="2"/>
  <c r="V630" i="2"/>
  <c r="U630" i="2"/>
  <c r="AP630" i="2" s="1"/>
  <c r="T630" i="2"/>
  <c r="S630" i="2"/>
  <c r="R630" i="2"/>
  <c r="M630" i="2"/>
  <c r="J630" i="2" s="1"/>
  <c r="AO630" i="2" s="1"/>
  <c r="BF629" i="2"/>
  <c r="AS629" i="2"/>
  <c r="AR629" i="2"/>
  <c r="AQ629" i="2"/>
  <c r="AA629" i="2"/>
  <c r="Z629" i="2"/>
  <c r="W629" i="2"/>
  <c r="V629" i="2"/>
  <c r="U629" i="2"/>
  <c r="T629" i="2"/>
  <c r="S629" i="2"/>
  <c r="R629" i="2"/>
  <c r="M629" i="2"/>
  <c r="J629" i="2" s="1"/>
  <c r="BF628" i="2"/>
  <c r="AS628" i="2"/>
  <c r="AR628" i="2"/>
  <c r="AQ628" i="2"/>
  <c r="AA628" i="2"/>
  <c r="V628" i="2"/>
  <c r="U628" i="2"/>
  <c r="T628" i="2"/>
  <c r="S628" i="2"/>
  <c r="R628" i="2"/>
  <c r="M628" i="2"/>
  <c r="Z628" i="2" s="1"/>
  <c r="J628" i="2"/>
  <c r="BF627" i="2"/>
  <c r="AW627" i="2"/>
  <c r="AX627" i="2" s="1"/>
  <c r="AU627" i="2"/>
  <c r="AV627" i="2" s="1"/>
  <c r="AT627" i="2"/>
  <c r="AS627" i="2"/>
  <c r="AR627" i="2"/>
  <c r="AQ627" i="2"/>
  <c r="AA627" i="2"/>
  <c r="V627" i="2"/>
  <c r="U627" i="2"/>
  <c r="T627" i="2"/>
  <c r="S627" i="2"/>
  <c r="R627" i="2"/>
  <c r="M627" i="2"/>
  <c r="J627" i="2" s="1"/>
  <c r="BF626" i="2"/>
  <c r="AR626" i="2"/>
  <c r="AS626" i="2" s="1"/>
  <c r="AQ626" i="2"/>
  <c r="AA626" i="2"/>
  <c r="Z626" i="2"/>
  <c r="W626" i="2"/>
  <c r="V626" i="2"/>
  <c r="U626" i="2"/>
  <c r="X626" i="2" s="1"/>
  <c r="T626" i="2"/>
  <c r="S626" i="2"/>
  <c r="R626" i="2"/>
  <c r="M626" i="2"/>
  <c r="J626" i="2" s="1"/>
  <c r="BF625" i="2"/>
  <c r="AS625" i="2"/>
  <c r="AR625" i="2"/>
  <c r="AQ625" i="2"/>
  <c r="AA625" i="2"/>
  <c r="W625" i="2"/>
  <c r="V625" i="2"/>
  <c r="U625" i="2"/>
  <c r="X625" i="2" s="1"/>
  <c r="T625" i="2"/>
  <c r="S625" i="2"/>
  <c r="R625" i="2"/>
  <c r="M625" i="2"/>
  <c r="BF624" i="2"/>
  <c r="AS624" i="2"/>
  <c r="AR624" i="2"/>
  <c r="AQ624" i="2"/>
  <c r="AA624" i="2"/>
  <c r="Z624" i="2"/>
  <c r="V624" i="2"/>
  <c r="U624" i="2"/>
  <c r="T624" i="2"/>
  <c r="S624" i="2"/>
  <c r="R624" i="2"/>
  <c r="M624" i="2"/>
  <c r="J624" i="2" s="1"/>
  <c r="BF623" i="2"/>
  <c r="AR623" i="2"/>
  <c r="AS623" i="2" s="1"/>
  <c r="AT623" i="2" s="1"/>
  <c r="AU623" i="2" s="1"/>
  <c r="AV623" i="2" s="1"/>
  <c r="AQ623" i="2"/>
  <c r="AO623" i="2"/>
  <c r="AA623" i="2"/>
  <c r="Z623" i="2"/>
  <c r="V623" i="2"/>
  <c r="U623" i="2"/>
  <c r="X623" i="2" s="1"/>
  <c r="T623" i="2"/>
  <c r="S623" i="2"/>
  <c r="R623" i="2"/>
  <c r="M623" i="2"/>
  <c r="J623" i="2"/>
  <c r="BF622" i="2"/>
  <c r="AU622" i="2"/>
  <c r="AV622" i="2" s="1"/>
  <c r="AS622" i="2"/>
  <c r="AT622" i="2" s="1"/>
  <c r="AW622" i="2" s="1"/>
  <c r="AX622" i="2" s="1"/>
  <c r="AR622" i="2"/>
  <c r="AQ622" i="2"/>
  <c r="AA622" i="2"/>
  <c r="Z622" i="2"/>
  <c r="V622" i="2"/>
  <c r="U622" i="2"/>
  <c r="T622" i="2"/>
  <c r="S622" i="2"/>
  <c r="R622" i="2"/>
  <c r="M622" i="2"/>
  <c r="J622" i="2" s="1"/>
  <c r="AO622" i="2" s="1"/>
  <c r="BF621" i="2"/>
  <c r="AS621" i="2"/>
  <c r="AR621" i="2"/>
  <c r="AQ621" i="2"/>
  <c r="AA621" i="2"/>
  <c r="Z621" i="2"/>
  <c r="W621" i="2"/>
  <c r="V621" i="2"/>
  <c r="U621" i="2"/>
  <c r="AP621" i="2" s="1"/>
  <c r="T621" i="2"/>
  <c r="S621" i="2"/>
  <c r="R621" i="2"/>
  <c r="M621" i="2"/>
  <c r="J621" i="2" s="1"/>
  <c r="BF620" i="2"/>
  <c r="AS620" i="2"/>
  <c r="AR620" i="2"/>
  <c r="AQ620" i="2"/>
  <c r="AA620" i="2"/>
  <c r="V620" i="2"/>
  <c r="U620" i="2"/>
  <c r="T620" i="2"/>
  <c r="S620" i="2"/>
  <c r="R620" i="2"/>
  <c r="M620" i="2"/>
  <c r="Z620" i="2" s="1"/>
  <c r="J620" i="2"/>
  <c r="BF619" i="2"/>
  <c r="AW619" i="2"/>
  <c r="AX619" i="2" s="1"/>
  <c r="AR619" i="2"/>
  <c r="AS619" i="2" s="1"/>
  <c r="AT619" i="2" s="1"/>
  <c r="AU619" i="2" s="1"/>
  <c r="AV619" i="2" s="1"/>
  <c r="AQ619" i="2"/>
  <c r="AA619" i="2"/>
  <c r="V619" i="2"/>
  <c r="U619" i="2"/>
  <c r="T619" i="2"/>
  <c r="S619" i="2"/>
  <c r="R619" i="2"/>
  <c r="M619" i="2"/>
  <c r="J619" i="2" s="1"/>
  <c r="BF618" i="2"/>
  <c r="AR618" i="2"/>
  <c r="AS618" i="2" s="1"/>
  <c r="AQ618" i="2"/>
  <c r="AA618" i="2"/>
  <c r="W618" i="2"/>
  <c r="V618" i="2"/>
  <c r="U618" i="2"/>
  <c r="X618" i="2" s="1"/>
  <c r="T618" i="2"/>
  <c r="S618" i="2"/>
  <c r="R618" i="2"/>
  <c r="M618" i="2"/>
  <c r="BF617" i="2"/>
  <c r="AS617" i="2"/>
  <c r="AR617" i="2"/>
  <c r="AQ617" i="2"/>
  <c r="AA617" i="2"/>
  <c r="W617" i="2"/>
  <c r="V617" i="2"/>
  <c r="U617" i="2"/>
  <c r="X617" i="2" s="1"/>
  <c r="T617" i="2"/>
  <c r="S617" i="2"/>
  <c r="R617" i="2"/>
  <c r="M617" i="2"/>
  <c r="BF616" i="2"/>
  <c r="AS616" i="2"/>
  <c r="AR616" i="2"/>
  <c r="AQ616" i="2"/>
  <c r="AA616" i="2"/>
  <c r="Z616" i="2"/>
  <c r="V616" i="2"/>
  <c r="U616" i="2"/>
  <c r="T616" i="2"/>
  <c r="S616" i="2"/>
  <c r="R616" i="2"/>
  <c r="M616" i="2"/>
  <c r="J616" i="2"/>
  <c r="BF615" i="2"/>
  <c r="AR615" i="2"/>
  <c r="AS615" i="2" s="1"/>
  <c r="AT615" i="2" s="1"/>
  <c r="AU615" i="2" s="1"/>
  <c r="AV615" i="2" s="1"/>
  <c r="AQ615" i="2"/>
  <c r="AO615" i="2"/>
  <c r="AA615" i="2"/>
  <c r="Z615" i="2"/>
  <c r="V615" i="2"/>
  <c r="U615" i="2"/>
  <c r="X615" i="2" s="1"/>
  <c r="T615" i="2"/>
  <c r="S615" i="2"/>
  <c r="R615" i="2"/>
  <c r="M615" i="2"/>
  <c r="J615" i="2"/>
  <c r="BF614" i="2"/>
  <c r="AU614" i="2"/>
  <c r="AV614" i="2" s="1"/>
  <c r="AS614" i="2"/>
  <c r="AT614" i="2" s="1"/>
  <c r="AW614" i="2" s="1"/>
  <c r="AX614" i="2" s="1"/>
  <c r="AR614" i="2"/>
  <c r="AQ614" i="2"/>
  <c r="AO614" i="2"/>
  <c r="AA614" i="2"/>
  <c r="Z614" i="2"/>
  <c r="V614" i="2"/>
  <c r="U614" i="2"/>
  <c r="T614" i="2"/>
  <c r="S614" i="2"/>
  <c r="R614" i="2"/>
  <c r="M614" i="2"/>
  <c r="J614" i="2" s="1"/>
  <c r="BF613" i="2"/>
  <c r="AS613" i="2"/>
  <c r="AR613" i="2"/>
  <c r="AQ613" i="2"/>
  <c r="AA613" i="2"/>
  <c r="Z613" i="2"/>
  <c r="W613" i="2"/>
  <c r="V613" i="2"/>
  <c r="U613" i="2"/>
  <c r="T613" i="2"/>
  <c r="S613" i="2"/>
  <c r="R613" i="2"/>
  <c r="M613" i="2"/>
  <c r="J613" i="2" s="1"/>
  <c r="BF612" i="2"/>
  <c r="AS612" i="2"/>
  <c r="AR612" i="2"/>
  <c r="AQ612" i="2"/>
  <c r="AA612" i="2"/>
  <c r="V612" i="2"/>
  <c r="U612" i="2"/>
  <c r="T612" i="2"/>
  <c r="S612" i="2"/>
  <c r="R612" i="2"/>
  <c r="M612" i="2"/>
  <c r="Z612" i="2" s="1"/>
  <c r="J612" i="2"/>
  <c r="BF611" i="2"/>
  <c r="AR611" i="2"/>
  <c r="AS611" i="2" s="1"/>
  <c r="AQ611" i="2"/>
  <c r="AA611" i="2"/>
  <c r="V611" i="2"/>
  <c r="U611" i="2"/>
  <c r="T611" i="2"/>
  <c r="S611" i="2"/>
  <c r="R611" i="2"/>
  <c r="M611" i="2"/>
  <c r="Z611" i="2" s="1"/>
  <c r="J611" i="2"/>
  <c r="BF610" i="2"/>
  <c r="AR610" i="2"/>
  <c r="AS610" i="2" s="1"/>
  <c r="AQ610" i="2"/>
  <c r="AP610" i="2"/>
  <c r="AA610" i="2"/>
  <c r="W610" i="2"/>
  <c r="V610" i="2"/>
  <c r="U610" i="2"/>
  <c r="X610" i="2" s="1"/>
  <c r="T610" i="2"/>
  <c r="S610" i="2"/>
  <c r="R610" i="2"/>
  <c r="M610" i="2"/>
  <c r="J610" i="2" s="1"/>
  <c r="AO610" i="2" s="1"/>
  <c r="BF609" i="2"/>
  <c r="AS609" i="2"/>
  <c r="AR609" i="2"/>
  <c r="AQ609" i="2"/>
  <c r="AA609" i="2"/>
  <c r="W609" i="2"/>
  <c r="V609" i="2"/>
  <c r="U609" i="2"/>
  <c r="X609" i="2" s="1"/>
  <c r="T609" i="2"/>
  <c r="S609" i="2"/>
  <c r="R609" i="2"/>
  <c r="M609" i="2"/>
  <c r="J609" i="2" s="1"/>
  <c r="AP609" i="2" s="1"/>
  <c r="BF608" i="2"/>
  <c r="AS608" i="2"/>
  <c r="AR608" i="2"/>
  <c r="AQ608" i="2"/>
  <c r="AA608" i="2"/>
  <c r="Z608" i="2"/>
  <c r="W608" i="2"/>
  <c r="V608" i="2"/>
  <c r="U608" i="2"/>
  <c r="T608" i="2"/>
  <c r="S608" i="2"/>
  <c r="R608" i="2"/>
  <c r="M608" i="2"/>
  <c r="J608" i="2"/>
  <c r="BF607" i="2"/>
  <c r="AR607" i="2"/>
  <c r="AQ607" i="2"/>
  <c r="AO607" i="2"/>
  <c r="AA607" i="2"/>
  <c r="Z607" i="2"/>
  <c r="V607" i="2"/>
  <c r="U607" i="2"/>
  <c r="T607" i="2"/>
  <c r="S607" i="2"/>
  <c r="R607" i="2"/>
  <c r="M607" i="2"/>
  <c r="J607" i="2"/>
  <c r="BF606" i="2"/>
  <c r="AR606" i="2"/>
  <c r="AQ606" i="2"/>
  <c r="AA606" i="2"/>
  <c r="Z606" i="2"/>
  <c r="V606" i="2"/>
  <c r="U606" i="2"/>
  <c r="AP606" i="2" s="1"/>
  <c r="T606" i="2"/>
  <c r="S606" i="2"/>
  <c r="R606" i="2"/>
  <c r="M606" i="2"/>
  <c r="J606" i="2" s="1"/>
  <c r="AO606" i="2" s="1"/>
  <c r="BF605" i="2"/>
  <c r="AS605" i="2"/>
  <c r="AR605" i="2"/>
  <c r="AQ605" i="2"/>
  <c r="AA605" i="2"/>
  <c r="W605" i="2"/>
  <c r="V605" i="2"/>
  <c r="U605" i="2"/>
  <c r="T605" i="2"/>
  <c r="S605" i="2"/>
  <c r="R605" i="2"/>
  <c r="M605" i="2"/>
  <c r="J605" i="2" s="1"/>
  <c r="BF604" i="2"/>
  <c r="AS604" i="2"/>
  <c r="AR604" i="2"/>
  <c r="AQ604" i="2"/>
  <c r="AA604" i="2"/>
  <c r="V604" i="2"/>
  <c r="U604" i="2"/>
  <c r="T604" i="2"/>
  <c r="S604" i="2"/>
  <c r="R604" i="2"/>
  <c r="M604" i="2"/>
  <c r="Z604" i="2" s="1"/>
  <c r="J604" i="2"/>
  <c r="BF603" i="2"/>
  <c r="AT603" i="2"/>
  <c r="AU603" i="2" s="1"/>
  <c r="AV603" i="2" s="1"/>
  <c r="AR603" i="2"/>
  <c r="AS603" i="2" s="1"/>
  <c r="AQ603" i="2"/>
  <c r="AA603" i="2"/>
  <c r="W603" i="2"/>
  <c r="V603" i="2"/>
  <c r="U603" i="2"/>
  <c r="T603" i="2"/>
  <c r="S603" i="2"/>
  <c r="R603" i="2"/>
  <c r="M603" i="2"/>
  <c r="Z603" i="2" s="1"/>
  <c r="BF602" i="2"/>
  <c r="AR602" i="2"/>
  <c r="AQ602" i="2"/>
  <c r="AA602" i="2"/>
  <c r="Z602" i="2"/>
  <c r="V602" i="2"/>
  <c r="W602" i="2" s="1"/>
  <c r="U602" i="2"/>
  <c r="X602" i="2" s="1"/>
  <c r="T602" i="2"/>
  <c r="S602" i="2"/>
  <c r="R602" i="2"/>
  <c r="M602" i="2"/>
  <c r="J602" i="2" s="1"/>
  <c r="AP602" i="2" s="1"/>
  <c r="BF601" i="2"/>
  <c r="AU601" i="2"/>
  <c r="AS601" i="2"/>
  <c r="AT601" i="2" s="1"/>
  <c r="AR601" i="2"/>
  <c r="AQ601" i="2"/>
  <c r="AP601" i="2"/>
  <c r="AA601" i="2"/>
  <c r="AO601" i="2" s="1"/>
  <c r="Z601" i="2"/>
  <c r="W601" i="2"/>
  <c r="V601" i="2"/>
  <c r="U601" i="2"/>
  <c r="X601" i="2" s="1"/>
  <c r="T601" i="2"/>
  <c r="S601" i="2"/>
  <c r="R601" i="2"/>
  <c r="M601" i="2"/>
  <c r="J601" i="2" s="1"/>
  <c r="BF600" i="2"/>
  <c r="AV600" i="2"/>
  <c r="AW600" i="2" s="1"/>
  <c r="AX600" i="2" s="1"/>
  <c r="AS600" i="2"/>
  <c r="AT600" i="2" s="1"/>
  <c r="AU600" i="2" s="1"/>
  <c r="AR600" i="2"/>
  <c r="AQ600" i="2"/>
  <c r="AA600" i="2"/>
  <c r="Z600" i="2"/>
  <c r="X600" i="2"/>
  <c r="W600" i="2"/>
  <c r="V600" i="2"/>
  <c r="U600" i="2"/>
  <c r="T600" i="2"/>
  <c r="S600" i="2"/>
  <c r="R600" i="2"/>
  <c r="M600" i="2"/>
  <c r="J600" i="2" s="1"/>
  <c r="BF599" i="2"/>
  <c r="AR599" i="2"/>
  <c r="AS599" i="2" s="1"/>
  <c r="AQ599" i="2"/>
  <c r="AA599" i="2"/>
  <c r="Z599" i="2"/>
  <c r="X599" i="2"/>
  <c r="V599" i="2"/>
  <c r="U599" i="2"/>
  <c r="T599" i="2"/>
  <c r="S599" i="2"/>
  <c r="R599" i="2"/>
  <c r="M599" i="2"/>
  <c r="J599" i="2"/>
  <c r="AO599" i="2" s="1"/>
  <c r="BF598" i="2"/>
  <c r="AR598" i="2"/>
  <c r="AQ598" i="2"/>
  <c r="AA598" i="2"/>
  <c r="Z598" i="2"/>
  <c r="V598" i="2"/>
  <c r="U598" i="2"/>
  <c r="T598" i="2"/>
  <c r="S598" i="2"/>
  <c r="R598" i="2"/>
  <c r="M598" i="2"/>
  <c r="J598" i="2" s="1"/>
  <c r="AO598" i="2" s="1"/>
  <c r="BF597" i="2"/>
  <c r="AT597" i="2"/>
  <c r="AU597" i="2" s="1"/>
  <c r="AV597" i="2" s="1"/>
  <c r="AS597" i="2"/>
  <c r="AR597" i="2"/>
  <c r="AQ597" i="2"/>
  <c r="AA597" i="2"/>
  <c r="AO597" i="2" s="1"/>
  <c r="Z597" i="2"/>
  <c r="V597" i="2"/>
  <c r="U597" i="2"/>
  <c r="X597" i="2" s="1"/>
  <c r="T597" i="2"/>
  <c r="S597" i="2"/>
  <c r="R597" i="2"/>
  <c r="M597" i="2"/>
  <c r="J597" i="2" s="1"/>
  <c r="AP597" i="2" s="1"/>
  <c r="BF596" i="2"/>
  <c r="AS596" i="2"/>
  <c r="AR596" i="2"/>
  <c r="AQ596" i="2"/>
  <c r="AA596" i="2"/>
  <c r="Z596" i="2"/>
  <c r="V596" i="2"/>
  <c r="U596" i="2"/>
  <c r="T596" i="2"/>
  <c r="S596" i="2"/>
  <c r="R596" i="2"/>
  <c r="M596" i="2"/>
  <c r="J596" i="2"/>
  <c r="BF595" i="2"/>
  <c r="AT595" i="2"/>
  <c r="AU595" i="2" s="1"/>
  <c r="AV595" i="2" s="1"/>
  <c r="AR595" i="2"/>
  <c r="AS595" i="2" s="1"/>
  <c r="AQ595" i="2"/>
  <c r="AA595" i="2"/>
  <c r="Z595" i="2"/>
  <c r="X595" i="2"/>
  <c r="V595" i="2"/>
  <c r="U595" i="2"/>
  <c r="W595" i="2" s="1"/>
  <c r="T595" i="2"/>
  <c r="S595" i="2"/>
  <c r="R595" i="2"/>
  <c r="M595" i="2"/>
  <c r="J595" i="2"/>
  <c r="BF594" i="2"/>
  <c r="AS594" i="2"/>
  <c r="AT594" i="2" s="1"/>
  <c r="AU594" i="2" s="1"/>
  <c r="AV594" i="2" s="1"/>
  <c r="AR594" i="2"/>
  <c r="AQ594" i="2"/>
  <c r="AA594" i="2"/>
  <c r="Z594" i="2"/>
  <c r="V594" i="2"/>
  <c r="U594" i="2"/>
  <c r="X594" i="2" s="1"/>
  <c r="T594" i="2"/>
  <c r="S594" i="2"/>
  <c r="R594" i="2"/>
  <c r="M594" i="2"/>
  <c r="J594" i="2" s="1"/>
  <c r="BF593" i="2"/>
  <c r="AU593" i="2"/>
  <c r="AS593" i="2"/>
  <c r="AT593" i="2" s="1"/>
  <c r="AR593" i="2"/>
  <c r="AQ593" i="2"/>
  <c r="AA593" i="2"/>
  <c r="X593" i="2"/>
  <c r="V593" i="2"/>
  <c r="U593" i="2"/>
  <c r="W593" i="2" s="1"/>
  <c r="T593" i="2"/>
  <c r="S593" i="2"/>
  <c r="R593" i="2"/>
  <c r="M593" i="2"/>
  <c r="BF592" i="2"/>
  <c r="AR592" i="2"/>
  <c r="AQ592" i="2"/>
  <c r="AA592" i="2"/>
  <c r="Z592" i="2"/>
  <c r="V592" i="2"/>
  <c r="U592" i="2"/>
  <c r="T592" i="2"/>
  <c r="S592" i="2"/>
  <c r="R592" i="2"/>
  <c r="M592" i="2"/>
  <c r="J592" i="2" s="1"/>
  <c r="BF591" i="2"/>
  <c r="AR591" i="2"/>
  <c r="AS591" i="2" s="1"/>
  <c r="AQ591" i="2"/>
  <c r="AO591" i="2"/>
  <c r="AA591" i="2"/>
  <c r="Z591" i="2"/>
  <c r="X591" i="2"/>
  <c r="W591" i="2"/>
  <c r="V591" i="2"/>
  <c r="U591" i="2"/>
  <c r="T591" i="2"/>
  <c r="S591" i="2"/>
  <c r="R591" i="2"/>
  <c r="M591" i="2"/>
  <c r="J591" i="2" s="1"/>
  <c r="BF590" i="2"/>
  <c r="AS590" i="2"/>
  <c r="AT590" i="2" s="1"/>
  <c r="AU590" i="2" s="1"/>
  <c r="AV590" i="2" s="1"/>
  <c r="AR590" i="2"/>
  <c r="AW590" i="2" s="1"/>
  <c r="AX590" i="2" s="1"/>
  <c r="AQ590" i="2"/>
  <c r="AP590" i="2"/>
  <c r="AO590" i="2"/>
  <c r="AA590" i="2"/>
  <c r="V590" i="2"/>
  <c r="U590" i="2"/>
  <c r="X590" i="2" s="1"/>
  <c r="T590" i="2"/>
  <c r="S590" i="2"/>
  <c r="R590" i="2"/>
  <c r="M590" i="2"/>
  <c r="J590" i="2" s="1"/>
  <c r="BF589" i="2"/>
  <c r="AS589" i="2"/>
  <c r="AR589" i="2"/>
  <c r="AQ589" i="2"/>
  <c r="AA589" i="2"/>
  <c r="Z589" i="2"/>
  <c r="W589" i="2"/>
  <c r="V589" i="2"/>
  <c r="U589" i="2"/>
  <c r="X589" i="2" s="1"/>
  <c r="T589" i="2"/>
  <c r="S589" i="2"/>
  <c r="R589" i="2"/>
  <c r="M589" i="2"/>
  <c r="J589" i="2"/>
  <c r="AO589" i="2" s="1"/>
  <c r="BF588" i="2"/>
  <c r="AW588" i="2"/>
  <c r="AX588" i="2" s="1"/>
  <c r="AS588" i="2"/>
  <c r="AT588" i="2" s="1"/>
  <c r="AU588" i="2" s="1"/>
  <c r="AV588" i="2" s="1"/>
  <c r="AR588" i="2"/>
  <c r="AQ588" i="2"/>
  <c r="AA588" i="2"/>
  <c r="AO588" i="2" s="1"/>
  <c r="Z588" i="2"/>
  <c r="V588" i="2"/>
  <c r="U588" i="2"/>
  <c r="AP588" i="2" s="1"/>
  <c r="T588" i="2"/>
  <c r="S588" i="2"/>
  <c r="R588" i="2"/>
  <c r="M588" i="2"/>
  <c r="J588" i="2"/>
  <c r="BF587" i="2"/>
  <c r="AR587" i="2"/>
  <c r="AQ587" i="2"/>
  <c r="AA587" i="2"/>
  <c r="AO587" i="2" s="1"/>
  <c r="X587" i="2"/>
  <c r="V587" i="2"/>
  <c r="W587" i="2" s="1"/>
  <c r="U587" i="2"/>
  <c r="T587" i="2"/>
  <c r="S587" i="2"/>
  <c r="R587" i="2"/>
  <c r="M587" i="2"/>
  <c r="Z587" i="2" s="1"/>
  <c r="J587" i="2"/>
  <c r="AP587" i="2" s="1"/>
  <c r="BF586" i="2"/>
  <c r="AR586" i="2"/>
  <c r="AQ586" i="2"/>
  <c r="AP586" i="2"/>
  <c r="AA586" i="2"/>
  <c r="V586" i="2"/>
  <c r="U586" i="2"/>
  <c r="X586" i="2" s="1"/>
  <c r="T586" i="2"/>
  <c r="S586" i="2"/>
  <c r="R586" i="2"/>
  <c r="M586" i="2"/>
  <c r="Z586" i="2" s="1"/>
  <c r="J586" i="2"/>
  <c r="BF585" i="2"/>
  <c r="AS585" i="2"/>
  <c r="AT585" i="2" s="1"/>
  <c r="AR585" i="2"/>
  <c r="AQ585" i="2"/>
  <c r="AA585" i="2"/>
  <c r="V585" i="2"/>
  <c r="U585" i="2"/>
  <c r="X585" i="2" s="1"/>
  <c r="T585" i="2"/>
  <c r="S585" i="2"/>
  <c r="R585" i="2"/>
  <c r="M585" i="2"/>
  <c r="BF584" i="2"/>
  <c r="AR584" i="2"/>
  <c r="AQ584" i="2"/>
  <c r="AA584" i="2"/>
  <c r="AO584" i="2" s="1"/>
  <c r="X584" i="2"/>
  <c r="V584" i="2"/>
  <c r="W584" i="2" s="1"/>
  <c r="U584" i="2"/>
  <c r="T584" i="2"/>
  <c r="S584" i="2"/>
  <c r="R584" i="2"/>
  <c r="M584" i="2"/>
  <c r="Z584" i="2" s="1"/>
  <c r="J584" i="2"/>
  <c r="AP584" i="2" s="1"/>
  <c r="BF583" i="2"/>
  <c r="AR583" i="2"/>
  <c r="AQ583" i="2"/>
  <c r="AP583" i="2"/>
  <c r="AA583" i="2"/>
  <c r="V583" i="2"/>
  <c r="U583" i="2"/>
  <c r="AO583" i="2" s="1"/>
  <c r="T583" i="2"/>
  <c r="S583" i="2"/>
  <c r="R583" i="2"/>
  <c r="M583" i="2"/>
  <c r="Z583" i="2" s="1"/>
  <c r="J583" i="2"/>
  <c r="BF582" i="2"/>
  <c r="AR582" i="2"/>
  <c r="AS582" i="2" s="1"/>
  <c r="AT582" i="2" s="1"/>
  <c r="AU582" i="2" s="1"/>
  <c r="AV582" i="2" s="1"/>
  <c r="AQ582" i="2"/>
  <c r="AP582" i="2"/>
  <c r="AA582" i="2"/>
  <c r="AO582" i="2" s="1"/>
  <c r="Z582" i="2"/>
  <c r="V582" i="2"/>
  <c r="U582" i="2"/>
  <c r="X582" i="2" s="1"/>
  <c r="T582" i="2"/>
  <c r="S582" i="2"/>
  <c r="R582" i="2"/>
  <c r="M582" i="2"/>
  <c r="J582" i="2"/>
  <c r="BF581" i="2"/>
  <c r="AT581" i="2"/>
  <c r="AS581" i="2"/>
  <c r="AR581" i="2"/>
  <c r="AQ581" i="2"/>
  <c r="AA581" i="2"/>
  <c r="X581" i="2"/>
  <c r="V581" i="2"/>
  <c r="U581" i="2"/>
  <c r="W581" i="2" s="1"/>
  <c r="T581" i="2"/>
  <c r="S581" i="2"/>
  <c r="R581" i="2"/>
  <c r="M581" i="2"/>
  <c r="Z581" i="2" s="1"/>
  <c r="BF580" i="2"/>
  <c r="AR580" i="2"/>
  <c r="AQ580" i="2"/>
  <c r="AA580" i="2"/>
  <c r="Z580" i="2"/>
  <c r="X580" i="2"/>
  <c r="V580" i="2"/>
  <c r="W580" i="2" s="1"/>
  <c r="U580" i="2"/>
  <c r="T580" i="2"/>
  <c r="S580" i="2"/>
  <c r="R580" i="2"/>
  <c r="M580" i="2"/>
  <c r="J580" i="2"/>
  <c r="BF579" i="2"/>
  <c r="AR579" i="2"/>
  <c r="AQ579" i="2"/>
  <c r="AP579" i="2"/>
  <c r="AA579" i="2"/>
  <c r="Z579" i="2"/>
  <c r="V579" i="2"/>
  <c r="U579" i="2"/>
  <c r="T579" i="2"/>
  <c r="S579" i="2"/>
  <c r="R579" i="2"/>
  <c r="M579" i="2"/>
  <c r="J579" i="2"/>
  <c r="BF578" i="2"/>
  <c r="AR578" i="2"/>
  <c r="AS578" i="2" s="1"/>
  <c r="AT578" i="2" s="1"/>
  <c r="AU578" i="2" s="1"/>
  <c r="AV578" i="2" s="1"/>
  <c r="AQ578" i="2"/>
  <c r="AA578" i="2"/>
  <c r="V578" i="2"/>
  <c r="U578" i="2"/>
  <c r="X578" i="2" s="1"/>
  <c r="T578" i="2"/>
  <c r="S578" i="2"/>
  <c r="R578" i="2"/>
  <c r="M578" i="2"/>
  <c r="Z578" i="2" s="1"/>
  <c r="BF577" i="2"/>
  <c r="AV577" i="2"/>
  <c r="AU577" i="2"/>
  <c r="AT577" i="2"/>
  <c r="AR577" i="2"/>
  <c r="AS577" i="2" s="1"/>
  <c r="AQ577" i="2"/>
  <c r="AP577" i="2"/>
  <c r="AO577" i="2"/>
  <c r="AA577" i="2"/>
  <c r="Z577" i="2"/>
  <c r="X577" i="2"/>
  <c r="V577" i="2"/>
  <c r="U577" i="2"/>
  <c r="W577" i="2" s="1"/>
  <c r="T577" i="2"/>
  <c r="S577" i="2"/>
  <c r="R577" i="2"/>
  <c r="M577" i="2"/>
  <c r="J577" i="2"/>
  <c r="BF576" i="2"/>
  <c r="AR576" i="2"/>
  <c r="AQ576" i="2"/>
  <c r="AA576" i="2"/>
  <c r="X576" i="2"/>
  <c r="V576" i="2"/>
  <c r="W576" i="2" s="1"/>
  <c r="U576" i="2"/>
  <c r="T576" i="2"/>
  <c r="S576" i="2"/>
  <c r="R576" i="2"/>
  <c r="M576" i="2"/>
  <c r="Z576" i="2" s="1"/>
  <c r="BF575" i="2"/>
  <c r="AR575" i="2"/>
  <c r="AQ575" i="2"/>
  <c r="AP575" i="2"/>
  <c r="AA575" i="2"/>
  <c r="V575" i="2"/>
  <c r="U575" i="2"/>
  <c r="T575" i="2"/>
  <c r="S575" i="2"/>
  <c r="R575" i="2"/>
  <c r="M575" i="2"/>
  <c r="Z575" i="2" s="1"/>
  <c r="J575" i="2"/>
  <c r="BF574" i="2"/>
  <c r="AR574" i="2"/>
  <c r="AQ574" i="2"/>
  <c r="AP574" i="2"/>
  <c r="AA574" i="2"/>
  <c r="AO574" i="2" s="1"/>
  <c r="Z574" i="2"/>
  <c r="V574" i="2"/>
  <c r="U574" i="2"/>
  <c r="X574" i="2" s="1"/>
  <c r="T574" i="2"/>
  <c r="S574" i="2"/>
  <c r="R574" i="2"/>
  <c r="M574" i="2"/>
  <c r="J574" i="2"/>
  <c r="BF573" i="2"/>
  <c r="AT573" i="2"/>
  <c r="AS573" i="2"/>
  <c r="AR573" i="2"/>
  <c r="AQ573" i="2"/>
  <c r="AA573" i="2"/>
  <c r="AO573" i="2" s="1"/>
  <c r="X573" i="2"/>
  <c r="V573" i="2"/>
  <c r="U573" i="2"/>
  <c r="W573" i="2" s="1"/>
  <c r="T573" i="2"/>
  <c r="S573" i="2"/>
  <c r="R573" i="2"/>
  <c r="M573" i="2"/>
  <c r="Z573" i="2" s="1"/>
  <c r="J573" i="2"/>
  <c r="AP573" i="2" s="1"/>
  <c r="BF572" i="2"/>
  <c r="AS572" i="2"/>
  <c r="AT572" i="2" s="1"/>
  <c r="AU572" i="2" s="1"/>
  <c r="AV572" i="2" s="1"/>
  <c r="AR572" i="2"/>
  <c r="AQ572" i="2"/>
  <c r="AA572" i="2"/>
  <c r="X572" i="2"/>
  <c r="V572" i="2"/>
  <c r="W572" i="2" s="1"/>
  <c r="U572" i="2"/>
  <c r="T572" i="2"/>
  <c r="S572" i="2"/>
  <c r="R572" i="2"/>
  <c r="M572" i="2"/>
  <c r="BF571" i="2"/>
  <c r="AR571" i="2"/>
  <c r="AQ571" i="2"/>
  <c r="AA571" i="2"/>
  <c r="Z571" i="2"/>
  <c r="V571" i="2"/>
  <c r="U571" i="2"/>
  <c r="T571" i="2"/>
  <c r="S571" i="2"/>
  <c r="R571" i="2"/>
  <c r="M571" i="2"/>
  <c r="J571" i="2"/>
  <c r="BF570" i="2"/>
  <c r="AR570" i="2"/>
  <c r="AS570" i="2" s="1"/>
  <c r="AT570" i="2" s="1"/>
  <c r="AU570" i="2" s="1"/>
  <c r="AV570" i="2" s="1"/>
  <c r="AQ570" i="2"/>
  <c r="AA570" i="2"/>
  <c r="V570" i="2"/>
  <c r="U570" i="2"/>
  <c r="T570" i="2"/>
  <c r="S570" i="2"/>
  <c r="R570" i="2"/>
  <c r="M570" i="2"/>
  <c r="Z570" i="2" s="1"/>
  <c r="BF569" i="2"/>
  <c r="AT569" i="2"/>
  <c r="AU569" i="2" s="1"/>
  <c r="AV569" i="2" s="1"/>
  <c r="AR569" i="2"/>
  <c r="AS569" i="2" s="1"/>
  <c r="AW569" i="2" s="1"/>
  <c r="AX569" i="2" s="1"/>
  <c r="AQ569" i="2"/>
  <c r="AA569" i="2"/>
  <c r="AO569" i="2" s="1"/>
  <c r="Z569" i="2"/>
  <c r="X569" i="2"/>
  <c r="V569" i="2"/>
  <c r="U569" i="2"/>
  <c r="W569" i="2" s="1"/>
  <c r="T569" i="2"/>
  <c r="S569" i="2"/>
  <c r="R569" i="2"/>
  <c r="M569" i="2"/>
  <c r="J569" i="2"/>
  <c r="AP569" i="2" s="1"/>
  <c r="BF568" i="2"/>
  <c r="AR568" i="2"/>
  <c r="AQ568" i="2"/>
  <c r="AA568" i="2"/>
  <c r="AO568" i="2" s="1"/>
  <c r="Z568" i="2"/>
  <c r="X568" i="2"/>
  <c r="V568" i="2"/>
  <c r="W568" i="2" s="1"/>
  <c r="U568" i="2"/>
  <c r="T568" i="2"/>
  <c r="S568" i="2"/>
  <c r="R568" i="2"/>
  <c r="M568" i="2"/>
  <c r="J568" i="2" s="1"/>
  <c r="AP568" i="2" s="1"/>
  <c r="BF567" i="2"/>
  <c r="AS567" i="2"/>
  <c r="AT567" i="2" s="1"/>
  <c r="AU567" i="2" s="1"/>
  <c r="AV567" i="2" s="1"/>
  <c r="AR567" i="2"/>
  <c r="AQ567" i="2"/>
  <c r="AA567" i="2"/>
  <c r="X567" i="2"/>
  <c r="V567" i="2"/>
  <c r="U567" i="2"/>
  <c r="AO567" i="2" s="1"/>
  <c r="T567" i="2"/>
  <c r="S567" i="2"/>
  <c r="R567" i="2"/>
  <c r="M567" i="2"/>
  <c r="Z567" i="2" s="1"/>
  <c r="J567" i="2"/>
  <c r="BF566" i="2"/>
  <c r="AR566" i="2"/>
  <c r="AS566" i="2" s="1"/>
  <c r="AT566" i="2" s="1"/>
  <c r="AU566" i="2" s="1"/>
  <c r="AV566" i="2" s="1"/>
  <c r="AQ566" i="2"/>
  <c r="AA566" i="2"/>
  <c r="Z566" i="2"/>
  <c r="V566" i="2"/>
  <c r="U566" i="2"/>
  <c r="X566" i="2" s="1"/>
  <c r="T566" i="2"/>
  <c r="S566" i="2"/>
  <c r="R566" i="2"/>
  <c r="M566" i="2"/>
  <c r="J566" i="2"/>
  <c r="BF565" i="2"/>
  <c r="AT565" i="2"/>
  <c r="AU565" i="2" s="1"/>
  <c r="AV565" i="2" s="1"/>
  <c r="AS565" i="2"/>
  <c r="AR565" i="2"/>
  <c r="AQ565" i="2"/>
  <c r="AO565" i="2"/>
  <c r="AA565" i="2"/>
  <c r="Z565" i="2"/>
  <c r="X565" i="2"/>
  <c r="V565" i="2"/>
  <c r="U565" i="2"/>
  <c r="W565" i="2" s="1"/>
  <c r="T565" i="2"/>
  <c r="S565" i="2"/>
  <c r="R565" i="2"/>
  <c r="M565" i="2"/>
  <c r="J565" i="2"/>
  <c r="AP565" i="2" s="1"/>
  <c r="BF564" i="2"/>
  <c r="AT564" i="2"/>
  <c r="AU564" i="2" s="1"/>
  <c r="AV564" i="2" s="1"/>
  <c r="AS564" i="2"/>
  <c r="AW564" i="2" s="1"/>
  <c r="AX564" i="2" s="1"/>
  <c r="AR564" i="2"/>
  <c r="AQ564" i="2"/>
  <c r="AA564" i="2"/>
  <c r="Z564" i="2"/>
  <c r="X564" i="2"/>
  <c r="V564" i="2"/>
  <c r="W564" i="2" s="1"/>
  <c r="U564" i="2"/>
  <c r="T564" i="2"/>
  <c r="S564" i="2"/>
  <c r="R564" i="2"/>
  <c r="M564" i="2"/>
  <c r="J564" i="2"/>
  <c r="BF563" i="2"/>
  <c r="AR563" i="2"/>
  <c r="AQ563" i="2"/>
  <c r="AP563" i="2"/>
  <c r="AO563" i="2"/>
  <c r="AA563" i="2"/>
  <c r="Z563" i="2"/>
  <c r="V563" i="2"/>
  <c r="U563" i="2"/>
  <c r="X563" i="2" s="1"/>
  <c r="T563" i="2"/>
  <c r="S563" i="2"/>
  <c r="R563" i="2"/>
  <c r="M563" i="2"/>
  <c r="J563" i="2"/>
  <c r="BF562" i="2"/>
  <c r="AS562" i="2"/>
  <c r="AR562" i="2"/>
  <c r="AQ562" i="2"/>
  <c r="AA562" i="2"/>
  <c r="AO562" i="2" s="1"/>
  <c r="V562" i="2"/>
  <c r="U562" i="2"/>
  <c r="T562" i="2"/>
  <c r="S562" i="2"/>
  <c r="R562" i="2"/>
  <c r="M562" i="2"/>
  <c r="Z562" i="2" s="1"/>
  <c r="J562" i="2"/>
  <c r="AP562" i="2" s="1"/>
  <c r="BF561" i="2"/>
  <c r="AR561" i="2"/>
  <c r="AS561" i="2" s="1"/>
  <c r="AT561" i="2" s="1"/>
  <c r="AU561" i="2" s="1"/>
  <c r="AV561" i="2" s="1"/>
  <c r="AQ561" i="2"/>
  <c r="AA561" i="2"/>
  <c r="V561" i="2"/>
  <c r="U561" i="2"/>
  <c r="AP561" i="2" s="1"/>
  <c r="T561" i="2"/>
  <c r="S561" i="2"/>
  <c r="R561" i="2"/>
  <c r="M561" i="2"/>
  <c r="J561" i="2" s="1"/>
  <c r="BF560" i="2"/>
  <c r="AS560" i="2"/>
  <c r="AT560" i="2" s="1"/>
  <c r="AU560" i="2" s="1"/>
  <c r="AV560" i="2" s="1"/>
  <c r="AR560" i="2"/>
  <c r="AQ560" i="2"/>
  <c r="AP560" i="2"/>
  <c r="AA560" i="2"/>
  <c r="AO560" i="2" s="1"/>
  <c r="Z560" i="2"/>
  <c r="X560" i="2"/>
  <c r="W560" i="2"/>
  <c r="V560" i="2"/>
  <c r="U560" i="2"/>
  <c r="T560" i="2"/>
  <c r="S560" i="2"/>
  <c r="R560" i="2"/>
  <c r="M560" i="2"/>
  <c r="J560" i="2"/>
  <c r="BF559" i="2"/>
  <c r="AW559" i="2"/>
  <c r="AX559" i="2" s="1"/>
  <c r="AR559" i="2"/>
  <c r="AS559" i="2" s="1"/>
  <c r="AT559" i="2" s="1"/>
  <c r="AU559" i="2" s="1"/>
  <c r="AV559" i="2" s="1"/>
  <c r="AQ559" i="2"/>
  <c r="AA559" i="2"/>
  <c r="V559" i="2"/>
  <c r="U559" i="2"/>
  <c r="T559" i="2"/>
  <c r="S559" i="2"/>
  <c r="R559" i="2"/>
  <c r="M559" i="2"/>
  <c r="BF558" i="2"/>
  <c r="AR558" i="2"/>
  <c r="AQ558" i="2"/>
  <c r="AA558" i="2"/>
  <c r="Z558" i="2"/>
  <c r="V558" i="2"/>
  <c r="U558" i="2"/>
  <c r="T558" i="2"/>
  <c r="S558" i="2"/>
  <c r="R558" i="2"/>
  <c r="M558" i="2"/>
  <c r="J558" i="2"/>
  <c r="BF557" i="2"/>
  <c r="AR557" i="2"/>
  <c r="AS557" i="2" s="1"/>
  <c r="AT557" i="2" s="1"/>
  <c r="AU557" i="2" s="1"/>
  <c r="AV557" i="2" s="1"/>
  <c r="AQ557" i="2"/>
  <c r="AO557" i="2"/>
  <c r="AA557" i="2"/>
  <c r="Z557" i="2"/>
  <c r="X557" i="2"/>
  <c r="V557" i="2"/>
  <c r="U557" i="2"/>
  <c r="W557" i="2" s="1"/>
  <c r="T557" i="2"/>
  <c r="S557" i="2"/>
  <c r="R557" i="2"/>
  <c r="M557" i="2"/>
  <c r="J557" i="2"/>
  <c r="AP557" i="2" s="1"/>
  <c r="BF556" i="2"/>
  <c r="AT556" i="2"/>
  <c r="AU556" i="2" s="1"/>
  <c r="AV556" i="2" s="1"/>
  <c r="AS556" i="2"/>
  <c r="AR556" i="2"/>
  <c r="AQ556" i="2"/>
  <c r="AA556" i="2"/>
  <c r="Z556" i="2"/>
  <c r="X556" i="2"/>
  <c r="W556" i="2"/>
  <c r="V556" i="2"/>
  <c r="U556" i="2"/>
  <c r="T556" i="2"/>
  <c r="S556" i="2"/>
  <c r="R556" i="2"/>
  <c r="M556" i="2"/>
  <c r="J556" i="2" s="1"/>
  <c r="AP556" i="2" s="1"/>
  <c r="BF555" i="2"/>
  <c r="AR555" i="2"/>
  <c r="AQ555" i="2"/>
  <c r="AP555" i="2"/>
  <c r="AO555" i="2"/>
  <c r="AA555" i="2"/>
  <c r="Z555" i="2"/>
  <c r="X555" i="2"/>
  <c r="V555" i="2"/>
  <c r="U555" i="2"/>
  <c r="W555" i="2" s="1"/>
  <c r="T555" i="2"/>
  <c r="S555" i="2"/>
  <c r="R555" i="2"/>
  <c r="M555" i="2"/>
  <c r="J555" i="2"/>
  <c r="BF554" i="2"/>
  <c r="AR554" i="2"/>
  <c r="AS554" i="2" s="1"/>
  <c r="AT554" i="2" s="1"/>
  <c r="AU554" i="2" s="1"/>
  <c r="AV554" i="2" s="1"/>
  <c r="AQ554" i="2"/>
  <c r="AO554" i="2"/>
  <c r="AA554" i="2"/>
  <c r="Z554" i="2"/>
  <c r="X554" i="2"/>
  <c r="V554" i="2"/>
  <c r="U554" i="2"/>
  <c r="W554" i="2" s="1"/>
  <c r="T554" i="2"/>
  <c r="S554" i="2"/>
  <c r="R554" i="2"/>
  <c r="M554" i="2"/>
  <c r="J554" i="2" s="1"/>
  <c r="AP554" i="2" s="1"/>
  <c r="BF553" i="2"/>
  <c r="AT553" i="2"/>
  <c r="AU553" i="2" s="1"/>
  <c r="AR553" i="2"/>
  <c r="AS553" i="2" s="1"/>
  <c r="AQ553" i="2"/>
  <c r="AA553" i="2"/>
  <c r="Z553" i="2"/>
  <c r="V553" i="2"/>
  <c r="U553" i="2"/>
  <c r="T553" i="2"/>
  <c r="S553" i="2"/>
  <c r="R553" i="2"/>
  <c r="M553" i="2"/>
  <c r="J553" i="2"/>
  <c r="BF552" i="2"/>
  <c r="AR552" i="2"/>
  <c r="AQ552" i="2"/>
  <c r="AA552" i="2"/>
  <c r="X552" i="2"/>
  <c r="W552" i="2"/>
  <c r="V552" i="2"/>
  <c r="U552" i="2"/>
  <c r="T552" i="2"/>
  <c r="S552" i="2"/>
  <c r="R552" i="2"/>
  <c r="M552" i="2"/>
  <c r="Z552" i="2" s="1"/>
  <c r="BF551" i="2"/>
  <c r="AR551" i="2"/>
  <c r="AS551" i="2" s="1"/>
  <c r="AQ551" i="2"/>
  <c r="AA551" i="2"/>
  <c r="X551" i="2"/>
  <c r="V551" i="2"/>
  <c r="U551" i="2"/>
  <c r="T551" i="2"/>
  <c r="S551" i="2"/>
  <c r="R551" i="2"/>
  <c r="M551" i="2"/>
  <c r="Z551" i="2" s="1"/>
  <c r="BF550" i="2"/>
  <c r="AT550" i="2"/>
  <c r="AU550" i="2" s="1"/>
  <c r="AV550" i="2" s="1"/>
  <c r="AR550" i="2"/>
  <c r="AS550" i="2" s="1"/>
  <c r="AQ550" i="2"/>
  <c r="AA550" i="2"/>
  <c r="Z550" i="2"/>
  <c r="V550" i="2"/>
  <c r="U550" i="2"/>
  <c r="T550" i="2"/>
  <c r="S550" i="2"/>
  <c r="R550" i="2"/>
  <c r="M550" i="2"/>
  <c r="J550" i="2"/>
  <c r="BF549" i="2"/>
  <c r="AT549" i="2"/>
  <c r="AU549" i="2" s="1"/>
  <c r="AV549" i="2" s="1"/>
  <c r="AS549" i="2"/>
  <c r="AW549" i="2" s="1"/>
  <c r="AX549" i="2" s="1"/>
  <c r="AR549" i="2"/>
  <c r="AQ549" i="2"/>
  <c r="AO549" i="2"/>
  <c r="AA549" i="2"/>
  <c r="Z549" i="2"/>
  <c r="X549" i="2"/>
  <c r="V549" i="2"/>
  <c r="U549" i="2"/>
  <c r="W549" i="2" s="1"/>
  <c r="T549" i="2"/>
  <c r="S549" i="2"/>
  <c r="R549" i="2"/>
  <c r="M549" i="2"/>
  <c r="J549" i="2" s="1"/>
  <c r="AP549" i="2" s="1"/>
  <c r="BF548" i="2"/>
  <c r="AR548" i="2"/>
  <c r="AQ548" i="2"/>
  <c r="AA548" i="2"/>
  <c r="Z548" i="2"/>
  <c r="X548" i="2"/>
  <c r="V548" i="2"/>
  <c r="W548" i="2" s="1"/>
  <c r="U548" i="2"/>
  <c r="T548" i="2"/>
  <c r="S548" i="2"/>
  <c r="R548" i="2"/>
  <c r="M548" i="2"/>
  <c r="J548" i="2"/>
  <c r="BF547" i="2"/>
  <c r="AR547" i="2"/>
  <c r="AQ547" i="2"/>
  <c r="AA547" i="2"/>
  <c r="Z547" i="2"/>
  <c r="X547" i="2"/>
  <c r="W547" i="2"/>
  <c r="V547" i="2"/>
  <c r="U547" i="2"/>
  <c r="AO547" i="2" s="1"/>
  <c r="T547" i="2"/>
  <c r="S547" i="2"/>
  <c r="R547" i="2"/>
  <c r="M547" i="2"/>
  <c r="J547" i="2"/>
  <c r="AP547" i="2" s="1"/>
  <c r="BF546" i="2"/>
  <c r="AR546" i="2"/>
  <c r="AQ546" i="2"/>
  <c r="AA546" i="2"/>
  <c r="V546" i="2"/>
  <c r="U546" i="2"/>
  <c r="T546" i="2"/>
  <c r="S546" i="2"/>
  <c r="R546" i="2"/>
  <c r="M546" i="2"/>
  <c r="Z546" i="2" s="1"/>
  <c r="BF545" i="2"/>
  <c r="AR545" i="2"/>
  <c r="AS545" i="2" s="1"/>
  <c r="AT545" i="2" s="1"/>
  <c r="AU545" i="2" s="1"/>
  <c r="AV545" i="2" s="1"/>
  <c r="AQ545" i="2"/>
  <c r="AA545" i="2"/>
  <c r="AO545" i="2" s="1"/>
  <c r="V545" i="2"/>
  <c r="U545" i="2"/>
  <c r="X545" i="2" s="1"/>
  <c r="T545" i="2"/>
  <c r="S545" i="2"/>
  <c r="R545" i="2"/>
  <c r="M545" i="2"/>
  <c r="J545" i="2" s="1"/>
  <c r="AP545" i="2" s="1"/>
  <c r="BF544" i="2"/>
  <c r="AR544" i="2"/>
  <c r="AQ544" i="2"/>
  <c r="AA544" i="2"/>
  <c r="X544" i="2"/>
  <c r="V544" i="2"/>
  <c r="W544" i="2" s="1"/>
  <c r="U544" i="2"/>
  <c r="T544" i="2"/>
  <c r="S544" i="2"/>
  <c r="R544" i="2"/>
  <c r="M544" i="2"/>
  <c r="Z544" i="2" s="1"/>
  <c r="BF543" i="2"/>
  <c r="AR543" i="2"/>
  <c r="AQ543" i="2"/>
  <c r="AP543" i="2"/>
  <c r="AA543" i="2"/>
  <c r="V543" i="2"/>
  <c r="U543" i="2"/>
  <c r="T543" i="2"/>
  <c r="S543" i="2"/>
  <c r="R543" i="2"/>
  <c r="M543" i="2"/>
  <c r="Z543" i="2" s="1"/>
  <c r="J543" i="2"/>
  <c r="BF542" i="2"/>
  <c r="AR542" i="2"/>
  <c r="AQ542" i="2"/>
  <c r="AA542" i="2"/>
  <c r="AO542" i="2" s="1"/>
  <c r="Z542" i="2"/>
  <c r="X542" i="2"/>
  <c r="V542" i="2"/>
  <c r="W542" i="2" s="1"/>
  <c r="U542" i="2"/>
  <c r="T542" i="2"/>
  <c r="S542" i="2"/>
  <c r="R542" i="2"/>
  <c r="M542" i="2"/>
  <c r="J542" i="2"/>
  <c r="AP542" i="2" s="1"/>
  <c r="BF541" i="2"/>
  <c r="AR541" i="2"/>
  <c r="AQ541" i="2"/>
  <c r="AP541" i="2"/>
  <c r="AA541" i="2"/>
  <c r="AO541" i="2" s="1"/>
  <c r="Z541" i="2"/>
  <c r="X541" i="2"/>
  <c r="V541" i="2"/>
  <c r="U541" i="2"/>
  <c r="W541" i="2" s="1"/>
  <c r="T541" i="2"/>
  <c r="S541" i="2"/>
  <c r="R541" i="2"/>
  <c r="M541" i="2"/>
  <c r="J541" i="2" s="1"/>
  <c r="BF540" i="2"/>
  <c r="AU540" i="2"/>
  <c r="AV540" i="2" s="1"/>
  <c r="AR540" i="2"/>
  <c r="AS540" i="2" s="1"/>
  <c r="AT540" i="2" s="1"/>
  <c r="AQ540" i="2"/>
  <c r="AA540" i="2"/>
  <c r="Z540" i="2"/>
  <c r="X540" i="2"/>
  <c r="W540" i="2"/>
  <c r="V540" i="2"/>
  <c r="U540" i="2"/>
  <c r="T540" i="2"/>
  <c r="S540" i="2"/>
  <c r="R540" i="2"/>
  <c r="M540" i="2"/>
  <c r="J540" i="2"/>
  <c r="BF539" i="2"/>
  <c r="AR539" i="2"/>
  <c r="AQ539" i="2"/>
  <c r="AA539" i="2"/>
  <c r="Z539" i="2"/>
  <c r="V539" i="2"/>
  <c r="U539" i="2"/>
  <c r="T539" i="2"/>
  <c r="S539" i="2"/>
  <c r="R539" i="2"/>
  <c r="M539" i="2"/>
  <c r="J539" i="2"/>
  <c r="BF538" i="2"/>
  <c r="AR538" i="2"/>
  <c r="AQ538" i="2"/>
  <c r="AP538" i="2"/>
  <c r="AO538" i="2"/>
  <c r="AA538" i="2"/>
  <c r="V538" i="2"/>
  <c r="U538" i="2"/>
  <c r="W538" i="2" s="1"/>
  <c r="T538" i="2"/>
  <c r="S538" i="2"/>
  <c r="R538" i="2"/>
  <c r="M538" i="2"/>
  <c r="Z538" i="2" s="1"/>
  <c r="J538" i="2"/>
  <c r="BF537" i="2"/>
  <c r="AR537" i="2"/>
  <c r="AQ537" i="2"/>
  <c r="AA537" i="2"/>
  <c r="V537" i="2"/>
  <c r="U537" i="2"/>
  <c r="T537" i="2"/>
  <c r="S537" i="2"/>
  <c r="R537" i="2"/>
  <c r="M537" i="2"/>
  <c r="Z537" i="2" s="1"/>
  <c r="J537" i="2"/>
  <c r="BF536" i="2"/>
  <c r="AV536" i="2"/>
  <c r="AS536" i="2"/>
  <c r="AT536" i="2" s="1"/>
  <c r="AU536" i="2" s="1"/>
  <c r="AR536" i="2"/>
  <c r="AQ536" i="2"/>
  <c r="AP536" i="2"/>
  <c r="AA536" i="2"/>
  <c r="AO536" i="2" s="1"/>
  <c r="Z536" i="2"/>
  <c r="X536" i="2"/>
  <c r="V536" i="2"/>
  <c r="W536" i="2" s="1"/>
  <c r="U536" i="2"/>
  <c r="T536" i="2"/>
  <c r="S536" i="2"/>
  <c r="R536" i="2"/>
  <c r="M536" i="2"/>
  <c r="J536" i="2"/>
  <c r="BF535" i="2"/>
  <c r="AT535" i="2"/>
  <c r="AU535" i="2" s="1"/>
  <c r="AV535" i="2" s="1"/>
  <c r="AS535" i="2"/>
  <c r="AR535" i="2"/>
  <c r="AW535" i="2" s="1"/>
  <c r="AX535" i="2" s="1"/>
  <c r="AQ535" i="2"/>
  <c r="AP535" i="2"/>
  <c r="AA535" i="2"/>
  <c r="X535" i="2"/>
  <c r="V535" i="2"/>
  <c r="W535" i="2" s="1"/>
  <c r="U535" i="2"/>
  <c r="T535" i="2"/>
  <c r="S535" i="2"/>
  <c r="R535" i="2"/>
  <c r="M535" i="2"/>
  <c r="Z535" i="2" s="1"/>
  <c r="J535" i="2"/>
  <c r="BF534" i="2"/>
  <c r="AR534" i="2"/>
  <c r="AQ534" i="2"/>
  <c r="AP534" i="2"/>
  <c r="AA534" i="2"/>
  <c r="AO534" i="2" s="1"/>
  <c r="Z534" i="2"/>
  <c r="W534" i="2"/>
  <c r="V534" i="2"/>
  <c r="U534" i="2"/>
  <c r="X534" i="2" s="1"/>
  <c r="T534" i="2"/>
  <c r="S534" i="2"/>
  <c r="R534" i="2"/>
  <c r="M534" i="2"/>
  <c r="J534" i="2"/>
  <c r="BF533" i="2"/>
  <c r="AR533" i="2"/>
  <c r="AS533" i="2" s="1"/>
  <c r="AQ533" i="2"/>
  <c r="AA533" i="2"/>
  <c r="AO533" i="2" s="1"/>
  <c r="X533" i="2"/>
  <c r="V533" i="2"/>
  <c r="U533" i="2"/>
  <c r="T533" i="2"/>
  <c r="S533" i="2"/>
  <c r="R533" i="2"/>
  <c r="M533" i="2"/>
  <c r="Z533" i="2" s="1"/>
  <c r="J533" i="2"/>
  <c r="AP533" i="2" s="1"/>
  <c r="BF532" i="2"/>
  <c r="AS532" i="2"/>
  <c r="AR532" i="2"/>
  <c r="AQ532" i="2"/>
  <c r="AA532" i="2"/>
  <c r="Z532" i="2"/>
  <c r="V532" i="2"/>
  <c r="U532" i="2"/>
  <c r="T532" i="2"/>
  <c r="S532" i="2"/>
  <c r="R532" i="2"/>
  <c r="M532" i="2"/>
  <c r="J532" i="2" s="1"/>
  <c r="BF531" i="2"/>
  <c r="AT531" i="2"/>
  <c r="AU531" i="2" s="1"/>
  <c r="AV531" i="2" s="1"/>
  <c r="AS531" i="2"/>
  <c r="AR531" i="2"/>
  <c r="AQ531" i="2"/>
  <c r="AP531" i="2"/>
  <c r="AA531" i="2"/>
  <c r="Z531" i="2"/>
  <c r="V531" i="2"/>
  <c r="U531" i="2"/>
  <c r="T531" i="2"/>
  <c r="S531" i="2"/>
  <c r="R531" i="2"/>
  <c r="M531" i="2"/>
  <c r="J531" i="2"/>
  <c r="BF530" i="2"/>
  <c r="AS530" i="2"/>
  <c r="AT530" i="2" s="1"/>
  <c r="AU530" i="2" s="1"/>
  <c r="AV530" i="2" s="1"/>
  <c r="AR530" i="2"/>
  <c r="AQ530" i="2"/>
  <c r="AA530" i="2"/>
  <c r="AO530" i="2" s="1"/>
  <c r="X530" i="2"/>
  <c r="V530" i="2"/>
  <c r="U530" i="2"/>
  <c r="T530" i="2"/>
  <c r="S530" i="2"/>
  <c r="R530" i="2"/>
  <c r="M530" i="2"/>
  <c r="Z530" i="2" s="1"/>
  <c r="J530" i="2"/>
  <c r="AP530" i="2" s="1"/>
  <c r="BF529" i="2"/>
  <c r="AV529" i="2"/>
  <c r="AR529" i="2"/>
  <c r="AS529" i="2" s="1"/>
  <c r="AT529" i="2" s="1"/>
  <c r="AU529" i="2" s="1"/>
  <c r="AQ529" i="2"/>
  <c r="AA529" i="2"/>
  <c r="Z529" i="2"/>
  <c r="V529" i="2"/>
  <c r="U529" i="2"/>
  <c r="T529" i="2"/>
  <c r="S529" i="2"/>
  <c r="R529" i="2"/>
  <c r="M529" i="2"/>
  <c r="J529" i="2" s="1"/>
  <c r="BF528" i="2"/>
  <c r="AR528" i="2"/>
  <c r="AQ528" i="2"/>
  <c r="AA528" i="2"/>
  <c r="AO528" i="2" s="1"/>
  <c r="Z528" i="2"/>
  <c r="X528" i="2"/>
  <c r="V528" i="2"/>
  <c r="W528" i="2" s="1"/>
  <c r="U528" i="2"/>
  <c r="T528" i="2"/>
  <c r="S528" i="2"/>
  <c r="R528" i="2"/>
  <c r="M528" i="2"/>
  <c r="J528" i="2"/>
  <c r="AP528" i="2" s="1"/>
  <c r="BF527" i="2"/>
  <c r="AR527" i="2"/>
  <c r="AS527" i="2" s="1"/>
  <c r="AT527" i="2" s="1"/>
  <c r="AU527" i="2" s="1"/>
  <c r="AV527" i="2" s="1"/>
  <c r="AQ527" i="2"/>
  <c r="AA527" i="2"/>
  <c r="W527" i="2"/>
  <c r="V527" i="2"/>
  <c r="U527" i="2"/>
  <c r="T527" i="2"/>
  <c r="S527" i="2"/>
  <c r="R527" i="2"/>
  <c r="M527" i="2"/>
  <c r="BF526" i="2"/>
  <c r="AR526" i="2"/>
  <c r="AS526" i="2" s="1"/>
  <c r="AT526" i="2" s="1"/>
  <c r="AU526" i="2" s="1"/>
  <c r="AV526" i="2" s="1"/>
  <c r="AQ526" i="2"/>
  <c r="AA526" i="2"/>
  <c r="AO526" i="2" s="1"/>
  <c r="Z526" i="2"/>
  <c r="X526" i="2"/>
  <c r="V526" i="2"/>
  <c r="U526" i="2"/>
  <c r="T526" i="2"/>
  <c r="S526" i="2"/>
  <c r="R526" i="2"/>
  <c r="M526" i="2"/>
  <c r="J526" i="2"/>
  <c r="BF525" i="2"/>
  <c r="AR525" i="2"/>
  <c r="AQ525" i="2"/>
  <c r="AP525" i="2"/>
  <c r="AO525" i="2"/>
  <c r="AA525" i="2"/>
  <c r="Z525" i="2"/>
  <c r="X525" i="2"/>
  <c r="V525" i="2"/>
  <c r="U525" i="2"/>
  <c r="T525" i="2"/>
  <c r="S525" i="2"/>
  <c r="R525" i="2"/>
  <c r="M525" i="2"/>
  <c r="J525" i="2"/>
  <c r="BF524" i="2"/>
  <c r="AR524" i="2"/>
  <c r="AQ524" i="2"/>
  <c r="AA524" i="2"/>
  <c r="Z524" i="2"/>
  <c r="V524" i="2"/>
  <c r="U524" i="2"/>
  <c r="T524" i="2"/>
  <c r="S524" i="2"/>
  <c r="R524" i="2"/>
  <c r="M524" i="2"/>
  <c r="J524" i="2"/>
  <c r="BF523" i="2"/>
  <c r="AS523" i="2"/>
  <c r="AT523" i="2" s="1"/>
  <c r="AU523" i="2" s="1"/>
  <c r="AV523" i="2" s="1"/>
  <c r="AR523" i="2"/>
  <c r="AQ523" i="2"/>
  <c r="AA523" i="2"/>
  <c r="Z523" i="2"/>
  <c r="X523" i="2"/>
  <c r="V523" i="2"/>
  <c r="W523" i="2" s="1"/>
  <c r="U523" i="2"/>
  <c r="T523" i="2"/>
  <c r="S523" i="2"/>
  <c r="R523" i="2"/>
  <c r="M523" i="2"/>
  <c r="J523" i="2"/>
  <c r="AP523" i="2" s="1"/>
  <c r="BF522" i="2"/>
  <c r="AS522" i="2"/>
  <c r="AT522" i="2" s="1"/>
  <c r="AU522" i="2" s="1"/>
  <c r="AV522" i="2" s="1"/>
  <c r="AR522" i="2"/>
  <c r="AW522" i="2" s="1"/>
  <c r="AX522" i="2" s="1"/>
  <c r="AQ522" i="2"/>
  <c r="AA522" i="2"/>
  <c r="Z522" i="2"/>
  <c r="V522" i="2"/>
  <c r="U522" i="2"/>
  <c r="T522" i="2"/>
  <c r="S522" i="2"/>
  <c r="R522" i="2"/>
  <c r="M522" i="2"/>
  <c r="J522" i="2" s="1"/>
  <c r="BF521" i="2"/>
  <c r="AR521" i="2"/>
  <c r="AS521" i="2" s="1"/>
  <c r="AT521" i="2" s="1"/>
  <c r="AU521" i="2" s="1"/>
  <c r="AV521" i="2" s="1"/>
  <c r="AQ521" i="2"/>
  <c r="AA521" i="2"/>
  <c r="Z521" i="2"/>
  <c r="X521" i="2"/>
  <c r="V521" i="2"/>
  <c r="W521" i="2" s="1"/>
  <c r="U521" i="2"/>
  <c r="T521" i="2"/>
  <c r="S521" i="2"/>
  <c r="R521" i="2"/>
  <c r="M521" i="2"/>
  <c r="J521" i="2" s="1"/>
  <c r="AP521" i="2" s="1"/>
  <c r="BF520" i="2"/>
  <c r="AR520" i="2"/>
  <c r="AQ520" i="2"/>
  <c r="AA520" i="2"/>
  <c r="X520" i="2"/>
  <c r="W520" i="2"/>
  <c r="V520" i="2"/>
  <c r="U520" i="2"/>
  <c r="T520" i="2"/>
  <c r="S520" i="2"/>
  <c r="R520" i="2"/>
  <c r="M520" i="2"/>
  <c r="Z520" i="2" s="1"/>
  <c r="BF519" i="2"/>
  <c r="AR519" i="2"/>
  <c r="AS519" i="2" s="1"/>
  <c r="AT519" i="2" s="1"/>
  <c r="AU519" i="2" s="1"/>
  <c r="AV519" i="2" s="1"/>
  <c r="AQ519" i="2"/>
  <c r="AP519" i="2"/>
  <c r="AA519" i="2"/>
  <c r="V519" i="2"/>
  <c r="U519" i="2"/>
  <c r="T519" i="2"/>
  <c r="S519" i="2"/>
  <c r="R519" i="2"/>
  <c r="M519" i="2"/>
  <c r="Z519" i="2" s="1"/>
  <c r="J519" i="2"/>
  <c r="BF518" i="2"/>
  <c r="AR518" i="2"/>
  <c r="AQ518" i="2"/>
  <c r="AO518" i="2"/>
  <c r="AA518" i="2"/>
  <c r="Z518" i="2"/>
  <c r="W518" i="2"/>
  <c r="V518" i="2"/>
  <c r="U518" i="2"/>
  <c r="T518" i="2"/>
  <c r="S518" i="2"/>
  <c r="R518" i="2"/>
  <c r="M518" i="2"/>
  <c r="J518" i="2"/>
  <c r="BF517" i="2"/>
  <c r="AR517" i="2"/>
  <c r="AQ517" i="2"/>
  <c r="AA517" i="2"/>
  <c r="Z517" i="2"/>
  <c r="X517" i="2"/>
  <c r="V517" i="2"/>
  <c r="U517" i="2"/>
  <c r="W517" i="2" s="1"/>
  <c r="T517" i="2"/>
  <c r="S517" i="2"/>
  <c r="R517" i="2"/>
  <c r="M517" i="2"/>
  <c r="J517" i="2"/>
  <c r="AP517" i="2" s="1"/>
  <c r="BF516" i="2"/>
  <c r="AR516" i="2"/>
  <c r="AS516" i="2" s="1"/>
  <c r="AT516" i="2" s="1"/>
  <c r="AU516" i="2" s="1"/>
  <c r="AV516" i="2" s="1"/>
  <c r="AQ516" i="2"/>
  <c r="AA516" i="2"/>
  <c r="Z516" i="2"/>
  <c r="V516" i="2"/>
  <c r="U516" i="2"/>
  <c r="T516" i="2"/>
  <c r="S516" i="2"/>
  <c r="R516" i="2"/>
  <c r="M516" i="2"/>
  <c r="J516" i="2"/>
  <c r="BF515" i="2"/>
  <c r="AV515" i="2"/>
  <c r="AS515" i="2"/>
  <c r="AT515" i="2" s="1"/>
  <c r="AU515" i="2" s="1"/>
  <c r="AR515" i="2"/>
  <c r="AQ515" i="2"/>
  <c r="AA515" i="2"/>
  <c r="Z515" i="2"/>
  <c r="V515" i="2"/>
  <c r="U515" i="2"/>
  <c r="T515" i="2"/>
  <c r="S515" i="2"/>
  <c r="R515" i="2"/>
  <c r="M515" i="2"/>
  <c r="J515" i="2"/>
  <c r="BF514" i="2"/>
  <c r="AR514" i="2"/>
  <c r="AS514" i="2" s="1"/>
  <c r="AT514" i="2" s="1"/>
  <c r="AU514" i="2" s="1"/>
  <c r="AV514" i="2" s="1"/>
  <c r="AQ514" i="2"/>
  <c r="AA514" i="2"/>
  <c r="V514" i="2"/>
  <c r="U514" i="2"/>
  <c r="T514" i="2"/>
  <c r="S514" i="2"/>
  <c r="R514" i="2"/>
  <c r="M514" i="2"/>
  <c r="Z514" i="2" s="1"/>
  <c r="J514" i="2"/>
  <c r="AP514" i="2" s="1"/>
  <c r="BF513" i="2"/>
  <c r="AR513" i="2"/>
  <c r="AQ513" i="2"/>
  <c r="AP513" i="2"/>
  <c r="AA513" i="2"/>
  <c r="V513" i="2"/>
  <c r="U513" i="2"/>
  <c r="AO513" i="2" s="1"/>
  <c r="T513" i="2"/>
  <c r="S513" i="2"/>
  <c r="R513" i="2"/>
  <c r="M513" i="2"/>
  <c r="Z513" i="2" s="1"/>
  <c r="J513" i="2"/>
  <c r="BF512" i="2"/>
  <c r="AU512" i="2"/>
  <c r="AR512" i="2"/>
  <c r="AS512" i="2" s="1"/>
  <c r="AT512" i="2" s="1"/>
  <c r="AQ512" i="2"/>
  <c r="AA512" i="2"/>
  <c r="X512" i="2"/>
  <c r="W512" i="2"/>
  <c r="V512" i="2"/>
  <c r="U512" i="2"/>
  <c r="T512" i="2"/>
  <c r="S512" i="2"/>
  <c r="R512" i="2"/>
  <c r="M512" i="2"/>
  <c r="Z512" i="2" s="1"/>
  <c r="J512" i="2"/>
  <c r="BF511" i="2"/>
  <c r="AT511" i="2"/>
  <c r="AU511" i="2" s="1"/>
  <c r="AV511" i="2" s="1"/>
  <c r="AR511" i="2"/>
  <c r="AS511" i="2" s="1"/>
  <c r="AQ511" i="2"/>
  <c r="AA511" i="2"/>
  <c r="Z511" i="2"/>
  <c r="V511" i="2"/>
  <c r="U511" i="2"/>
  <c r="T511" i="2"/>
  <c r="S511" i="2"/>
  <c r="R511" i="2"/>
  <c r="M511" i="2"/>
  <c r="J511" i="2" s="1"/>
  <c r="BF510" i="2"/>
  <c r="AS510" i="2"/>
  <c r="AR510" i="2"/>
  <c r="AQ510" i="2"/>
  <c r="AP510" i="2"/>
  <c r="AA510" i="2"/>
  <c r="AO510" i="2" s="1"/>
  <c r="Z510" i="2"/>
  <c r="X510" i="2"/>
  <c r="W510" i="2"/>
  <c r="V510" i="2"/>
  <c r="U510" i="2"/>
  <c r="T510" i="2"/>
  <c r="S510" i="2"/>
  <c r="R510" i="2"/>
  <c r="M510" i="2"/>
  <c r="J510" i="2"/>
  <c r="BF509" i="2"/>
  <c r="AR509" i="2"/>
  <c r="AQ509" i="2"/>
  <c r="AP509" i="2"/>
  <c r="AA509" i="2"/>
  <c r="Z509" i="2"/>
  <c r="V509" i="2"/>
  <c r="U509" i="2"/>
  <c r="T509" i="2"/>
  <c r="S509" i="2"/>
  <c r="R509" i="2"/>
  <c r="M509" i="2"/>
  <c r="J509" i="2"/>
  <c r="BF508" i="2"/>
  <c r="AU508" i="2"/>
  <c r="AV508" i="2" s="1"/>
  <c r="AT508" i="2"/>
  <c r="AS508" i="2"/>
  <c r="AR508" i="2"/>
  <c r="AQ508" i="2"/>
  <c r="AA508" i="2"/>
  <c r="X508" i="2"/>
  <c r="V508" i="2"/>
  <c r="U508" i="2"/>
  <c r="T508" i="2"/>
  <c r="S508" i="2"/>
  <c r="R508" i="2"/>
  <c r="M508" i="2"/>
  <c r="Z508" i="2" s="1"/>
  <c r="BF507" i="2"/>
  <c r="AT507" i="2"/>
  <c r="AU507" i="2" s="1"/>
  <c r="AV507" i="2" s="1"/>
  <c r="AS507" i="2"/>
  <c r="AW507" i="2" s="1"/>
  <c r="AX507" i="2" s="1"/>
  <c r="AR507" i="2"/>
  <c r="AQ507" i="2"/>
  <c r="AA507" i="2"/>
  <c r="Z507" i="2"/>
  <c r="V507" i="2"/>
  <c r="U507" i="2"/>
  <c r="T507" i="2"/>
  <c r="S507" i="2"/>
  <c r="R507" i="2"/>
  <c r="M507" i="2"/>
  <c r="J507" i="2"/>
  <c r="BF506" i="2"/>
  <c r="AR506" i="2"/>
  <c r="AS506" i="2" s="1"/>
  <c r="AT506" i="2" s="1"/>
  <c r="AU506" i="2" s="1"/>
  <c r="AV506" i="2" s="1"/>
  <c r="AQ506" i="2"/>
  <c r="AP506" i="2"/>
  <c r="AO506" i="2"/>
  <c r="AA506" i="2"/>
  <c r="V506" i="2"/>
  <c r="U506" i="2"/>
  <c r="X506" i="2" s="1"/>
  <c r="T506" i="2"/>
  <c r="S506" i="2"/>
  <c r="R506" i="2"/>
  <c r="M506" i="2"/>
  <c r="J506" i="2" s="1"/>
  <c r="BF505" i="2"/>
  <c r="AS505" i="2"/>
  <c r="AT505" i="2" s="1"/>
  <c r="AU505" i="2" s="1"/>
  <c r="AV505" i="2" s="1"/>
  <c r="AR505" i="2"/>
  <c r="AQ505" i="2"/>
  <c r="AA505" i="2"/>
  <c r="V505" i="2"/>
  <c r="U505" i="2"/>
  <c r="AP505" i="2" s="1"/>
  <c r="T505" i="2"/>
  <c r="S505" i="2"/>
  <c r="R505" i="2"/>
  <c r="M505" i="2"/>
  <c r="J505" i="2" s="1"/>
  <c r="BF504" i="2"/>
  <c r="AR504" i="2"/>
  <c r="AS504" i="2" s="1"/>
  <c r="AT504" i="2" s="1"/>
  <c r="AU504" i="2" s="1"/>
  <c r="AV504" i="2" s="1"/>
  <c r="AQ504" i="2"/>
  <c r="AA504" i="2"/>
  <c r="Z504" i="2"/>
  <c r="V504" i="2"/>
  <c r="U504" i="2"/>
  <c r="AP504" i="2" s="1"/>
  <c r="T504" i="2"/>
  <c r="S504" i="2"/>
  <c r="R504" i="2"/>
  <c r="M504" i="2"/>
  <c r="J504" i="2"/>
  <c r="BF503" i="2"/>
  <c r="AS503" i="2"/>
  <c r="AR503" i="2"/>
  <c r="AQ503" i="2"/>
  <c r="AA503" i="2"/>
  <c r="Z503" i="2"/>
  <c r="X503" i="2"/>
  <c r="V503" i="2"/>
  <c r="W503" i="2" s="1"/>
  <c r="U503" i="2"/>
  <c r="T503" i="2"/>
  <c r="S503" i="2"/>
  <c r="R503" i="2"/>
  <c r="M503" i="2"/>
  <c r="J503" i="2" s="1"/>
  <c r="BF502" i="2"/>
  <c r="AR502" i="2"/>
  <c r="AQ502" i="2"/>
  <c r="AP502" i="2"/>
  <c r="AO502" i="2"/>
  <c r="AA502" i="2"/>
  <c r="V502" i="2"/>
  <c r="U502" i="2"/>
  <c r="X502" i="2" s="1"/>
  <c r="T502" i="2"/>
  <c r="S502" i="2"/>
  <c r="R502" i="2"/>
  <c r="M502" i="2"/>
  <c r="Z502" i="2" s="1"/>
  <c r="J502" i="2"/>
  <c r="BF501" i="2"/>
  <c r="AT501" i="2"/>
  <c r="AS501" i="2"/>
  <c r="AR501" i="2"/>
  <c r="AQ501" i="2"/>
  <c r="AA501" i="2"/>
  <c r="W501" i="2"/>
  <c r="V501" i="2"/>
  <c r="U501" i="2"/>
  <c r="X501" i="2" s="1"/>
  <c r="T501" i="2"/>
  <c r="S501" i="2"/>
  <c r="R501" i="2"/>
  <c r="M501" i="2"/>
  <c r="Z501" i="2" s="1"/>
  <c r="J501" i="2"/>
  <c r="AO501" i="2" s="1"/>
  <c r="BF500" i="2"/>
  <c r="AS500" i="2"/>
  <c r="AR500" i="2"/>
  <c r="AQ500" i="2"/>
  <c r="AP500" i="2"/>
  <c r="AA500" i="2"/>
  <c r="Z500" i="2"/>
  <c r="V500" i="2"/>
  <c r="U500" i="2"/>
  <c r="T500" i="2"/>
  <c r="S500" i="2"/>
  <c r="R500" i="2"/>
  <c r="M500" i="2"/>
  <c r="J500" i="2"/>
  <c r="BF499" i="2"/>
  <c r="AR499" i="2"/>
  <c r="AQ499" i="2"/>
  <c r="AO499" i="2"/>
  <c r="AA499" i="2"/>
  <c r="Z499" i="2"/>
  <c r="W499" i="2"/>
  <c r="V499" i="2"/>
  <c r="U499" i="2"/>
  <c r="X499" i="2" s="1"/>
  <c r="T499" i="2"/>
  <c r="S499" i="2"/>
  <c r="R499" i="2"/>
  <c r="M499" i="2"/>
  <c r="J499" i="2" s="1"/>
  <c r="AP499" i="2" s="1"/>
  <c r="BF498" i="2"/>
  <c r="AR498" i="2"/>
  <c r="AQ498" i="2"/>
  <c r="AA498" i="2"/>
  <c r="V498" i="2"/>
  <c r="U498" i="2"/>
  <c r="AP498" i="2" s="1"/>
  <c r="T498" i="2"/>
  <c r="S498" i="2"/>
  <c r="R498" i="2"/>
  <c r="M498" i="2"/>
  <c r="J498" i="2" s="1"/>
  <c r="BF497" i="2"/>
  <c r="AR497" i="2"/>
  <c r="AS497" i="2" s="1"/>
  <c r="AT497" i="2" s="1"/>
  <c r="AU497" i="2" s="1"/>
  <c r="AV497" i="2" s="1"/>
  <c r="AQ497" i="2"/>
  <c r="AA497" i="2"/>
  <c r="Z497" i="2"/>
  <c r="V497" i="2"/>
  <c r="U497" i="2"/>
  <c r="AP497" i="2" s="1"/>
  <c r="T497" i="2"/>
  <c r="S497" i="2"/>
  <c r="R497" i="2"/>
  <c r="M497" i="2"/>
  <c r="J497" i="2" s="1"/>
  <c r="BF496" i="2"/>
  <c r="AS496" i="2"/>
  <c r="AT496" i="2" s="1"/>
  <c r="AU496" i="2" s="1"/>
  <c r="AV496" i="2" s="1"/>
  <c r="AR496" i="2"/>
  <c r="AW496" i="2" s="1"/>
  <c r="AX496" i="2" s="1"/>
  <c r="AQ496" i="2"/>
  <c r="AA496" i="2"/>
  <c r="Z496" i="2"/>
  <c r="X496" i="2"/>
  <c r="W496" i="2"/>
  <c r="V496" i="2"/>
  <c r="U496" i="2"/>
  <c r="T496" i="2"/>
  <c r="S496" i="2"/>
  <c r="R496" i="2"/>
  <c r="M496" i="2"/>
  <c r="J496" i="2" s="1"/>
  <c r="AO496" i="2" s="1"/>
  <c r="BF495" i="2"/>
  <c r="AR495" i="2"/>
  <c r="AQ495" i="2"/>
  <c r="AO495" i="2"/>
  <c r="AA495" i="2"/>
  <c r="V495" i="2"/>
  <c r="U495" i="2"/>
  <c r="AP495" i="2" s="1"/>
  <c r="T495" i="2"/>
  <c r="S495" i="2"/>
  <c r="R495" i="2"/>
  <c r="M495" i="2"/>
  <c r="Z495" i="2" s="1"/>
  <c r="J495" i="2"/>
  <c r="BF494" i="2"/>
  <c r="AT494" i="2"/>
  <c r="AU494" i="2" s="1"/>
  <c r="AV494" i="2" s="1"/>
  <c r="AS494" i="2"/>
  <c r="AR494" i="2"/>
  <c r="AQ494" i="2"/>
  <c r="AA494" i="2"/>
  <c r="V494" i="2"/>
  <c r="U494" i="2"/>
  <c r="X494" i="2" s="1"/>
  <c r="T494" i="2"/>
  <c r="S494" i="2"/>
  <c r="R494" i="2"/>
  <c r="M494" i="2"/>
  <c r="Z494" i="2" s="1"/>
  <c r="J494" i="2"/>
  <c r="BF493" i="2"/>
  <c r="AS493" i="2"/>
  <c r="AR493" i="2"/>
  <c r="AQ493" i="2"/>
  <c r="AA493" i="2"/>
  <c r="Z493" i="2"/>
  <c r="V493" i="2"/>
  <c r="U493" i="2"/>
  <c r="T493" i="2"/>
  <c r="S493" i="2"/>
  <c r="R493" i="2"/>
  <c r="M493" i="2"/>
  <c r="J493" i="2" s="1"/>
  <c r="BF492" i="2"/>
  <c r="AT492" i="2"/>
  <c r="AS492" i="2"/>
  <c r="AR492" i="2"/>
  <c r="AQ492" i="2"/>
  <c r="AP492" i="2"/>
  <c r="AO492" i="2"/>
  <c r="AA492" i="2"/>
  <c r="Z492" i="2"/>
  <c r="X492" i="2"/>
  <c r="V492" i="2"/>
  <c r="U492" i="2"/>
  <c r="W492" i="2" s="1"/>
  <c r="T492" i="2"/>
  <c r="S492" i="2"/>
  <c r="R492" i="2"/>
  <c r="M492" i="2"/>
  <c r="J492" i="2"/>
  <c r="BF491" i="2"/>
  <c r="AR491" i="2"/>
  <c r="AQ491" i="2"/>
  <c r="AA491" i="2"/>
  <c r="V491" i="2"/>
  <c r="U491" i="2"/>
  <c r="T491" i="2"/>
  <c r="S491" i="2"/>
  <c r="R491" i="2"/>
  <c r="M491" i="2"/>
  <c r="Z491" i="2" s="1"/>
  <c r="J491" i="2"/>
  <c r="BF490" i="2"/>
  <c r="AR490" i="2"/>
  <c r="AS490" i="2" s="1"/>
  <c r="AT490" i="2" s="1"/>
  <c r="AU490" i="2" s="1"/>
  <c r="AV490" i="2" s="1"/>
  <c r="AQ490" i="2"/>
  <c r="AA490" i="2"/>
  <c r="Z490" i="2"/>
  <c r="V490" i="2"/>
  <c r="U490" i="2"/>
  <c r="AP490" i="2" s="1"/>
  <c r="T490" i="2"/>
  <c r="S490" i="2"/>
  <c r="R490" i="2"/>
  <c r="M490" i="2"/>
  <c r="J490" i="2" s="1"/>
  <c r="BF489" i="2"/>
  <c r="AS489" i="2"/>
  <c r="AT489" i="2" s="1"/>
  <c r="AU489" i="2" s="1"/>
  <c r="AV489" i="2" s="1"/>
  <c r="AR489" i="2"/>
  <c r="AQ489" i="2"/>
  <c r="AP489" i="2"/>
  <c r="AO489" i="2"/>
  <c r="AA489" i="2"/>
  <c r="Z489" i="2"/>
  <c r="X489" i="2"/>
  <c r="W489" i="2"/>
  <c r="V489" i="2"/>
  <c r="U489" i="2"/>
  <c r="T489" i="2"/>
  <c r="S489" i="2"/>
  <c r="R489" i="2"/>
  <c r="M489" i="2"/>
  <c r="J489" i="2" s="1"/>
  <c r="BF488" i="2"/>
  <c r="AS488" i="2"/>
  <c r="AT488" i="2" s="1"/>
  <c r="AU488" i="2" s="1"/>
  <c r="AV488" i="2" s="1"/>
  <c r="AR488" i="2"/>
  <c r="AQ488" i="2"/>
  <c r="AA488" i="2"/>
  <c r="X488" i="2"/>
  <c r="W488" i="2"/>
  <c r="V488" i="2"/>
  <c r="U488" i="2"/>
  <c r="T488" i="2"/>
  <c r="S488" i="2"/>
  <c r="R488" i="2"/>
  <c r="M488" i="2"/>
  <c r="Z488" i="2" s="1"/>
  <c r="BF487" i="2"/>
  <c r="AS487" i="2"/>
  <c r="AT487" i="2" s="1"/>
  <c r="AR487" i="2"/>
  <c r="AQ487" i="2"/>
  <c r="AA487" i="2"/>
  <c r="V487" i="2"/>
  <c r="U487" i="2"/>
  <c r="T487" i="2"/>
  <c r="S487" i="2"/>
  <c r="R487" i="2"/>
  <c r="M487" i="2"/>
  <c r="J487" i="2" s="1"/>
  <c r="BF486" i="2"/>
  <c r="AS486" i="2"/>
  <c r="AT486" i="2" s="1"/>
  <c r="AU486" i="2" s="1"/>
  <c r="AV486" i="2" s="1"/>
  <c r="AR486" i="2"/>
  <c r="AQ486" i="2"/>
  <c r="AA486" i="2"/>
  <c r="AO486" i="2" s="1"/>
  <c r="Z486" i="2"/>
  <c r="W486" i="2"/>
  <c r="V486" i="2"/>
  <c r="U486" i="2"/>
  <c r="X486" i="2" s="1"/>
  <c r="T486" i="2"/>
  <c r="S486" i="2"/>
  <c r="R486" i="2"/>
  <c r="M486" i="2"/>
  <c r="J486" i="2" s="1"/>
  <c r="AP486" i="2" s="1"/>
  <c r="BF485" i="2"/>
  <c r="AS485" i="2"/>
  <c r="AR485" i="2"/>
  <c r="AQ485" i="2"/>
  <c r="AP485" i="2"/>
  <c r="AA485" i="2"/>
  <c r="X485" i="2"/>
  <c r="W485" i="2"/>
  <c r="V485" i="2"/>
  <c r="U485" i="2"/>
  <c r="AO485" i="2" s="1"/>
  <c r="T485" i="2"/>
  <c r="S485" i="2"/>
  <c r="R485" i="2"/>
  <c r="M485" i="2"/>
  <c r="Z485" i="2" s="1"/>
  <c r="BF484" i="2"/>
  <c r="AS484" i="2"/>
  <c r="AT484" i="2" s="1"/>
  <c r="AR484" i="2"/>
  <c r="AQ484" i="2"/>
  <c r="AA484" i="2"/>
  <c r="Z484" i="2"/>
  <c r="V484" i="2"/>
  <c r="U484" i="2"/>
  <c r="T484" i="2"/>
  <c r="S484" i="2"/>
  <c r="R484" i="2"/>
  <c r="M484" i="2"/>
  <c r="J484" i="2" s="1"/>
  <c r="BF483" i="2"/>
  <c r="AS483" i="2"/>
  <c r="AT483" i="2" s="1"/>
  <c r="AU483" i="2" s="1"/>
  <c r="AV483" i="2" s="1"/>
  <c r="AR483" i="2"/>
  <c r="AW483" i="2" s="1"/>
  <c r="AX483" i="2" s="1"/>
  <c r="AQ483" i="2"/>
  <c r="AA483" i="2"/>
  <c r="Z483" i="2"/>
  <c r="X483" i="2"/>
  <c r="W483" i="2"/>
  <c r="V483" i="2"/>
  <c r="U483" i="2"/>
  <c r="T483" i="2"/>
  <c r="S483" i="2"/>
  <c r="R483" i="2"/>
  <c r="M483" i="2"/>
  <c r="J483" i="2" s="1"/>
  <c r="BF482" i="2"/>
  <c r="AR482" i="2"/>
  <c r="AQ482" i="2"/>
  <c r="AP482" i="2"/>
  <c r="AA482" i="2"/>
  <c r="X482" i="2"/>
  <c r="W482" i="2"/>
  <c r="V482" i="2"/>
  <c r="U482" i="2"/>
  <c r="AO482" i="2" s="1"/>
  <c r="T482" i="2"/>
  <c r="S482" i="2"/>
  <c r="R482" i="2"/>
  <c r="M482" i="2"/>
  <c r="J482" i="2" s="1"/>
  <c r="BF481" i="2"/>
  <c r="AS481" i="2"/>
  <c r="AT481" i="2" s="1"/>
  <c r="AR481" i="2"/>
  <c r="AQ481" i="2"/>
  <c r="AA481" i="2"/>
  <c r="V481" i="2"/>
  <c r="U481" i="2"/>
  <c r="T481" i="2"/>
  <c r="S481" i="2"/>
  <c r="R481" i="2"/>
  <c r="M481" i="2"/>
  <c r="J481" i="2" s="1"/>
  <c r="BF480" i="2"/>
  <c r="AS480" i="2"/>
  <c r="AT480" i="2" s="1"/>
  <c r="AU480" i="2" s="1"/>
  <c r="AV480" i="2" s="1"/>
  <c r="AR480" i="2"/>
  <c r="AQ480" i="2"/>
  <c r="AA480" i="2"/>
  <c r="Z480" i="2"/>
  <c r="X480" i="2"/>
  <c r="V480" i="2"/>
  <c r="W480" i="2" s="1"/>
  <c r="U480" i="2"/>
  <c r="T480" i="2"/>
  <c r="S480" i="2"/>
  <c r="R480" i="2"/>
  <c r="M480" i="2"/>
  <c r="J480" i="2" s="1"/>
  <c r="BF479" i="2"/>
  <c r="AR479" i="2"/>
  <c r="AQ479" i="2"/>
  <c r="AP479" i="2"/>
  <c r="AO479" i="2"/>
  <c r="AA479" i="2"/>
  <c r="V479" i="2"/>
  <c r="U479" i="2"/>
  <c r="X479" i="2" s="1"/>
  <c r="T479" i="2"/>
  <c r="S479" i="2"/>
  <c r="R479" i="2"/>
  <c r="M479" i="2"/>
  <c r="Z479" i="2" s="1"/>
  <c r="J479" i="2"/>
  <c r="BF478" i="2"/>
  <c r="AS478" i="2"/>
  <c r="AT478" i="2" s="1"/>
  <c r="AR478" i="2"/>
  <c r="AQ478" i="2"/>
  <c r="AA478" i="2"/>
  <c r="V478" i="2"/>
  <c r="U478" i="2"/>
  <c r="X478" i="2" s="1"/>
  <c r="T478" i="2"/>
  <c r="S478" i="2"/>
  <c r="R478" i="2"/>
  <c r="M478" i="2"/>
  <c r="Z478" i="2" s="1"/>
  <c r="J478" i="2"/>
  <c r="BF477" i="2"/>
  <c r="AU477" i="2"/>
  <c r="AV477" i="2" s="1"/>
  <c r="AT477" i="2"/>
  <c r="AS477" i="2"/>
  <c r="AR477" i="2"/>
  <c r="AQ477" i="2"/>
  <c r="AA477" i="2"/>
  <c r="Z477" i="2"/>
  <c r="X477" i="2"/>
  <c r="W477" i="2"/>
  <c r="V477" i="2"/>
  <c r="U477" i="2"/>
  <c r="T477" i="2"/>
  <c r="S477" i="2"/>
  <c r="R477" i="2"/>
  <c r="M477" i="2"/>
  <c r="J477" i="2" s="1"/>
  <c r="AP477" i="2" s="1"/>
  <c r="BF476" i="2"/>
  <c r="AW476" i="2"/>
  <c r="AX476" i="2" s="1"/>
  <c r="AR476" i="2"/>
  <c r="AS476" i="2" s="1"/>
  <c r="AT476" i="2" s="1"/>
  <c r="AU476" i="2" s="1"/>
  <c r="AV476" i="2" s="1"/>
  <c r="AQ476" i="2"/>
  <c r="AP476" i="2"/>
  <c r="AO476" i="2"/>
  <c r="AA476" i="2"/>
  <c r="V476" i="2"/>
  <c r="U476" i="2"/>
  <c r="X476" i="2" s="1"/>
  <c r="T476" i="2"/>
  <c r="S476" i="2"/>
  <c r="R476" i="2"/>
  <c r="M476" i="2"/>
  <c r="Z476" i="2" s="1"/>
  <c r="J476" i="2"/>
  <c r="BF475" i="2"/>
  <c r="AV475" i="2"/>
  <c r="AU475" i="2"/>
  <c r="AW475" i="2" s="1"/>
  <c r="AX475" i="2" s="1"/>
  <c r="AS475" i="2"/>
  <c r="AT475" i="2" s="1"/>
  <c r="AR475" i="2"/>
  <c r="AQ475" i="2"/>
  <c r="AA475" i="2"/>
  <c r="V475" i="2"/>
  <c r="U475" i="2"/>
  <c r="T475" i="2"/>
  <c r="S475" i="2"/>
  <c r="R475" i="2"/>
  <c r="M475" i="2"/>
  <c r="J475" i="2" s="1"/>
  <c r="BF474" i="2"/>
  <c r="AR474" i="2"/>
  <c r="AQ474" i="2"/>
  <c r="AA474" i="2"/>
  <c r="AO474" i="2" s="1"/>
  <c r="Z474" i="2"/>
  <c r="X474" i="2"/>
  <c r="V474" i="2"/>
  <c r="W474" i="2" s="1"/>
  <c r="U474" i="2"/>
  <c r="T474" i="2"/>
  <c r="S474" i="2"/>
  <c r="R474" i="2"/>
  <c r="M474" i="2"/>
  <c r="J474" i="2" s="1"/>
  <c r="AP474" i="2" s="1"/>
  <c r="BF473" i="2"/>
  <c r="AR473" i="2"/>
  <c r="AS473" i="2" s="1"/>
  <c r="AT473" i="2" s="1"/>
  <c r="AU473" i="2" s="1"/>
  <c r="AV473" i="2" s="1"/>
  <c r="AQ473" i="2"/>
  <c r="AP473" i="2"/>
  <c r="AO473" i="2"/>
  <c r="AA473" i="2"/>
  <c r="V473" i="2"/>
  <c r="U473" i="2"/>
  <c r="X473" i="2" s="1"/>
  <c r="T473" i="2"/>
  <c r="S473" i="2"/>
  <c r="R473" i="2"/>
  <c r="M473" i="2"/>
  <c r="Z473" i="2" s="1"/>
  <c r="J473" i="2"/>
  <c r="BF472" i="2"/>
  <c r="AS472" i="2"/>
  <c r="AT472" i="2" s="1"/>
  <c r="AR472" i="2"/>
  <c r="AQ472" i="2"/>
  <c r="AA472" i="2"/>
  <c r="X472" i="2"/>
  <c r="V472" i="2"/>
  <c r="U472" i="2"/>
  <c r="T472" i="2"/>
  <c r="S472" i="2"/>
  <c r="R472" i="2"/>
  <c r="M472" i="2"/>
  <c r="Z472" i="2" s="1"/>
  <c r="BF471" i="2"/>
  <c r="AT471" i="2"/>
  <c r="AU471" i="2" s="1"/>
  <c r="AV471" i="2" s="1"/>
  <c r="AS471" i="2"/>
  <c r="AW471" i="2" s="1"/>
  <c r="AX471" i="2" s="1"/>
  <c r="AR471" i="2"/>
  <c r="AQ471" i="2"/>
  <c r="AA471" i="2"/>
  <c r="Z471" i="2"/>
  <c r="V471" i="2"/>
  <c r="U471" i="2"/>
  <c r="T471" i="2"/>
  <c r="S471" i="2"/>
  <c r="R471" i="2"/>
  <c r="M471" i="2"/>
  <c r="J471" i="2"/>
  <c r="BF470" i="2"/>
  <c r="AR470" i="2"/>
  <c r="AS470" i="2" s="1"/>
  <c r="AT470" i="2" s="1"/>
  <c r="AU470" i="2" s="1"/>
  <c r="AV470" i="2" s="1"/>
  <c r="AQ470" i="2"/>
  <c r="AP470" i="2"/>
  <c r="AO470" i="2"/>
  <c r="AA470" i="2"/>
  <c r="V470" i="2"/>
  <c r="U470" i="2"/>
  <c r="X470" i="2" s="1"/>
  <c r="T470" i="2"/>
  <c r="S470" i="2"/>
  <c r="R470" i="2"/>
  <c r="M470" i="2"/>
  <c r="Z470" i="2" s="1"/>
  <c r="J470" i="2"/>
  <c r="BF469" i="2"/>
  <c r="AT469" i="2"/>
  <c r="AS469" i="2"/>
  <c r="AR469" i="2"/>
  <c r="AQ469" i="2"/>
  <c r="AA469" i="2"/>
  <c r="X469" i="2"/>
  <c r="V469" i="2"/>
  <c r="U469" i="2"/>
  <c r="T469" i="2"/>
  <c r="S469" i="2"/>
  <c r="R469" i="2"/>
  <c r="M469" i="2"/>
  <c r="Z469" i="2" s="1"/>
  <c r="J469" i="2"/>
  <c r="BF468" i="2"/>
  <c r="AT468" i="2"/>
  <c r="AU468" i="2" s="1"/>
  <c r="AV468" i="2" s="1"/>
  <c r="AS468" i="2"/>
  <c r="AR468" i="2"/>
  <c r="AQ468" i="2"/>
  <c r="AA468" i="2"/>
  <c r="Z468" i="2"/>
  <c r="V468" i="2"/>
  <c r="U468" i="2"/>
  <c r="T468" i="2"/>
  <c r="S468" i="2"/>
  <c r="R468" i="2"/>
  <c r="M468" i="2"/>
  <c r="J468" i="2"/>
  <c r="BF467" i="2"/>
  <c r="AW467" i="2"/>
  <c r="AX467" i="2" s="1"/>
  <c r="AR467" i="2"/>
  <c r="AS467" i="2" s="1"/>
  <c r="AT467" i="2" s="1"/>
  <c r="AU467" i="2" s="1"/>
  <c r="AV467" i="2" s="1"/>
  <c r="AQ467" i="2"/>
  <c r="AP467" i="2"/>
  <c r="AO467" i="2"/>
  <c r="AA467" i="2"/>
  <c r="Z467" i="2"/>
  <c r="V467" i="2"/>
  <c r="U467" i="2"/>
  <c r="X467" i="2" s="1"/>
  <c r="T467" i="2"/>
  <c r="S467" i="2"/>
  <c r="R467" i="2"/>
  <c r="M467" i="2"/>
  <c r="J467" i="2"/>
  <c r="BF466" i="2"/>
  <c r="AR466" i="2"/>
  <c r="AS466" i="2" s="1"/>
  <c r="AT466" i="2" s="1"/>
  <c r="AU466" i="2" s="1"/>
  <c r="AV466" i="2" s="1"/>
  <c r="AQ466" i="2"/>
  <c r="AA466" i="2"/>
  <c r="X466" i="2"/>
  <c r="V466" i="2"/>
  <c r="U466" i="2"/>
  <c r="T466" i="2"/>
  <c r="S466" i="2"/>
  <c r="R466" i="2"/>
  <c r="M466" i="2"/>
  <c r="BF465" i="2"/>
  <c r="AT465" i="2"/>
  <c r="AU465" i="2" s="1"/>
  <c r="AV465" i="2" s="1"/>
  <c r="AS465" i="2"/>
  <c r="AR465" i="2"/>
  <c r="AQ465" i="2"/>
  <c r="AA465" i="2"/>
  <c r="Z465" i="2"/>
  <c r="V465" i="2"/>
  <c r="U465" i="2"/>
  <c r="T465" i="2"/>
  <c r="S465" i="2"/>
  <c r="R465" i="2"/>
  <c r="M465" i="2"/>
  <c r="J465" i="2"/>
  <c r="BF464" i="2"/>
  <c r="AW464" i="2"/>
  <c r="AX464" i="2" s="1"/>
  <c r="AR464" i="2"/>
  <c r="AS464" i="2" s="1"/>
  <c r="AT464" i="2" s="1"/>
  <c r="AU464" i="2" s="1"/>
  <c r="AV464" i="2" s="1"/>
  <c r="AQ464" i="2"/>
  <c r="AA464" i="2"/>
  <c r="AO464" i="2" s="1"/>
  <c r="V464" i="2"/>
  <c r="U464" i="2"/>
  <c r="AP464" i="2" s="1"/>
  <c r="T464" i="2"/>
  <c r="S464" i="2"/>
  <c r="R464" i="2"/>
  <c r="M464" i="2"/>
  <c r="Z464" i="2" s="1"/>
  <c r="J464" i="2"/>
  <c r="BF463" i="2"/>
  <c r="AS463" i="2"/>
  <c r="AR463" i="2"/>
  <c r="AQ463" i="2"/>
  <c r="AA463" i="2"/>
  <c r="W463" i="2"/>
  <c r="V463" i="2"/>
  <c r="U463" i="2"/>
  <c r="T463" i="2"/>
  <c r="S463" i="2"/>
  <c r="R463" i="2"/>
  <c r="M463" i="2"/>
  <c r="Z463" i="2" s="1"/>
  <c r="J463" i="2"/>
  <c r="BF462" i="2"/>
  <c r="AT462" i="2"/>
  <c r="AU462" i="2" s="1"/>
  <c r="AV462" i="2" s="1"/>
  <c r="AS462" i="2"/>
  <c r="AR462" i="2"/>
  <c r="AQ462" i="2"/>
  <c r="AA462" i="2"/>
  <c r="Z462" i="2"/>
  <c r="V462" i="2"/>
  <c r="U462" i="2"/>
  <c r="T462" i="2"/>
  <c r="S462" i="2"/>
  <c r="R462" i="2"/>
  <c r="M462" i="2"/>
  <c r="J462" i="2"/>
  <c r="BF461" i="2"/>
  <c r="AW461" i="2"/>
  <c r="AX461" i="2" s="1"/>
  <c r="AR461" i="2"/>
  <c r="AS461" i="2" s="1"/>
  <c r="AT461" i="2" s="1"/>
  <c r="AU461" i="2" s="1"/>
  <c r="AV461" i="2" s="1"/>
  <c r="AQ461" i="2"/>
  <c r="AP461" i="2"/>
  <c r="AO461" i="2"/>
  <c r="AA461" i="2"/>
  <c r="V461" i="2"/>
  <c r="U461" i="2"/>
  <c r="X461" i="2" s="1"/>
  <c r="T461" i="2"/>
  <c r="S461" i="2"/>
  <c r="R461" i="2"/>
  <c r="M461" i="2"/>
  <c r="Z461" i="2" s="1"/>
  <c r="J461" i="2"/>
  <c r="BF460" i="2"/>
  <c r="AS460" i="2"/>
  <c r="AT460" i="2" s="1"/>
  <c r="AU460" i="2" s="1"/>
  <c r="AR460" i="2"/>
  <c r="AQ460" i="2"/>
  <c r="AA460" i="2"/>
  <c r="V460" i="2"/>
  <c r="U460" i="2"/>
  <c r="T460" i="2"/>
  <c r="S460" i="2"/>
  <c r="R460" i="2"/>
  <c r="M460" i="2"/>
  <c r="J460" i="2" s="1"/>
  <c r="BF459" i="2"/>
  <c r="AS459" i="2"/>
  <c r="AT459" i="2" s="1"/>
  <c r="AU459" i="2" s="1"/>
  <c r="AV459" i="2" s="1"/>
  <c r="AR459" i="2"/>
  <c r="AW459" i="2" s="1"/>
  <c r="AX459" i="2" s="1"/>
  <c r="AQ459" i="2"/>
  <c r="AA459" i="2"/>
  <c r="AO459" i="2" s="1"/>
  <c r="Z459" i="2"/>
  <c r="X459" i="2"/>
  <c r="W459" i="2"/>
  <c r="V459" i="2"/>
  <c r="U459" i="2"/>
  <c r="T459" i="2"/>
  <c r="S459" i="2"/>
  <c r="R459" i="2"/>
  <c r="M459" i="2"/>
  <c r="J459" i="2" s="1"/>
  <c r="AP459" i="2" s="1"/>
  <c r="BF458" i="2"/>
  <c r="AR458" i="2"/>
  <c r="AQ458" i="2"/>
  <c r="AA458" i="2"/>
  <c r="V458" i="2"/>
  <c r="U458" i="2"/>
  <c r="T458" i="2"/>
  <c r="S458" i="2"/>
  <c r="R458" i="2"/>
  <c r="M458" i="2"/>
  <c r="Z458" i="2" s="1"/>
  <c r="J458" i="2"/>
  <c r="BF457" i="2"/>
  <c r="AR457" i="2"/>
  <c r="AS457" i="2" s="1"/>
  <c r="AT457" i="2" s="1"/>
  <c r="AU457" i="2" s="1"/>
  <c r="AV457" i="2" s="1"/>
  <c r="AQ457" i="2"/>
  <c r="AA457" i="2"/>
  <c r="Z457" i="2"/>
  <c r="V457" i="2"/>
  <c r="U457" i="2"/>
  <c r="T457" i="2"/>
  <c r="S457" i="2"/>
  <c r="R457" i="2"/>
  <c r="M457" i="2"/>
  <c r="J457" i="2" s="1"/>
  <c r="BF456" i="2"/>
  <c r="AR456" i="2"/>
  <c r="AQ456" i="2"/>
  <c r="AO456" i="2"/>
  <c r="AA456" i="2"/>
  <c r="Z456" i="2"/>
  <c r="W456" i="2"/>
  <c r="V456" i="2"/>
  <c r="U456" i="2"/>
  <c r="X456" i="2" s="1"/>
  <c r="T456" i="2"/>
  <c r="S456" i="2"/>
  <c r="R456" i="2"/>
  <c r="M456" i="2"/>
  <c r="J456" i="2" s="1"/>
  <c r="AP456" i="2" s="1"/>
  <c r="BF455" i="2"/>
  <c r="AS455" i="2"/>
  <c r="AR455" i="2"/>
  <c r="AQ455" i="2"/>
  <c r="AA455" i="2"/>
  <c r="W455" i="2"/>
  <c r="V455" i="2"/>
  <c r="U455" i="2"/>
  <c r="T455" i="2"/>
  <c r="S455" i="2"/>
  <c r="R455" i="2"/>
  <c r="M455" i="2"/>
  <c r="BF454" i="2"/>
  <c r="AT454" i="2"/>
  <c r="AU454" i="2" s="1"/>
  <c r="AV454" i="2" s="1"/>
  <c r="AS454" i="2"/>
  <c r="AW454" i="2" s="1"/>
  <c r="AX454" i="2" s="1"/>
  <c r="AR454" i="2"/>
  <c r="AQ454" i="2"/>
  <c r="AA454" i="2"/>
  <c r="Z454" i="2"/>
  <c r="V454" i="2"/>
  <c r="U454" i="2"/>
  <c r="T454" i="2"/>
  <c r="S454" i="2"/>
  <c r="R454" i="2"/>
  <c r="M454" i="2"/>
  <c r="J454" i="2"/>
  <c r="BF453" i="2"/>
  <c r="AR453" i="2"/>
  <c r="AS453" i="2" s="1"/>
  <c r="AT453" i="2" s="1"/>
  <c r="AU453" i="2" s="1"/>
  <c r="AV453" i="2" s="1"/>
  <c r="AQ453" i="2"/>
  <c r="AP453" i="2"/>
  <c r="AO453" i="2"/>
  <c r="AA453" i="2"/>
  <c r="V453" i="2"/>
  <c r="U453" i="2"/>
  <c r="X453" i="2" s="1"/>
  <c r="T453" i="2"/>
  <c r="S453" i="2"/>
  <c r="R453" i="2"/>
  <c r="M453" i="2"/>
  <c r="Z453" i="2" s="1"/>
  <c r="J453" i="2"/>
  <c r="BF452" i="2"/>
  <c r="AS452" i="2"/>
  <c r="AT452" i="2" s="1"/>
  <c r="AR452" i="2"/>
  <c r="AQ452" i="2"/>
  <c r="AA452" i="2"/>
  <c r="V452" i="2"/>
  <c r="U452" i="2"/>
  <c r="T452" i="2"/>
  <c r="S452" i="2"/>
  <c r="R452" i="2"/>
  <c r="M452" i="2"/>
  <c r="J452" i="2" s="1"/>
  <c r="BF451" i="2"/>
  <c r="AS451" i="2"/>
  <c r="AT451" i="2" s="1"/>
  <c r="AU451" i="2" s="1"/>
  <c r="AV451" i="2" s="1"/>
  <c r="AR451" i="2"/>
  <c r="AQ451" i="2"/>
  <c r="AA451" i="2"/>
  <c r="AO451" i="2" s="1"/>
  <c r="Z451" i="2"/>
  <c r="X451" i="2"/>
  <c r="W451" i="2"/>
  <c r="V451" i="2"/>
  <c r="U451" i="2"/>
  <c r="T451" i="2"/>
  <c r="S451" i="2"/>
  <c r="R451" i="2"/>
  <c r="M451" i="2"/>
  <c r="J451" i="2" s="1"/>
  <c r="AP451" i="2" s="1"/>
  <c r="BF450" i="2"/>
  <c r="AR450" i="2"/>
  <c r="AQ450" i="2"/>
  <c r="AA450" i="2"/>
  <c r="V450" i="2"/>
  <c r="U450" i="2"/>
  <c r="T450" i="2"/>
  <c r="S450" i="2"/>
  <c r="R450" i="2"/>
  <c r="M450" i="2"/>
  <c r="Z450" i="2" s="1"/>
  <c r="J450" i="2"/>
  <c r="BF449" i="2"/>
  <c r="AR449" i="2"/>
  <c r="AS449" i="2" s="1"/>
  <c r="AQ449" i="2"/>
  <c r="AA449" i="2"/>
  <c r="Z449" i="2"/>
  <c r="V449" i="2"/>
  <c r="W449" i="2" s="1"/>
  <c r="U449" i="2"/>
  <c r="T449" i="2"/>
  <c r="S449" i="2"/>
  <c r="R449" i="2"/>
  <c r="M449" i="2"/>
  <c r="J449" i="2" s="1"/>
  <c r="BF448" i="2"/>
  <c r="AR448" i="2"/>
  <c r="AQ448" i="2"/>
  <c r="AP448" i="2"/>
  <c r="AA448" i="2"/>
  <c r="W448" i="2"/>
  <c r="V448" i="2"/>
  <c r="U448" i="2"/>
  <c r="X448" i="2" s="1"/>
  <c r="T448" i="2"/>
  <c r="S448" i="2"/>
  <c r="R448" i="2"/>
  <c r="M448" i="2"/>
  <c r="J448" i="2" s="1"/>
  <c r="AO448" i="2" s="1"/>
  <c r="BF447" i="2"/>
  <c r="AS447" i="2"/>
  <c r="AR447" i="2"/>
  <c r="AQ447" i="2"/>
  <c r="AA447" i="2"/>
  <c r="W447" i="2"/>
  <c r="V447" i="2"/>
  <c r="U447" i="2"/>
  <c r="T447" i="2"/>
  <c r="S447" i="2"/>
  <c r="R447" i="2"/>
  <c r="M447" i="2"/>
  <c r="Z447" i="2" s="1"/>
  <c r="J447" i="2"/>
  <c r="BF446" i="2"/>
  <c r="AT446" i="2"/>
  <c r="AU446" i="2" s="1"/>
  <c r="AV446" i="2" s="1"/>
  <c r="AS446" i="2"/>
  <c r="AR446" i="2"/>
  <c r="AQ446" i="2"/>
  <c r="AA446" i="2"/>
  <c r="Z446" i="2"/>
  <c r="V446" i="2"/>
  <c r="U446" i="2"/>
  <c r="T446" i="2"/>
  <c r="S446" i="2"/>
  <c r="R446" i="2"/>
  <c r="M446" i="2"/>
  <c r="J446" i="2"/>
  <c r="BF445" i="2"/>
  <c r="AR445" i="2"/>
  <c r="AQ445" i="2"/>
  <c r="AA445" i="2"/>
  <c r="V445" i="2"/>
  <c r="U445" i="2"/>
  <c r="X445" i="2" s="1"/>
  <c r="T445" i="2"/>
  <c r="S445" i="2"/>
  <c r="R445" i="2"/>
  <c r="M445" i="2"/>
  <c r="Z445" i="2" s="1"/>
  <c r="J445" i="2"/>
  <c r="AP445" i="2" s="1"/>
  <c r="BF444" i="2"/>
  <c r="AU444" i="2"/>
  <c r="AS444" i="2"/>
  <c r="AT444" i="2" s="1"/>
  <c r="AR444" i="2"/>
  <c r="AQ444" i="2"/>
  <c r="AA444" i="2"/>
  <c r="V444" i="2"/>
  <c r="U444" i="2"/>
  <c r="T444" i="2"/>
  <c r="S444" i="2"/>
  <c r="R444" i="2"/>
  <c r="M444" i="2"/>
  <c r="J444" i="2" s="1"/>
  <c r="BF443" i="2"/>
  <c r="AS443" i="2"/>
  <c r="AT443" i="2" s="1"/>
  <c r="AU443" i="2" s="1"/>
  <c r="AV443" i="2" s="1"/>
  <c r="AR443" i="2"/>
  <c r="AQ443" i="2"/>
  <c r="AP443" i="2"/>
  <c r="AA443" i="2"/>
  <c r="Z443" i="2"/>
  <c r="X443" i="2"/>
  <c r="W443" i="2"/>
  <c r="V443" i="2"/>
  <c r="U443" i="2"/>
  <c r="T443" i="2"/>
  <c r="S443" i="2"/>
  <c r="R443" i="2"/>
  <c r="M443" i="2"/>
  <c r="J443" i="2" s="1"/>
  <c r="AO443" i="2" s="1"/>
  <c r="BF442" i="2"/>
  <c r="AS442" i="2"/>
  <c r="AT442" i="2" s="1"/>
  <c r="AU442" i="2" s="1"/>
  <c r="AV442" i="2" s="1"/>
  <c r="AR442" i="2"/>
  <c r="AQ442" i="2"/>
  <c r="AA442" i="2"/>
  <c r="V442" i="2"/>
  <c r="U442" i="2"/>
  <c r="T442" i="2"/>
  <c r="S442" i="2"/>
  <c r="R442" i="2"/>
  <c r="M442" i="2"/>
  <c r="Z442" i="2" s="1"/>
  <c r="J442" i="2"/>
  <c r="BF441" i="2"/>
  <c r="AR441" i="2"/>
  <c r="AS441" i="2" s="1"/>
  <c r="AT441" i="2" s="1"/>
  <c r="AU441" i="2" s="1"/>
  <c r="AV441" i="2" s="1"/>
  <c r="AQ441" i="2"/>
  <c r="AA441" i="2"/>
  <c r="Z441" i="2"/>
  <c r="X441" i="2"/>
  <c r="V441" i="2"/>
  <c r="W441" i="2" s="1"/>
  <c r="U441" i="2"/>
  <c r="T441" i="2"/>
  <c r="S441" i="2"/>
  <c r="R441" i="2"/>
  <c r="M441" i="2"/>
  <c r="J441" i="2" s="1"/>
  <c r="BF440" i="2"/>
  <c r="AR440" i="2"/>
  <c r="AQ440" i="2"/>
  <c r="AA440" i="2"/>
  <c r="AO440" i="2" s="1"/>
  <c r="W440" i="2"/>
  <c r="V440" i="2"/>
  <c r="U440" i="2"/>
  <c r="X440" i="2" s="1"/>
  <c r="T440" i="2"/>
  <c r="S440" i="2"/>
  <c r="R440" i="2"/>
  <c r="M440" i="2"/>
  <c r="J440" i="2" s="1"/>
  <c r="AP440" i="2" s="1"/>
  <c r="BF439" i="2"/>
  <c r="AU439" i="2"/>
  <c r="AT439" i="2"/>
  <c r="AS439" i="2"/>
  <c r="AR439" i="2"/>
  <c r="AQ439" i="2"/>
  <c r="AA439" i="2"/>
  <c r="W439" i="2"/>
  <c r="V439" i="2"/>
  <c r="U439" i="2"/>
  <c r="T439" i="2"/>
  <c r="S439" i="2"/>
  <c r="R439" i="2"/>
  <c r="M439" i="2"/>
  <c r="Z439" i="2" s="1"/>
  <c r="BF438" i="2"/>
  <c r="AT438" i="2"/>
  <c r="AU438" i="2" s="1"/>
  <c r="AV438" i="2" s="1"/>
  <c r="AS438" i="2"/>
  <c r="AW438" i="2" s="1"/>
  <c r="AX438" i="2" s="1"/>
  <c r="AR438" i="2"/>
  <c r="AQ438" i="2"/>
  <c r="AA438" i="2"/>
  <c r="Z438" i="2"/>
  <c r="X438" i="2"/>
  <c r="V438" i="2"/>
  <c r="U438" i="2"/>
  <c r="AP438" i="2" s="1"/>
  <c r="T438" i="2"/>
  <c r="S438" i="2"/>
  <c r="R438" i="2"/>
  <c r="M438" i="2"/>
  <c r="J438" i="2"/>
  <c r="BF437" i="2"/>
  <c r="AR437" i="2"/>
  <c r="AS437" i="2" s="1"/>
  <c r="AT437" i="2" s="1"/>
  <c r="AU437" i="2" s="1"/>
  <c r="AV437" i="2" s="1"/>
  <c r="AQ437" i="2"/>
  <c r="AA437" i="2"/>
  <c r="V437" i="2"/>
  <c r="U437" i="2"/>
  <c r="X437" i="2" s="1"/>
  <c r="T437" i="2"/>
  <c r="S437" i="2"/>
  <c r="R437" i="2"/>
  <c r="M437" i="2"/>
  <c r="Z437" i="2" s="1"/>
  <c r="J437" i="2"/>
  <c r="BF436" i="2"/>
  <c r="AS436" i="2"/>
  <c r="AT436" i="2" s="1"/>
  <c r="AU436" i="2" s="1"/>
  <c r="AV436" i="2" s="1"/>
  <c r="AR436" i="2"/>
  <c r="AQ436" i="2"/>
  <c r="AA436" i="2"/>
  <c r="Z436" i="2"/>
  <c r="V436" i="2"/>
  <c r="U436" i="2"/>
  <c r="X436" i="2" s="1"/>
  <c r="T436" i="2"/>
  <c r="S436" i="2"/>
  <c r="R436" i="2"/>
  <c r="M436" i="2"/>
  <c r="J436" i="2" s="1"/>
  <c r="BF435" i="2"/>
  <c r="AU435" i="2"/>
  <c r="AV435" i="2" s="1"/>
  <c r="AS435" i="2"/>
  <c r="AT435" i="2" s="1"/>
  <c r="AR435" i="2"/>
  <c r="AQ435" i="2"/>
  <c r="AP435" i="2"/>
  <c r="AA435" i="2"/>
  <c r="AO435" i="2" s="1"/>
  <c r="Z435" i="2"/>
  <c r="X435" i="2"/>
  <c r="W435" i="2"/>
  <c r="V435" i="2"/>
  <c r="U435" i="2"/>
  <c r="T435" i="2"/>
  <c r="S435" i="2"/>
  <c r="R435" i="2"/>
  <c r="M435" i="2"/>
  <c r="J435" i="2" s="1"/>
  <c r="BF434" i="2"/>
  <c r="AR434" i="2"/>
  <c r="AQ434" i="2"/>
  <c r="AA434" i="2"/>
  <c r="X434" i="2"/>
  <c r="W434" i="2"/>
  <c r="V434" i="2"/>
  <c r="U434" i="2"/>
  <c r="T434" i="2"/>
  <c r="S434" i="2"/>
  <c r="R434" i="2"/>
  <c r="M434" i="2"/>
  <c r="Z434" i="2" s="1"/>
  <c r="J434" i="2"/>
  <c r="AO434" i="2" s="1"/>
  <c r="BF433" i="2"/>
  <c r="AU433" i="2"/>
  <c r="AV433" i="2" s="1"/>
  <c r="AR433" i="2"/>
  <c r="AS433" i="2" s="1"/>
  <c r="AT433" i="2" s="1"/>
  <c r="AQ433" i="2"/>
  <c r="AO433" i="2"/>
  <c r="AA433" i="2"/>
  <c r="V433" i="2"/>
  <c r="U433" i="2"/>
  <c r="T433" i="2"/>
  <c r="S433" i="2"/>
  <c r="R433" i="2"/>
  <c r="M433" i="2"/>
  <c r="J433" i="2" s="1"/>
  <c r="BF432" i="2"/>
  <c r="AR432" i="2"/>
  <c r="AQ432" i="2"/>
  <c r="AA432" i="2"/>
  <c r="AO432" i="2" s="1"/>
  <c r="Z432" i="2"/>
  <c r="W432" i="2"/>
  <c r="V432" i="2"/>
  <c r="U432" i="2"/>
  <c r="X432" i="2" s="1"/>
  <c r="T432" i="2"/>
  <c r="S432" i="2"/>
  <c r="R432" i="2"/>
  <c r="M432" i="2"/>
  <c r="J432" i="2" s="1"/>
  <c r="AP432" i="2" s="1"/>
  <c r="BF431" i="2"/>
  <c r="AU431" i="2"/>
  <c r="AT431" i="2"/>
  <c r="AS431" i="2"/>
  <c r="AR431" i="2"/>
  <c r="AQ431" i="2"/>
  <c r="AA431" i="2"/>
  <c r="Z431" i="2"/>
  <c r="V431" i="2"/>
  <c r="U431" i="2"/>
  <c r="T431" i="2"/>
  <c r="S431" i="2"/>
  <c r="R431" i="2"/>
  <c r="M431" i="2"/>
  <c r="J431" i="2" s="1"/>
  <c r="BF430" i="2"/>
  <c r="AW430" i="2"/>
  <c r="AX430" i="2" s="1"/>
  <c r="AT430" i="2"/>
  <c r="AU430" i="2" s="1"/>
  <c r="AV430" i="2" s="1"/>
  <c r="AS430" i="2"/>
  <c r="AR430" i="2"/>
  <c r="AQ430" i="2"/>
  <c r="AA430" i="2"/>
  <c r="Z430" i="2"/>
  <c r="V430" i="2"/>
  <c r="U430" i="2"/>
  <c r="AP430" i="2" s="1"/>
  <c r="T430" i="2"/>
  <c r="S430" i="2"/>
  <c r="R430" i="2"/>
  <c r="M430" i="2"/>
  <c r="J430" i="2"/>
  <c r="BF429" i="2"/>
  <c r="AR429" i="2"/>
  <c r="AQ429" i="2"/>
  <c r="AA429" i="2"/>
  <c r="Z429" i="2"/>
  <c r="V429" i="2"/>
  <c r="U429" i="2"/>
  <c r="T429" i="2"/>
  <c r="S429" i="2"/>
  <c r="R429" i="2"/>
  <c r="M429" i="2"/>
  <c r="J429" i="2"/>
  <c r="BF428" i="2"/>
  <c r="AV428" i="2"/>
  <c r="AU428" i="2"/>
  <c r="AS428" i="2"/>
  <c r="AT428" i="2" s="1"/>
  <c r="AR428" i="2"/>
  <c r="AQ428" i="2"/>
  <c r="AA428" i="2"/>
  <c r="Z428" i="2"/>
  <c r="V428" i="2"/>
  <c r="U428" i="2"/>
  <c r="X428" i="2" s="1"/>
  <c r="T428" i="2"/>
  <c r="S428" i="2"/>
  <c r="R428" i="2"/>
  <c r="M428" i="2"/>
  <c r="J428" i="2" s="1"/>
  <c r="AP428" i="2" s="1"/>
  <c r="BF427" i="2"/>
  <c r="AS427" i="2"/>
  <c r="AT427" i="2" s="1"/>
  <c r="AU427" i="2" s="1"/>
  <c r="AV427" i="2" s="1"/>
  <c r="AR427" i="2"/>
  <c r="AQ427" i="2"/>
  <c r="AO427" i="2"/>
  <c r="AA427" i="2"/>
  <c r="V427" i="2"/>
  <c r="U427" i="2"/>
  <c r="X427" i="2" s="1"/>
  <c r="T427" i="2"/>
  <c r="S427" i="2"/>
  <c r="R427" i="2"/>
  <c r="M427" i="2"/>
  <c r="J427" i="2" s="1"/>
  <c r="BF426" i="2"/>
  <c r="AT426" i="2"/>
  <c r="AS426" i="2"/>
  <c r="AR426" i="2"/>
  <c r="AQ426" i="2"/>
  <c r="AA426" i="2"/>
  <c r="X426" i="2"/>
  <c r="V426" i="2"/>
  <c r="U426" i="2"/>
  <c r="T426" i="2"/>
  <c r="S426" i="2"/>
  <c r="R426" i="2"/>
  <c r="M426" i="2"/>
  <c r="Z426" i="2" s="1"/>
  <c r="BF425" i="2"/>
  <c r="AR425" i="2"/>
  <c r="AS425" i="2" s="1"/>
  <c r="AT425" i="2" s="1"/>
  <c r="AU425" i="2" s="1"/>
  <c r="AQ425" i="2"/>
  <c r="AA425" i="2"/>
  <c r="X425" i="2"/>
  <c r="V425" i="2"/>
  <c r="U425" i="2"/>
  <c r="T425" i="2"/>
  <c r="S425" i="2"/>
  <c r="R425" i="2"/>
  <c r="M425" i="2"/>
  <c r="J425" i="2" s="1"/>
  <c r="BF424" i="2"/>
  <c r="AR424" i="2"/>
  <c r="AQ424" i="2"/>
  <c r="AP424" i="2"/>
  <c r="AO424" i="2"/>
  <c r="AA424" i="2"/>
  <c r="Z424" i="2"/>
  <c r="W424" i="2"/>
  <c r="V424" i="2"/>
  <c r="U424" i="2"/>
  <c r="X424" i="2" s="1"/>
  <c r="T424" i="2"/>
  <c r="S424" i="2"/>
  <c r="R424" i="2"/>
  <c r="M424" i="2"/>
  <c r="J424" i="2"/>
  <c r="BF423" i="2"/>
  <c r="AU423" i="2"/>
  <c r="AV423" i="2" s="1"/>
  <c r="AW423" i="2" s="1"/>
  <c r="AX423" i="2" s="1"/>
  <c r="AT423" i="2"/>
  <c r="AS423" i="2"/>
  <c r="AR423" i="2"/>
  <c r="AQ423" i="2"/>
  <c r="AA423" i="2"/>
  <c r="Z423" i="2"/>
  <c r="V423" i="2"/>
  <c r="W423" i="2" s="1"/>
  <c r="U423" i="2"/>
  <c r="T423" i="2"/>
  <c r="S423" i="2"/>
  <c r="R423" i="2"/>
  <c r="M423" i="2"/>
  <c r="J423" i="2"/>
  <c r="BF422" i="2"/>
  <c r="AW422" i="2"/>
  <c r="AX422" i="2" s="1"/>
  <c r="AT422" i="2"/>
  <c r="AU422" i="2" s="1"/>
  <c r="AV422" i="2" s="1"/>
  <c r="AS422" i="2"/>
  <c r="AR422" i="2"/>
  <c r="AQ422" i="2"/>
  <c r="AP422" i="2"/>
  <c r="AA422" i="2"/>
  <c r="AO422" i="2" s="1"/>
  <c r="Z422" i="2"/>
  <c r="V422" i="2"/>
  <c r="U422" i="2"/>
  <c r="X422" i="2" s="1"/>
  <c r="T422" i="2"/>
  <c r="S422" i="2"/>
  <c r="R422" i="2"/>
  <c r="M422" i="2"/>
  <c r="J422" i="2"/>
  <c r="BF421" i="2"/>
  <c r="AR421" i="2"/>
  <c r="AQ421" i="2"/>
  <c r="AA421" i="2"/>
  <c r="V421" i="2"/>
  <c r="U421" i="2"/>
  <c r="T421" i="2"/>
  <c r="S421" i="2"/>
  <c r="R421" i="2"/>
  <c r="M421" i="2"/>
  <c r="Z421" i="2" s="1"/>
  <c r="J421" i="2"/>
  <c r="BF420" i="2"/>
  <c r="AV420" i="2"/>
  <c r="AW420" i="2" s="1"/>
  <c r="AX420" i="2" s="1"/>
  <c r="AU420" i="2"/>
  <c r="AS420" i="2"/>
  <c r="AT420" i="2" s="1"/>
  <c r="AR420" i="2"/>
  <c r="AQ420" i="2"/>
  <c r="AA420" i="2"/>
  <c r="V420" i="2"/>
  <c r="U420" i="2"/>
  <c r="T420" i="2"/>
  <c r="S420" i="2"/>
  <c r="R420" i="2"/>
  <c r="M420" i="2"/>
  <c r="BF419" i="2"/>
  <c r="AR419" i="2"/>
  <c r="AQ419" i="2"/>
  <c r="AA419" i="2"/>
  <c r="Z419" i="2"/>
  <c r="X419" i="2"/>
  <c r="W419" i="2"/>
  <c r="V419" i="2"/>
  <c r="U419" i="2"/>
  <c r="AP419" i="2" s="1"/>
  <c r="T419" i="2"/>
  <c r="S419" i="2"/>
  <c r="R419" i="2"/>
  <c r="M419" i="2"/>
  <c r="J419" i="2" s="1"/>
  <c r="BF418" i="2"/>
  <c r="AT418" i="2"/>
  <c r="AU418" i="2" s="1"/>
  <c r="AV418" i="2" s="1"/>
  <c r="AS418" i="2"/>
  <c r="AR418" i="2"/>
  <c r="AW418" i="2" s="1"/>
  <c r="AX418" i="2" s="1"/>
  <c r="AQ418" i="2"/>
  <c r="AA418" i="2"/>
  <c r="X418" i="2"/>
  <c r="W418" i="2"/>
  <c r="V418" i="2"/>
  <c r="U418" i="2"/>
  <c r="T418" i="2"/>
  <c r="S418" i="2"/>
  <c r="R418" i="2"/>
  <c r="M418" i="2"/>
  <c r="Z418" i="2" s="1"/>
  <c r="J418" i="2"/>
  <c r="AO418" i="2" s="1"/>
  <c r="BF417" i="2"/>
  <c r="AR417" i="2"/>
  <c r="AS417" i="2" s="1"/>
  <c r="AT417" i="2" s="1"/>
  <c r="AU417" i="2" s="1"/>
  <c r="AV417" i="2" s="1"/>
  <c r="AQ417" i="2"/>
  <c r="AO417" i="2"/>
  <c r="AA417" i="2"/>
  <c r="Z417" i="2"/>
  <c r="X417" i="2"/>
  <c r="W417" i="2"/>
  <c r="V417" i="2"/>
  <c r="U417" i="2"/>
  <c r="AP417" i="2" s="1"/>
  <c r="T417" i="2"/>
  <c r="S417" i="2"/>
  <c r="R417" i="2"/>
  <c r="M417" i="2"/>
  <c r="J417" i="2" s="1"/>
  <c r="BF416" i="2"/>
  <c r="AR416" i="2"/>
  <c r="AQ416" i="2"/>
  <c r="AP416" i="2"/>
  <c r="AA416" i="2"/>
  <c r="W416" i="2"/>
  <c r="V416" i="2"/>
  <c r="U416" i="2"/>
  <c r="X416" i="2" s="1"/>
  <c r="T416" i="2"/>
  <c r="S416" i="2"/>
  <c r="R416" i="2"/>
  <c r="M416" i="2"/>
  <c r="Z416" i="2" s="1"/>
  <c r="J416" i="2"/>
  <c r="AO416" i="2" s="1"/>
  <c r="BF415" i="2"/>
  <c r="AU415" i="2"/>
  <c r="AT415" i="2"/>
  <c r="AS415" i="2"/>
  <c r="AR415" i="2"/>
  <c r="AQ415" i="2"/>
  <c r="AA415" i="2"/>
  <c r="Z415" i="2"/>
  <c r="V415" i="2"/>
  <c r="U415" i="2"/>
  <c r="T415" i="2"/>
  <c r="S415" i="2"/>
  <c r="R415" i="2"/>
  <c r="M415" i="2"/>
  <c r="J415" i="2"/>
  <c r="BF414" i="2"/>
  <c r="AW414" i="2"/>
  <c r="AX414" i="2" s="1"/>
  <c r="AT414" i="2"/>
  <c r="AU414" i="2" s="1"/>
  <c r="AV414" i="2" s="1"/>
  <c r="AS414" i="2"/>
  <c r="AR414" i="2"/>
  <c r="AQ414" i="2"/>
  <c r="AA414" i="2"/>
  <c r="Z414" i="2"/>
  <c r="V414" i="2"/>
  <c r="U414" i="2"/>
  <c r="AP414" i="2" s="1"/>
  <c r="T414" i="2"/>
  <c r="S414" i="2"/>
  <c r="R414" i="2"/>
  <c r="M414" i="2"/>
  <c r="J414" i="2"/>
  <c r="BF413" i="2"/>
  <c r="AR413" i="2"/>
  <c r="AQ413" i="2"/>
  <c r="AA413" i="2"/>
  <c r="Z413" i="2"/>
  <c r="V413" i="2"/>
  <c r="U413" i="2"/>
  <c r="T413" i="2"/>
  <c r="S413" i="2"/>
  <c r="R413" i="2"/>
  <c r="M413" i="2"/>
  <c r="J413" i="2"/>
  <c r="BF412" i="2"/>
  <c r="AV412" i="2"/>
  <c r="AU412" i="2"/>
  <c r="AS412" i="2"/>
  <c r="AT412" i="2" s="1"/>
  <c r="AR412" i="2"/>
  <c r="AQ412" i="2"/>
  <c r="AO412" i="2"/>
  <c r="AA412" i="2"/>
  <c r="Z412" i="2"/>
  <c r="V412" i="2"/>
  <c r="U412" i="2"/>
  <c r="X412" i="2" s="1"/>
  <c r="T412" i="2"/>
  <c r="S412" i="2"/>
  <c r="R412" i="2"/>
  <c r="M412" i="2"/>
  <c r="J412" i="2" s="1"/>
  <c r="AP412" i="2" s="1"/>
  <c r="BF411" i="2"/>
  <c r="AR411" i="2"/>
  <c r="AQ411" i="2"/>
  <c r="AP411" i="2"/>
  <c r="AO411" i="2"/>
  <c r="AA411" i="2"/>
  <c r="X411" i="2"/>
  <c r="W411" i="2"/>
  <c r="V411" i="2"/>
  <c r="U411" i="2"/>
  <c r="T411" i="2"/>
  <c r="S411" i="2"/>
  <c r="R411" i="2"/>
  <c r="M411" i="2"/>
  <c r="J411" i="2" s="1"/>
  <c r="BF410" i="2"/>
  <c r="AR410" i="2"/>
  <c r="AS410" i="2" s="1"/>
  <c r="AQ410" i="2"/>
  <c r="AA410" i="2"/>
  <c r="V410" i="2"/>
  <c r="U410" i="2"/>
  <c r="T410" i="2"/>
  <c r="S410" i="2"/>
  <c r="R410" i="2"/>
  <c r="M410" i="2"/>
  <c r="Z410" i="2" s="1"/>
  <c r="J410" i="2"/>
  <c r="BF409" i="2"/>
  <c r="AR409" i="2"/>
  <c r="AQ409" i="2"/>
  <c r="AA409" i="2"/>
  <c r="Z409" i="2"/>
  <c r="X409" i="2"/>
  <c r="W409" i="2"/>
  <c r="V409" i="2"/>
  <c r="U409" i="2"/>
  <c r="AP409" i="2" s="1"/>
  <c r="T409" i="2"/>
  <c r="S409" i="2"/>
  <c r="R409" i="2"/>
  <c r="M409" i="2"/>
  <c r="J409" i="2" s="1"/>
  <c r="BF408" i="2"/>
  <c r="AR408" i="2"/>
  <c r="AQ408" i="2"/>
  <c r="AO408" i="2"/>
  <c r="AA408" i="2"/>
  <c r="Z408" i="2"/>
  <c r="W408" i="2"/>
  <c r="V408" i="2"/>
  <c r="U408" i="2"/>
  <c r="X408" i="2" s="1"/>
  <c r="T408" i="2"/>
  <c r="S408" i="2"/>
  <c r="R408" i="2"/>
  <c r="M408" i="2"/>
  <c r="J408" i="2"/>
  <c r="AP408" i="2" s="1"/>
  <c r="BF407" i="2"/>
  <c r="AT407" i="2"/>
  <c r="AS407" i="2"/>
  <c r="AR407" i="2"/>
  <c r="AQ407" i="2"/>
  <c r="AA407" i="2"/>
  <c r="V407" i="2"/>
  <c r="U407" i="2"/>
  <c r="T407" i="2"/>
  <c r="S407" i="2"/>
  <c r="R407" i="2"/>
  <c r="M407" i="2"/>
  <c r="Z407" i="2" s="1"/>
  <c r="BF406" i="2"/>
  <c r="AS406" i="2"/>
  <c r="AT406" i="2" s="1"/>
  <c r="AR406" i="2"/>
  <c r="AQ406" i="2"/>
  <c r="AA406" i="2"/>
  <c r="X406" i="2"/>
  <c r="V406" i="2"/>
  <c r="U406" i="2"/>
  <c r="AP406" i="2" s="1"/>
  <c r="T406" i="2"/>
  <c r="S406" i="2"/>
  <c r="R406" i="2"/>
  <c r="M406" i="2"/>
  <c r="Z406" i="2" s="1"/>
  <c r="J406" i="2"/>
  <c r="BF405" i="2"/>
  <c r="AR405" i="2"/>
  <c r="AS405" i="2" s="1"/>
  <c r="AQ405" i="2"/>
  <c r="AA405" i="2"/>
  <c r="Z405" i="2"/>
  <c r="V405" i="2"/>
  <c r="W405" i="2" s="1"/>
  <c r="U405" i="2"/>
  <c r="X405" i="2" s="1"/>
  <c r="T405" i="2"/>
  <c r="S405" i="2"/>
  <c r="R405" i="2"/>
  <c r="M405" i="2"/>
  <c r="J405" i="2" s="1"/>
  <c r="BF404" i="2"/>
  <c r="AS404" i="2"/>
  <c r="AT404" i="2" s="1"/>
  <c r="AU404" i="2" s="1"/>
  <c r="AV404" i="2" s="1"/>
  <c r="AR404" i="2"/>
  <c r="AQ404" i="2"/>
  <c r="AO404" i="2"/>
  <c r="AA404" i="2"/>
  <c r="X404" i="2"/>
  <c r="W404" i="2"/>
  <c r="V404" i="2"/>
  <c r="U404" i="2"/>
  <c r="T404" i="2"/>
  <c r="S404" i="2"/>
  <c r="R404" i="2"/>
  <c r="M404" i="2"/>
  <c r="J404" i="2" s="1"/>
  <c r="AP404" i="2" s="1"/>
  <c r="BF403" i="2"/>
  <c r="AR403" i="2"/>
  <c r="AQ403" i="2"/>
  <c r="AP403" i="2"/>
  <c r="AA403" i="2"/>
  <c r="AO403" i="2" s="1"/>
  <c r="V403" i="2"/>
  <c r="U403" i="2"/>
  <c r="X403" i="2" s="1"/>
  <c r="T403" i="2"/>
  <c r="S403" i="2"/>
  <c r="R403" i="2"/>
  <c r="M403" i="2"/>
  <c r="J403" i="2" s="1"/>
  <c r="BF402" i="2"/>
  <c r="AS402" i="2"/>
  <c r="AR402" i="2"/>
  <c r="AQ402" i="2"/>
  <c r="AA402" i="2"/>
  <c r="Z402" i="2"/>
  <c r="W402" i="2"/>
  <c r="V402" i="2"/>
  <c r="U402" i="2"/>
  <c r="AP402" i="2" s="1"/>
  <c r="T402" i="2"/>
  <c r="S402" i="2"/>
  <c r="R402" i="2"/>
  <c r="M402" i="2"/>
  <c r="J402" i="2"/>
  <c r="BF401" i="2"/>
  <c r="AR401" i="2"/>
  <c r="AQ401" i="2"/>
  <c r="AA401" i="2"/>
  <c r="Z401" i="2"/>
  <c r="X401" i="2"/>
  <c r="W401" i="2"/>
  <c r="V401" i="2"/>
  <c r="U401" i="2"/>
  <c r="AP401" i="2" s="1"/>
  <c r="T401" i="2"/>
  <c r="S401" i="2"/>
  <c r="R401" i="2"/>
  <c r="M401" i="2"/>
  <c r="J401" i="2" s="1"/>
  <c r="BF400" i="2"/>
  <c r="AR400" i="2"/>
  <c r="AQ400" i="2"/>
  <c r="AA400" i="2"/>
  <c r="X400" i="2"/>
  <c r="W400" i="2"/>
  <c r="V400" i="2"/>
  <c r="U400" i="2"/>
  <c r="T400" i="2"/>
  <c r="S400" i="2"/>
  <c r="R400" i="2"/>
  <c r="M400" i="2"/>
  <c r="J400" i="2" s="1"/>
  <c r="BF399" i="2"/>
  <c r="AR399" i="2"/>
  <c r="AQ399" i="2"/>
  <c r="AA399" i="2"/>
  <c r="V399" i="2"/>
  <c r="U399" i="2"/>
  <c r="T399" i="2"/>
  <c r="S399" i="2"/>
  <c r="R399" i="2"/>
  <c r="M399" i="2"/>
  <c r="Z399" i="2" s="1"/>
  <c r="J399" i="2"/>
  <c r="BF398" i="2"/>
  <c r="AT398" i="2"/>
  <c r="AS398" i="2"/>
  <c r="AR398" i="2"/>
  <c r="AQ398" i="2"/>
  <c r="AA398" i="2"/>
  <c r="V398" i="2"/>
  <c r="U398" i="2"/>
  <c r="AP398" i="2" s="1"/>
  <c r="T398" i="2"/>
  <c r="S398" i="2"/>
  <c r="R398" i="2"/>
  <c r="M398" i="2"/>
  <c r="Z398" i="2" s="1"/>
  <c r="J398" i="2"/>
  <c r="BF397" i="2"/>
  <c r="AS397" i="2"/>
  <c r="AT397" i="2" s="1"/>
  <c r="AU397" i="2" s="1"/>
  <c r="AV397" i="2" s="1"/>
  <c r="AR397" i="2"/>
  <c r="AW397" i="2" s="1"/>
  <c r="AX397" i="2" s="1"/>
  <c r="AQ397" i="2"/>
  <c r="AA397" i="2"/>
  <c r="Z397" i="2"/>
  <c r="V397" i="2"/>
  <c r="U397" i="2"/>
  <c r="X397" i="2" s="1"/>
  <c r="T397" i="2"/>
  <c r="S397" i="2"/>
  <c r="R397" i="2"/>
  <c r="M397" i="2"/>
  <c r="J397" i="2"/>
  <c r="BF396" i="2"/>
  <c r="AS396" i="2"/>
  <c r="AR396" i="2"/>
  <c r="AQ396" i="2"/>
  <c r="AA396" i="2"/>
  <c r="V396" i="2"/>
  <c r="U396" i="2"/>
  <c r="X396" i="2" s="1"/>
  <c r="T396" i="2"/>
  <c r="S396" i="2"/>
  <c r="R396" i="2"/>
  <c r="M396" i="2"/>
  <c r="Z396" i="2" s="1"/>
  <c r="BF395" i="2"/>
  <c r="AR395" i="2"/>
  <c r="AQ395" i="2"/>
  <c r="AA395" i="2"/>
  <c r="X395" i="2"/>
  <c r="V395" i="2"/>
  <c r="U395" i="2"/>
  <c r="AP395" i="2" s="1"/>
  <c r="T395" i="2"/>
  <c r="S395" i="2"/>
  <c r="R395" i="2"/>
  <c r="M395" i="2"/>
  <c r="J395" i="2" s="1"/>
  <c r="BF394" i="2"/>
  <c r="AR394" i="2"/>
  <c r="AS394" i="2" s="1"/>
  <c r="AT394" i="2" s="1"/>
  <c r="AU394" i="2" s="1"/>
  <c r="AV394" i="2" s="1"/>
  <c r="AW394" i="2" s="1"/>
  <c r="AX394" i="2" s="1"/>
  <c r="AQ394" i="2"/>
  <c r="AA394" i="2"/>
  <c r="Z394" i="2"/>
  <c r="X394" i="2"/>
  <c r="W394" i="2"/>
  <c r="V394" i="2"/>
  <c r="U394" i="2"/>
  <c r="AP394" i="2" s="1"/>
  <c r="T394" i="2"/>
  <c r="S394" i="2"/>
  <c r="R394" i="2"/>
  <c r="M394" i="2"/>
  <c r="J394" i="2"/>
  <c r="BF393" i="2"/>
  <c r="AU393" i="2"/>
  <c r="AV393" i="2" s="1"/>
  <c r="AW393" i="2" s="1"/>
  <c r="AX393" i="2" s="1"/>
  <c r="AS393" i="2"/>
  <c r="AT393" i="2" s="1"/>
  <c r="AR393" i="2"/>
  <c r="AQ393" i="2"/>
  <c r="AO393" i="2"/>
  <c r="AA393" i="2"/>
  <c r="X393" i="2"/>
  <c r="W393" i="2"/>
  <c r="V393" i="2"/>
  <c r="U393" i="2"/>
  <c r="T393" i="2"/>
  <c r="S393" i="2"/>
  <c r="R393" i="2"/>
  <c r="M393" i="2"/>
  <c r="J393" i="2" s="1"/>
  <c r="BF392" i="2"/>
  <c r="AS392" i="2"/>
  <c r="AT392" i="2" s="1"/>
  <c r="AU392" i="2" s="1"/>
  <c r="AV392" i="2" s="1"/>
  <c r="AR392" i="2"/>
  <c r="AQ392" i="2"/>
  <c r="AO392" i="2"/>
  <c r="AA392" i="2"/>
  <c r="V392" i="2"/>
  <c r="U392" i="2"/>
  <c r="X392" i="2" s="1"/>
  <c r="T392" i="2"/>
  <c r="S392" i="2"/>
  <c r="R392" i="2"/>
  <c r="M392" i="2"/>
  <c r="Z392" i="2" s="1"/>
  <c r="J392" i="2"/>
  <c r="BF391" i="2"/>
  <c r="AR391" i="2"/>
  <c r="AS391" i="2" s="1"/>
  <c r="AQ391" i="2"/>
  <c r="AA391" i="2"/>
  <c r="W391" i="2"/>
  <c r="V391" i="2"/>
  <c r="U391" i="2"/>
  <c r="T391" i="2"/>
  <c r="S391" i="2"/>
  <c r="R391" i="2"/>
  <c r="M391" i="2"/>
  <c r="Z391" i="2" s="1"/>
  <c r="J391" i="2"/>
  <c r="BF390" i="2"/>
  <c r="AT390" i="2"/>
  <c r="AU390" i="2" s="1"/>
  <c r="AV390" i="2" s="1"/>
  <c r="AS390" i="2"/>
  <c r="AW390" i="2" s="1"/>
  <c r="AX390" i="2" s="1"/>
  <c r="AR390" i="2"/>
  <c r="AQ390" i="2"/>
  <c r="AA390" i="2"/>
  <c r="Z390" i="2"/>
  <c r="X390" i="2"/>
  <c r="V390" i="2"/>
  <c r="U390" i="2"/>
  <c r="AP390" i="2" s="1"/>
  <c r="T390" i="2"/>
  <c r="S390" i="2"/>
  <c r="R390" i="2"/>
  <c r="M390" i="2"/>
  <c r="J390" i="2"/>
  <c r="BF389" i="2"/>
  <c r="AR389" i="2"/>
  <c r="AS389" i="2" s="1"/>
  <c r="AQ389" i="2"/>
  <c r="AA389" i="2"/>
  <c r="AO389" i="2" s="1"/>
  <c r="Z389" i="2"/>
  <c r="W389" i="2"/>
  <c r="V389" i="2"/>
  <c r="U389" i="2"/>
  <c r="X389" i="2" s="1"/>
  <c r="T389" i="2"/>
  <c r="S389" i="2"/>
  <c r="R389" i="2"/>
  <c r="M389" i="2"/>
  <c r="J389" i="2"/>
  <c r="AP389" i="2" s="1"/>
  <c r="BF388" i="2"/>
  <c r="AS388" i="2"/>
  <c r="AR388" i="2"/>
  <c r="AQ388" i="2"/>
  <c r="AA388" i="2"/>
  <c r="X388" i="2"/>
  <c r="V388" i="2"/>
  <c r="U388" i="2"/>
  <c r="AP388" i="2" s="1"/>
  <c r="T388" i="2"/>
  <c r="S388" i="2"/>
  <c r="R388" i="2"/>
  <c r="M388" i="2"/>
  <c r="Z388" i="2" s="1"/>
  <c r="J388" i="2"/>
  <c r="BF387" i="2"/>
  <c r="AR387" i="2"/>
  <c r="AS387" i="2" s="1"/>
  <c r="AT387" i="2" s="1"/>
  <c r="AU387" i="2" s="1"/>
  <c r="AV387" i="2" s="1"/>
  <c r="AQ387" i="2"/>
  <c r="AP387" i="2"/>
  <c r="AA387" i="2"/>
  <c r="Z387" i="2"/>
  <c r="V387" i="2"/>
  <c r="W387" i="2" s="1"/>
  <c r="U387" i="2"/>
  <c r="AO387" i="2" s="1"/>
  <c r="T387" i="2"/>
  <c r="S387" i="2"/>
  <c r="R387" i="2"/>
  <c r="M387" i="2"/>
  <c r="J387" i="2" s="1"/>
  <c r="BF386" i="2"/>
  <c r="AS386" i="2"/>
  <c r="AT386" i="2" s="1"/>
  <c r="AU386" i="2" s="1"/>
  <c r="AV386" i="2" s="1"/>
  <c r="AR386" i="2"/>
  <c r="AQ386" i="2"/>
  <c r="AA386" i="2"/>
  <c r="X386" i="2"/>
  <c r="W386" i="2"/>
  <c r="V386" i="2"/>
  <c r="U386" i="2"/>
  <c r="T386" i="2"/>
  <c r="S386" i="2"/>
  <c r="R386" i="2"/>
  <c r="M386" i="2"/>
  <c r="J386" i="2" s="1"/>
  <c r="BF385" i="2"/>
  <c r="AR385" i="2"/>
  <c r="AQ385" i="2"/>
  <c r="AO385" i="2"/>
  <c r="AA385" i="2"/>
  <c r="V385" i="2"/>
  <c r="U385" i="2"/>
  <c r="AP385" i="2" s="1"/>
  <c r="T385" i="2"/>
  <c r="S385" i="2"/>
  <c r="R385" i="2"/>
  <c r="M385" i="2"/>
  <c r="J385" i="2" s="1"/>
  <c r="BF384" i="2"/>
  <c r="AS384" i="2"/>
  <c r="AR384" i="2"/>
  <c r="AQ384" i="2"/>
  <c r="AA384" i="2"/>
  <c r="Z384" i="2"/>
  <c r="W384" i="2"/>
  <c r="V384" i="2"/>
  <c r="U384" i="2"/>
  <c r="AP384" i="2" s="1"/>
  <c r="T384" i="2"/>
  <c r="S384" i="2"/>
  <c r="R384" i="2"/>
  <c r="M384" i="2"/>
  <c r="J384" i="2"/>
  <c r="BF383" i="2"/>
  <c r="AS383" i="2"/>
  <c r="AT383" i="2" s="1"/>
  <c r="AU383" i="2" s="1"/>
  <c r="AV383" i="2" s="1"/>
  <c r="AR383" i="2"/>
  <c r="AW383" i="2" s="1"/>
  <c r="AX383" i="2" s="1"/>
  <c r="AQ383" i="2"/>
  <c r="AA383" i="2"/>
  <c r="Z383" i="2"/>
  <c r="W383" i="2"/>
  <c r="V383" i="2"/>
  <c r="U383" i="2"/>
  <c r="T383" i="2"/>
  <c r="S383" i="2"/>
  <c r="R383" i="2"/>
  <c r="M383" i="2"/>
  <c r="J383" i="2"/>
  <c r="BF382" i="2"/>
  <c r="AT382" i="2"/>
  <c r="AU382" i="2" s="1"/>
  <c r="AS382" i="2"/>
  <c r="AR382" i="2"/>
  <c r="AQ382" i="2"/>
  <c r="AP382" i="2"/>
  <c r="AA382" i="2"/>
  <c r="AO382" i="2" s="1"/>
  <c r="Z382" i="2"/>
  <c r="X382" i="2"/>
  <c r="W382" i="2"/>
  <c r="V382" i="2"/>
  <c r="U382" i="2"/>
  <c r="T382" i="2"/>
  <c r="S382" i="2"/>
  <c r="R382" i="2"/>
  <c r="M382" i="2"/>
  <c r="J382" i="2"/>
  <c r="BF381" i="2"/>
  <c r="AR381" i="2"/>
  <c r="AQ381" i="2"/>
  <c r="AA381" i="2"/>
  <c r="V381" i="2"/>
  <c r="W381" i="2" s="1"/>
  <c r="U381" i="2"/>
  <c r="X381" i="2" s="1"/>
  <c r="T381" i="2"/>
  <c r="S381" i="2"/>
  <c r="R381" i="2"/>
  <c r="M381" i="2"/>
  <c r="Z381" i="2" s="1"/>
  <c r="J381" i="2"/>
  <c r="AP381" i="2" s="1"/>
  <c r="BF380" i="2"/>
  <c r="AS380" i="2"/>
  <c r="AT380" i="2" s="1"/>
  <c r="AU380" i="2" s="1"/>
  <c r="AV380" i="2" s="1"/>
  <c r="AW380" i="2" s="1"/>
  <c r="AX380" i="2" s="1"/>
  <c r="AR380" i="2"/>
  <c r="AQ380" i="2"/>
  <c r="AA380" i="2"/>
  <c r="Z380" i="2"/>
  <c r="V380" i="2"/>
  <c r="W380" i="2" s="1"/>
  <c r="U380" i="2"/>
  <c r="T380" i="2"/>
  <c r="S380" i="2"/>
  <c r="R380" i="2"/>
  <c r="M380" i="2"/>
  <c r="J380" i="2" s="1"/>
  <c r="AP380" i="2" s="1"/>
  <c r="BF379" i="2"/>
  <c r="AR379" i="2"/>
  <c r="AQ379" i="2"/>
  <c r="AA379" i="2"/>
  <c r="AO379" i="2" s="1"/>
  <c r="Z379" i="2"/>
  <c r="X379" i="2"/>
  <c r="V379" i="2"/>
  <c r="W379" i="2" s="1"/>
  <c r="U379" i="2"/>
  <c r="T379" i="2"/>
  <c r="S379" i="2"/>
  <c r="R379" i="2"/>
  <c r="M379" i="2"/>
  <c r="J379" i="2" s="1"/>
  <c r="AP379" i="2" s="1"/>
  <c r="BF378" i="2"/>
  <c r="AS378" i="2"/>
  <c r="AT378" i="2" s="1"/>
  <c r="AU378" i="2" s="1"/>
  <c r="AV378" i="2" s="1"/>
  <c r="AR378" i="2"/>
  <c r="AQ378" i="2"/>
  <c r="AO378" i="2"/>
  <c r="AA378" i="2"/>
  <c r="V378" i="2"/>
  <c r="U378" i="2"/>
  <c r="T378" i="2"/>
  <c r="S378" i="2"/>
  <c r="R378" i="2"/>
  <c r="M378" i="2"/>
  <c r="Z378" i="2" s="1"/>
  <c r="J378" i="2"/>
  <c r="BF377" i="2"/>
  <c r="AU377" i="2"/>
  <c r="AS377" i="2"/>
  <c r="AT377" i="2" s="1"/>
  <c r="AR377" i="2"/>
  <c r="AQ377" i="2"/>
  <c r="AA377" i="2"/>
  <c r="Z377" i="2"/>
  <c r="W377" i="2"/>
  <c r="V377" i="2"/>
  <c r="U377" i="2"/>
  <c r="T377" i="2"/>
  <c r="S377" i="2"/>
  <c r="R377" i="2"/>
  <c r="M377" i="2"/>
  <c r="J377" i="2" s="1"/>
  <c r="BF376" i="2"/>
  <c r="AR376" i="2"/>
  <c r="AQ376" i="2"/>
  <c r="AA376" i="2"/>
  <c r="Z376" i="2"/>
  <c r="X376" i="2"/>
  <c r="W376" i="2"/>
  <c r="V376" i="2"/>
  <c r="U376" i="2"/>
  <c r="AP376" i="2" s="1"/>
  <c r="T376" i="2"/>
  <c r="S376" i="2"/>
  <c r="R376" i="2"/>
  <c r="M376" i="2"/>
  <c r="J376" i="2"/>
  <c r="BF375" i="2"/>
  <c r="AW375" i="2"/>
  <c r="AX375" i="2" s="1"/>
  <c r="AR375" i="2"/>
  <c r="AS375" i="2" s="1"/>
  <c r="AT375" i="2" s="1"/>
  <c r="AU375" i="2" s="1"/>
  <c r="AV375" i="2" s="1"/>
  <c r="AQ375" i="2"/>
  <c r="AA375" i="2"/>
  <c r="AO375" i="2" s="1"/>
  <c r="Z375" i="2"/>
  <c r="W375" i="2"/>
  <c r="V375" i="2"/>
  <c r="U375" i="2"/>
  <c r="X375" i="2" s="1"/>
  <c r="T375" i="2"/>
  <c r="S375" i="2"/>
  <c r="R375" i="2"/>
  <c r="M375" i="2"/>
  <c r="J375" i="2"/>
  <c r="AP375" i="2" s="1"/>
  <c r="BF374" i="2"/>
  <c r="AS374" i="2"/>
  <c r="AR374" i="2"/>
  <c r="AQ374" i="2"/>
  <c r="AA374" i="2"/>
  <c r="X374" i="2"/>
  <c r="V374" i="2"/>
  <c r="U374" i="2"/>
  <c r="T374" i="2"/>
  <c r="S374" i="2"/>
  <c r="R374" i="2"/>
  <c r="M374" i="2"/>
  <c r="Z374" i="2" s="1"/>
  <c r="J374" i="2"/>
  <c r="BF373" i="2"/>
  <c r="AR373" i="2"/>
  <c r="AS373" i="2" s="1"/>
  <c r="AT373" i="2" s="1"/>
  <c r="AU373" i="2" s="1"/>
  <c r="AV373" i="2" s="1"/>
  <c r="AQ373" i="2"/>
  <c r="AA373" i="2"/>
  <c r="Z373" i="2"/>
  <c r="X373" i="2"/>
  <c r="W373" i="2"/>
  <c r="V373" i="2"/>
  <c r="U373" i="2"/>
  <c r="T373" i="2"/>
  <c r="S373" i="2"/>
  <c r="R373" i="2"/>
  <c r="M373" i="2"/>
  <c r="J373" i="2"/>
  <c r="BF372" i="2"/>
  <c r="AR372" i="2"/>
  <c r="AS372" i="2" s="1"/>
  <c r="AT372" i="2" s="1"/>
  <c r="AU372" i="2" s="1"/>
  <c r="AV372" i="2" s="1"/>
  <c r="AQ372" i="2"/>
  <c r="AO372" i="2"/>
  <c r="AA372" i="2"/>
  <c r="Z372" i="2"/>
  <c r="V372" i="2"/>
  <c r="U372" i="2"/>
  <c r="X372" i="2" s="1"/>
  <c r="T372" i="2"/>
  <c r="S372" i="2"/>
  <c r="R372" i="2"/>
  <c r="M372" i="2"/>
  <c r="J372" i="2" s="1"/>
  <c r="AP372" i="2" s="1"/>
  <c r="BF371" i="2"/>
  <c r="AR371" i="2"/>
  <c r="AQ371" i="2"/>
  <c r="AA371" i="2"/>
  <c r="X371" i="2"/>
  <c r="V371" i="2"/>
  <c r="U371" i="2"/>
  <c r="AP371" i="2" s="1"/>
  <c r="T371" i="2"/>
  <c r="S371" i="2"/>
  <c r="R371" i="2"/>
  <c r="M371" i="2"/>
  <c r="J371" i="2" s="1"/>
  <c r="BF370" i="2"/>
  <c r="AR370" i="2"/>
  <c r="AS370" i="2" s="1"/>
  <c r="AT370" i="2" s="1"/>
  <c r="AU370" i="2" s="1"/>
  <c r="AV370" i="2" s="1"/>
  <c r="AQ370" i="2"/>
  <c r="AA370" i="2"/>
  <c r="Z370" i="2"/>
  <c r="V370" i="2"/>
  <c r="U370" i="2"/>
  <c r="T370" i="2"/>
  <c r="S370" i="2"/>
  <c r="R370" i="2"/>
  <c r="M370" i="2"/>
  <c r="J370" i="2"/>
  <c r="BF369" i="2"/>
  <c r="AW369" i="2"/>
  <c r="AX369" i="2" s="1"/>
  <c r="AR369" i="2"/>
  <c r="AS369" i="2" s="1"/>
  <c r="AT369" i="2" s="1"/>
  <c r="AU369" i="2" s="1"/>
  <c r="AV369" i="2" s="1"/>
  <c r="AQ369" i="2"/>
  <c r="AA369" i="2"/>
  <c r="Z369" i="2"/>
  <c r="V369" i="2"/>
  <c r="U369" i="2"/>
  <c r="X369" i="2" s="1"/>
  <c r="T369" i="2"/>
  <c r="S369" i="2"/>
  <c r="R369" i="2"/>
  <c r="M369" i="2"/>
  <c r="J369" i="2" s="1"/>
  <c r="BF368" i="2"/>
  <c r="AU368" i="2"/>
  <c r="AV368" i="2" s="1"/>
  <c r="AT368" i="2"/>
  <c r="AS368" i="2"/>
  <c r="AR368" i="2"/>
  <c r="AQ368" i="2"/>
  <c r="AA368" i="2"/>
  <c r="W368" i="2"/>
  <c r="V368" i="2"/>
  <c r="U368" i="2"/>
  <c r="T368" i="2"/>
  <c r="S368" i="2"/>
  <c r="R368" i="2"/>
  <c r="M368" i="2"/>
  <c r="BF367" i="2"/>
  <c r="AS367" i="2"/>
  <c r="AT367" i="2" s="1"/>
  <c r="AU367" i="2" s="1"/>
  <c r="AV367" i="2" s="1"/>
  <c r="AR367" i="2"/>
  <c r="AQ367" i="2"/>
  <c r="AA367" i="2"/>
  <c r="Z367" i="2"/>
  <c r="V367" i="2"/>
  <c r="U367" i="2"/>
  <c r="T367" i="2"/>
  <c r="S367" i="2"/>
  <c r="R367" i="2"/>
  <c r="M367" i="2"/>
  <c r="J367" i="2"/>
  <c r="BF366" i="2"/>
  <c r="AV366" i="2"/>
  <c r="AW366" i="2" s="1"/>
  <c r="AX366" i="2" s="1"/>
  <c r="AT366" i="2"/>
  <c r="AU366" i="2" s="1"/>
  <c r="AS366" i="2"/>
  <c r="AR366" i="2"/>
  <c r="AQ366" i="2"/>
  <c r="AA366" i="2"/>
  <c r="V366" i="2"/>
  <c r="U366" i="2"/>
  <c r="T366" i="2"/>
  <c r="S366" i="2"/>
  <c r="R366" i="2"/>
  <c r="M366" i="2"/>
  <c r="Z366" i="2" s="1"/>
  <c r="J366" i="2"/>
  <c r="BF365" i="2"/>
  <c r="AR365" i="2"/>
  <c r="AS365" i="2" s="1"/>
  <c r="AT365" i="2" s="1"/>
  <c r="AU365" i="2" s="1"/>
  <c r="AV365" i="2" s="1"/>
  <c r="AQ365" i="2"/>
  <c r="AA365" i="2"/>
  <c r="Z365" i="2"/>
  <c r="V365" i="2"/>
  <c r="U365" i="2"/>
  <c r="T365" i="2"/>
  <c r="S365" i="2"/>
  <c r="R365" i="2"/>
  <c r="M365" i="2"/>
  <c r="J365" i="2" s="1"/>
  <c r="BF364" i="2"/>
  <c r="AR364" i="2"/>
  <c r="AQ364" i="2"/>
  <c r="AA364" i="2"/>
  <c r="AO364" i="2" s="1"/>
  <c r="Z364" i="2"/>
  <c r="X364" i="2"/>
  <c r="W364" i="2"/>
  <c r="V364" i="2"/>
  <c r="U364" i="2"/>
  <c r="T364" i="2"/>
  <c r="S364" i="2"/>
  <c r="R364" i="2"/>
  <c r="M364" i="2"/>
  <c r="J364" i="2" s="1"/>
  <c r="AP364" i="2" s="1"/>
  <c r="BF363" i="2"/>
  <c r="AR363" i="2"/>
  <c r="AQ363" i="2"/>
  <c r="AA363" i="2"/>
  <c r="V363" i="2"/>
  <c r="U363" i="2"/>
  <c r="T363" i="2"/>
  <c r="S363" i="2"/>
  <c r="R363" i="2"/>
  <c r="M363" i="2"/>
  <c r="Z363" i="2" s="1"/>
  <c r="BF362" i="2"/>
  <c r="AW362" i="2"/>
  <c r="AX362" i="2" s="1"/>
  <c r="AR362" i="2"/>
  <c r="AS362" i="2" s="1"/>
  <c r="AT362" i="2" s="1"/>
  <c r="AU362" i="2" s="1"/>
  <c r="AV362" i="2" s="1"/>
  <c r="AQ362" i="2"/>
  <c r="AA362" i="2"/>
  <c r="Z362" i="2"/>
  <c r="V362" i="2"/>
  <c r="U362" i="2"/>
  <c r="T362" i="2"/>
  <c r="S362" i="2"/>
  <c r="R362" i="2"/>
  <c r="M362" i="2"/>
  <c r="J362" i="2"/>
  <c r="BF361" i="2"/>
  <c r="AR361" i="2"/>
  <c r="AS361" i="2" s="1"/>
  <c r="AT361" i="2" s="1"/>
  <c r="AU361" i="2" s="1"/>
  <c r="AV361" i="2" s="1"/>
  <c r="AQ361" i="2"/>
  <c r="AP361" i="2"/>
  <c r="AA361" i="2"/>
  <c r="AO361" i="2" s="1"/>
  <c r="Z361" i="2"/>
  <c r="V361" i="2"/>
  <c r="U361" i="2"/>
  <c r="X361" i="2" s="1"/>
  <c r="T361" i="2"/>
  <c r="S361" i="2"/>
  <c r="R361" i="2"/>
  <c r="M361" i="2"/>
  <c r="J361" i="2"/>
  <c r="BF360" i="2"/>
  <c r="AS360" i="2"/>
  <c r="AR360" i="2"/>
  <c r="AQ360" i="2"/>
  <c r="AA360" i="2"/>
  <c r="V360" i="2"/>
  <c r="W360" i="2" s="1"/>
  <c r="U360" i="2"/>
  <c r="T360" i="2"/>
  <c r="S360" i="2"/>
  <c r="R360" i="2"/>
  <c r="M360" i="2"/>
  <c r="Z360" i="2" s="1"/>
  <c r="J360" i="2"/>
  <c r="BF359" i="2"/>
  <c r="AS359" i="2"/>
  <c r="AT359" i="2" s="1"/>
  <c r="AU359" i="2" s="1"/>
  <c r="AV359" i="2" s="1"/>
  <c r="AR359" i="2"/>
  <c r="AQ359" i="2"/>
  <c r="AP359" i="2"/>
  <c r="AA359" i="2"/>
  <c r="Z359" i="2"/>
  <c r="X359" i="2"/>
  <c r="W359" i="2"/>
  <c r="V359" i="2"/>
  <c r="U359" i="2"/>
  <c r="T359" i="2"/>
  <c r="S359" i="2"/>
  <c r="R359" i="2"/>
  <c r="M359" i="2"/>
  <c r="J359" i="2"/>
  <c r="BF358" i="2"/>
  <c r="AR358" i="2"/>
  <c r="AQ358" i="2"/>
  <c r="AA358" i="2"/>
  <c r="V358" i="2"/>
  <c r="U358" i="2"/>
  <c r="T358" i="2"/>
  <c r="S358" i="2"/>
  <c r="R358" i="2"/>
  <c r="M358" i="2"/>
  <c r="Z358" i="2" s="1"/>
  <c r="J358" i="2"/>
  <c r="AO358" i="2" s="1"/>
  <c r="BF357" i="2"/>
  <c r="AU357" i="2"/>
  <c r="AR357" i="2"/>
  <c r="AS357" i="2" s="1"/>
  <c r="AT357" i="2" s="1"/>
  <c r="AQ357" i="2"/>
  <c r="AA357" i="2"/>
  <c r="V357" i="2"/>
  <c r="U357" i="2"/>
  <c r="W357" i="2" s="1"/>
  <c r="T357" i="2"/>
  <c r="S357" i="2"/>
  <c r="R357" i="2"/>
  <c r="M357" i="2"/>
  <c r="J357" i="2" s="1"/>
  <c r="AP357" i="2" s="1"/>
  <c r="BF356" i="2"/>
  <c r="AR356" i="2"/>
  <c r="AQ356" i="2"/>
  <c r="AP356" i="2"/>
  <c r="AO356" i="2"/>
  <c r="AA356" i="2"/>
  <c r="X356" i="2"/>
  <c r="W356" i="2"/>
  <c r="V356" i="2"/>
  <c r="U356" i="2"/>
  <c r="T356" i="2"/>
  <c r="S356" i="2"/>
  <c r="R356" i="2"/>
  <c r="M356" i="2"/>
  <c r="BF355" i="2"/>
  <c r="AS355" i="2"/>
  <c r="AR355" i="2"/>
  <c r="AQ355" i="2"/>
  <c r="AA355" i="2"/>
  <c r="Z355" i="2"/>
  <c r="V355" i="2"/>
  <c r="U355" i="2"/>
  <c r="T355" i="2"/>
  <c r="S355" i="2"/>
  <c r="R355" i="2"/>
  <c r="M355" i="2"/>
  <c r="J355" i="2"/>
  <c r="BF354" i="2"/>
  <c r="AR354" i="2"/>
  <c r="AQ354" i="2"/>
  <c r="AA354" i="2"/>
  <c r="Z354" i="2"/>
  <c r="W354" i="2"/>
  <c r="V354" i="2"/>
  <c r="U354" i="2"/>
  <c r="T354" i="2"/>
  <c r="S354" i="2"/>
  <c r="R354" i="2"/>
  <c r="M354" i="2"/>
  <c r="J354" i="2"/>
  <c r="BF353" i="2"/>
  <c r="AR353" i="2"/>
  <c r="AQ353" i="2"/>
  <c r="AP353" i="2"/>
  <c r="AA353" i="2"/>
  <c r="AO353" i="2" s="1"/>
  <c r="V353" i="2"/>
  <c r="U353" i="2"/>
  <c r="T353" i="2"/>
  <c r="S353" i="2"/>
  <c r="R353" i="2"/>
  <c r="M353" i="2"/>
  <c r="Z353" i="2" s="1"/>
  <c r="J353" i="2"/>
  <c r="BF352" i="2"/>
  <c r="AS352" i="2"/>
  <c r="AR352" i="2"/>
  <c r="AQ352" i="2"/>
  <c r="AA352" i="2"/>
  <c r="AO352" i="2" s="1"/>
  <c r="V352" i="2"/>
  <c r="U352" i="2"/>
  <c r="T352" i="2"/>
  <c r="S352" i="2"/>
  <c r="R352" i="2"/>
  <c r="M352" i="2"/>
  <c r="Z352" i="2" s="1"/>
  <c r="J352" i="2"/>
  <c r="BF351" i="2"/>
  <c r="AS351" i="2"/>
  <c r="AT351" i="2" s="1"/>
  <c r="AU351" i="2" s="1"/>
  <c r="AV351" i="2" s="1"/>
  <c r="AR351" i="2"/>
  <c r="AQ351" i="2"/>
  <c r="AA351" i="2"/>
  <c r="V351" i="2"/>
  <c r="U351" i="2"/>
  <c r="T351" i="2"/>
  <c r="S351" i="2"/>
  <c r="R351" i="2"/>
  <c r="M351" i="2"/>
  <c r="Z351" i="2" s="1"/>
  <c r="J351" i="2"/>
  <c r="BF350" i="2"/>
  <c r="AR350" i="2"/>
  <c r="AQ350" i="2"/>
  <c r="AA350" i="2"/>
  <c r="V350" i="2"/>
  <c r="U350" i="2"/>
  <c r="X350" i="2" s="1"/>
  <c r="T350" i="2"/>
  <c r="S350" i="2"/>
  <c r="R350" i="2"/>
  <c r="M350" i="2"/>
  <c r="Z350" i="2" s="1"/>
  <c r="J350" i="2"/>
  <c r="BF349" i="2"/>
  <c r="AR349" i="2"/>
  <c r="AS349" i="2" s="1"/>
  <c r="AT349" i="2" s="1"/>
  <c r="AU349" i="2" s="1"/>
  <c r="AV349" i="2" s="1"/>
  <c r="AQ349" i="2"/>
  <c r="AP349" i="2"/>
  <c r="AO349" i="2"/>
  <c r="AA349" i="2"/>
  <c r="Z349" i="2"/>
  <c r="X349" i="2"/>
  <c r="V349" i="2"/>
  <c r="W349" i="2" s="1"/>
  <c r="U349" i="2"/>
  <c r="T349" i="2"/>
  <c r="S349" i="2"/>
  <c r="R349" i="2"/>
  <c r="M349" i="2"/>
  <c r="J349" i="2" s="1"/>
  <c r="BF348" i="2"/>
  <c r="AS348" i="2"/>
  <c r="AT348" i="2" s="1"/>
  <c r="AU348" i="2" s="1"/>
  <c r="AV348" i="2" s="1"/>
  <c r="AR348" i="2"/>
  <c r="AQ348" i="2"/>
  <c r="AP348" i="2"/>
  <c r="AA348" i="2"/>
  <c r="AO348" i="2" s="1"/>
  <c r="Z348" i="2"/>
  <c r="X348" i="2"/>
  <c r="W348" i="2"/>
  <c r="V348" i="2"/>
  <c r="U348" i="2"/>
  <c r="T348" i="2"/>
  <c r="S348" i="2"/>
  <c r="R348" i="2"/>
  <c r="M348" i="2"/>
  <c r="J348" i="2" s="1"/>
  <c r="BF347" i="2"/>
  <c r="AR347" i="2"/>
  <c r="AQ347" i="2"/>
  <c r="AA347" i="2"/>
  <c r="Z347" i="2"/>
  <c r="V347" i="2"/>
  <c r="U347" i="2"/>
  <c r="T347" i="2"/>
  <c r="S347" i="2"/>
  <c r="R347" i="2"/>
  <c r="M347" i="2"/>
  <c r="J347" i="2"/>
  <c r="BF346" i="2"/>
  <c r="AT346" i="2"/>
  <c r="AU346" i="2" s="1"/>
  <c r="AV346" i="2" s="1"/>
  <c r="AR346" i="2"/>
  <c r="AS346" i="2" s="1"/>
  <c r="AW346" i="2" s="1"/>
  <c r="AX346" i="2" s="1"/>
  <c r="AQ346" i="2"/>
  <c r="AA346" i="2"/>
  <c r="Z346" i="2"/>
  <c r="V346" i="2"/>
  <c r="W346" i="2" s="1"/>
  <c r="U346" i="2"/>
  <c r="T346" i="2"/>
  <c r="S346" i="2"/>
  <c r="R346" i="2"/>
  <c r="M346" i="2"/>
  <c r="J346" i="2"/>
  <c r="BF345" i="2"/>
  <c r="AR345" i="2"/>
  <c r="AS345" i="2" s="1"/>
  <c r="AQ345" i="2"/>
  <c r="AA345" i="2"/>
  <c r="Z345" i="2"/>
  <c r="V345" i="2"/>
  <c r="U345" i="2"/>
  <c r="T345" i="2"/>
  <c r="S345" i="2"/>
  <c r="R345" i="2"/>
  <c r="M345" i="2"/>
  <c r="J345" i="2" s="1"/>
  <c r="BF344" i="2"/>
  <c r="AR344" i="2"/>
  <c r="AQ344" i="2"/>
  <c r="AP344" i="2"/>
  <c r="AO344" i="2"/>
  <c r="AA344" i="2"/>
  <c r="X344" i="2"/>
  <c r="V344" i="2"/>
  <c r="U344" i="2"/>
  <c r="W344" i="2" s="1"/>
  <c r="T344" i="2"/>
  <c r="S344" i="2"/>
  <c r="R344" i="2"/>
  <c r="M344" i="2"/>
  <c r="Z344" i="2" s="1"/>
  <c r="BF343" i="2"/>
  <c r="AR343" i="2"/>
  <c r="AQ343" i="2"/>
  <c r="AA343" i="2"/>
  <c r="V343" i="2"/>
  <c r="U343" i="2"/>
  <c r="T343" i="2"/>
  <c r="S343" i="2"/>
  <c r="R343" i="2"/>
  <c r="M343" i="2"/>
  <c r="Z343" i="2" s="1"/>
  <c r="J343" i="2"/>
  <c r="BF342" i="2"/>
  <c r="AR342" i="2"/>
  <c r="AQ342" i="2"/>
  <c r="AA342" i="2"/>
  <c r="V342" i="2"/>
  <c r="U342" i="2"/>
  <c r="T342" i="2"/>
  <c r="S342" i="2"/>
  <c r="R342" i="2"/>
  <c r="M342" i="2"/>
  <c r="Z342" i="2" s="1"/>
  <c r="BF341" i="2"/>
  <c r="AR341" i="2"/>
  <c r="AS341" i="2" s="1"/>
  <c r="AT341" i="2" s="1"/>
  <c r="AU341" i="2" s="1"/>
  <c r="AV341" i="2" s="1"/>
  <c r="AQ341" i="2"/>
  <c r="AP341" i="2"/>
  <c r="AO341" i="2"/>
  <c r="AA341" i="2"/>
  <c r="X341" i="2"/>
  <c r="W341" i="2"/>
  <c r="V341" i="2"/>
  <c r="U341" i="2"/>
  <c r="T341" i="2"/>
  <c r="S341" i="2"/>
  <c r="R341" i="2"/>
  <c r="M341" i="2"/>
  <c r="Z341" i="2" s="1"/>
  <c r="J341" i="2"/>
  <c r="BF340" i="2"/>
  <c r="AT340" i="2"/>
  <c r="AU340" i="2" s="1"/>
  <c r="AV340" i="2" s="1"/>
  <c r="AR340" i="2"/>
  <c r="AS340" i="2" s="1"/>
  <c r="AQ340" i="2"/>
  <c r="AA340" i="2"/>
  <c r="X340" i="2"/>
  <c r="V340" i="2"/>
  <c r="W340" i="2" s="1"/>
  <c r="U340" i="2"/>
  <c r="T340" i="2"/>
  <c r="S340" i="2"/>
  <c r="R340" i="2"/>
  <c r="M340" i="2"/>
  <c r="Z340" i="2" s="1"/>
  <c r="BF339" i="2"/>
  <c r="AR339" i="2"/>
  <c r="AQ339" i="2"/>
  <c r="AA339" i="2"/>
  <c r="Z339" i="2"/>
  <c r="V339" i="2"/>
  <c r="U339" i="2"/>
  <c r="T339" i="2"/>
  <c r="S339" i="2"/>
  <c r="R339" i="2"/>
  <c r="M339" i="2"/>
  <c r="J339" i="2" s="1"/>
  <c r="BF338" i="2"/>
  <c r="AR338" i="2"/>
  <c r="AQ338" i="2"/>
  <c r="AP338" i="2"/>
  <c r="AO338" i="2"/>
  <c r="AA338" i="2"/>
  <c r="Z338" i="2"/>
  <c r="X338" i="2"/>
  <c r="W338" i="2"/>
  <c r="V338" i="2"/>
  <c r="U338" i="2"/>
  <c r="T338" i="2"/>
  <c r="S338" i="2"/>
  <c r="R338" i="2"/>
  <c r="M338" i="2"/>
  <c r="J338" i="2"/>
  <c r="BF337" i="2"/>
  <c r="AR337" i="2"/>
  <c r="AS337" i="2" s="1"/>
  <c r="AQ337" i="2"/>
  <c r="AA337" i="2"/>
  <c r="V337" i="2"/>
  <c r="U337" i="2"/>
  <c r="W337" i="2" s="1"/>
  <c r="T337" i="2"/>
  <c r="S337" i="2"/>
  <c r="R337" i="2"/>
  <c r="M337" i="2"/>
  <c r="Z337" i="2" s="1"/>
  <c r="J337" i="2"/>
  <c r="BF336" i="2"/>
  <c r="AR336" i="2"/>
  <c r="AS336" i="2" s="1"/>
  <c r="AQ336" i="2"/>
  <c r="AA336" i="2"/>
  <c r="Z336" i="2"/>
  <c r="V336" i="2"/>
  <c r="U336" i="2"/>
  <c r="T336" i="2"/>
  <c r="S336" i="2"/>
  <c r="R336" i="2"/>
  <c r="M336" i="2"/>
  <c r="J336" i="2" s="1"/>
  <c r="BF335" i="2"/>
  <c r="AR335" i="2"/>
  <c r="AQ335" i="2"/>
  <c r="AP335" i="2"/>
  <c r="AA335" i="2"/>
  <c r="AO335" i="2" s="1"/>
  <c r="Z335" i="2"/>
  <c r="X335" i="2"/>
  <c r="W335" i="2"/>
  <c r="V335" i="2"/>
  <c r="U335" i="2"/>
  <c r="T335" i="2"/>
  <c r="S335" i="2"/>
  <c r="R335" i="2"/>
  <c r="M335" i="2"/>
  <c r="J335" i="2"/>
  <c r="BF334" i="2"/>
  <c r="AR334" i="2"/>
  <c r="AS334" i="2" s="1"/>
  <c r="AT334" i="2" s="1"/>
  <c r="AQ334" i="2"/>
  <c r="AA334" i="2"/>
  <c r="V334" i="2"/>
  <c r="U334" i="2"/>
  <c r="T334" i="2"/>
  <c r="S334" i="2"/>
  <c r="R334" i="2"/>
  <c r="M334" i="2"/>
  <c r="Z334" i="2" s="1"/>
  <c r="J334" i="2"/>
  <c r="BF333" i="2"/>
  <c r="AR333" i="2"/>
  <c r="AS333" i="2" s="1"/>
  <c r="AT333" i="2" s="1"/>
  <c r="AQ333" i="2"/>
  <c r="AA333" i="2"/>
  <c r="Z333" i="2"/>
  <c r="V333" i="2"/>
  <c r="U333" i="2"/>
  <c r="T333" i="2"/>
  <c r="S333" i="2"/>
  <c r="R333" i="2"/>
  <c r="M333" i="2"/>
  <c r="J333" i="2" s="1"/>
  <c r="BF332" i="2"/>
  <c r="AR332" i="2"/>
  <c r="AQ332" i="2"/>
  <c r="AP332" i="2"/>
  <c r="AA332" i="2"/>
  <c r="AO332" i="2" s="1"/>
  <c r="X332" i="2"/>
  <c r="W332" i="2"/>
  <c r="V332" i="2"/>
  <c r="U332" i="2"/>
  <c r="T332" i="2"/>
  <c r="S332" i="2"/>
  <c r="R332" i="2"/>
  <c r="M332" i="2"/>
  <c r="Z332" i="2" s="1"/>
  <c r="J332" i="2"/>
  <c r="BF331" i="2"/>
  <c r="AT331" i="2"/>
  <c r="AR331" i="2"/>
  <c r="AS331" i="2" s="1"/>
  <c r="AQ331" i="2"/>
  <c r="AA331" i="2"/>
  <c r="V331" i="2"/>
  <c r="U331" i="2"/>
  <c r="T331" i="2"/>
  <c r="S331" i="2"/>
  <c r="R331" i="2"/>
  <c r="M331" i="2"/>
  <c r="Z331" i="2" s="1"/>
  <c r="BF330" i="2"/>
  <c r="AS330" i="2"/>
  <c r="AT330" i="2" s="1"/>
  <c r="AR330" i="2"/>
  <c r="AQ330" i="2"/>
  <c r="AA330" i="2"/>
  <c r="Z330" i="2"/>
  <c r="V330" i="2"/>
  <c r="U330" i="2"/>
  <c r="T330" i="2"/>
  <c r="S330" i="2"/>
  <c r="R330" i="2"/>
  <c r="M330" i="2"/>
  <c r="J330" i="2" s="1"/>
  <c r="BF329" i="2"/>
  <c r="AR329" i="2"/>
  <c r="AQ329" i="2"/>
  <c r="AA329" i="2"/>
  <c r="V329" i="2"/>
  <c r="U329" i="2"/>
  <c r="X329" i="2" s="1"/>
  <c r="T329" i="2"/>
  <c r="S329" i="2"/>
  <c r="R329" i="2"/>
  <c r="M329" i="2"/>
  <c r="Z329" i="2" s="1"/>
  <c r="BF328" i="2"/>
  <c r="AU328" i="2"/>
  <c r="AS328" i="2"/>
  <c r="AT328" i="2" s="1"/>
  <c r="AR328" i="2"/>
  <c r="AQ328" i="2"/>
  <c r="AA328" i="2"/>
  <c r="V328" i="2"/>
  <c r="U328" i="2"/>
  <c r="T328" i="2"/>
  <c r="S328" i="2"/>
  <c r="R328" i="2"/>
  <c r="M328" i="2"/>
  <c r="BF327" i="2"/>
  <c r="AR327" i="2"/>
  <c r="AQ327" i="2"/>
  <c r="AO327" i="2"/>
  <c r="AA327" i="2"/>
  <c r="Z327" i="2"/>
  <c r="X327" i="2"/>
  <c r="W327" i="2"/>
  <c r="V327" i="2"/>
  <c r="U327" i="2"/>
  <c r="AP327" i="2" s="1"/>
  <c r="T327" i="2"/>
  <c r="S327" i="2"/>
  <c r="R327" i="2"/>
  <c r="M327" i="2"/>
  <c r="J327" i="2" s="1"/>
  <c r="BF326" i="2"/>
  <c r="AR326" i="2"/>
  <c r="AQ326" i="2"/>
  <c r="AA326" i="2"/>
  <c r="V326" i="2"/>
  <c r="W326" i="2" s="1"/>
  <c r="U326" i="2"/>
  <c r="T326" i="2"/>
  <c r="S326" i="2"/>
  <c r="R326" i="2"/>
  <c r="M326" i="2"/>
  <c r="Z326" i="2" s="1"/>
  <c r="J326" i="2"/>
  <c r="AO326" i="2" s="1"/>
  <c r="BF325" i="2"/>
  <c r="AU325" i="2"/>
  <c r="AV325" i="2" s="1"/>
  <c r="AW325" i="2" s="1"/>
  <c r="AX325" i="2" s="1"/>
  <c r="AT325" i="2"/>
  <c r="AS325" i="2"/>
  <c r="AR325" i="2"/>
  <c r="AQ325" i="2"/>
  <c r="AA325" i="2"/>
  <c r="Z325" i="2"/>
  <c r="V325" i="2"/>
  <c r="U325" i="2"/>
  <c r="T325" i="2"/>
  <c r="S325" i="2"/>
  <c r="R325" i="2"/>
  <c r="M325" i="2"/>
  <c r="J325" i="2" s="1"/>
  <c r="BF324" i="2"/>
  <c r="AS324" i="2"/>
  <c r="AT324" i="2" s="1"/>
  <c r="AU324" i="2" s="1"/>
  <c r="AV324" i="2" s="1"/>
  <c r="AR324" i="2"/>
  <c r="AQ324" i="2"/>
  <c r="AP324" i="2"/>
  <c r="AA324" i="2"/>
  <c r="AO324" i="2" s="1"/>
  <c r="Z324" i="2"/>
  <c r="W324" i="2"/>
  <c r="V324" i="2"/>
  <c r="U324" i="2"/>
  <c r="X324" i="2" s="1"/>
  <c r="T324" i="2"/>
  <c r="S324" i="2"/>
  <c r="R324" i="2"/>
  <c r="M324" i="2"/>
  <c r="J324" i="2"/>
  <c r="BF323" i="2"/>
  <c r="AS323" i="2"/>
  <c r="AR323" i="2"/>
  <c r="AQ323" i="2"/>
  <c r="AA323" i="2"/>
  <c r="V323" i="2"/>
  <c r="U323" i="2"/>
  <c r="T323" i="2"/>
  <c r="S323" i="2"/>
  <c r="R323" i="2"/>
  <c r="M323" i="2"/>
  <c r="Z323" i="2" s="1"/>
  <c r="BF322" i="2"/>
  <c r="AS322" i="2"/>
  <c r="AT322" i="2" s="1"/>
  <c r="AR322" i="2"/>
  <c r="AQ322" i="2"/>
  <c r="AA322" i="2"/>
  <c r="Z322" i="2"/>
  <c r="X322" i="2"/>
  <c r="W322" i="2"/>
  <c r="V322" i="2"/>
  <c r="U322" i="2"/>
  <c r="T322" i="2"/>
  <c r="S322" i="2"/>
  <c r="R322" i="2"/>
  <c r="M322" i="2"/>
  <c r="J322" i="2" s="1"/>
  <c r="BF321" i="2"/>
  <c r="AR321" i="2"/>
  <c r="AQ321" i="2"/>
  <c r="AP321" i="2"/>
  <c r="AO321" i="2"/>
  <c r="AA321" i="2"/>
  <c r="Z321" i="2"/>
  <c r="V321" i="2"/>
  <c r="U321" i="2"/>
  <c r="X321" i="2" s="1"/>
  <c r="T321" i="2"/>
  <c r="S321" i="2"/>
  <c r="R321" i="2"/>
  <c r="M321" i="2"/>
  <c r="J321" i="2" s="1"/>
  <c r="BF320" i="2"/>
  <c r="AV320" i="2"/>
  <c r="AU320" i="2"/>
  <c r="AS320" i="2"/>
  <c r="AT320" i="2" s="1"/>
  <c r="AW320" i="2" s="1"/>
  <c r="AX320" i="2" s="1"/>
  <c r="AR320" i="2"/>
  <c r="AQ320" i="2"/>
  <c r="AA320" i="2"/>
  <c r="V320" i="2"/>
  <c r="U320" i="2"/>
  <c r="T320" i="2"/>
  <c r="S320" i="2"/>
  <c r="R320" i="2"/>
  <c r="M320" i="2"/>
  <c r="BF319" i="2"/>
  <c r="AR319" i="2"/>
  <c r="AQ319" i="2"/>
  <c r="AA319" i="2"/>
  <c r="Z319" i="2"/>
  <c r="X319" i="2"/>
  <c r="W319" i="2"/>
  <c r="V319" i="2"/>
  <c r="U319" i="2"/>
  <c r="T319" i="2"/>
  <c r="S319" i="2"/>
  <c r="R319" i="2"/>
  <c r="M319" i="2"/>
  <c r="J319" i="2" s="1"/>
  <c r="BF318" i="2"/>
  <c r="AS318" i="2"/>
  <c r="AT318" i="2" s="1"/>
  <c r="AU318" i="2" s="1"/>
  <c r="AV318" i="2" s="1"/>
  <c r="AR318" i="2"/>
  <c r="AQ318" i="2"/>
  <c r="AA318" i="2"/>
  <c r="V318" i="2"/>
  <c r="W318" i="2" s="1"/>
  <c r="U318" i="2"/>
  <c r="AP318" i="2" s="1"/>
  <c r="T318" i="2"/>
  <c r="S318" i="2"/>
  <c r="R318" i="2"/>
  <c r="M318" i="2"/>
  <c r="Z318" i="2" s="1"/>
  <c r="J318" i="2"/>
  <c r="AO318" i="2" s="1"/>
  <c r="BF317" i="2"/>
  <c r="AU317" i="2"/>
  <c r="AV317" i="2" s="1"/>
  <c r="AW317" i="2" s="1"/>
  <c r="AX317" i="2" s="1"/>
  <c r="AT317" i="2"/>
  <c r="AS317" i="2"/>
  <c r="AR317" i="2"/>
  <c r="AQ317" i="2"/>
  <c r="AA317" i="2"/>
  <c r="Z317" i="2"/>
  <c r="V317" i="2"/>
  <c r="U317" i="2"/>
  <c r="T317" i="2"/>
  <c r="S317" i="2"/>
  <c r="R317" i="2"/>
  <c r="M317" i="2"/>
  <c r="J317" i="2" s="1"/>
  <c r="BF316" i="2"/>
  <c r="AS316" i="2"/>
  <c r="AT316" i="2" s="1"/>
  <c r="AU316" i="2" s="1"/>
  <c r="AV316" i="2" s="1"/>
  <c r="AR316" i="2"/>
  <c r="AW316" i="2" s="1"/>
  <c r="AX316" i="2" s="1"/>
  <c r="AQ316" i="2"/>
  <c r="AP316" i="2"/>
  <c r="AO316" i="2"/>
  <c r="AA316" i="2"/>
  <c r="Z316" i="2"/>
  <c r="W316" i="2"/>
  <c r="V316" i="2"/>
  <c r="U316" i="2"/>
  <c r="X316" i="2" s="1"/>
  <c r="T316" i="2"/>
  <c r="S316" i="2"/>
  <c r="R316" i="2"/>
  <c r="M316" i="2"/>
  <c r="J316" i="2"/>
  <c r="BF315" i="2"/>
  <c r="AT315" i="2"/>
  <c r="AU315" i="2" s="1"/>
  <c r="AV315" i="2" s="1"/>
  <c r="AS315" i="2"/>
  <c r="AR315" i="2"/>
  <c r="AQ315" i="2"/>
  <c r="AA315" i="2"/>
  <c r="V315" i="2"/>
  <c r="U315" i="2"/>
  <c r="AP315" i="2" s="1"/>
  <c r="T315" i="2"/>
  <c r="S315" i="2"/>
  <c r="R315" i="2"/>
  <c r="M315" i="2"/>
  <c r="Z315" i="2" s="1"/>
  <c r="J315" i="2"/>
  <c r="BF314" i="2"/>
  <c r="AS314" i="2"/>
  <c r="AT314" i="2" s="1"/>
  <c r="AR314" i="2"/>
  <c r="AQ314" i="2"/>
  <c r="AA314" i="2"/>
  <c r="Z314" i="2"/>
  <c r="V314" i="2"/>
  <c r="U314" i="2"/>
  <c r="T314" i="2"/>
  <c r="S314" i="2"/>
  <c r="R314" i="2"/>
  <c r="M314" i="2"/>
  <c r="J314" i="2" s="1"/>
  <c r="BF313" i="2"/>
  <c r="AR313" i="2"/>
  <c r="AQ313" i="2"/>
  <c r="AP313" i="2"/>
  <c r="AO313" i="2"/>
  <c r="AA313" i="2"/>
  <c r="Z313" i="2"/>
  <c r="V313" i="2"/>
  <c r="U313" i="2"/>
  <c r="X313" i="2" s="1"/>
  <c r="T313" i="2"/>
  <c r="S313" i="2"/>
  <c r="R313" i="2"/>
  <c r="M313" i="2"/>
  <c r="J313" i="2" s="1"/>
  <c r="BF312" i="2"/>
  <c r="AU312" i="2"/>
  <c r="AV312" i="2" s="1"/>
  <c r="AS312" i="2"/>
  <c r="AT312" i="2" s="1"/>
  <c r="AW312" i="2" s="1"/>
  <c r="AX312" i="2" s="1"/>
  <c r="AR312" i="2"/>
  <c r="AQ312" i="2"/>
  <c r="AA312" i="2"/>
  <c r="V312" i="2"/>
  <c r="U312" i="2"/>
  <c r="T312" i="2"/>
  <c r="S312" i="2"/>
  <c r="R312" i="2"/>
  <c r="M312" i="2"/>
  <c r="BF311" i="2"/>
  <c r="AR311" i="2"/>
  <c r="AQ311" i="2"/>
  <c r="AA311" i="2"/>
  <c r="AO311" i="2" s="1"/>
  <c r="Z311" i="2"/>
  <c r="X311" i="2"/>
  <c r="W311" i="2"/>
  <c r="V311" i="2"/>
  <c r="U311" i="2"/>
  <c r="AP311" i="2" s="1"/>
  <c r="T311" i="2"/>
  <c r="S311" i="2"/>
  <c r="R311" i="2"/>
  <c r="M311" i="2"/>
  <c r="J311" i="2" s="1"/>
  <c r="BF310" i="2"/>
  <c r="AT310" i="2"/>
  <c r="AU310" i="2" s="1"/>
  <c r="AV310" i="2" s="1"/>
  <c r="AS310" i="2"/>
  <c r="AR310" i="2"/>
  <c r="AQ310" i="2"/>
  <c r="AA310" i="2"/>
  <c r="V310" i="2"/>
  <c r="W310" i="2" s="1"/>
  <c r="U310" i="2"/>
  <c r="T310" i="2"/>
  <c r="S310" i="2"/>
  <c r="R310" i="2"/>
  <c r="M310" i="2"/>
  <c r="Z310" i="2" s="1"/>
  <c r="J310" i="2"/>
  <c r="AO310" i="2" s="1"/>
  <c r="BF309" i="2"/>
  <c r="AW309" i="2"/>
  <c r="AX309" i="2" s="1"/>
  <c r="AU309" i="2"/>
  <c r="AV309" i="2" s="1"/>
  <c r="AT309" i="2"/>
  <c r="AS309" i="2"/>
  <c r="AR309" i="2"/>
  <c r="AQ309" i="2"/>
  <c r="AA309" i="2"/>
  <c r="Z309" i="2"/>
  <c r="V309" i="2"/>
  <c r="U309" i="2"/>
  <c r="T309" i="2"/>
  <c r="S309" i="2"/>
  <c r="R309" i="2"/>
  <c r="M309" i="2"/>
  <c r="J309" i="2" s="1"/>
  <c r="BF308" i="2"/>
  <c r="AS308" i="2"/>
  <c r="AT308" i="2" s="1"/>
  <c r="AU308" i="2" s="1"/>
  <c r="AV308" i="2" s="1"/>
  <c r="AR308" i="2"/>
  <c r="AW308" i="2" s="1"/>
  <c r="AX308" i="2" s="1"/>
  <c r="AQ308" i="2"/>
  <c r="AP308" i="2"/>
  <c r="AO308" i="2"/>
  <c r="AA308" i="2"/>
  <c r="Z308" i="2"/>
  <c r="W308" i="2"/>
  <c r="V308" i="2"/>
  <c r="U308" i="2"/>
  <c r="X308" i="2" s="1"/>
  <c r="T308" i="2"/>
  <c r="S308" i="2"/>
  <c r="R308" i="2"/>
  <c r="M308" i="2"/>
  <c r="J308" i="2"/>
  <c r="BF307" i="2"/>
  <c r="AS307" i="2"/>
  <c r="AR307" i="2"/>
  <c r="AQ307" i="2"/>
  <c r="AA307" i="2"/>
  <c r="V307" i="2"/>
  <c r="U307" i="2"/>
  <c r="T307" i="2"/>
  <c r="S307" i="2"/>
  <c r="R307" i="2"/>
  <c r="M307" i="2"/>
  <c r="Z307" i="2" s="1"/>
  <c r="J307" i="2"/>
  <c r="BF306" i="2"/>
  <c r="AS306" i="2"/>
  <c r="AT306" i="2" s="1"/>
  <c r="AR306" i="2"/>
  <c r="AQ306" i="2"/>
  <c r="AA306" i="2"/>
  <c r="Z306" i="2"/>
  <c r="V306" i="2"/>
  <c r="U306" i="2"/>
  <c r="T306" i="2"/>
  <c r="S306" i="2"/>
  <c r="R306" i="2"/>
  <c r="M306" i="2"/>
  <c r="J306" i="2" s="1"/>
  <c r="BF305" i="2"/>
  <c r="AR305" i="2"/>
  <c r="AQ305" i="2"/>
  <c r="AP305" i="2"/>
  <c r="AO305" i="2"/>
  <c r="AA305" i="2"/>
  <c r="V305" i="2"/>
  <c r="U305" i="2"/>
  <c r="X305" i="2" s="1"/>
  <c r="T305" i="2"/>
  <c r="S305" i="2"/>
  <c r="R305" i="2"/>
  <c r="M305" i="2"/>
  <c r="Z305" i="2" s="1"/>
  <c r="BF304" i="2"/>
  <c r="AS304" i="2"/>
  <c r="AT304" i="2" s="1"/>
  <c r="AR304" i="2"/>
  <c r="AQ304" i="2"/>
  <c r="AA304" i="2"/>
  <c r="V304" i="2"/>
  <c r="U304" i="2"/>
  <c r="T304" i="2"/>
  <c r="S304" i="2"/>
  <c r="R304" i="2"/>
  <c r="M304" i="2"/>
  <c r="BF303" i="2"/>
  <c r="AR303" i="2"/>
  <c r="AQ303" i="2"/>
  <c r="AA303" i="2"/>
  <c r="AO303" i="2" s="1"/>
  <c r="Z303" i="2"/>
  <c r="X303" i="2"/>
  <c r="W303" i="2"/>
  <c r="V303" i="2"/>
  <c r="U303" i="2"/>
  <c r="AP303" i="2" s="1"/>
  <c r="T303" i="2"/>
  <c r="S303" i="2"/>
  <c r="R303" i="2"/>
  <c r="M303" i="2"/>
  <c r="J303" i="2" s="1"/>
  <c r="BF302" i="2"/>
  <c r="AS302" i="2"/>
  <c r="AT302" i="2" s="1"/>
  <c r="AU302" i="2" s="1"/>
  <c r="AV302" i="2" s="1"/>
  <c r="AR302" i="2"/>
  <c r="AQ302" i="2"/>
  <c r="AA302" i="2"/>
  <c r="V302" i="2"/>
  <c r="W302" i="2" s="1"/>
  <c r="U302" i="2"/>
  <c r="AP302" i="2" s="1"/>
  <c r="T302" i="2"/>
  <c r="S302" i="2"/>
  <c r="R302" i="2"/>
  <c r="M302" i="2"/>
  <c r="Z302" i="2" s="1"/>
  <c r="J302" i="2"/>
  <c r="AO302" i="2" s="1"/>
  <c r="BF301" i="2"/>
  <c r="AW301" i="2"/>
  <c r="AX301" i="2" s="1"/>
  <c r="AU301" i="2"/>
  <c r="AV301" i="2" s="1"/>
  <c r="AT301" i="2"/>
  <c r="AS301" i="2"/>
  <c r="AR301" i="2"/>
  <c r="AQ301" i="2"/>
  <c r="AA301" i="2"/>
  <c r="Z301" i="2"/>
  <c r="V301" i="2"/>
  <c r="U301" i="2"/>
  <c r="T301" i="2"/>
  <c r="S301" i="2"/>
  <c r="R301" i="2"/>
  <c r="M301" i="2"/>
  <c r="J301" i="2" s="1"/>
  <c r="BF300" i="2"/>
  <c r="AS300" i="2"/>
  <c r="AT300" i="2" s="1"/>
  <c r="AU300" i="2" s="1"/>
  <c r="AV300" i="2" s="1"/>
  <c r="AR300" i="2"/>
  <c r="AW300" i="2" s="1"/>
  <c r="AX300" i="2" s="1"/>
  <c r="AQ300" i="2"/>
  <c r="AP300" i="2"/>
  <c r="AO300" i="2"/>
  <c r="AA300" i="2"/>
  <c r="Z300" i="2"/>
  <c r="W300" i="2"/>
  <c r="V300" i="2"/>
  <c r="U300" i="2"/>
  <c r="X300" i="2" s="1"/>
  <c r="T300" i="2"/>
  <c r="S300" i="2"/>
  <c r="R300" i="2"/>
  <c r="M300" i="2"/>
  <c r="J300" i="2"/>
  <c r="BF299" i="2"/>
  <c r="AU299" i="2"/>
  <c r="AV299" i="2" s="1"/>
  <c r="AT299" i="2"/>
  <c r="AS299" i="2"/>
  <c r="AR299" i="2"/>
  <c r="AQ299" i="2"/>
  <c r="AA299" i="2"/>
  <c r="V299" i="2"/>
  <c r="U299" i="2"/>
  <c r="T299" i="2"/>
  <c r="S299" i="2"/>
  <c r="R299" i="2"/>
  <c r="M299" i="2"/>
  <c r="Z299" i="2" s="1"/>
  <c r="J299" i="2"/>
  <c r="BF298" i="2"/>
  <c r="AR298" i="2"/>
  <c r="AS298" i="2" s="1"/>
  <c r="AQ298" i="2"/>
  <c r="AA298" i="2"/>
  <c r="Z298" i="2"/>
  <c r="W298" i="2"/>
  <c r="V298" i="2"/>
  <c r="U298" i="2"/>
  <c r="T298" i="2"/>
  <c r="S298" i="2"/>
  <c r="R298" i="2"/>
  <c r="M298" i="2"/>
  <c r="J298" i="2" s="1"/>
  <c r="BF297" i="2"/>
  <c r="AR297" i="2"/>
  <c r="AQ297" i="2"/>
  <c r="AA297" i="2"/>
  <c r="V297" i="2"/>
  <c r="U297" i="2"/>
  <c r="X297" i="2" s="1"/>
  <c r="T297" i="2"/>
  <c r="S297" i="2"/>
  <c r="R297" i="2"/>
  <c r="M297" i="2"/>
  <c r="Z297" i="2" s="1"/>
  <c r="BF296" i="2"/>
  <c r="AS296" i="2"/>
  <c r="AT296" i="2" s="1"/>
  <c r="AR296" i="2"/>
  <c r="AQ296" i="2"/>
  <c r="AA296" i="2"/>
  <c r="V296" i="2"/>
  <c r="U296" i="2"/>
  <c r="T296" i="2"/>
  <c r="S296" i="2"/>
  <c r="R296" i="2"/>
  <c r="M296" i="2"/>
  <c r="BF295" i="2"/>
  <c r="AR295" i="2"/>
  <c r="AQ295" i="2"/>
  <c r="AA295" i="2"/>
  <c r="AO295" i="2" s="1"/>
  <c r="Z295" i="2"/>
  <c r="X295" i="2"/>
  <c r="W295" i="2"/>
  <c r="V295" i="2"/>
  <c r="U295" i="2"/>
  <c r="T295" i="2"/>
  <c r="S295" i="2"/>
  <c r="R295" i="2"/>
  <c r="M295" i="2"/>
  <c r="J295" i="2" s="1"/>
  <c r="BF294" i="2"/>
  <c r="AS294" i="2"/>
  <c r="AT294" i="2" s="1"/>
  <c r="AU294" i="2" s="1"/>
  <c r="AV294" i="2" s="1"/>
  <c r="AR294" i="2"/>
  <c r="AQ294" i="2"/>
  <c r="AA294" i="2"/>
  <c r="V294" i="2"/>
  <c r="W294" i="2" s="1"/>
  <c r="U294" i="2"/>
  <c r="T294" i="2"/>
  <c r="S294" i="2"/>
  <c r="R294" i="2"/>
  <c r="M294" i="2"/>
  <c r="Z294" i="2" s="1"/>
  <c r="BF293" i="2"/>
  <c r="AX293" i="2"/>
  <c r="AW293" i="2"/>
  <c r="AU293" i="2"/>
  <c r="AV293" i="2" s="1"/>
  <c r="AT293" i="2"/>
  <c r="AS293" i="2"/>
  <c r="AR293" i="2"/>
  <c r="AQ293" i="2"/>
  <c r="AA293" i="2"/>
  <c r="V293" i="2"/>
  <c r="W293" i="2" s="1"/>
  <c r="U293" i="2"/>
  <c r="T293" i="2"/>
  <c r="S293" i="2"/>
  <c r="R293" i="2"/>
  <c r="M293" i="2"/>
  <c r="J293" i="2" s="1"/>
  <c r="BF292" i="2"/>
  <c r="AS292" i="2"/>
  <c r="AT292" i="2" s="1"/>
  <c r="AU292" i="2" s="1"/>
  <c r="AV292" i="2" s="1"/>
  <c r="AR292" i="2"/>
  <c r="AQ292" i="2"/>
  <c r="AP292" i="2"/>
  <c r="AO292" i="2"/>
  <c r="AA292" i="2"/>
  <c r="Z292" i="2"/>
  <c r="W292" i="2"/>
  <c r="V292" i="2"/>
  <c r="U292" i="2"/>
  <c r="X292" i="2" s="1"/>
  <c r="T292" i="2"/>
  <c r="S292" i="2"/>
  <c r="R292" i="2"/>
  <c r="M292" i="2"/>
  <c r="J292" i="2"/>
  <c r="BF291" i="2"/>
  <c r="AS291" i="2"/>
  <c r="AT291" i="2" s="1"/>
  <c r="AR291" i="2"/>
  <c r="AQ291" i="2"/>
  <c r="AA291" i="2"/>
  <c r="V291" i="2"/>
  <c r="U291" i="2"/>
  <c r="T291" i="2"/>
  <c r="S291" i="2"/>
  <c r="R291" i="2"/>
  <c r="M291" i="2"/>
  <c r="Z291" i="2" s="1"/>
  <c r="BF290" i="2"/>
  <c r="AR290" i="2"/>
  <c r="AS290" i="2" s="1"/>
  <c r="AQ290" i="2"/>
  <c r="AA290" i="2"/>
  <c r="Z290" i="2"/>
  <c r="V290" i="2"/>
  <c r="U290" i="2"/>
  <c r="AP290" i="2" s="1"/>
  <c r="T290" i="2"/>
  <c r="S290" i="2"/>
  <c r="R290" i="2"/>
  <c r="M290" i="2"/>
  <c r="J290" i="2" s="1"/>
  <c r="BF289" i="2"/>
  <c r="AR289" i="2"/>
  <c r="AQ289" i="2"/>
  <c r="AP289" i="2"/>
  <c r="AO289" i="2"/>
  <c r="AA289" i="2"/>
  <c r="Z289" i="2"/>
  <c r="V289" i="2"/>
  <c r="U289" i="2"/>
  <c r="X289" i="2" s="1"/>
  <c r="T289" i="2"/>
  <c r="S289" i="2"/>
  <c r="R289" i="2"/>
  <c r="M289" i="2"/>
  <c r="J289" i="2" s="1"/>
  <c r="BF288" i="2"/>
  <c r="AU288" i="2"/>
  <c r="AV288" i="2" s="1"/>
  <c r="AS288" i="2"/>
  <c r="AT288" i="2" s="1"/>
  <c r="AR288" i="2"/>
  <c r="AQ288" i="2"/>
  <c r="AA288" i="2"/>
  <c r="V288" i="2"/>
  <c r="U288" i="2"/>
  <c r="T288" i="2"/>
  <c r="S288" i="2"/>
  <c r="R288" i="2"/>
  <c r="M288" i="2"/>
  <c r="BF287" i="2"/>
  <c r="AR287" i="2"/>
  <c r="AQ287" i="2"/>
  <c r="AA287" i="2"/>
  <c r="Z287" i="2"/>
  <c r="V287" i="2"/>
  <c r="U287" i="2"/>
  <c r="AP287" i="2" s="1"/>
  <c r="T287" i="2"/>
  <c r="S287" i="2"/>
  <c r="R287" i="2"/>
  <c r="M287" i="2"/>
  <c r="J287" i="2"/>
  <c r="BF286" i="2"/>
  <c r="AR286" i="2"/>
  <c r="AQ286" i="2"/>
  <c r="AA286" i="2"/>
  <c r="V286" i="2"/>
  <c r="U286" i="2"/>
  <c r="T286" i="2"/>
  <c r="S286" i="2"/>
  <c r="R286" i="2"/>
  <c r="M286" i="2"/>
  <c r="BF285" i="2"/>
  <c r="AW285" i="2"/>
  <c r="AX285" i="2" s="1"/>
  <c r="AU285" i="2"/>
  <c r="AV285" i="2" s="1"/>
  <c r="AT285" i="2"/>
  <c r="AS285" i="2"/>
  <c r="AR285" i="2"/>
  <c r="AQ285" i="2"/>
  <c r="AA285" i="2"/>
  <c r="Z285" i="2"/>
  <c r="V285" i="2"/>
  <c r="U285" i="2"/>
  <c r="T285" i="2"/>
  <c r="S285" i="2"/>
  <c r="R285" i="2"/>
  <c r="M285" i="2"/>
  <c r="J285" i="2" s="1"/>
  <c r="BF284" i="2"/>
  <c r="AS284" i="2"/>
  <c r="AT284" i="2" s="1"/>
  <c r="AU284" i="2" s="1"/>
  <c r="AV284" i="2" s="1"/>
  <c r="AR284" i="2"/>
  <c r="AQ284" i="2"/>
  <c r="AP284" i="2"/>
  <c r="AO284" i="2"/>
  <c r="AA284" i="2"/>
  <c r="Z284" i="2"/>
  <c r="W284" i="2"/>
  <c r="V284" i="2"/>
  <c r="U284" i="2"/>
  <c r="X284" i="2" s="1"/>
  <c r="T284" i="2"/>
  <c r="S284" i="2"/>
  <c r="R284" i="2"/>
  <c r="M284" i="2"/>
  <c r="J284" i="2"/>
  <c r="BF283" i="2"/>
  <c r="AU283" i="2"/>
  <c r="AV283" i="2" s="1"/>
  <c r="AT283" i="2"/>
  <c r="AS283" i="2"/>
  <c r="AW283" i="2" s="1"/>
  <c r="AX283" i="2" s="1"/>
  <c r="AR283" i="2"/>
  <c r="AQ283" i="2"/>
  <c r="AA283" i="2"/>
  <c r="V283" i="2"/>
  <c r="U283" i="2"/>
  <c r="T283" i="2"/>
  <c r="S283" i="2"/>
  <c r="R283" i="2"/>
  <c r="M283" i="2"/>
  <c r="Z283" i="2" s="1"/>
  <c r="BF282" i="2"/>
  <c r="AW282" i="2"/>
  <c r="AX282" i="2" s="1"/>
  <c r="AR282" i="2"/>
  <c r="AS282" i="2" s="1"/>
  <c r="AT282" i="2" s="1"/>
  <c r="AU282" i="2" s="1"/>
  <c r="AV282" i="2" s="1"/>
  <c r="AQ282" i="2"/>
  <c r="AA282" i="2"/>
  <c r="Z282" i="2"/>
  <c r="V282" i="2"/>
  <c r="U282" i="2"/>
  <c r="AP282" i="2" s="1"/>
  <c r="T282" i="2"/>
  <c r="S282" i="2"/>
  <c r="R282" i="2"/>
  <c r="M282" i="2"/>
  <c r="J282" i="2" s="1"/>
  <c r="BF281" i="2"/>
  <c r="AU281" i="2"/>
  <c r="AV281" i="2" s="1"/>
  <c r="AT281" i="2"/>
  <c r="AS281" i="2"/>
  <c r="AR281" i="2"/>
  <c r="AQ281" i="2"/>
  <c r="AA281" i="2"/>
  <c r="Z281" i="2"/>
  <c r="V281" i="2"/>
  <c r="U281" i="2"/>
  <c r="X281" i="2" s="1"/>
  <c r="T281" i="2"/>
  <c r="S281" i="2"/>
  <c r="R281" i="2"/>
  <c r="M281" i="2"/>
  <c r="J281" i="2" s="1"/>
  <c r="BF280" i="2"/>
  <c r="AS280" i="2"/>
  <c r="AT280" i="2" s="1"/>
  <c r="AU280" i="2" s="1"/>
  <c r="AV280" i="2" s="1"/>
  <c r="AR280" i="2"/>
  <c r="AQ280" i="2"/>
  <c r="AA280" i="2"/>
  <c r="V280" i="2"/>
  <c r="U280" i="2"/>
  <c r="T280" i="2"/>
  <c r="S280" i="2"/>
  <c r="R280" i="2"/>
  <c r="M280" i="2"/>
  <c r="BF279" i="2"/>
  <c r="AR279" i="2"/>
  <c r="AQ279" i="2"/>
  <c r="AA279" i="2"/>
  <c r="V279" i="2"/>
  <c r="U279" i="2"/>
  <c r="X279" i="2" s="1"/>
  <c r="T279" i="2"/>
  <c r="S279" i="2"/>
  <c r="R279" i="2"/>
  <c r="M279" i="2"/>
  <c r="Z279" i="2" s="1"/>
  <c r="BF278" i="2"/>
  <c r="AT278" i="2"/>
  <c r="AU278" i="2" s="1"/>
  <c r="AV278" i="2" s="1"/>
  <c r="AR278" i="2"/>
  <c r="AS278" i="2" s="1"/>
  <c r="AQ278" i="2"/>
  <c r="AA278" i="2"/>
  <c r="V278" i="2"/>
  <c r="W278" i="2" s="1"/>
  <c r="U278" i="2"/>
  <c r="T278" i="2"/>
  <c r="S278" i="2"/>
  <c r="R278" i="2"/>
  <c r="M278" i="2"/>
  <c r="Z278" i="2" s="1"/>
  <c r="J278" i="2"/>
  <c r="AO278" i="2" s="1"/>
  <c r="BF277" i="2"/>
  <c r="AW277" i="2"/>
  <c r="AX277" i="2" s="1"/>
  <c r="AU277" i="2"/>
  <c r="AV277" i="2" s="1"/>
  <c r="AT277" i="2"/>
  <c r="AS277" i="2"/>
  <c r="AR277" i="2"/>
  <c r="AQ277" i="2"/>
  <c r="AO277" i="2"/>
  <c r="AA277" i="2"/>
  <c r="Z277" i="2"/>
  <c r="V277" i="2"/>
  <c r="U277" i="2"/>
  <c r="AP277" i="2" s="1"/>
  <c r="T277" i="2"/>
  <c r="S277" i="2"/>
  <c r="R277" i="2"/>
  <c r="M277" i="2"/>
  <c r="J277" i="2"/>
  <c r="BF276" i="2"/>
  <c r="AT276" i="2"/>
  <c r="AU276" i="2" s="1"/>
  <c r="AV276" i="2" s="1"/>
  <c r="AS276" i="2"/>
  <c r="AR276" i="2"/>
  <c r="AQ276" i="2"/>
  <c r="AA276" i="2"/>
  <c r="Z276" i="2"/>
  <c r="V276" i="2"/>
  <c r="W276" i="2" s="1"/>
  <c r="U276" i="2"/>
  <c r="X276" i="2" s="1"/>
  <c r="T276" i="2"/>
  <c r="S276" i="2"/>
  <c r="R276" i="2"/>
  <c r="M276" i="2"/>
  <c r="J276" i="2" s="1"/>
  <c r="AP276" i="2" s="1"/>
  <c r="BF275" i="2"/>
  <c r="AS275" i="2"/>
  <c r="AR275" i="2"/>
  <c r="AQ275" i="2"/>
  <c r="AP275" i="2"/>
  <c r="AA275" i="2"/>
  <c r="Z275" i="2"/>
  <c r="V275" i="2"/>
  <c r="W275" i="2" s="1"/>
  <c r="U275" i="2"/>
  <c r="T275" i="2"/>
  <c r="S275" i="2"/>
  <c r="R275" i="2"/>
  <c r="M275" i="2"/>
  <c r="J275" i="2"/>
  <c r="BF274" i="2"/>
  <c r="AR274" i="2"/>
  <c r="AQ274" i="2"/>
  <c r="AA274" i="2"/>
  <c r="Z274" i="2"/>
  <c r="W274" i="2"/>
  <c r="V274" i="2"/>
  <c r="U274" i="2"/>
  <c r="AP274" i="2" s="1"/>
  <c r="T274" i="2"/>
  <c r="S274" i="2"/>
  <c r="R274" i="2"/>
  <c r="M274" i="2"/>
  <c r="J274" i="2" s="1"/>
  <c r="BF273" i="2"/>
  <c r="AR273" i="2"/>
  <c r="AS273" i="2" s="1"/>
  <c r="AT273" i="2" s="1"/>
  <c r="AU273" i="2" s="1"/>
  <c r="AV273" i="2" s="1"/>
  <c r="AQ273" i="2"/>
  <c r="AP273" i="2"/>
  <c r="AA273" i="2"/>
  <c r="Z273" i="2"/>
  <c r="V273" i="2"/>
  <c r="U273" i="2"/>
  <c r="W273" i="2" s="1"/>
  <c r="T273" i="2"/>
  <c r="S273" i="2"/>
  <c r="R273" i="2"/>
  <c r="M273" i="2"/>
  <c r="J273" i="2"/>
  <c r="BF272" i="2"/>
  <c r="AU272" i="2"/>
  <c r="AV272" i="2" s="1"/>
  <c r="AS272" i="2"/>
  <c r="AT272" i="2" s="1"/>
  <c r="AR272" i="2"/>
  <c r="AQ272" i="2"/>
  <c r="AA272" i="2"/>
  <c r="AO272" i="2" s="1"/>
  <c r="Z272" i="2"/>
  <c r="X272" i="2"/>
  <c r="V272" i="2"/>
  <c r="W272" i="2" s="1"/>
  <c r="U272" i="2"/>
  <c r="T272" i="2"/>
  <c r="S272" i="2"/>
  <c r="R272" i="2"/>
  <c r="M272" i="2"/>
  <c r="J272" i="2" s="1"/>
  <c r="BF271" i="2"/>
  <c r="AR271" i="2"/>
  <c r="AQ271" i="2"/>
  <c r="AA271" i="2"/>
  <c r="AO271" i="2" s="1"/>
  <c r="Z271" i="2"/>
  <c r="V271" i="2"/>
  <c r="U271" i="2"/>
  <c r="X271" i="2" s="1"/>
  <c r="T271" i="2"/>
  <c r="S271" i="2"/>
  <c r="R271" i="2"/>
  <c r="M271" i="2"/>
  <c r="J271" i="2" s="1"/>
  <c r="AP271" i="2" s="1"/>
  <c r="BF270" i="2"/>
  <c r="AS270" i="2"/>
  <c r="AR270" i="2"/>
  <c r="AQ270" i="2"/>
  <c r="AA270" i="2"/>
  <c r="V270" i="2"/>
  <c r="U270" i="2"/>
  <c r="T270" i="2"/>
  <c r="S270" i="2"/>
  <c r="R270" i="2"/>
  <c r="M270" i="2"/>
  <c r="Z270" i="2" s="1"/>
  <c r="J270" i="2"/>
  <c r="BF269" i="2"/>
  <c r="AU269" i="2"/>
  <c r="AT269" i="2"/>
  <c r="AS269" i="2"/>
  <c r="AR269" i="2"/>
  <c r="AQ269" i="2"/>
  <c r="AA269" i="2"/>
  <c r="V269" i="2"/>
  <c r="U269" i="2"/>
  <c r="T269" i="2"/>
  <c r="S269" i="2"/>
  <c r="R269" i="2"/>
  <c r="M269" i="2"/>
  <c r="BF268" i="2"/>
  <c r="AS268" i="2"/>
  <c r="AT268" i="2" s="1"/>
  <c r="AU268" i="2" s="1"/>
  <c r="AV268" i="2" s="1"/>
  <c r="AR268" i="2"/>
  <c r="AW268" i="2" s="1"/>
  <c r="AX268" i="2" s="1"/>
  <c r="AQ268" i="2"/>
  <c r="AA268" i="2"/>
  <c r="AO268" i="2" s="1"/>
  <c r="Z268" i="2"/>
  <c r="W268" i="2"/>
  <c r="V268" i="2"/>
  <c r="U268" i="2"/>
  <c r="X268" i="2" s="1"/>
  <c r="T268" i="2"/>
  <c r="S268" i="2"/>
  <c r="R268" i="2"/>
  <c r="M268" i="2"/>
  <c r="J268" i="2"/>
  <c r="AP268" i="2" s="1"/>
  <c r="BF267" i="2"/>
  <c r="AS267" i="2"/>
  <c r="AR267" i="2"/>
  <c r="AQ267" i="2"/>
  <c r="AP267" i="2"/>
  <c r="AO267" i="2"/>
  <c r="AA267" i="2"/>
  <c r="Z267" i="2"/>
  <c r="V267" i="2"/>
  <c r="U267" i="2"/>
  <c r="X267" i="2" s="1"/>
  <c r="T267" i="2"/>
  <c r="S267" i="2"/>
  <c r="R267" i="2"/>
  <c r="M267" i="2"/>
  <c r="J267" i="2"/>
  <c r="BF266" i="2"/>
  <c r="AS266" i="2"/>
  <c r="AR266" i="2"/>
  <c r="AQ266" i="2"/>
  <c r="AA266" i="2"/>
  <c r="AO266" i="2" s="1"/>
  <c r="X266" i="2"/>
  <c r="W266" i="2"/>
  <c r="V266" i="2"/>
  <c r="U266" i="2"/>
  <c r="AP266" i="2" s="1"/>
  <c r="T266" i="2"/>
  <c r="S266" i="2"/>
  <c r="R266" i="2"/>
  <c r="M266" i="2"/>
  <c r="J266" i="2" s="1"/>
  <c r="BF265" i="2"/>
  <c r="AS265" i="2"/>
  <c r="AT265" i="2" s="1"/>
  <c r="AU265" i="2" s="1"/>
  <c r="AV265" i="2" s="1"/>
  <c r="AR265" i="2"/>
  <c r="AW265" i="2" s="1"/>
  <c r="AX265" i="2" s="1"/>
  <c r="AQ265" i="2"/>
  <c r="AA265" i="2"/>
  <c r="Z265" i="2"/>
  <c r="V265" i="2"/>
  <c r="U265" i="2"/>
  <c r="AP265" i="2" s="1"/>
  <c r="T265" i="2"/>
  <c r="S265" i="2"/>
  <c r="R265" i="2"/>
  <c r="M265" i="2"/>
  <c r="J265" i="2"/>
  <c r="BF264" i="2"/>
  <c r="AR264" i="2"/>
  <c r="AS264" i="2" s="1"/>
  <c r="AQ264" i="2"/>
  <c r="AA264" i="2"/>
  <c r="AO264" i="2" s="1"/>
  <c r="Z264" i="2"/>
  <c r="X264" i="2"/>
  <c r="V264" i="2"/>
  <c r="U264" i="2"/>
  <c r="T264" i="2"/>
  <c r="S264" i="2"/>
  <c r="R264" i="2"/>
  <c r="M264" i="2"/>
  <c r="J264" i="2" s="1"/>
  <c r="BF263" i="2"/>
  <c r="AR263" i="2"/>
  <c r="AQ263" i="2"/>
  <c r="AP263" i="2"/>
  <c r="AA263" i="2"/>
  <c r="V263" i="2"/>
  <c r="U263" i="2"/>
  <c r="AO263" i="2" s="1"/>
  <c r="T263" i="2"/>
  <c r="S263" i="2"/>
  <c r="R263" i="2"/>
  <c r="M263" i="2"/>
  <c r="Z263" i="2" s="1"/>
  <c r="J263" i="2"/>
  <c r="BF262" i="2"/>
  <c r="AR262" i="2"/>
  <c r="AS262" i="2" s="1"/>
  <c r="AQ262" i="2"/>
  <c r="AA262" i="2"/>
  <c r="V262" i="2"/>
  <c r="U262" i="2"/>
  <c r="T262" i="2"/>
  <c r="S262" i="2"/>
  <c r="R262" i="2"/>
  <c r="M262" i="2"/>
  <c r="Z262" i="2" s="1"/>
  <c r="J262" i="2"/>
  <c r="BF261" i="2"/>
  <c r="AT261" i="2"/>
  <c r="AU261" i="2" s="1"/>
  <c r="AV261" i="2" s="1"/>
  <c r="AS261" i="2"/>
  <c r="AR261" i="2"/>
  <c r="AQ261" i="2"/>
  <c r="AA261" i="2"/>
  <c r="Z261" i="2"/>
  <c r="V261" i="2"/>
  <c r="U261" i="2"/>
  <c r="T261" i="2"/>
  <c r="S261" i="2"/>
  <c r="R261" i="2"/>
  <c r="M261" i="2"/>
  <c r="J261" i="2"/>
  <c r="BF260" i="2"/>
  <c r="AR260" i="2"/>
  <c r="AS260" i="2" s="1"/>
  <c r="AQ260" i="2"/>
  <c r="AA260" i="2"/>
  <c r="V260" i="2"/>
  <c r="U260" i="2"/>
  <c r="X260" i="2" s="1"/>
  <c r="T260" i="2"/>
  <c r="S260" i="2"/>
  <c r="R260" i="2"/>
  <c r="M260" i="2"/>
  <c r="Z260" i="2" s="1"/>
  <c r="BF259" i="2"/>
  <c r="AS259" i="2"/>
  <c r="AR259" i="2"/>
  <c r="AQ259" i="2"/>
  <c r="AA259" i="2"/>
  <c r="X259" i="2"/>
  <c r="W259" i="2"/>
  <c r="V259" i="2"/>
  <c r="U259" i="2"/>
  <c r="AP259" i="2" s="1"/>
  <c r="T259" i="2"/>
  <c r="S259" i="2"/>
  <c r="R259" i="2"/>
  <c r="M259" i="2"/>
  <c r="Z259" i="2" s="1"/>
  <c r="J259" i="2"/>
  <c r="AO259" i="2" s="1"/>
  <c r="BF258" i="2"/>
  <c r="AR258" i="2"/>
  <c r="AQ258" i="2"/>
  <c r="AA258" i="2"/>
  <c r="V258" i="2"/>
  <c r="U258" i="2"/>
  <c r="AP258" i="2" s="1"/>
  <c r="T258" i="2"/>
  <c r="S258" i="2"/>
  <c r="R258" i="2"/>
  <c r="M258" i="2"/>
  <c r="J258" i="2" s="1"/>
  <c r="BF257" i="2"/>
  <c r="AU257" i="2"/>
  <c r="AV257" i="2" s="1"/>
  <c r="AT257" i="2"/>
  <c r="AS257" i="2"/>
  <c r="AR257" i="2"/>
  <c r="AQ257" i="2"/>
  <c r="AA257" i="2"/>
  <c r="Z257" i="2"/>
  <c r="X257" i="2"/>
  <c r="V257" i="2"/>
  <c r="U257" i="2"/>
  <c r="W257" i="2" s="1"/>
  <c r="T257" i="2"/>
  <c r="S257" i="2"/>
  <c r="R257" i="2"/>
  <c r="M257" i="2"/>
  <c r="J257" i="2" s="1"/>
  <c r="BF256" i="2"/>
  <c r="AR256" i="2"/>
  <c r="AQ256" i="2"/>
  <c r="AA256" i="2"/>
  <c r="V256" i="2"/>
  <c r="U256" i="2"/>
  <c r="AP256" i="2" s="1"/>
  <c r="T256" i="2"/>
  <c r="S256" i="2"/>
  <c r="R256" i="2"/>
  <c r="M256" i="2"/>
  <c r="J256" i="2" s="1"/>
  <c r="BF255" i="2"/>
  <c r="AR255" i="2"/>
  <c r="AS255" i="2" s="1"/>
  <c r="AQ255" i="2"/>
  <c r="AO255" i="2"/>
  <c r="AA255" i="2"/>
  <c r="Z255" i="2"/>
  <c r="V255" i="2"/>
  <c r="U255" i="2"/>
  <c r="AP255" i="2" s="1"/>
  <c r="T255" i="2"/>
  <c r="S255" i="2"/>
  <c r="R255" i="2"/>
  <c r="M255" i="2"/>
  <c r="J255" i="2"/>
  <c r="BF254" i="2"/>
  <c r="AU254" i="2"/>
  <c r="AV254" i="2" s="1"/>
  <c r="AT254" i="2"/>
  <c r="AS254" i="2"/>
  <c r="AR254" i="2"/>
  <c r="AQ254" i="2"/>
  <c r="AA254" i="2"/>
  <c r="AO254" i="2" s="1"/>
  <c r="Z254" i="2"/>
  <c r="X254" i="2"/>
  <c r="W254" i="2"/>
  <c r="V254" i="2"/>
  <c r="U254" i="2"/>
  <c r="T254" i="2"/>
  <c r="S254" i="2"/>
  <c r="R254" i="2"/>
  <c r="M254" i="2"/>
  <c r="J254" i="2"/>
  <c r="BF253" i="2"/>
  <c r="AR253" i="2"/>
  <c r="AQ253" i="2"/>
  <c r="AP253" i="2"/>
  <c r="AA253" i="2"/>
  <c r="V253" i="2"/>
  <c r="U253" i="2"/>
  <c r="AO253" i="2" s="1"/>
  <c r="T253" i="2"/>
  <c r="S253" i="2"/>
  <c r="R253" i="2"/>
  <c r="M253" i="2"/>
  <c r="Z253" i="2" s="1"/>
  <c r="J253" i="2"/>
  <c r="BF252" i="2"/>
  <c r="AR252" i="2"/>
  <c r="AS252" i="2" s="1"/>
  <c r="AQ252" i="2"/>
  <c r="AA252" i="2"/>
  <c r="V252" i="2"/>
  <c r="U252" i="2"/>
  <c r="X252" i="2" s="1"/>
  <c r="T252" i="2"/>
  <c r="S252" i="2"/>
  <c r="R252" i="2"/>
  <c r="M252" i="2"/>
  <c r="BF251" i="2"/>
  <c r="AT251" i="2"/>
  <c r="AU251" i="2" s="1"/>
  <c r="AV251" i="2" s="1"/>
  <c r="AS251" i="2"/>
  <c r="AW251" i="2" s="1"/>
  <c r="AX251" i="2" s="1"/>
  <c r="AR251" i="2"/>
  <c r="AQ251" i="2"/>
  <c r="AA251" i="2"/>
  <c r="AO251" i="2" s="1"/>
  <c r="Z251" i="2"/>
  <c r="X251" i="2"/>
  <c r="W251" i="2"/>
  <c r="V251" i="2"/>
  <c r="U251" i="2"/>
  <c r="AP251" i="2" s="1"/>
  <c r="T251" i="2"/>
  <c r="S251" i="2"/>
  <c r="R251" i="2"/>
  <c r="M251" i="2"/>
  <c r="J251" i="2"/>
  <c r="BF250" i="2"/>
  <c r="AR250" i="2"/>
  <c r="AQ250" i="2"/>
  <c r="AP250" i="2"/>
  <c r="AA250" i="2"/>
  <c r="V250" i="2"/>
  <c r="U250" i="2"/>
  <c r="AO250" i="2" s="1"/>
  <c r="T250" i="2"/>
  <c r="S250" i="2"/>
  <c r="R250" i="2"/>
  <c r="M250" i="2"/>
  <c r="Z250" i="2" s="1"/>
  <c r="J250" i="2"/>
  <c r="BF249" i="2"/>
  <c r="AR249" i="2"/>
  <c r="AS249" i="2" s="1"/>
  <c r="AQ249" i="2"/>
  <c r="AO249" i="2"/>
  <c r="AA249" i="2"/>
  <c r="Z249" i="2"/>
  <c r="V249" i="2"/>
  <c r="U249" i="2"/>
  <c r="AP249" i="2" s="1"/>
  <c r="T249" i="2"/>
  <c r="S249" i="2"/>
  <c r="R249" i="2"/>
  <c r="M249" i="2"/>
  <c r="J249" i="2"/>
  <c r="BF248" i="2"/>
  <c r="AR248" i="2"/>
  <c r="AQ248" i="2"/>
  <c r="AA248" i="2"/>
  <c r="AO248" i="2" s="1"/>
  <c r="Z248" i="2"/>
  <c r="X248" i="2"/>
  <c r="W248" i="2"/>
  <c r="V248" i="2"/>
  <c r="U248" i="2"/>
  <c r="AP248" i="2" s="1"/>
  <c r="T248" i="2"/>
  <c r="S248" i="2"/>
  <c r="R248" i="2"/>
  <c r="M248" i="2"/>
  <c r="J248" i="2" s="1"/>
  <c r="BF247" i="2"/>
  <c r="AR247" i="2"/>
  <c r="AQ247" i="2"/>
  <c r="AP247" i="2"/>
  <c r="AA247" i="2"/>
  <c r="V247" i="2"/>
  <c r="U247" i="2"/>
  <c r="AO247" i="2" s="1"/>
  <c r="T247" i="2"/>
  <c r="S247" i="2"/>
  <c r="R247" i="2"/>
  <c r="M247" i="2"/>
  <c r="Z247" i="2" s="1"/>
  <c r="J247" i="2"/>
  <c r="BF246" i="2"/>
  <c r="AR246" i="2"/>
  <c r="AS246" i="2" s="1"/>
  <c r="AQ246" i="2"/>
  <c r="AA246" i="2"/>
  <c r="V246" i="2"/>
  <c r="U246" i="2"/>
  <c r="T246" i="2"/>
  <c r="S246" i="2"/>
  <c r="R246" i="2"/>
  <c r="M246" i="2"/>
  <c r="BF245" i="2"/>
  <c r="AS245" i="2"/>
  <c r="AR245" i="2"/>
  <c r="AQ245" i="2"/>
  <c r="AA245" i="2"/>
  <c r="Z245" i="2"/>
  <c r="X245" i="2"/>
  <c r="V245" i="2"/>
  <c r="W245" i="2" s="1"/>
  <c r="U245" i="2"/>
  <c r="T245" i="2"/>
  <c r="S245" i="2"/>
  <c r="R245" i="2"/>
  <c r="M245" i="2"/>
  <c r="J245" i="2" s="1"/>
  <c r="AP245" i="2" s="1"/>
  <c r="BF244" i="2"/>
  <c r="AR244" i="2"/>
  <c r="AQ244" i="2"/>
  <c r="AP244" i="2"/>
  <c r="AA244" i="2"/>
  <c r="Z244" i="2"/>
  <c r="W244" i="2"/>
  <c r="V244" i="2"/>
  <c r="U244" i="2"/>
  <c r="X244" i="2" s="1"/>
  <c r="T244" i="2"/>
  <c r="S244" i="2"/>
  <c r="R244" i="2"/>
  <c r="M244" i="2"/>
  <c r="J244" i="2"/>
  <c r="BF243" i="2"/>
  <c r="AU243" i="2"/>
  <c r="AV243" i="2" s="1"/>
  <c r="AS243" i="2"/>
  <c r="AT243" i="2" s="1"/>
  <c r="AR243" i="2"/>
  <c r="AQ243" i="2"/>
  <c r="AA243" i="2"/>
  <c r="V243" i="2"/>
  <c r="U243" i="2"/>
  <c r="T243" i="2"/>
  <c r="S243" i="2"/>
  <c r="R243" i="2"/>
  <c r="M243" i="2"/>
  <c r="BF242" i="2"/>
  <c r="AS242" i="2"/>
  <c r="AT242" i="2" s="1"/>
  <c r="AU242" i="2" s="1"/>
  <c r="AV242" i="2" s="1"/>
  <c r="AR242" i="2"/>
  <c r="AW242" i="2" s="1"/>
  <c r="AX242" i="2" s="1"/>
  <c r="AQ242" i="2"/>
  <c r="AA242" i="2"/>
  <c r="AO242" i="2" s="1"/>
  <c r="Z242" i="2"/>
  <c r="X242" i="2"/>
  <c r="V242" i="2"/>
  <c r="W242" i="2" s="1"/>
  <c r="U242" i="2"/>
  <c r="T242" i="2"/>
  <c r="S242" i="2"/>
  <c r="R242" i="2"/>
  <c r="M242" i="2"/>
  <c r="J242" i="2" s="1"/>
  <c r="AP242" i="2" s="1"/>
  <c r="BF241" i="2"/>
  <c r="AR241" i="2"/>
  <c r="AQ241" i="2"/>
  <c r="AP241" i="2"/>
  <c r="AA241" i="2"/>
  <c r="V241" i="2"/>
  <c r="U241" i="2"/>
  <c r="AO241" i="2" s="1"/>
  <c r="T241" i="2"/>
  <c r="S241" i="2"/>
  <c r="R241" i="2"/>
  <c r="M241" i="2"/>
  <c r="Z241" i="2" s="1"/>
  <c r="J241" i="2"/>
  <c r="BF240" i="2"/>
  <c r="AV240" i="2"/>
  <c r="AS240" i="2"/>
  <c r="AT240" i="2" s="1"/>
  <c r="AU240" i="2" s="1"/>
  <c r="AR240" i="2"/>
  <c r="AQ240" i="2"/>
  <c r="AA240" i="2"/>
  <c r="V240" i="2"/>
  <c r="U240" i="2"/>
  <c r="T240" i="2"/>
  <c r="S240" i="2"/>
  <c r="R240" i="2"/>
  <c r="M240" i="2"/>
  <c r="BF239" i="2"/>
  <c r="AS239" i="2"/>
  <c r="AT239" i="2" s="1"/>
  <c r="AU239" i="2" s="1"/>
  <c r="AV239" i="2" s="1"/>
  <c r="AR239" i="2"/>
  <c r="AW239" i="2" s="1"/>
  <c r="AX239" i="2" s="1"/>
  <c r="AQ239" i="2"/>
  <c r="AA239" i="2"/>
  <c r="Z239" i="2"/>
  <c r="X239" i="2"/>
  <c r="W239" i="2"/>
  <c r="V239" i="2"/>
  <c r="U239" i="2"/>
  <c r="T239" i="2"/>
  <c r="S239" i="2"/>
  <c r="R239" i="2"/>
  <c r="M239" i="2"/>
  <c r="J239" i="2" s="1"/>
  <c r="BF238" i="2"/>
  <c r="AR238" i="2"/>
  <c r="AQ238" i="2"/>
  <c r="AO238" i="2"/>
  <c r="AA238" i="2"/>
  <c r="Z238" i="2"/>
  <c r="W238" i="2"/>
  <c r="V238" i="2"/>
  <c r="U238" i="2"/>
  <c r="T238" i="2"/>
  <c r="S238" i="2"/>
  <c r="R238" i="2"/>
  <c r="M238" i="2"/>
  <c r="J238" i="2"/>
  <c r="BF237" i="2"/>
  <c r="AR237" i="2"/>
  <c r="AS237" i="2" s="1"/>
  <c r="AQ237" i="2"/>
  <c r="AA237" i="2"/>
  <c r="X237" i="2"/>
  <c r="W237" i="2"/>
  <c r="V237" i="2"/>
  <c r="U237" i="2"/>
  <c r="T237" i="2"/>
  <c r="S237" i="2"/>
  <c r="R237" i="2"/>
  <c r="M237" i="2"/>
  <c r="Z237" i="2" s="1"/>
  <c r="J237" i="2"/>
  <c r="AP237" i="2" s="1"/>
  <c r="BF236" i="2"/>
  <c r="AS236" i="2"/>
  <c r="AT236" i="2" s="1"/>
  <c r="AU236" i="2" s="1"/>
  <c r="AV236" i="2" s="1"/>
  <c r="AR236" i="2"/>
  <c r="AW236" i="2" s="1"/>
  <c r="AX236" i="2" s="1"/>
  <c r="AQ236" i="2"/>
  <c r="AA236" i="2"/>
  <c r="Z236" i="2"/>
  <c r="V236" i="2"/>
  <c r="U236" i="2"/>
  <c r="T236" i="2"/>
  <c r="S236" i="2"/>
  <c r="R236" i="2"/>
  <c r="M236" i="2"/>
  <c r="J236" i="2" s="1"/>
  <c r="BF235" i="2"/>
  <c r="AS235" i="2"/>
  <c r="AR235" i="2"/>
  <c r="AQ235" i="2"/>
  <c r="AP235" i="2"/>
  <c r="AO235" i="2"/>
  <c r="AA235" i="2"/>
  <c r="Z235" i="2"/>
  <c r="W235" i="2"/>
  <c r="V235" i="2"/>
  <c r="U235" i="2"/>
  <c r="X235" i="2" s="1"/>
  <c r="T235" i="2"/>
  <c r="S235" i="2"/>
  <c r="R235" i="2"/>
  <c r="M235" i="2"/>
  <c r="J235" i="2"/>
  <c r="BF234" i="2"/>
  <c r="AR234" i="2"/>
  <c r="AS234" i="2" s="1"/>
  <c r="AQ234" i="2"/>
  <c r="AA234" i="2"/>
  <c r="Z234" i="2"/>
  <c r="X234" i="2"/>
  <c r="W234" i="2"/>
  <c r="V234" i="2"/>
  <c r="U234" i="2"/>
  <c r="AP234" i="2" s="1"/>
  <c r="T234" i="2"/>
  <c r="S234" i="2"/>
  <c r="R234" i="2"/>
  <c r="M234" i="2"/>
  <c r="J234" i="2"/>
  <c r="BF233" i="2"/>
  <c r="AS233" i="2"/>
  <c r="AT233" i="2" s="1"/>
  <c r="AU233" i="2" s="1"/>
  <c r="AV233" i="2" s="1"/>
  <c r="AR233" i="2"/>
  <c r="AW233" i="2" s="1"/>
  <c r="AX233" i="2" s="1"/>
  <c r="AQ233" i="2"/>
  <c r="AO233" i="2"/>
  <c r="AA233" i="2"/>
  <c r="Z233" i="2"/>
  <c r="X233" i="2"/>
  <c r="V233" i="2"/>
  <c r="W233" i="2" s="1"/>
  <c r="U233" i="2"/>
  <c r="AP233" i="2" s="1"/>
  <c r="T233" i="2"/>
  <c r="S233" i="2"/>
  <c r="R233" i="2"/>
  <c r="M233" i="2"/>
  <c r="J233" i="2"/>
  <c r="BF232" i="2"/>
  <c r="AR232" i="2"/>
  <c r="AQ232" i="2"/>
  <c r="AP232" i="2"/>
  <c r="AO232" i="2"/>
  <c r="AA232" i="2"/>
  <c r="Z232" i="2"/>
  <c r="V232" i="2"/>
  <c r="U232" i="2"/>
  <c r="X232" i="2" s="1"/>
  <c r="T232" i="2"/>
  <c r="S232" i="2"/>
  <c r="R232" i="2"/>
  <c r="M232" i="2"/>
  <c r="J232" i="2" s="1"/>
  <c r="BF231" i="2"/>
  <c r="AT231" i="2"/>
  <c r="AU231" i="2" s="1"/>
  <c r="AV231" i="2" s="1"/>
  <c r="AR231" i="2"/>
  <c r="AS231" i="2" s="1"/>
  <c r="AQ231" i="2"/>
  <c r="AA231" i="2"/>
  <c r="Z231" i="2"/>
  <c r="X231" i="2"/>
  <c r="V231" i="2"/>
  <c r="U231" i="2"/>
  <c r="T231" i="2"/>
  <c r="S231" i="2"/>
  <c r="R231" i="2"/>
  <c r="M231" i="2"/>
  <c r="J231" i="2"/>
  <c r="BF230" i="2"/>
  <c r="AS230" i="2"/>
  <c r="AT230" i="2" s="1"/>
  <c r="AU230" i="2" s="1"/>
  <c r="AV230" i="2" s="1"/>
  <c r="AR230" i="2"/>
  <c r="AQ230" i="2"/>
  <c r="AA230" i="2"/>
  <c r="Z230" i="2"/>
  <c r="V230" i="2"/>
  <c r="U230" i="2"/>
  <c r="T230" i="2"/>
  <c r="S230" i="2"/>
  <c r="R230" i="2"/>
  <c r="M230" i="2"/>
  <c r="J230" i="2"/>
  <c r="BF229" i="2"/>
  <c r="AR229" i="2"/>
  <c r="AS229" i="2" s="1"/>
  <c r="AQ229" i="2"/>
  <c r="AA229" i="2"/>
  <c r="X229" i="2"/>
  <c r="V229" i="2"/>
  <c r="U229" i="2"/>
  <c r="W229" i="2" s="1"/>
  <c r="T229" i="2"/>
  <c r="S229" i="2"/>
  <c r="R229" i="2"/>
  <c r="M229" i="2"/>
  <c r="Z229" i="2" s="1"/>
  <c r="BF228" i="2"/>
  <c r="AT228" i="2"/>
  <c r="AU228" i="2" s="1"/>
  <c r="AV228" i="2" s="1"/>
  <c r="AR228" i="2"/>
  <c r="AS228" i="2" s="1"/>
  <c r="AQ228" i="2"/>
  <c r="AA228" i="2"/>
  <c r="W228" i="2"/>
  <c r="V228" i="2"/>
  <c r="U228" i="2"/>
  <c r="X228" i="2" s="1"/>
  <c r="T228" i="2"/>
  <c r="S228" i="2"/>
  <c r="R228" i="2"/>
  <c r="M228" i="2"/>
  <c r="Z228" i="2" s="1"/>
  <c r="BF227" i="2"/>
  <c r="AS227" i="2"/>
  <c r="AT227" i="2" s="1"/>
  <c r="AR227" i="2"/>
  <c r="AQ227" i="2"/>
  <c r="AA227" i="2"/>
  <c r="Z227" i="2"/>
  <c r="V227" i="2"/>
  <c r="U227" i="2"/>
  <c r="T227" i="2"/>
  <c r="S227" i="2"/>
  <c r="R227" i="2"/>
  <c r="M227" i="2"/>
  <c r="J227" i="2"/>
  <c r="BF226" i="2"/>
  <c r="AR226" i="2"/>
  <c r="AS226" i="2" s="1"/>
  <c r="AQ226" i="2"/>
  <c r="AA226" i="2"/>
  <c r="X226" i="2"/>
  <c r="V226" i="2"/>
  <c r="U226" i="2"/>
  <c r="W226" i="2" s="1"/>
  <c r="T226" i="2"/>
  <c r="S226" i="2"/>
  <c r="R226" i="2"/>
  <c r="M226" i="2"/>
  <c r="Z226" i="2" s="1"/>
  <c r="BF225" i="2"/>
  <c r="AR225" i="2"/>
  <c r="AS225" i="2" s="1"/>
  <c r="AQ225" i="2"/>
  <c r="AA225" i="2"/>
  <c r="Z225" i="2"/>
  <c r="X225" i="2"/>
  <c r="V225" i="2"/>
  <c r="U225" i="2"/>
  <c r="T225" i="2"/>
  <c r="S225" i="2"/>
  <c r="R225" i="2"/>
  <c r="M225" i="2"/>
  <c r="J225" i="2"/>
  <c r="BF224" i="2"/>
  <c r="AR224" i="2"/>
  <c r="AQ224" i="2"/>
  <c r="AA224" i="2"/>
  <c r="Z224" i="2"/>
  <c r="V224" i="2"/>
  <c r="U224" i="2"/>
  <c r="T224" i="2"/>
  <c r="S224" i="2"/>
  <c r="R224" i="2"/>
  <c r="M224" i="2"/>
  <c r="J224" i="2" s="1"/>
  <c r="BF223" i="2"/>
  <c r="AR223" i="2"/>
  <c r="AS223" i="2" s="1"/>
  <c r="AQ223" i="2"/>
  <c r="AA223" i="2"/>
  <c r="X223" i="2"/>
  <c r="V223" i="2"/>
  <c r="U223" i="2"/>
  <c r="W223" i="2" s="1"/>
  <c r="T223" i="2"/>
  <c r="S223" i="2"/>
  <c r="R223" i="2"/>
  <c r="M223" i="2"/>
  <c r="Z223" i="2" s="1"/>
  <c r="BF222" i="2"/>
  <c r="AT222" i="2"/>
  <c r="AU222" i="2" s="1"/>
  <c r="AV222" i="2" s="1"/>
  <c r="AR222" i="2"/>
  <c r="AS222" i="2" s="1"/>
  <c r="AQ222" i="2"/>
  <c r="AA222" i="2"/>
  <c r="X222" i="2"/>
  <c r="W222" i="2"/>
  <c r="V222" i="2"/>
  <c r="U222" i="2"/>
  <c r="T222" i="2"/>
  <c r="S222" i="2"/>
  <c r="R222" i="2"/>
  <c r="M222" i="2"/>
  <c r="Z222" i="2" s="1"/>
  <c r="BF221" i="2"/>
  <c r="AR221" i="2"/>
  <c r="AS221" i="2" s="1"/>
  <c r="AQ221" i="2"/>
  <c r="AA221" i="2"/>
  <c r="Z221" i="2"/>
  <c r="V221" i="2"/>
  <c r="U221" i="2"/>
  <c r="AP221" i="2" s="1"/>
  <c r="T221" i="2"/>
  <c r="S221" i="2"/>
  <c r="R221" i="2"/>
  <c r="M221" i="2"/>
  <c r="J221" i="2"/>
  <c r="BF220" i="2"/>
  <c r="AR220" i="2"/>
  <c r="AS220" i="2" s="1"/>
  <c r="AQ220" i="2"/>
  <c r="AA220" i="2"/>
  <c r="W220" i="2"/>
  <c r="V220" i="2"/>
  <c r="U220" i="2"/>
  <c r="X220" i="2" s="1"/>
  <c r="T220" i="2"/>
  <c r="S220" i="2"/>
  <c r="R220" i="2"/>
  <c r="M220" i="2"/>
  <c r="Z220" i="2" s="1"/>
  <c r="BF219" i="2"/>
  <c r="AS219" i="2"/>
  <c r="AR219" i="2"/>
  <c r="AQ219" i="2"/>
  <c r="AA219" i="2"/>
  <c r="X219" i="2"/>
  <c r="W219" i="2"/>
  <c r="V219" i="2"/>
  <c r="U219" i="2"/>
  <c r="T219" i="2"/>
  <c r="S219" i="2"/>
  <c r="R219" i="2"/>
  <c r="M219" i="2"/>
  <c r="Z219" i="2" s="1"/>
  <c r="BF218" i="2"/>
  <c r="AR218" i="2"/>
  <c r="AQ218" i="2"/>
  <c r="AA218" i="2"/>
  <c r="Z218" i="2"/>
  <c r="V218" i="2"/>
  <c r="U218" i="2"/>
  <c r="AP218" i="2" s="1"/>
  <c r="T218" i="2"/>
  <c r="S218" i="2"/>
  <c r="R218" i="2"/>
  <c r="M218" i="2"/>
  <c r="J218" i="2"/>
  <c r="BF217" i="2"/>
  <c r="AR217" i="2"/>
  <c r="AS217" i="2" s="1"/>
  <c r="AQ217" i="2"/>
  <c r="AA217" i="2"/>
  <c r="X217" i="2"/>
  <c r="V217" i="2"/>
  <c r="U217" i="2"/>
  <c r="W217" i="2" s="1"/>
  <c r="T217" i="2"/>
  <c r="S217" i="2"/>
  <c r="R217" i="2"/>
  <c r="M217" i="2"/>
  <c r="Z217" i="2" s="1"/>
  <c r="BF216" i="2"/>
  <c r="AT216" i="2"/>
  <c r="AU216" i="2" s="1"/>
  <c r="AV216" i="2" s="1"/>
  <c r="AR216" i="2"/>
  <c r="AS216" i="2" s="1"/>
  <c r="AQ216" i="2"/>
  <c r="AA216" i="2"/>
  <c r="Z216" i="2"/>
  <c r="V216" i="2"/>
  <c r="U216" i="2"/>
  <c r="AP216" i="2" s="1"/>
  <c r="T216" i="2"/>
  <c r="S216" i="2"/>
  <c r="R216" i="2"/>
  <c r="M216" i="2"/>
  <c r="J216" i="2"/>
  <c r="BF215" i="2"/>
  <c r="AS215" i="2"/>
  <c r="AT215" i="2" s="1"/>
  <c r="AU215" i="2" s="1"/>
  <c r="AV215" i="2" s="1"/>
  <c r="AR215" i="2"/>
  <c r="AW215" i="2" s="1"/>
  <c r="AX215" i="2" s="1"/>
  <c r="AQ215" i="2"/>
  <c r="AA215" i="2"/>
  <c r="AO215" i="2" s="1"/>
  <c r="Z215" i="2"/>
  <c r="X215" i="2"/>
  <c r="V215" i="2"/>
  <c r="W215" i="2" s="1"/>
  <c r="U215" i="2"/>
  <c r="AP215" i="2" s="1"/>
  <c r="T215" i="2"/>
  <c r="S215" i="2"/>
  <c r="R215" i="2"/>
  <c r="M215" i="2"/>
  <c r="J215" i="2"/>
  <c r="BF214" i="2"/>
  <c r="AR214" i="2"/>
  <c r="AQ214" i="2"/>
  <c r="AA214" i="2"/>
  <c r="V214" i="2"/>
  <c r="U214" i="2"/>
  <c r="T214" i="2"/>
  <c r="S214" i="2"/>
  <c r="R214" i="2"/>
  <c r="M214" i="2"/>
  <c r="Z214" i="2" s="1"/>
  <c r="J214" i="2"/>
  <c r="BF213" i="2"/>
  <c r="AR213" i="2"/>
  <c r="AS213" i="2" s="1"/>
  <c r="AQ213" i="2"/>
  <c r="AO213" i="2"/>
  <c r="AA213" i="2"/>
  <c r="Z213" i="2"/>
  <c r="V213" i="2"/>
  <c r="U213" i="2"/>
  <c r="AP213" i="2" s="1"/>
  <c r="T213" i="2"/>
  <c r="S213" i="2"/>
  <c r="R213" i="2"/>
  <c r="M213" i="2"/>
  <c r="J213" i="2"/>
  <c r="BF212" i="2"/>
  <c r="AU212" i="2"/>
  <c r="AV212" i="2" s="1"/>
  <c r="AT212" i="2"/>
  <c r="AS212" i="2"/>
  <c r="AW212" i="2" s="1"/>
  <c r="AX212" i="2" s="1"/>
  <c r="AR212" i="2"/>
  <c r="AQ212" i="2"/>
  <c r="AA212" i="2"/>
  <c r="X212" i="2"/>
  <c r="V212" i="2"/>
  <c r="U212" i="2"/>
  <c r="W212" i="2" s="1"/>
  <c r="T212" i="2"/>
  <c r="S212" i="2"/>
  <c r="R212" i="2"/>
  <c r="M212" i="2"/>
  <c r="BF211" i="2"/>
  <c r="AR211" i="2"/>
  <c r="AQ211" i="2"/>
  <c r="AP211" i="2"/>
  <c r="AA211" i="2"/>
  <c r="X211" i="2"/>
  <c r="W211" i="2"/>
  <c r="V211" i="2"/>
  <c r="U211" i="2"/>
  <c r="AO211" i="2" s="1"/>
  <c r="T211" i="2"/>
  <c r="S211" i="2"/>
  <c r="R211" i="2"/>
  <c r="M211" i="2"/>
  <c r="Z211" i="2" s="1"/>
  <c r="J211" i="2"/>
  <c r="BF210" i="2"/>
  <c r="AR210" i="2"/>
  <c r="AQ210" i="2"/>
  <c r="AA210" i="2"/>
  <c r="Z210" i="2"/>
  <c r="V210" i="2"/>
  <c r="U210" i="2"/>
  <c r="AP210" i="2" s="1"/>
  <c r="T210" i="2"/>
  <c r="S210" i="2"/>
  <c r="R210" i="2"/>
  <c r="M210" i="2"/>
  <c r="J210" i="2"/>
  <c r="BF209" i="2"/>
  <c r="AW209" i="2"/>
  <c r="AX209" i="2" s="1"/>
  <c r="AR209" i="2"/>
  <c r="AS209" i="2" s="1"/>
  <c r="AT209" i="2" s="1"/>
  <c r="AU209" i="2" s="1"/>
  <c r="AV209" i="2" s="1"/>
  <c r="AQ209" i="2"/>
  <c r="AA209" i="2"/>
  <c r="X209" i="2"/>
  <c r="V209" i="2"/>
  <c r="U209" i="2"/>
  <c r="W209" i="2" s="1"/>
  <c r="T209" i="2"/>
  <c r="S209" i="2"/>
  <c r="R209" i="2"/>
  <c r="M209" i="2"/>
  <c r="Z209" i="2" s="1"/>
  <c r="BF208" i="2"/>
  <c r="AT208" i="2"/>
  <c r="AU208" i="2" s="1"/>
  <c r="AV208" i="2" s="1"/>
  <c r="AR208" i="2"/>
  <c r="AS208" i="2" s="1"/>
  <c r="AQ208" i="2"/>
  <c r="AA208" i="2"/>
  <c r="Z208" i="2"/>
  <c r="V208" i="2"/>
  <c r="U208" i="2"/>
  <c r="T208" i="2"/>
  <c r="S208" i="2"/>
  <c r="R208" i="2"/>
  <c r="M208" i="2"/>
  <c r="J208" i="2" s="1"/>
  <c r="BF207" i="2"/>
  <c r="AS207" i="2"/>
  <c r="AT207" i="2" s="1"/>
  <c r="AU207" i="2" s="1"/>
  <c r="AV207" i="2" s="1"/>
  <c r="AR207" i="2"/>
  <c r="AW207" i="2" s="1"/>
  <c r="AX207" i="2" s="1"/>
  <c r="AQ207" i="2"/>
  <c r="AA207" i="2"/>
  <c r="AO207" i="2" s="1"/>
  <c r="Z207" i="2"/>
  <c r="X207" i="2"/>
  <c r="V207" i="2"/>
  <c r="W207" i="2" s="1"/>
  <c r="U207" i="2"/>
  <c r="AP207" i="2" s="1"/>
  <c r="T207" i="2"/>
  <c r="S207" i="2"/>
  <c r="R207" i="2"/>
  <c r="M207" i="2"/>
  <c r="J207" i="2"/>
  <c r="BF206" i="2"/>
  <c r="AR206" i="2"/>
  <c r="AQ206" i="2"/>
  <c r="AA206" i="2"/>
  <c r="V206" i="2"/>
  <c r="U206" i="2"/>
  <c r="T206" i="2"/>
  <c r="S206" i="2"/>
  <c r="R206" i="2"/>
  <c r="M206" i="2"/>
  <c r="Z206" i="2" s="1"/>
  <c r="J206" i="2"/>
  <c r="BF205" i="2"/>
  <c r="AR205" i="2"/>
  <c r="AS205" i="2" s="1"/>
  <c r="AT205" i="2" s="1"/>
  <c r="AU205" i="2" s="1"/>
  <c r="AV205" i="2" s="1"/>
  <c r="AQ205" i="2"/>
  <c r="AO205" i="2"/>
  <c r="AA205" i="2"/>
  <c r="Z205" i="2"/>
  <c r="V205" i="2"/>
  <c r="U205" i="2"/>
  <c r="AP205" i="2" s="1"/>
  <c r="T205" i="2"/>
  <c r="S205" i="2"/>
  <c r="R205" i="2"/>
  <c r="M205" i="2"/>
  <c r="J205" i="2"/>
  <c r="BF204" i="2"/>
  <c r="AU204" i="2"/>
  <c r="AV204" i="2" s="1"/>
  <c r="AT204" i="2"/>
  <c r="AW204" i="2" s="1"/>
  <c r="AX204" i="2" s="1"/>
  <c r="AS204" i="2"/>
  <c r="AR204" i="2"/>
  <c r="AQ204" i="2"/>
  <c r="AA204" i="2"/>
  <c r="X204" i="2"/>
  <c r="V204" i="2"/>
  <c r="U204" i="2"/>
  <c r="W204" i="2" s="1"/>
  <c r="T204" i="2"/>
  <c r="S204" i="2"/>
  <c r="R204" i="2"/>
  <c r="M204" i="2"/>
  <c r="BF203" i="2"/>
  <c r="AR203" i="2"/>
  <c r="AQ203" i="2"/>
  <c r="AA203" i="2"/>
  <c r="X203" i="2"/>
  <c r="W203" i="2"/>
  <c r="V203" i="2"/>
  <c r="U203" i="2"/>
  <c r="T203" i="2"/>
  <c r="S203" i="2"/>
  <c r="R203" i="2"/>
  <c r="M203" i="2"/>
  <c r="Z203" i="2" s="1"/>
  <c r="K524" i="1" s="1"/>
  <c r="J203" i="2"/>
  <c r="AP203" i="2" s="1"/>
  <c r="BF202" i="2"/>
  <c r="AR202" i="2"/>
  <c r="AQ202" i="2"/>
  <c r="AA202" i="2"/>
  <c r="Z202" i="2"/>
  <c r="X202" i="2"/>
  <c r="V202" i="2"/>
  <c r="U202" i="2"/>
  <c r="T202" i="2"/>
  <c r="S202" i="2"/>
  <c r="R202" i="2"/>
  <c r="M202" i="2"/>
  <c r="J202" i="2"/>
  <c r="BF201" i="2"/>
  <c r="AR201" i="2"/>
  <c r="AS201" i="2" s="1"/>
  <c r="AT201" i="2" s="1"/>
  <c r="AU201" i="2" s="1"/>
  <c r="AV201" i="2" s="1"/>
  <c r="AQ201" i="2"/>
  <c r="AA201" i="2"/>
  <c r="X201" i="2"/>
  <c r="V201" i="2"/>
  <c r="U201" i="2"/>
  <c r="W201" i="2" s="1"/>
  <c r="T201" i="2"/>
  <c r="S201" i="2"/>
  <c r="R201" i="2"/>
  <c r="M201" i="2"/>
  <c r="Z201" i="2" s="1"/>
  <c r="BF200" i="2"/>
  <c r="AR200" i="2"/>
  <c r="AQ200" i="2"/>
  <c r="AA200" i="2"/>
  <c r="Z200" i="2"/>
  <c r="V200" i="2"/>
  <c r="U200" i="2"/>
  <c r="T200" i="2"/>
  <c r="S200" i="2"/>
  <c r="R200" i="2"/>
  <c r="M200" i="2"/>
  <c r="J200" i="2"/>
  <c r="BF199" i="2"/>
  <c r="AT199" i="2"/>
  <c r="AU199" i="2" s="1"/>
  <c r="AV199" i="2" s="1"/>
  <c r="AS199" i="2"/>
  <c r="AR199" i="2"/>
  <c r="AQ199" i="2"/>
  <c r="AA199" i="2"/>
  <c r="AO199" i="2" s="1"/>
  <c r="Z199" i="2"/>
  <c r="X199" i="2"/>
  <c r="W199" i="2"/>
  <c r="V199" i="2"/>
  <c r="U199" i="2"/>
  <c r="T199" i="2"/>
  <c r="S199" i="2"/>
  <c r="R199" i="2"/>
  <c r="M199" i="2"/>
  <c r="J199" i="2"/>
  <c r="BF198" i="2"/>
  <c r="AR198" i="2"/>
  <c r="AQ198" i="2"/>
  <c r="AA198" i="2"/>
  <c r="V198" i="2"/>
  <c r="U198" i="2"/>
  <c r="T198" i="2"/>
  <c r="S198" i="2"/>
  <c r="R198" i="2"/>
  <c r="M198" i="2"/>
  <c r="Z198" i="2" s="1"/>
  <c r="J198" i="2"/>
  <c r="BF197" i="2"/>
  <c r="AR197" i="2"/>
  <c r="AS197" i="2" s="1"/>
  <c r="AQ197" i="2"/>
  <c r="AA197" i="2"/>
  <c r="Z197" i="2"/>
  <c r="V197" i="2"/>
  <c r="U197" i="2"/>
  <c r="X197" i="2" s="1"/>
  <c r="T197" i="2"/>
  <c r="S197" i="2"/>
  <c r="R197" i="2"/>
  <c r="M197" i="2"/>
  <c r="J197" i="2"/>
  <c r="BF196" i="2"/>
  <c r="AT196" i="2"/>
  <c r="AS196" i="2"/>
  <c r="AR196" i="2"/>
  <c r="AQ196" i="2"/>
  <c r="AP196" i="2"/>
  <c r="AA196" i="2"/>
  <c r="AO196" i="2" s="1"/>
  <c r="Z196" i="2"/>
  <c r="X196" i="2"/>
  <c r="V196" i="2"/>
  <c r="U196" i="2"/>
  <c r="W196" i="2" s="1"/>
  <c r="T196" i="2"/>
  <c r="S196" i="2"/>
  <c r="R196" i="2"/>
  <c r="M196" i="2"/>
  <c r="J196" i="2"/>
  <c r="BF195" i="2"/>
  <c r="AR195" i="2"/>
  <c r="AQ195" i="2"/>
  <c r="AA195" i="2"/>
  <c r="X195" i="2"/>
  <c r="W195" i="2"/>
  <c r="V195" i="2"/>
  <c r="U195" i="2"/>
  <c r="T195" i="2"/>
  <c r="S195" i="2"/>
  <c r="R195" i="2"/>
  <c r="M195" i="2"/>
  <c r="Z195" i="2" s="1"/>
  <c r="BF194" i="2"/>
  <c r="AR194" i="2"/>
  <c r="AQ194" i="2"/>
  <c r="AP194" i="2"/>
  <c r="AA194" i="2"/>
  <c r="Z194" i="2"/>
  <c r="X194" i="2"/>
  <c r="V194" i="2"/>
  <c r="U194" i="2"/>
  <c r="AO194" i="2" s="1"/>
  <c r="T194" i="2"/>
  <c r="S194" i="2"/>
  <c r="R194" i="2"/>
  <c r="M194" i="2"/>
  <c r="J194" i="2"/>
  <c r="BF193" i="2"/>
  <c r="AR193" i="2"/>
  <c r="AQ193" i="2"/>
  <c r="AA193" i="2"/>
  <c r="X193" i="2"/>
  <c r="V193" i="2"/>
  <c r="U193" i="2"/>
  <c r="W193" i="2" s="1"/>
  <c r="T193" i="2"/>
  <c r="S193" i="2"/>
  <c r="R193" i="2"/>
  <c r="M193" i="2"/>
  <c r="Z193" i="2" s="1"/>
  <c r="BF192" i="2"/>
  <c r="AR192" i="2"/>
  <c r="AQ192" i="2"/>
  <c r="AA192" i="2"/>
  <c r="V192" i="2"/>
  <c r="U192" i="2"/>
  <c r="W192" i="2" s="1"/>
  <c r="T192" i="2"/>
  <c r="S192" i="2"/>
  <c r="R192" i="2"/>
  <c r="M192" i="2"/>
  <c r="Z192" i="2" s="1"/>
  <c r="BF191" i="2"/>
  <c r="AR191" i="2"/>
  <c r="AQ191" i="2"/>
  <c r="AA191" i="2"/>
  <c r="X191" i="2"/>
  <c r="V191" i="2"/>
  <c r="W191" i="2" s="1"/>
  <c r="U191" i="2"/>
  <c r="T191" i="2"/>
  <c r="S191" i="2"/>
  <c r="R191" i="2"/>
  <c r="M191" i="2"/>
  <c r="BF190" i="2"/>
  <c r="AS190" i="2"/>
  <c r="AT190" i="2" s="1"/>
  <c r="AU190" i="2" s="1"/>
  <c r="AV190" i="2" s="1"/>
  <c r="AR190" i="2"/>
  <c r="AQ190" i="2"/>
  <c r="AA190" i="2"/>
  <c r="V190" i="2"/>
  <c r="U190" i="2"/>
  <c r="T190" i="2"/>
  <c r="S190" i="2"/>
  <c r="R190" i="2"/>
  <c r="M190" i="2"/>
  <c r="Z190" i="2" s="1"/>
  <c r="BF189" i="2"/>
  <c r="AT189" i="2"/>
  <c r="AU189" i="2" s="1"/>
  <c r="AV189" i="2" s="1"/>
  <c r="AR189" i="2"/>
  <c r="AS189" i="2" s="1"/>
  <c r="AQ189" i="2"/>
  <c r="AP189" i="2"/>
  <c r="AA189" i="2"/>
  <c r="AO189" i="2" s="1"/>
  <c r="Z189" i="2"/>
  <c r="V189" i="2"/>
  <c r="W189" i="2" s="1"/>
  <c r="U189" i="2"/>
  <c r="X189" i="2" s="1"/>
  <c r="T189" i="2"/>
  <c r="S189" i="2"/>
  <c r="R189" i="2"/>
  <c r="M189" i="2"/>
  <c r="J189" i="2"/>
  <c r="BF188" i="2"/>
  <c r="AS188" i="2"/>
  <c r="AR188" i="2"/>
  <c r="AQ188" i="2"/>
  <c r="AP188" i="2"/>
  <c r="AA188" i="2"/>
  <c r="AO188" i="2" s="1"/>
  <c r="X188" i="2"/>
  <c r="V188" i="2"/>
  <c r="U188" i="2"/>
  <c r="W188" i="2" s="1"/>
  <c r="T188" i="2"/>
  <c r="S188" i="2"/>
  <c r="R188" i="2"/>
  <c r="M188" i="2"/>
  <c r="Z188" i="2" s="1"/>
  <c r="J188" i="2"/>
  <c r="BF187" i="2"/>
  <c r="AT187" i="2"/>
  <c r="AU187" i="2" s="1"/>
  <c r="AV187" i="2" s="1"/>
  <c r="AR187" i="2"/>
  <c r="AS187" i="2" s="1"/>
  <c r="AQ187" i="2"/>
  <c r="AA187" i="2"/>
  <c r="W187" i="2"/>
  <c r="V187" i="2"/>
  <c r="U187" i="2"/>
  <c r="T187" i="2"/>
  <c r="S187" i="2"/>
  <c r="R187" i="2"/>
  <c r="M187" i="2"/>
  <c r="Z187" i="2" s="1"/>
  <c r="J187" i="2"/>
  <c r="BF186" i="2"/>
  <c r="AS186" i="2"/>
  <c r="AT186" i="2" s="1"/>
  <c r="AU186" i="2" s="1"/>
  <c r="AV186" i="2" s="1"/>
  <c r="AR186" i="2"/>
  <c r="AQ186" i="2"/>
  <c r="AA186" i="2"/>
  <c r="Z186" i="2"/>
  <c r="V186" i="2"/>
  <c r="U186" i="2"/>
  <c r="T186" i="2"/>
  <c r="S186" i="2"/>
  <c r="R186" i="2"/>
  <c r="M186" i="2"/>
  <c r="J186" i="2"/>
  <c r="BF185" i="2"/>
  <c r="AU185" i="2"/>
  <c r="AV185" i="2" s="1"/>
  <c r="AS185" i="2"/>
  <c r="AT185" i="2" s="1"/>
  <c r="AR185" i="2"/>
  <c r="AQ185" i="2"/>
  <c r="AA185" i="2"/>
  <c r="X185" i="2"/>
  <c r="V185" i="2"/>
  <c r="U185" i="2"/>
  <c r="T185" i="2"/>
  <c r="S185" i="2"/>
  <c r="R185" i="2"/>
  <c r="M185" i="2"/>
  <c r="BF184" i="2"/>
  <c r="AR184" i="2"/>
  <c r="AS184" i="2" s="1"/>
  <c r="AT184" i="2" s="1"/>
  <c r="AU184" i="2" s="1"/>
  <c r="AV184" i="2" s="1"/>
  <c r="AQ184" i="2"/>
  <c r="AA184" i="2"/>
  <c r="V184" i="2"/>
  <c r="U184" i="2"/>
  <c r="X184" i="2" s="1"/>
  <c r="T184" i="2"/>
  <c r="S184" i="2"/>
  <c r="R184" i="2"/>
  <c r="M184" i="2"/>
  <c r="Z184" i="2" s="1"/>
  <c r="BF183" i="2"/>
  <c r="AT183" i="2"/>
  <c r="AU183" i="2" s="1"/>
  <c r="AV183" i="2" s="1"/>
  <c r="AR183" i="2"/>
  <c r="AS183" i="2" s="1"/>
  <c r="AQ183" i="2"/>
  <c r="AA183" i="2"/>
  <c r="X183" i="2"/>
  <c r="W183" i="2"/>
  <c r="V183" i="2"/>
  <c r="U183" i="2"/>
  <c r="T183" i="2"/>
  <c r="S183" i="2"/>
  <c r="R183" i="2"/>
  <c r="M183" i="2"/>
  <c r="Z183" i="2" s="1"/>
  <c r="BF182" i="2"/>
  <c r="AS182" i="2"/>
  <c r="AT182" i="2" s="1"/>
  <c r="AU182" i="2" s="1"/>
  <c r="AV182" i="2" s="1"/>
  <c r="AR182" i="2"/>
  <c r="AW182" i="2" s="1"/>
  <c r="AX182" i="2" s="1"/>
  <c r="AQ182" i="2"/>
  <c r="AA182" i="2"/>
  <c r="Z182" i="2"/>
  <c r="V182" i="2"/>
  <c r="U182" i="2"/>
  <c r="T182" i="2"/>
  <c r="S182" i="2"/>
  <c r="R182" i="2"/>
  <c r="M182" i="2"/>
  <c r="J182" i="2"/>
  <c r="BF181" i="2"/>
  <c r="AR181" i="2"/>
  <c r="AQ181" i="2"/>
  <c r="AP181" i="2"/>
  <c r="AO181" i="2"/>
  <c r="AA181" i="2"/>
  <c r="V181" i="2"/>
  <c r="U181" i="2"/>
  <c r="X181" i="2" s="1"/>
  <c r="T181" i="2"/>
  <c r="S181" i="2"/>
  <c r="R181" i="2"/>
  <c r="M181" i="2"/>
  <c r="Z181" i="2" s="1"/>
  <c r="J181" i="2"/>
  <c r="BF180" i="2"/>
  <c r="AU180" i="2"/>
  <c r="AV180" i="2" s="1"/>
  <c r="AS180" i="2"/>
  <c r="AT180" i="2" s="1"/>
  <c r="AR180" i="2"/>
  <c r="AQ180" i="2"/>
  <c r="AA180" i="2"/>
  <c r="V180" i="2"/>
  <c r="U180" i="2"/>
  <c r="T180" i="2"/>
  <c r="S180" i="2"/>
  <c r="R180" i="2"/>
  <c r="M180" i="2"/>
  <c r="BF179" i="2"/>
  <c r="AS179" i="2"/>
  <c r="AT179" i="2" s="1"/>
  <c r="AU179" i="2" s="1"/>
  <c r="AV179" i="2" s="1"/>
  <c r="AR179" i="2"/>
  <c r="AW179" i="2" s="1"/>
  <c r="AX179" i="2" s="1"/>
  <c r="AQ179" i="2"/>
  <c r="AA179" i="2"/>
  <c r="AO179" i="2" s="1"/>
  <c r="Z179" i="2"/>
  <c r="X179" i="2"/>
  <c r="W179" i="2"/>
  <c r="V179" i="2"/>
  <c r="U179" i="2"/>
  <c r="T179" i="2"/>
  <c r="S179" i="2"/>
  <c r="R179" i="2"/>
  <c r="M179" i="2"/>
  <c r="J179" i="2" s="1"/>
  <c r="AP179" i="2" s="1"/>
  <c r="BF178" i="2"/>
  <c r="AR178" i="2"/>
  <c r="AQ178" i="2"/>
  <c r="AA178" i="2"/>
  <c r="V178" i="2"/>
  <c r="U178" i="2"/>
  <c r="AP178" i="2" s="1"/>
  <c r="T178" i="2"/>
  <c r="S178" i="2"/>
  <c r="R178" i="2"/>
  <c r="M178" i="2"/>
  <c r="Z178" i="2" s="1"/>
  <c r="J178" i="2"/>
  <c r="BF177" i="2"/>
  <c r="AR177" i="2"/>
  <c r="AS177" i="2" s="1"/>
  <c r="AT177" i="2" s="1"/>
  <c r="AU177" i="2" s="1"/>
  <c r="AV177" i="2" s="1"/>
  <c r="AQ177" i="2"/>
  <c r="AA177" i="2"/>
  <c r="Z177" i="2"/>
  <c r="V177" i="2"/>
  <c r="U177" i="2"/>
  <c r="T177" i="2"/>
  <c r="S177" i="2"/>
  <c r="R177" i="2"/>
  <c r="M177" i="2"/>
  <c r="J177" i="2" s="1"/>
  <c r="BF176" i="2"/>
  <c r="AR176" i="2"/>
  <c r="AQ176" i="2"/>
  <c r="AO176" i="2"/>
  <c r="AA176" i="2"/>
  <c r="Z176" i="2"/>
  <c r="V176" i="2"/>
  <c r="U176" i="2"/>
  <c r="X176" i="2" s="1"/>
  <c r="T176" i="2"/>
  <c r="S176" i="2"/>
  <c r="R176" i="2"/>
  <c r="M176" i="2"/>
  <c r="J176" i="2" s="1"/>
  <c r="AP176" i="2" s="1"/>
  <c r="BF175" i="2"/>
  <c r="AT175" i="2"/>
  <c r="AU175" i="2" s="1"/>
  <c r="AV175" i="2" s="1"/>
  <c r="AS175" i="2"/>
  <c r="AR175" i="2"/>
  <c r="AQ175" i="2"/>
  <c r="AA175" i="2"/>
  <c r="Z175" i="2"/>
  <c r="W175" i="2"/>
  <c r="V175" i="2"/>
  <c r="U175" i="2"/>
  <c r="T175" i="2"/>
  <c r="S175" i="2"/>
  <c r="R175" i="2"/>
  <c r="M175" i="2"/>
  <c r="J175" i="2"/>
  <c r="BF174" i="2"/>
  <c r="AS174" i="2"/>
  <c r="AT174" i="2" s="1"/>
  <c r="AU174" i="2" s="1"/>
  <c r="AV174" i="2" s="1"/>
  <c r="AR174" i="2"/>
  <c r="AW174" i="2" s="1"/>
  <c r="AX174" i="2" s="1"/>
  <c r="AQ174" i="2"/>
  <c r="AA174" i="2"/>
  <c r="Z174" i="2"/>
  <c r="V174" i="2"/>
  <c r="W174" i="2" s="1"/>
  <c r="U174" i="2"/>
  <c r="T174" i="2"/>
  <c r="S174" i="2"/>
  <c r="R174" i="2"/>
  <c r="M174" i="2"/>
  <c r="J174" i="2"/>
  <c r="BF173" i="2"/>
  <c r="AR173" i="2"/>
  <c r="AQ173" i="2"/>
  <c r="AP173" i="2"/>
  <c r="AO173" i="2"/>
  <c r="AA173" i="2"/>
  <c r="V173" i="2"/>
  <c r="U173" i="2"/>
  <c r="X173" i="2" s="1"/>
  <c r="T173" i="2"/>
  <c r="S173" i="2"/>
  <c r="R173" i="2"/>
  <c r="M173" i="2"/>
  <c r="Z173" i="2" s="1"/>
  <c r="J173" i="2"/>
  <c r="BF172" i="2"/>
  <c r="AS172" i="2"/>
  <c r="AT172" i="2" s="1"/>
  <c r="AR172" i="2"/>
  <c r="AQ172" i="2"/>
  <c r="AA172" i="2"/>
  <c r="V172" i="2"/>
  <c r="U172" i="2"/>
  <c r="T172" i="2"/>
  <c r="S172" i="2"/>
  <c r="R172" i="2"/>
  <c r="M172" i="2"/>
  <c r="BF171" i="2"/>
  <c r="AS171" i="2"/>
  <c r="AT171" i="2" s="1"/>
  <c r="AU171" i="2" s="1"/>
  <c r="AV171" i="2" s="1"/>
  <c r="AR171" i="2"/>
  <c r="AW171" i="2" s="1"/>
  <c r="AX171" i="2" s="1"/>
  <c r="AQ171" i="2"/>
  <c r="AA171" i="2"/>
  <c r="Z171" i="2"/>
  <c r="X171" i="2"/>
  <c r="W171" i="2"/>
  <c r="V171" i="2"/>
  <c r="U171" i="2"/>
  <c r="T171" i="2"/>
  <c r="S171" i="2"/>
  <c r="R171" i="2"/>
  <c r="M171" i="2"/>
  <c r="J171" i="2" s="1"/>
  <c r="AP171" i="2" s="1"/>
  <c r="BF170" i="2"/>
  <c r="AR170" i="2"/>
  <c r="AQ170" i="2"/>
  <c r="AA170" i="2"/>
  <c r="V170" i="2"/>
  <c r="U170" i="2"/>
  <c r="AP170" i="2" s="1"/>
  <c r="T170" i="2"/>
  <c r="S170" i="2"/>
  <c r="R170" i="2"/>
  <c r="M170" i="2"/>
  <c r="Z170" i="2" s="1"/>
  <c r="J170" i="2"/>
  <c r="BF169" i="2"/>
  <c r="AR169" i="2"/>
  <c r="AS169" i="2" s="1"/>
  <c r="AT169" i="2" s="1"/>
  <c r="AU169" i="2" s="1"/>
  <c r="AV169" i="2" s="1"/>
  <c r="AQ169" i="2"/>
  <c r="AA169" i="2"/>
  <c r="Z169" i="2"/>
  <c r="V169" i="2"/>
  <c r="U169" i="2"/>
  <c r="T169" i="2"/>
  <c r="S169" i="2"/>
  <c r="R169" i="2"/>
  <c r="M169" i="2"/>
  <c r="J169" i="2" s="1"/>
  <c r="BF168" i="2"/>
  <c r="AR168" i="2"/>
  <c r="AQ168" i="2"/>
  <c r="AA168" i="2"/>
  <c r="AO168" i="2" s="1"/>
  <c r="Z168" i="2"/>
  <c r="V168" i="2"/>
  <c r="U168" i="2"/>
  <c r="X168" i="2" s="1"/>
  <c r="T168" i="2"/>
  <c r="S168" i="2"/>
  <c r="R168" i="2"/>
  <c r="M168" i="2"/>
  <c r="J168" i="2" s="1"/>
  <c r="AP168" i="2" s="1"/>
  <c r="BF167" i="2"/>
  <c r="AS167" i="2"/>
  <c r="AR167" i="2"/>
  <c r="AQ167" i="2"/>
  <c r="AA167" i="2"/>
  <c r="X167" i="2"/>
  <c r="W167" i="2"/>
  <c r="V167" i="2"/>
  <c r="U167" i="2"/>
  <c r="AP167" i="2" s="1"/>
  <c r="T167" i="2"/>
  <c r="S167" i="2"/>
  <c r="R167" i="2"/>
  <c r="M167" i="2"/>
  <c r="Z167" i="2" s="1"/>
  <c r="J167" i="2"/>
  <c r="BF166" i="2"/>
  <c r="AS166" i="2"/>
  <c r="AT166" i="2" s="1"/>
  <c r="AU166" i="2" s="1"/>
  <c r="AV166" i="2" s="1"/>
  <c r="AR166" i="2"/>
  <c r="AQ166" i="2"/>
  <c r="AA166" i="2"/>
  <c r="Z166" i="2"/>
  <c r="V166" i="2"/>
  <c r="U166" i="2"/>
  <c r="T166" i="2"/>
  <c r="S166" i="2"/>
  <c r="R166" i="2"/>
  <c r="M166" i="2"/>
  <c r="J166" i="2"/>
  <c r="BF165" i="2"/>
  <c r="AR165" i="2"/>
  <c r="AQ165" i="2"/>
  <c r="AP165" i="2"/>
  <c r="AO165" i="2"/>
  <c r="AA165" i="2"/>
  <c r="V165" i="2"/>
  <c r="U165" i="2"/>
  <c r="X165" i="2" s="1"/>
  <c r="T165" i="2"/>
  <c r="S165" i="2"/>
  <c r="R165" i="2"/>
  <c r="M165" i="2"/>
  <c r="Z165" i="2" s="1"/>
  <c r="J165" i="2"/>
  <c r="BF164" i="2"/>
  <c r="AS164" i="2"/>
  <c r="AT164" i="2" s="1"/>
  <c r="AR164" i="2"/>
  <c r="AQ164" i="2"/>
  <c r="AA164" i="2"/>
  <c r="V164" i="2"/>
  <c r="U164" i="2"/>
  <c r="T164" i="2"/>
  <c r="S164" i="2"/>
  <c r="R164" i="2"/>
  <c r="M164" i="2"/>
  <c r="BF163" i="2"/>
  <c r="AS163" i="2"/>
  <c r="AT163" i="2" s="1"/>
  <c r="AU163" i="2" s="1"/>
  <c r="AV163" i="2" s="1"/>
  <c r="AR163" i="2"/>
  <c r="AW163" i="2" s="1"/>
  <c r="AX163" i="2" s="1"/>
  <c r="AQ163" i="2"/>
  <c r="AA163" i="2"/>
  <c r="Z163" i="2"/>
  <c r="X163" i="2"/>
  <c r="W163" i="2"/>
  <c r="V163" i="2"/>
  <c r="U163" i="2"/>
  <c r="T163" i="2"/>
  <c r="S163" i="2"/>
  <c r="R163" i="2"/>
  <c r="M163" i="2"/>
  <c r="J163" i="2" s="1"/>
  <c r="AP163" i="2" s="1"/>
  <c r="BF162" i="2"/>
  <c r="AR162" i="2"/>
  <c r="AQ162" i="2"/>
  <c r="AA162" i="2"/>
  <c r="V162" i="2"/>
  <c r="U162" i="2"/>
  <c r="AP162" i="2" s="1"/>
  <c r="T162" i="2"/>
  <c r="S162" i="2"/>
  <c r="R162" i="2"/>
  <c r="M162" i="2"/>
  <c r="Z162" i="2" s="1"/>
  <c r="J162" i="2"/>
  <c r="BF161" i="2"/>
  <c r="AR161" i="2"/>
  <c r="AS161" i="2" s="1"/>
  <c r="AT161" i="2" s="1"/>
  <c r="AU161" i="2" s="1"/>
  <c r="AV161" i="2" s="1"/>
  <c r="AQ161" i="2"/>
  <c r="AA161" i="2"/>
  <c r="Z161" i="2"/>
  <c r="V161" i="2"/>
  <c r="U161" i="2"/>
  <c r="T161" i="2"/>
  <c r="S161" i="2"/>
  <c r="R161" i="2"/>
  <c r="M161" i="2"/>
  <c r="J161" i="2" s="1"/>
  <c r="BF160" i="2"/>
  <c r="AR160" i="2"/>
  <c r="AQ160" i="2"/>
  <c r="AA160" i="2"/>
  <c r="Z160" i="2"/>
  <c r="V160" i="2"/>
  <c r="U160" i="2"/>
  <c r="X160" i="2" s="1"/>
  <c r="T160" i="2"/>
  <c r="S160" i="2"/>
  <c r="R160" i="2"/>
  <c r="M160" i="2"/>
  <c r="J160" i="2" s="1"/>
  <c r="AP160" i="2" s="1"/>
  <c r="BF159" i="2"/>
  <c r="AS159" i="2"/>
  <c r="AR159" i="2"/>
  <c r="AQ159" i="2"/>
  <c r="AA159" i="2"/>
  <c r="X159" i="2"/>
  <c r="W159" i="2"/>
  <c r="V159" i="2"/>
  <c r="U159" i="2"/>
  <c r="T159" i="2"/>
  <c r="S159" i="2"/>
  <c r="R159" i="2"/>
  <c r="M159" i="2"/>
  <c r="Z159" i="2" s="1"/>
  <c r="J159" i="2"/>
  <c r="BF158" i="2"/>
  <c r="AS158" i="2"/>
  <c r="AT158" i="2" s="1"/>
  <c r="AU158" i="2" s="1"/>
  <c r="AV158" i="2" s="1"/>
  <c r="AR158" i="2"/>
  <c r="AW158" i="2" s="1"/>
  <c r="AX158" i="2" s="1"/>
  <c r="AQ158" i="2"/>
  <c r="AA158" i="2"/>
  <c r="Z158" i="2"/>
  <c r="V158" i="2"/>
  <c r="U158" i="2"/>
  <c r="T158" i="2"/>
  <c r="S158" i="2"/>
  <c r="R158" i="2"/>
  <c r="M158" i="2"/>
  <c r="J158" i="2"/>
  <c r="BF157" i="2"/>
  <c r="AR157" i="2"/>
  <c r="AQ157" i="2"/>
  <c r="AP157" i="2"/>
  <c r="AO157" i="2"/>
  <c r="AA157" i="2"/>
  <c r="Z157" i="2"/>
  <c r="V157" i="2"/>
  <c r="U157" i="2"/>
  <c r="X157" i="2" s="1"/>
  <c r="T157" i="2"/>
  <c r="S157" i="2"/>
  <c r="R157" i="2"/>
  <c r="M157" i="2"/>
  <c r="J157" i="2"/>
  <c r="BF156" i="2"/>
  <c r="AU156" i="2"/>
  <c r="AS156" i="2"/>
  <c r="AT156" i="2" s="1"/>
  <c r="AR156" i="2"/>
  <c r="AQ156" i="2"/>
  <c r="AA156" i="2"/>
  <c r="V156" i="2"/>
  <c r="U156" i="2"/>
  <c r="T156" i="2"/>
  <c r="S156" i="2"/>
  <c r="R156" i="2"/>
  <c r="M156" i="2"/>
  <c r="BF155" i="2"/>
  <c r="AS155" i="2"/>
  <c r="AT155" i="2" s="1"/>
  <c r="AU155" i="2" s="1"/>
  <c r="AV155" i="2" s="1"/>
  <c r="AR155" i="2"/>
  <c r="AW155" i="2" s="1"/>
  <c r="AX155" i="2" s="1"/>
  <c r="AQ155" i="2"/>
  <c r="AA155" i="2"/>
  <c r="AO155" i="2" s="1"/>
  <c r="Z155" i="2"/>
  <c r="K592" i="1" s="1"/>
  <c r="X155" i="2"/>
  <c r="W155" i="2"/>
  <c r="V155" i="2"/>
  <c r="U155" i="2"/>
  <c r="T155" i="2"/>
  <c r="S155" i="2"/>
  <c r="R155" i="2"/>
  <c r="M155" i="2"/>
  <c r="J155" i="2" s="1"/>
  <c r="AP155" i="2" s="1"/>
  <c r="BF154" i="2"/>
  <c r="AR154" i="2"/>
  <c r="AQ154" i="2"/>
  <c r="AA154" i="2"/>
  <c r="V154" i="2"/>
  <c r="U154" i="2"/>
  <c r="AP154" i="2" s="1"/>
  <c r="T154" i="2"/>
  <c r="S154" i="2"/>
  <c r="R154" i="2"/>
  <c r="M154" i="2"/>
  <c r="Z154" i="2" s="1"/>
  <c r="J154" i="2"/>
  <c r="BF153" i="2"/>
  <c r="BF734" i="2" s="1"/>
  <c r="AR153" i="2"/>
  <c r="AQ153" i="2"/>
  <c r="AA153" i="2"/>
  <c r="Z153" i="2"/>
  <c r="V153" i="2"/>
  <c r="U153" i="2"/>
  <c r="T153" i="2"/>
  <c r="T734" i="2" s="1"/>
  <c r="S153" i="2"/>
  <c r="S734" i="2" s="1"/>
  <c r="R153" i="2"/>
  <c r="M153" i="2"/>
  <c r="J153" i="2" s="1"/>
  <c r="BF152" i="2"/>
  <c r="AR152" i="2"/>
  <c r="AQ152" i="2"/>
  <c r="AA152" i="2"/>
  <c r="Z152" i="2"/>
  <c r="V152" i="2"/>
  <c r="U152" i="2"/>
  <c r="X152" i="2" s="1"/>
  <c r="T152" i="2"/>
  <c r="S152" i="2"/>
  <c r="R152" i="2"/>
  <c r="M152" i="2"/>
  <c r="J152" i="2" s="1"/>
  <c r="AP152" i="2" s="1"/>
  <c r="BF151" i="2"/>
  <c r="AT151" i="2"/>
  <c r="AU151" i="2" s="1"/>
  <c r="AV151" i="2" s="1"/>
  <c r="AS151" i="2"/>
  <c r="AR151" i="2"/>
  <c r="AQ151" i="2"/>
  <c r="AA151" i="2"/>
  <c r="V151" i="2"/>
  <c r="W151" i="2" s="1"/>
  <c r="U151" i="2"/>
  <c r="T151" i="2"/>
  <c r="S151" i="2"/>
  <c r="R151" i="2"/>
  <c r="M151" i="2"/>
  <c r="Z151" i="2" s="1"/>
  <c r="J151" i="2"/>
  <c r="BF150" i="2"/>
  <c r="AS150" i="2"/>
  <c r="AT150" i="2" s="1"/>
  <c r="AU150" i="2" s="1"/>
  <c r="AV150" i="2" s="1"/>
  <c r="AR150" i="2"/>
  <c r="AW150" i="2" s="1"/>
  <c r="AX150" i="2" s="1"/>
  <c r="AQ150" i="2"/>
  <c r="AA150" i="2"/>
  <c r="Z150" i="2"/>
  <c r="V150" i="2"/>
  <c r="U150" i="2"/>
  <c r="T150" i="2"/>
  <c r="S150" i="2"/>
  <c r="R150" i="2"/>
  <c r="M150" i="2"/>
  <c r="J150" i="2"/>
  <c r="BF149" i="2"/>
  <c r="AR149" i="2"/>
  <c r="AQ149" i="2"/>
  <c r="AP149" i="2"/>
  <c r="AO149" i="2"/>
  <c r="AA149" i="2"/>
  <c r="V149" i="2"/>
  <c r="U149" i="2"/>
  <c r="X149" i="2" s="1"/>
  <c r="T149" i="2"/>
  <c r="S149" i="2"/>
  <c r="R149" i="2"/>
  <c r="M149" i="2"/>
  <c r="Z149" i="2" s="1"/>
  <c r="J149" i="2"/>
  <c r="BF148" i="2"/>
  <c r="AS148" i="2"/>
  <c r="AT148" i="2" s="1"/>
  <c r="AR148" i="2"/>
  <c r="AQ148" i="2"/>
  <c r="AA148" i="2"/>
  <c r="V148" i="2"/>
  <c r="U148" i="2"/>
  <c r="T148" i="2"/>
  <c r="S148" i="2"/>
  <c r="R148" i="2"/>
  <c r="M148" i="2"/>
  <c r="BF147" i="2"/>
  <c r="AR147" i="2"/>
  <c r="AQ147" i="2"/>
  <c r="AA147" i="2"/>
  <c r="AO147" i="2" s="1"/>
  <c r="Z147" i="2"/>
  <c r="X147" i="2"/>
  <c r="W147" i="2"/>
  <c r="V147" i="2"/>
  <c r="U147" i="2"/>
  <c r="T147" i="2"/>
  <c r="S147" i="2"/>
  <c r="R147" i="2"/>
  <c r="M147" i="2"/>
  <c r="J147" i="2" s="1"/>
  <c r="AP147" i="2" s="1"/>
  <c r="BF146" i="2"/>
  <c r="AR146" i="2"/>
  <c r="AQ146" i="2"/>
  <c r="AA146" i="2"/>
  <c r="V146" i="2"/>
  <c r="U146" i="2"/>
  <c r="T146" i="2"/>
  <c r="S146" i="2"/>
  <c r="R146" i="2"/>
  <c r="M146" i="2"/>
  <c r="Z146" i="2" s="1"/>
  <c r="J146" i="2"/>
  <c r="BF145" i="2"/>
  <c r="AW145" i="2"/>
  <c r="AX145" i="2" s="1"/>
  <c r="AR145" i="2"/>
  <c r="AS145" i="2" s="1"/>
  <c r="AT145" i="2" s="1"/>
  <c r="AU145" i="2" s="1"/>
  <c r="AV145" i="2" s="1"/>
  <c r="AQ145" i="2"/>
  <c r="AA145" i="2"/>
  <c r="Z145" i="2"/>
  <c r="V145" i="2"/>
  <c r="U145" i="2"/>
  <c r="T145" i="2"/>
  <c r="S145" i="2"/>
  <c r="R145" i="2"/>
  <c r="M145" i="2"/>
  <c r="J145" i="2" s="1"/>
  <c r="BF144" i="2"/>
  <c r="AR144" i="2"/>
  <c r="AQ144" i="2"/>
  <c r="AP144" i="2"/>
  <c r="AA144" i="2"/>
  <c r="AO144" i="2" s="1"/>
  <c r="Z144" i="2"/>
  <c r="V144" i="2"/>
  <c r="U144" i="2"/>
  <c r="X144" i="2" s="1"/>
  <c r="T144" i="2"/>
  <c r="S144" i="2"/>
  <c r="R144" i="2"/>
  <c r="M144" i="2"/>
  <c r="J144" i="2"/>
  <c r="BF143" i="2"/>
  <c r="AS143" i="2"/>
  <c r="AR143" i="2"/>
  <c r="AQ143" i="2"/>
  <c r="AA143" i="2"/>
  <c r="V143" i="2"/>
  <c r="W143" i="2" s="1"/>
  <c r="U143" i="2"/>
  <c r="T143" i="2"/>
  <c r="S143" i="2"/>
  <c r="R143" i="2"/>
  <c r="M143" i="2"/>
  <c r="Z143" i="2" s="1"/>
  <c r="BF142" i="2"/>
  <c r="AS142" i="2"/>
  <c r="AT142" i="2" s="1"/>
  <c r="AU142" i="2" s="1"/>
  <c r="AV142" i="2" s="1"/>
  <c r="AR142" i="2"/>
  <c r="AW142" i="2" s="1"/>
  <c r="AX142" i="2" s="1"/>
  <c r="AQ142" i="2"/>
  <c r="AA142" i="2"/>
  <c r="Z142" i="2"/>
  <c r="X142" i="2"/>
  <c r="V142" i="2"/>
  <c r="W142" i="2" s="1"/>
  <c r="U142" i="2"/>
  <c r="T142" i="2"/>
  <c r="S142" i="2"/>
  <c r="R142" i="2"/>
  <c r="M142" i="2"/>
  <c r="J142" i="2"/>
  <c r="BF141" i="2"/>
  <c r="AR141" i="2"/>
  <c r="AQ141" i="2"/>
  <c r="AP141" i="2"/>
  <c r="AO141" i="2"/>
  <c r="AA141" i="2"/>
  <c r="V141" i="2"/>
  <c r="U141" i="2"/>
  <c r="X141" i="2" s="1"/>
  <c r="T141" i="2"/>
  <c r="S141" i="2"/>
  <c r="R141" i="2"/>
  <c r="M141" i="2"/>
  <c r="Z141" i="2" s="1"/>
  <c r="J141" i="2"/>
  <c r="BF140" i="2"/>
  <c r="AU140" i="2"/>
  <c r="AV140" i="2" s="1"/>
  <c r="AS140" i="2"/>
  <c r="AT140" i="2" s="1"/>
  <c r="AR140" i="2"/>
  <c r="AQ140" i="2"/>
  <c r="AA140" i="2"/>
  <c r="V140" i="2"/>
  <c r="U140" i="2"/>
  <c r="T140" i="2"/>
  <c r="S140" i="2"/>
  <c r="R140" i="2"/>
  <c r="M140" i="2"/>
  <c r="BF139" i="2"/>
  <c r="AR139" i="2"/>
  <c r="AQ139" i="2"/>
  <c r="AA139" i="2"/>
  <c r="Z139" i="2"/>
  <c r="X139" i="2"/>
  <c r="W139" i="2"/>
  <c r="V139" i="2"/>
  <c r="U139" i="2"/>
  <c r="T139" i="2"/>
  <c r="S139" i="2"/>
  <c r="R139" i="2"/>
  <c r="M139" i="2"/>
  <c r="J139" i="2" s="1"/>
  <c r="AP139" i="2" s="1"/>
  <c r="BF138" i="2"/>
  <c r="AR138" i="2"/>
  <c r="AQ138" i="2"/>
  <c r="AA138" i="2"/>
  <c r="V138" i="2"/>
  <c r="U138" i="2"/>
  <c r="T138" i="2"/>
  <c r="S138" i="2"/>
  <c r="R138" i="2"/>
  <c r="M138" i="2"/>
  <c r="Z138" i="2" s="1"/>
  <c r="J138" i="2"/>
  <c r="BF137" i="2"/>
  <c r="AR137" i="2"/>
  <c r="AS137" i="2" s="1"/>
  <c r="AT137" i="2" s="1"/>
  <c r="AU137" i="2" s="1"/>
  <c r="AV137" i="2" s="1"/>
  <c r="AQ137" i="2"/>
  <c r="AA137" i="2"/>
  <c r="Z137" i="2"/>
  <c r="V137" i="2"/>
  <c r="U137" i="2"/>
  <c r="T137" i="2"/>
  <c r="S137" i="2"/>
  <c r="R137" i="2"/>
  <c r="M137" i="2"/>
  <c r="J137" i="2" s="1"/>
  <c r="BF136" i="2"/>
  <c r="AR136" i="2"/>
  <c r="AQ136" i="2"/>
  <c r="AP136" i="2"/>
  <c r="AA136" i="2"/>
  <c r="AO136" i="2" s="1"/>
  <c r="Z136" i="2"/>
  <c r="K590" i="1" s="1"/>
  <c r="V136" i="2"/>
  <c r="U136" i="2"/>
  <c r="X136" i="2" s="1"/>
  <c r="T136" i="2"/>
  <c r="S136" i="2"/>
  <c r="R136" i="2"/>
  <c r="M136" i="2"/>
  <c r="J136" i="2"/>
  <c r="BF135" i="2"/>
  <c r="AT135" i="2"/>
  <c r="AU135" i="2" s="1"/>
  <c r="AV135" i="2" s="1"/>
  <c r="AS135" i="2"/>
  <c r="AR135" i="2"/>
  <c r="AQ135" i="2"/>
  <c r="AA135" i="2"/>
  <c r="V135" i="2"/>
  <c r="W135" i="2" s="1"/>
  <c r="U135" i="2"/>
  <c r="T135" i="2"/>
  <c r="S135" i="2"/>
  <c r="R135" i="2"/>
  <c r="M135" i="2"/>
  <c r="Z135" i="2" s="1"/>
  <c r="BF134" i="2"/>
  <c r="AS134" i="2"/>
  <c r="AT134" i="2" s="1"/>
  <c r="AU134" i="2" s="1"/>
  <c r="AV134" i="2" s="1"/>
  <c r="AR134" i="2"/>
  <c r="AQ134" i="2"/>
  <c r="AA134" i="2"/>
  <c r="Z134" i="2"/>
  <c r="V134" i="2"/>
  <c r="U134" i="2"/>
  <c r="T134" i="2"/>
  <c r="S134" i="2"/>
  <c r="R134" i="2"/>
  <c r="M134" i="2"/>
  <c r="J134" i="2"/>
  <c r="BF133" i="2"/>
  <c r="AR133" i="2"/>
  <c r="AQ133" i="2"/>
  <c r="AP133" i="2"/>
  <c r="AO133" i="2"/>
  <c r="AA133" i="2"/>
  <c r="V133" i="2"/>
  <c r="U133" i="2"/>
  <c r="X133" i="2" s="1"/>
  <c r="T133" i="2"/>
  <c r="S133" i="2"/>
  <c r="R133" i="2"/>
  <c r="M133" i="2"/>
  <c r="Z133" i="2" s="1"/>
  <c r="J133" i="2"/>
  <c r="BF132" i="2"/>
  <c r="AU132" i="2"/>
  <c r="AS132" i="2"/>
  <c r="AT132" i="2" s="1"/>
  <c r="AR132" i="2"/>
  <c r="AQ132" i="2"/>
  <c r="AA132" i="2"/>
  <c r="V132" i="2"/>
  <c r="U132" i="2"/>
  <c r="T132" i="2"/>
  <c r="S132" i="2"/>
  <c r="R132" i="2"/>
  <c r="M132" i="2"/>
  <c r="BF131" i="2"/>
  <c r="AR131" i="2"/>
  <c r="AQ131" i="2"/>
  <c r="AA131" i="2"/>
  <c r="Z131" i="2"/>
  <c r="X131" i="2"/>
  <c r="W131" i="2"/>
  <c r="V131" i="2"/>
  <c r="U131" i="2"/>
  <c r="T131" i="2"/>
  <c r="S131" i="2"/>
  <c r="R131" i="2"/>
  <c r="M131" i="2"/>
  <c r="J131" i="2" s="1"/>
  <c r="AP131" i="2" s="1"/>
  <c r="BF130" i="2"/>
  <c r="AR130" i="2"/>
  <c r="AQ130" i="2"/>
  <c r="AA130" i="2"/>
  <c r="V130" i="2"/>
  <c r="U130" i="2"/>
  <c r="T130" i="2"/>
  <c r="S130" i="2"/>
  <c r="R130" i="2"/>
  <c r="M130" i="2"/>
  <c r="Z130" i="2" s="1"/>
  <c r="J130" i="2"/>
  <c r="BF129" i="2"/>
  <c r="AX129" i="2"/>
  <c r="AW129" i="2"/>
  <c r="AR129" i="2"/>
  <c r="AS129" i="2" s="1"/>
  <c r="AT129" i="2" s="1"/>
  <c r="AU129" i="2" s="1"/>
  <c r="AV129" i="2" s="1"/>
  <c r="AQ129" i="2"/>
  <c r="AA129" i="2"/>
  <c r="Z129" i="2"/>
  <c r="V129" i="2"/>
  <c r="U129" i="2"/>
  <c r="T129" i="2"/>
  <c r="S129" i="2"/>
  <c r="R129" i="2"/>
  <c r="M129" i="2"/>
  <c r="J129" i="2" s="1"/>
  <c r="BF128" i="2"/>
  <c r="AR128" i="2"/>
  <c r="AQ128" i="2"/>
  <c r="AP128" i="2"/>
  <c r="AO128" i="2"/>
  <c r="AA128" i="2"/>
  <c r="Z128" i="2"/>
  <c r="V128" i="2"/>
  <c r="U128" i="2"/>
  <c r="X128" i="2" s="1"/>
  <c r="T128" i="2"/>
  <c r="S128" i="2"/>
  <c r="R128" i="2"/>
  <c r="M128" i="2"/>
  <c r="J128" i="2"/>
  <c r="BF127" i="2"/>
  <c r="AS127" i="2"/>
  <c r="AR127" i="2"/>
  <c r="AQ127" i="2"/>
  <c r="AA127" i="2"/>
  <c r="V127" i="2"/>
  <c r="W127" i="2" s="1"/>
  <c r="U127" i="2"/>
  <c r="AP127" i="2" s="1"/>
  <c r="T127" i="2"/>
  <c r="S127" i="2"/>
  <c r="R127" i="2"/>
  <c r="M127" i="2"/>
  <c r="Z127" i="2" s="1"/>
  <c r="J127" i="2"/>
  <c r="BF126" i="2"/>
  <c r="AS126" i="2"/>
  <c r="AT126" i="2" s="1"/>
  <c r="AU126" i="2" s="1"/>
  <c r="AV126" i="2" s="1"/>
  <c r="AR126" i="2"/>
  <c r="AW126" i="2" s="1"/>
  <c r="AX126" i="2" s="1"/>
  <c r="AQ126" i="2"/>
  <c r="AA126" i="2"/>
  <c r="Z126" i="2"/>
  <c r="K581" i="1" s="1"/>
  <c r="V126" i="2"/>
  <c r="U126" i="2"/>
  <c r="T126" i="2"/>
  <c r="S126" i="2"/>
  <c r="R126" i="2"/>
  <c r="M126" i="2"/>
  <c r="J126" i="2"/>
  <c r="BF125" i="2"/>
  <c r="AS125" i="2"/>
  <c r="AT125" i="2" s="1"/>
  <c r="AU125" i="2" s="1"/>
  <c r="AV125" i="2" s="1"/>
  <c r="AR125" i="2"/>
  <c r="AQ125" i="2"/>
  <c r="AP125" i="2"/>
  <c r="AO125" i="2"/>
  <c r="AA125" i="2"/>
  <c r="Z125" i="2"/>
  <c r="V125" i="2"/>
  <c r="U125" i="2"/>
  <c r="X125" i="2" s="1"/>
  <c r="T125" i="2"/>
  <c r="S125" i="2"/>
  <c r="R125" i="2"/>
  <c r="M125" i="2"/>
  <c r="J125" i="2"/>
  <c r="BF124" i="2"/>
  <c r="AS124" i="2"/>
  <c r="AT124" i="2" s="1"/>
  <c r="AR124" i="2"/>
  <c r="AQ124" i="2"/>
  <c r="AA124" i="2"/>
  <c r="V124" i="2"/>
  <c r="U124" i="2"/>
  <c r="T124" i="2"/>
  <c r="S124" i="2"/>
  <c r="R124" i="2"/>
  <c r="M124" i="2"/>
  <c r="BF123" i="2"/>
  <c r="AR123" i="2"/>
  <c r="AQ123" i="2"/>
  <c r="AA123" i="2"/>
  <c r="Z123" i="2"/>
  <c r="X123" i="2"/>
  <c r="W123" i="2"/>
  <c r="V123" i="2"/>
  <c r="U123" i="2"/>
  <c r="T123" i="2"/>
  <c r="S123" i="2"/>
  <c r="R123" i="2"/>
  <c r="M123" i="2"/>
  <c r="J123" i="2" s="1"/>
  <c r="AP123" i="2" s="1"/>
  <c r="BF122" i="2"/>
  <c r="AR122" i="2"/>
  <c r="AQ122" i="2"/>
  <c r="AA122" i="2"/>
  <c r="V122" i="2"/>
  <c r="U122" i="2"/>
  <c r="AP122" i="2" s="1"/>
  <c r="T122" i="2"/>
  <c r="S122" i="2"/>
  <c r="R122" i="2"/>
  <c r="M122" i="2"/>
  <c r="Z122" i="2" s="1"/>
  <c r="J122" i="2"/>
  <c r="BF121" i="2"/>
  <c r="AX121" i="2"/>
  <c r="AW121" i="2"/>
  <c r="AR121" i="2"/>
  <c r="AS121" i="2" s="1"/>
  <c r="AT121" i="2" s="1"/>
  <c r="AU121" i="2" s="1"/>
  <c r="AV121" i="2" s="1"/>
  <c r="AQ121" i="2"/>
  <c r="AA121" i="2"/>
  <c r="Z121" i="2"/>
  <c r="V121" i="2"/>
  <c r="U121" i="2"/>
  <c r="T121" i="2"/>
  <c r="S121" i="2"/>
  <c r="R121" i="2"/>
  <c r="M121" i="2"/>
  <c r="J121" i="2" s="1"/>
  <c r="BF120" i="2"/>
  <c r="AR120" i="2"/>
  <c r="AQ120" i="2"/>
  <c r="AP120" i="2"/>
  <c r="AO120" i="2"/>
  <c r="AA120" i="2"/>
  <c r="Z120" i="2"/>
  <c r="V120" i="2"/>
  <c r="U120" i="2"/>
  <c r="X120" i="2" s="1"/>
  <c r="T120" i="2"/>
  <c r="S120" i="2"/>
  <c r="R120" i="2"/>
  <c r="M120" i="2"/>
  <c r="J120" i="2"/>
  <c r="BF119" i="2"/>
  <c r="AS119" i="2"/>
  <c r="AR119" i="2"/>
  <c r="AQ119" i="2"/>
  <c r="AA119" i="2"/>
  <c r="V119" i="2"/>
  <c r="W119" i="2" s="1"/>
  <c r="U119" i="2"/>
  <c r="AP119" i="2" s="1"/>
  <c r="T119" i="2"/>
  <c r="S119" i="2"/>
  <c r="R119" i="2"/>
  <c r="M119" i="2"/>
  <c r="Z119" i="2" s="1"/>
  <c r="J119" i="2"/>
  <c r="BF118" i="2"/>
  <c r="AS118" i="2"/>
  <c r="AT118" i="2" s="1"/>
  <c r="AU118" i="2" s="1"/>
  <c r="AV118" i="2" s="1"/>
  <c r="AR118" i="2"/>
  <c r="AQ118" i="2"/>
  <c r="AA118" i="2"/>
  <c r="Z118" i="2"/>
  <c r="V118" i="2"/>
  <c r="U118" i="2"/>
  <c r="T118" i="2"/>
  <c r="S118" i="2"/>
  <c r="R118" i="2"/>
  <c r="M118" i="2"/>
  <c r="J118" i="2"/>
  <c r="BF117" i="2"/>
  <c r="AS117" i="2"/>
  <c r="AT117" i="2" s="1"/>
  <c r="AU117" i="2" s="1"/>
  <c r="AV117" i="2" s="1"/>
  <c r="AR117" i="2"/>
  <c r="AQ117" i="2"/>
  <c r="AP117" i="2"/>
  <c r="AO117" i="2"/>
  <c r="AA117" i="2"/>
  <c r="V117" i="2"/>
  <c r="U117" i="2"/>
  <c r="X117" i="2" s="1"/>
  <c r="T117" i="2"/>
  <c r="S117" i="2"/>
  <c r="R117" i="2"/>
  <c r="M117" i="2"/>
  <c r="Z117" i="2" s="1"/>
  <c r="J117" i="2"/>
  <c r="BF116" i="2"/>
  <c r="AV116" i="2"/>
  <c r="AW116" i="2" s="1"/>
  <c r="AX116" i="2" s="1"/>
  <c r="AU116" i="2"/>
  <c r="AS116" i="2"/>
  <c r="AT116" i="2" s="1"/>
  <c r="AR116" i="2"/>
  <c r="AQ116" i="2"/>
  <c r="AA116" i="2"/>
  <c r="V116" i="2"/>
  <c r="U116" i="2"/>
  <c r="T116" i="2"/>
  <c r="S116" i="2"/>
  <c r="R116" i="2"/>
  <c r="M116" i="2"/>
  <c r="BF115" i="2"/>
  <c r="AR115" i="2"/>
  <c r="AQ115" i="2"/>
  <c r="AA115" i="2"/>
  <c r="AO115" i="2" s="1"/>
  <c r="Z115" i="2"/>
  <c r="X115" i="2"/>
  <c r="W115" i="2"/>
  <c r="V115" i="2"/>
  <c r="U115" i="2"/>
  <c r="T115" i="2"/>
  <c r="S115" i="2"/>
  <c r="R115" i="2"/>
  <c r="M115" i="2"/>
  <c r="J115" i="2" s="1"/>
  <c r="AP115" i="2" s="1"/>
  <c r="BF114" i="2"/>
  <c r="AR114" i="2"/>
  <c r="AQ114" i="2"/>
  <c r="AA114" i="2"/>
  <c r="V114" i="2"/>
  <c r="U114" i="2"/>
  <c r="T114" i="2"/>
  <c r="S114" i="2"/>
  <c r="R114" i="2"/>
  <c r="M114" i="2"/>
  <c r="Z114" i="2" s="1"/>
  <c r="BF113" i="2"/>
  <c r="AR113" i="2"/>
  <c r="AS113" i="2" s="1"/>
  <c r="AT113" i="2" s="1"/>
  <c r="AU113" i="2" s="1"/>
  <c r="AV113" i="2" s="1"/>
  <c r="AQ113" i="2"/>
  <c r="AA113" i="2"/>
  <c r="Z113" i="2"/>
  <c r="V113" i="2"/>
  <c r="W113" i="2" s="1"/>
  <c r="U113" i="2"/>
  <c r="T113" i="2"/>
  <c r="S113" i="2"/>
  <c r="R113" i="2"/>
  <c r="M113" i="2"/>
  <c r="J113" i="2" s="1"/>
  <c r="BF112" i="2"/>
  <c r="AR112" i="2"/>
  <c r="AQ112" i="2"/>
  <c r="AP112" i="2"/>
  <c r="AA112" i="2"/>
  <c r="AO112" i="2" s="1"/>
  <c r="Z112" i="2"/>
  <c r="V112" i="2"/>
  <c r="U112" i="2"/>
  <c r="X112" i="2" s="1"/>
  <c r="T112" i="2"/>
  <c r="S112" i="2"/>
  <c r="R112" i="2"/>
  <c r="M112" i="2"/>
  <c r="J112" i="2"/>
  <c r="BF111" i="2"/>
  <c r="AT111" i="2"/>
  <c r="AU111" i="2" s="1"/>
  <c r="AS111" i="2"/>
  <c r="AR111" i="2"/>
  <c r="AQ111" i="2"/>
  <c r="AA111" i="2"/>
  <c r="V111" i="2"/>
  <c r="W111" i="2" s="1"/>
  <c r="U111" i="2"/>
  <c r="AP111" i="2" s="1"/>
  <c r="T111" i="2"/>
  <c r="S111" i="2"/>
  <c r="R111" i="2"/>
  <c r="M111" i="2"/>
  <c r="Z111" i="2" s="1"/>
  <c r="J111" i="2"/>
  <c r="BF110" i="2"/>
  <c r="AS110" i="2"/>
  <c r="AT110" i="2" s="1"/>
  <c r="AU110" i="2" s="1"/>
  <c r="AV110" i="2" s="1"/>
  <c r="AR110" i="2"/>
  <c r="AQ110" i="2"/>
  <c r="AA110" i="2"/>
  <c r="Z110" i="2"/>
  <c r="V110" i="2"/>
  <c r="U110" i="2"/>
  <c r="T110" i="2"/>
  <c r="S110" i="2"/>
  <c r="R110" i="2"/>
  <c r="M110" i="2"/>
  <c r="J110" i="2"/>
  <c r="BF109" i="2"/>
  <c r="AR109" i="2"/>
  <c r="AQ109" i="2"/>
  <c r="AP109" i="2"/>
  <c r="AO109" i="2"/>
  <c r="AA109" i="2"/>
  <c r="V109" i="2"/>
  <c r="U109" i="2"/>
  <c r="X109" i="2" s="1"/>
  <c r="T109" i="2"/>
  <c r="S109" i="2"/>
  <c r="R109" i="2"/>
  <c r="M109" i="2"/>
  <c r="Z109" i="2" s="1"/>
  <c r="J109" i="2"/>
  <c r="BF108" i="2"/>
  <c r="AU108" i="2"/>
  <c r="AS108" i="2"/>
  <c r="AT108" i="2" s="1"/>
  <c r="AR108" i="2"/>
  <c r="AQ108" i="2"/>
  <c r="AA108" i="2"/>
  <c r="V108" i="2"/>
  <c r="U108" i="2"/>
  <c r="T108" i="2"/>
  <c r="S108" i="2"/>
  <c r="R108" i="2"/>
  <c r="M108" i="2"/>
  <c r="BF107" i="2"/>
  <c r="AR107" i="2"/>
  <c r="AQ107" i="2"/>
  <c r="AA107" i="2"/>
  <c r="AO107" i="2" s="1"/>
  <c r="Z107" i="2"/>
  <c r="X107" i="2"/>
  <c r="W107" i="2"/>
  <c r="V107" i="2"/>
  <c r="U107" i="2"/>
  <c r="T107" i="2"/>
  <c r="S107" i="2"/>
  <c r="R107" i="2"/>
  <c r="M107" i="2"/>
  <c r="J107" i="2" s="1"/>
  <c r="AP107" i="2" s="1"/>
  <c r="BF106" i="2"/>
  <c r="AT106" i="2"/>
  <c r="AU106" i="2" s="1"/>
  <c r="AV106" i="2" s="1"/>
  <c r="AS106" i="2"/>
  <c r="AR106" i="2"/>
  <c r="AQ106" i="2"/>
  <c r="AA106" i="2"/>
  <c r="V106" i="2"/>
  <c r="U106" i="2"/>
  <c r="T106" i="2"/>
  <c r="S106" i="2"/>
  <c r="R106" i="2"/>
  <c r="M106" i="2"/>
  <c r="Z106" i="2" s="1"/>
  <c r="J106" i="2"/>
  <c r="BF105" i="2"/>
  <c r="AR105" i="2"/>
  <c r="AS105" i="2" s="1"/>
  <c r="AT105" i="2" s="1"/>
  <c r="AU105" i="2" s="1"/>
  <c r="AV105" i="2" s="1"/>
  <c r="AQ105" i="2"/>
  <c r="AA105" i="2"/>
  <c r="Z105" i="2"/>
  <c r="V105" i="2"/>
  <c r="U105" i="2"/>
  <c r="T105" i="2"/>
  <c r="S105" i="2"/>
  <c r="R105" i="2"/>
  <c r="M105" i="2"/>
  <c r="J105" i="2" s="1"/>
  <c r="BF104" i="2"/>
  <c r="AR104" i="2"/>
  <c r="AQ104" i="2"/>
  <c r="AP104" i="2"/>
  <c r="AA104" i="2"/>
  <c r="AO104" i="2" s="1"/>
  <c r="Z104" i="2"/>
  <c r="K221" i="1" s="1"/>
  <c r="V104" i="2"/>
  <c r="U104" i="2"/>
  <c r="X104" i="2" s="1"/>
  <c r="T104" i="2"/>
  <c r="S104" i="2"/>
  <c r="R104" i="2"/>
  <c r="M104" i="2"/>
  <c r="J104" i="2"/>
  <c r="BF103" i="2"/>
  <c r="AS103" i="2"/>
  <c r="AR103" i="2"/>
  <c r="AQ103" i="2"/>
  <c r="AA103" i="2"/>
  <c r="V103" i="2"/>
  <c r="W103" i="2" s="1"/>
  <c r="U103" i="2"/>
  <c r="T103" i="2"/>
  <c r="S103" i="2"/>
  <c r="R103" i="2"/>
  <c r="M103" i="2"/>
  <c r="Z103" i="2" s="1"/>
  <c r="BF102" i="2"/>
  <c r="AS102" i="2"/>
  <c r="AT102" i="2" s="1"/>
  <c r="AU102" i="2" s="1"/>
  <c r="AV102" i="2" s="1"/>
  <c r="AR102" i="2"/>
  <c r="AQ102" i="2"/>
  <c r="AA102" i="2"/>
  <c r="Z102" i="2"/>
  <c r="X102" i="2"/>
  <c r="V102" i="2"/>
  <c r="W102" i="2" s="1"/>
  <c r="U102" i="2"/>
  <c r="T102" i="2"/>
  <c r="S102" i="2"/>
  <c r="R102" i="2"/>
  <c r="M102" i="2"/>
  <c r="J102" i="2"/>
  <c r="BF101" i="2"/>
  <c r="AS101" i="2"/>
  <c r="AT101" i="2" s="1"/>
  <c r="AU101" i="2" s="1"/>
  <c r="AV101" i="2" s="1"/>
  <c r="AR101" i="2"/>
  <c r="AQ101" i="2"/>
  <c r="AP101" i="2"/>
  <c r="AO101" i="2"/>
  <c r="AA101" i="2"/>
  <c r="Z101" i="2"/>
  <c r="V101" i="2"/>
  <c r="U101" i="2"/>
  <c r="X101" i="2" s="1"/>
  <c r="T101" i="2"/>
  <c r="S101" i="2"/>
  <c r="R101" i="2"/>
  <c r="M101" i="2"/>
  <c r="J101" i="2"/>
  <c r="BF100" i="2"/>
  <c r="AS100" i="2"/>
  <c r="AT100" i="2" s="1"/>
  <c r="AU100" i="2" s="1"/>
  <c r="AR100" i="2"/>
  <c r="AQ100" i="2"/>
  <c r="AA100" i="2"/>
  <c r="V100" i="2"/>
  <c r="U100" i="2"/>
  <c r="T100" i="2"/>
  <c r="S100" i="2"/>
  <c r="R100" i="2"/>
  <c r="M100" i="2"/>
  <c r="BF99" i="2"/>
  <c r="AR99" i="2"/>
  <c r="AQ99" i="2"/>
  <c r="AO99" i="2"/>
  <c r="AA99" i="2"/>
  <c r="Z99" i="2"/>
  <c r="X99" i="2"/>
  <c r="W99" i="2"/>
  <c r="V99" i="2"/>
  <c r="U99" i="2"/>
  <c r="T99" i="2"/>
  <c r="S99" i="2"/>
  <c r="R99" i="2"/>
  <c r="M99" i="2"/>
  <c r="J99" i="2" s="1"/>
  <c r="AP99" i="2" s="1"/>
  <c r="BF98" i="2"/>
  <c r="AT98" i="2"/>
  <c r="AU98" i="2" s="1"/>
  <c r="AV98" i="2" s="1"/>
  <c r="AS98" i="2"/>
  <c r="AR98" i="2"/>
  <c r="AQ98" i="2"/>
  <c r="AA98" i="2"/>
  <c r="V98" i="2"/>
  <c r="U98" i="2"/>
  <c r="T98" i="2"/>
  <c r="S98" i="2"/>
  <c r="R98" i="2"/>
  <c r="M98" i="2"/>
  <c r="Z98" i="2" s="1"/>
  <c r="J98" i="2"/>
  <c r="BF97" i="2"/>
  <c r="AR97" i="2"/>
  <c r="AS97" i="2" s="1"/>
  <c r="AT97" i="2" s="1"/>
  <c r="AU97" i="2" s="1"/>
  <c r="AV97" i="2" s="1"/>
  <c r="AQ97" i="2"/>
  <c r="AA97" i="2"/>
  <c r="Z97" i="2"/>
  <c r="V97" i="2"/>
  <c r="W97" i="2" s="1"/>
  <c r="U97" i="2"/>
  <c r="T97" i="2"/>
  <c r="S97" i="2"/>
  <c r="R97" i="2"/>
  <c r="M97" i="2"/>
  <c r="J97" i="2" s="1"/>
  <c r="BF96" i="2"/>
  <c r="AR96" i="2"/>
  <c r="AQ96" i="2"/>
  <c r="AP96" i="2"/>
  <c r="AA96" i="2"/>
  <c r="AO96" i="2" s="1"/>
  <c r="Z96" i="2"/>
  <c r="V96" i="2"/>
  <c r="U96" i="2"/>
  <c r="X96" i="2" s="1"/>
  <c r="T96" i="2"/>
  <c r="S96" i="2"/>
  <c r="R96" i="2"/>
  <c r="M96" i="2"/>
  <c r="J96" i="2"/>
  <c r="BF95" i="2"/>
  <c r="AU95" i="2"/>
  <c r="AT95" i="2"/>
  <c r="AS95" i="2"/>
  <c r="AR95" i="2"/>
  <c r="AQ95" i="2"/>
  <c r="AA95" i="2"/>
  <c r="V95" i="2"/>
  <c r="W95" i="2" s="1"/>
  <c r="U95" i="2"/>
  <c r="T95" i="2"/>
  <c r="S95" i="2"/>
  <c r="R95" i="2"/>
  <c r="M95" i="2"/>
  <c r="Z95" i="2" s="1"/>
  <c r="BF94" i="2"/>
  <c r="AS94" i="2"/>
  <c r="AT94" i="2" s="1"/>
  <c r="AU94" i="2" s="1"/>
  <c r="AV94" i="2" s="1"/>
  <c r="AR94" i="2"/>
  <c r="AW94" i="2" s="1"/>
  <c r="AX94" i="2" s="1"/>
  <c r="AQ94" i="2"/>
  <c r="AA94" i="2"/>
  <c r="Z94" i="2"/>
  <c r="V94" i="2"/>
  <c r="W94" i="2" s="1"/>
  <c r="U94" i="2"/>
  <c r="T94" i="2"/>
  <c r="S94" i="2"/>
  <c r="R94" i="2"/>
  <c r="M94" i="2"/>
  <c r="J94" i="2"/>
  <c r="BF93" i="2"/>
  <c r="AR93" i="2"/>
  <c r="AQ93" i="2"/>
  <c r="AP93" i="2"/>
  <c r="AO93" i="2"/>
  <c r="AA93" i="2"/>
  <c r="V93" i="2"/>
  <c r="U93" i="2"/>
  <c r="X93" i="2" s="1"/>
  <c r="T93" i="2"/>
  <c r="S93" i="2"/>
  <c r="R93" i="2"/>
  <c r="M93" i="2"/>
  <c r="Z93" i="2" s="1"/>
  <c r="J93" i="2"/>
  <c r="BF92" i="2"/>
  <c r="AS92" i="2"/>
  <c r="AT92" i="2" s="1"/>
  <c r="AR92" i="2"/>
  <c r="AQ92" i="2"/>
  <c r="AA92" i="2"/>
  <c r="Z92" i="2"/>
  <c r="V92" i="2"/>
  <c r="U92" i="2"/>
  <c r="T92" i="2"/>
  <c r="S92" i="2"/>
  <c r="R92" i="2"/>
  <c r="M92" i="2"/>
  <c r="J92" i="2" s="1"/>
  <c r="BF91" i="2"/>
  <c r="AR91" i="2"/>
  <c r="AQ91" i="2"/>
  <c r="AA91" i="2"/>
  <c r="AO91" i="2" s="1"/>
  <c r="Z91" i="2"/>
  <c r="X91" i="2"/>
  <c r="W91" i="2"/>
  <c r="V91" i="2"/>
  <c r="U91" i="2"/>
  <c r="T91" i="2"/>
  <c r="S91" i="2"/>
  <c r="R91" i="2"/>
  <c r="M91" i="2"/>
  <c r="J91" i="2" s="1"/>
  <c r="AP91" i="2" s="1"/>
  <c r="BF90" i="2"/>
  <c r="AS90" i="2"/>
  <c r="AT90" i="2" s="1"/>
  <c r="AU90" i="2" s="1"/>
  <c r="AV90" i="2" s="1"/>
  <c r="AR90" i="2"/>
  <c r="AQ90" i="2"/>
  <c r="AA90" i="2"/>
  <c r="V90" i="2"/>
  <c r="U90" i="2"/>
  <c r="AP90" i="2" s="1"/>
  <c r="T90" i="2"/>
  <c r="S90" i="2"/>
  <c r="R90" i="2"/>
  <c r="M90" i="2"/>
  <c r="Z90" i="2" s="1"/>
  <c r="J90" i="2"/>
  <c r="BF89" i="2"/>
  <c r="AR89" i="2"/>
  <c r="AS89" i="2" s="1"/>
  <c r="AT89" i="2" s="1"/>
  <c r="AU89" i="2" s="1"/>
  <c r="AV89" i="2" s="1"/>
  <c r="AQ89" i="2"/>
  <c r="AA89" i="2"/>
  <c r="Z89" i="2"/>
  <c r="V89" i="2"/>
  <c r="U89" i="2"/>
  <c r="T89" i="2"/>
  <c r="S89" i="2"/>
  <c r="R89" i="2"/>
  <c r="M89" i="2"/>
  <c r="J89" i="2" s="1"/>
  <c r="BF88" i="2"/>
  <c r="AR88" i="2"/>
  <c r="AQ88" i="2"/>
  <c r="AP88" i="2"/>
  <c r="AA88" i="2"/>
  <c r="AO88" i="2" s="1"/>
  <c r="Z88" i="2"/>
  <c r="V88" i="2"/>
  <c r="U88" i="2"/>
  <c r="X88" i="2" s="1"/>
  <c r="T88" i="2"/>
  <c r="S88" i="2"/>
  <c r="R88" i="2"/>
  <c r="M88" i="2"/>
  <c r="J88" i="2"/>
  <c r="BF87" i="2"/>
  <c r="AU87" i="2"/>
  <c r="AV87" i="2" s="1"/>
  <c r="AT87" i="2"/>
  <c r="AW87" i="2" s="1"/>
  <c r="AX87" i="2" s="1"/>
  <c r="AS87" i="2"/>
  <c r="AR87" i="2"/>
  <c r="AQ87" i="2"/>
  <c r="AA87" i="2"/>
  <c r="V87" i="2"/>
  <c r="W87" i="2" s="1"/>
  <c r="U87" i="2"/>
  <c r="T87" i="2"/>
  <c r="S87" i="2"/>
  <c r="R87" i="2"/>
  <c r="M87" i="2"/>
  <c r="Z87" i="2" s="1"/>
  <c r="K644" i="1" s="1"/>
  <c r="BF86" i="2"/>
  <c r="AS86" i="2"/>
  <c r="AT86" i="2" s="1"/>
  <c r="AU86" i="2" s="1"/>
  <c r="AV86" i="2" s="1"/>
  <c r="AR86" i="2"/>
  <c r="AW86" i="2" s="1"/>
  <c r="AX86" i="2" s="1"/>
  <c r="AQ86" i="2"/>
  <c r="AA86" i="2"/>
  <c r="Z86" i="2"/>
  <c r="W86" i="2"/>
  <c r="V86" i="2"/>
  <c r="U86" i="2"/>
  <c r="T86" i="2"/>
  <c r="S86" i="2"/>
  <c r="R86" i="2"/>
  <c r="M86" i="2"/>
  <c r="J86" i="2"/>
  <c r="BF85" i="2"/>
  <c r="AR85" i="2"/>
  <c r="AQ85" i="2"/>
  <c r="AP85" i="2"/>
  <c r="AO85" i="2"/>
  <c r="AA85" i="2"/>
  <c r="V85" i="2"/>
  <c r="U85" i="2"/>
  <c r="X85" i="2" s="1"/>
  <c r="T85" i="2"/>
  <c r="S85" i="2"/>
  <c r="R85" i="2"/>
  <c r="M85" i="2"/>
  <c r="Z85" i="2" s="1"/>
  <c r="J85" i="2"/>
  <c r="BF84" i="2"/>
  <c r="AS84" i="2"/>
  <c r="AT84" i="2" s="1"/>
  <c r="AR84" i="2"/>
  <c r="AQ84" i="2"/>
  <c r="AA84" i="2"/>
  <c r="V84" i="2"/>
  <c r="U84" i="2"/>
  <c r="T84" i="2"/>
  <c r="S84" i="2"/>
  <c r="R84" i="2"/>
  <c r="M84" i="2"/>
  <c r="BF83" i="2"/>
  <c r="AR83" i="2"/>
  <c r="AQ83" i="2"/>
  <c r="AA83" i="2"/>
  <c r="AO83" i="2" s="1"/>
  <c r="Z83" i="2"/>
  <c r="X83" i="2"/>
  <c r="W83" i="2"/>
  <c r="V83" i="2"/>
  <c r="U83" i="2"/>
  <c r="T83" i="2"/>
  <c r="S83" i="2"/>
  <c r="R83" i="2"/>
  <c r="M83" i="2"/>
  <c r="J83" i="2" s="1"/>
  <c r="AP83" i="2" s="1"/>
  <c r="BF82" i="2"/>
  <c r="AT82" i="2"/>
  <c r="AU82" i="2" s="1"/>
  <c r="AV82" i="2" s="1"/>
  <c r="AS82" i="2"/>
  <c r="AR82" i="2"/>
  <c r="AQ82" i="2"/>
  <c r="AA82" i="2"/>
  <c r="V82" i="2"/>
  <c r="U82" i="2"/>
  <c r="T82" i="2"/>
  <c r="S82" i="2"/>
  <c r="R82" i="2"/>
  <c r="M82" i="2"/>
  <c r="Z82" i="2" s="1"/>
  <c r="J82" i="2"/>
  <c r="BF81" i="2"/>
  <c r="BF732" i="2" s="1"/>
  <c r="AR81" i="2"/>
  <c r="AQ81" i="2"/>
  <c r="AA81" i="2"/>
  <c r="Z81" i="2"/>
  <c r="V81" i="2"/>
  <c r="V732" i="2" s="1"/>
  <c r="U81" i="2"/>
  <c r="T81" i="2"/>
  <c r="T732" i="2" s="1"/>
  <c r="S81" i="2"/>
  <c r="S732" i="2" s="1"/>
  <c r="R81" i="2"/>
  <c r="M81" i="2"/>
  <c r="J81" i="2" s="1"/>
  <c r="BF80" i="2"/>
  <c r="AR80" i="2"/>
  <c r="AQ80" i="2"/>
  <c r="AP80" i="2"/>
  <c r="AO80" i="2"/>
  <c r="AA80" i="2"/>
  <c r="Z80" i="2"/>
  <c r="V80" i="2"/>
  <c r="U80" i="2"/>
  <c r="X80" i="2" s="1"/>
  <c r="T80" i="2"/>
  <c r="S80" i="2"/>
  <c r="R80" i="2"/>
  <c r="M80" i="2"/>
  <c r="J80" i="2"/>
  <c r="BF79" i="2"/>
  <c r="AS79" i="2"/>
  <c r="AR79" i="2"/>
  <c r="AQ79" i="2"/>
  <c r="AA79" i="2"/>
  <c r="V79" i="2"/>
  <c r="U79" i="2"/>
  <c r="T79" i="2"/>
  <c r="S79" i="2"/>
  <c r="R79" i="2"/>
  <c r="M79" i="2"/>
  <c r="Z79" i="2" s="1"/>
  <c r="K646" i="1" s="1"/>
  <c r="BF78" i="2"/>
  <c r="AS78" i="2"/>
  <c r="AT78" i="2" s="1"/>
  <c r="AU78" i="2" s="1"/>
  <c r="AV78" i="2" s="1"/>
  <c r="AR78" i="2"/>
  <c r="AQ78" i="2"/>
  <c r="AA78" i="2"/>
  <c r="Z78" i="2"/>
  <c r="X78" i="2"/>
  <c r="V78" i="2"/>
  <c r="U78" i="2"/>
  <c r="AP78" i="2" s="1"/>
  <c r="T78" i="2"/>
  <c r="S78" i="2"/>
  <c r="R78" i="2"/>
  <c r="M78" i="2"/>
  <c r="J78" i="2"/>
  <c r="BF77" i="2"/>
  <c r="AR77" i="2"/>
  <c r="AQ77" i="2"/>
  <c r="AA77" i="2"/>
  <c r="V77" i="2"/>
  <c r="U77" i="2"/>
  <c r="T77" i="2"/>
  <c r="S77" i="2"/>
  <c r="R77" i="2"/>
  <c r="M77" i="2"/>
  <c r="Z77" i="2" s="1"/>
  <c r="J77" i="2"/>
  <c r="AP77" i="2" s="1"/>
  <c r="BF76" i="2"/>
  <c r="AS76" i="2"/>
  <c r="AT76" i="2" s="1"/>
  <c r="AR76" i="2"/>
  <c r="AQ76" i="2"/>
  <c r="AA76" i="2"/>
  <c r="X76" i="2"/>
  <c r="V76" i="2"/>
  <c r="U76" i="2"/>
  <c r="T76" i="2"/>
  <c r="S76" i="2"/>
  <c r="R76" i="2"/>
  <c r="M76" i="2"/>
  <c r="BF75" i="2"/>
  <c r="AR75" i="2"/>
  <c r="AQ75" i="2"/>
  <c r="AP75" i="2"/>
  <c r="AO75" i="2"/>
  <c r="AA75" i="2"/>
  <c r="Z75" i="2"/>
  <c r="X75" i="2"/>
  <c r="W75" i="2"/>
  <c r="V75" i="2"/>
  <c r="U75" i="2"/>
  <c r="T75" i="2"/>
  <c r="S75" i="2"/>
  <c r="R75" i="2"/>
  <c r="M75" i="2"/>
  <c r="J75" i="2" s="1"/>
  <c r="BF74" i="2"/>
  <c r="AR74" i="2"/>
  <c r="AS74" i="2" s="1"/>
  <c r="AQ74" i="2"/>
  <c r="AA74" i="2"/>
  <c r="V74" i="2"/>
  <c r="U74" i="2"/>
  <c r="X74" i="2" s="1"/>
  <c r="T74" i="2"/>
  <c r="S74" i="2"/>
  <c r="R74" i="2"/>
  <c r="M74" i="2"/>
  <c r="Z74" i="2" s="1"/>
  <c r="J74" i="2"/>
  <c r="BF73" i="2"/>
  <c r="AW73" i="2"/>
  <c r="AX73" i="2" s="1"/>
  <c r="AR73" i="2"/>
  <c r="AS73" i="2" s="1"/>
  <c r="AT73" i="2" s="1"/>
  <c r="AU73" i="2" s="1"/>
  <c r="AV73" i="2" s="1"/>
  <c r="AQ73" i="2"/>
  <c r="AA73" i="2"/>
  <c r="AO73" i="2" s="1"/>
  <c r="Z73" i="2"/>
  <c r="X73" i="2"/>
  <c r="V73" i="2"/>
  <c r="W73" i="2" s="1"/>
  <c r="U73" i="2"/>
  <c r="T73" i="2"/>
  <c r="S73" i="2"/>
  <c r="R73" i="2"/>
  <c r="M73" i="2"/>
  <c r="J73" i="2" s="1"/>
  <c r="BF72" i="2"/>
  <c r="AR72" i="2"/>
  <c r="AS72" i="2" s="1"/>
  <c r="AQ72" i="2"/>
  <c r="AP72" i="2"/>
  <c r="AA72" i="2"/>
  <c r="AO72" i="2" s="1"/>
  <c r="Z72" i="2"/>
  <c r="V72" i="2"/>
  <c r="U72" i="2"/>
  <c r="X72" i="2" s="1"/>
  <c r="T72" i="2"/>
  <c r="S72" i="2"/>
  <c r="R72" i="2"/>
  <c r="M72" i="2"/>
  <c r="J72" i="2"/>
  <c r="BF71" i="2"/>
  <c r="AS71" i="2"/>
  <c r="AR71" i="2"/>
  <c r="AQ71" i="2"/>
  <c r="AA71" i="2"/>
  <c r="V71" i="2"/>
  <c r="W71" i="2" s="1"/>
  <c r="U71" i="2"/>
  <c r="T71" i="2"/>
  <c r="S71" i="2"/>
  <c r="R71" i="2"/>
  <c r="M71" i="2"/>
  <c r="Z71" i="2" s="1"/>
  <c r="K672" i="1" s="1"/>
  <c r="BF70" i="2"/>
  <c r="AS70" i="2"/>
  <c r="AT70" i="2" s="1"/>
  <c r="AU70" i="2" s="1"/>
  <c r="AV70" i="2" s="1"/>
  <c r="AR70" i="2"/>
  <c r="AQ70" i="2"/>
  <c r="AA70" i="2"/>
  <c r="Z70" i="2"/>
  <c r="X70" i="2"/>
  <c r="V70" i="2"/>
  <c r="U70" i="2"/>
  <c r="AP70" i="2" s="1"/>
  <c r="T70" i="2"/>
  <c r="S70" i="2"/>
  <c r="R70" i="2"/>
  <c r="M70" i="2"/>
  <c r="J70" i="2"/>
  <c r="BF69" i="2"/>
  <c r="AR69" i="2"/>
  <c r="AS69" i="2" s="1"/>
  <c r="AQ69" i="2"/>
  <c r="AA69" i="2"/>
  <c r="V69" i="2"/>
  <c r="U69" i="2"/>
  <c r="T69" i="2"/>
  <c r="S69" i="2"/>
  <c r="R69" i="2"/>
  <c r="M69" i="2"/>
  <c r="Z69" i="2" s="1"/>
  <c r="J69" i="2"/>
  <c r="BF68" i="2"/>
  <c r="AS68" i="2"/>
  <c r="AT68" i="2" s="1"/>
  <c r="AR68" i="2"/>
  <c r="AQ68" i="2"/>
  <c r="AA68" i="2"/>
  <c r="Z68" i="2"/>
  <c r="V68" i="2"/>
  <c r="U68" i="2"/>
  <c r="AP68" i="2" s="1"/>
  <c r="T68" i="2"/>
  <c r="S68" i="2"/>
  <c r="R68" i="2"/>
  <c r="M68" i="2"/>
  <c r="J68" i="2" s="1"/>
  <c r="BF67" i="2"/>
  <c r="AS67" i="2"/>
  <c r="AT67" i="2" s="1"/>
  <c r="AU67" i="2" s="1"/>
  <c r="AV67" i="2" s="1"/>
  <c r="AR67" i="2"/>
  <c r="AQ67" i="2"/>
  <c r="AA67" i="2"/>
  <c r="Z67" i="2"/>
  <c r="X67" i="2"/>
  <c r="W67" i="2"/>
  <c r="V67" i="2"/>
  <c r="U67" i="2"/>
  <c r="T67" i="2"/>
  <c r="S67" i="2"/>
  <c r="R67" i="2"/>
  <c r="M67" i="2"/>
  <c r="J67" i="2" s="1"/>
  <c r="BF66" i="2"/>
  <c r="AR66" i="2"/>
  <c r="AQ66" i="2"/>
  <c r="AA66" i="2"/>
  <c r="V66" i="2"/>
  <c r="U66" i="2"/>
  <c r="T66" i="2"/>
  <c r="S66" i="2"/>
  <c r="R66" i="2"/>
  <c r="M66" i="2"/>
  <c r="Z66" i="2" s="1"/>
  <c r="J66" i="2"/>
  <c r="BF65" i="2"/>
  <c r="AR65" i="2"/>
  <c r="AS65" i="2" s="1"/>
  <c r="AT65" i="2" s="1"/>
  <c r="AU65" i="2" s="1"/>
  <c r="AV65" i="2" s="1"/>
  <c r="AQ65" i="2"/>
  <c r="AP65" i="2"/>
  <c r="AA65" i="2"/>
  <c r="Z65" i="2"/>
  <c r="X65" i="2"/>
  <c r="W65" i="2"/>
  <c r="V65" i="2"/>
  <c r="U65" i="2"/>
  <c r="AO65" i="2" s="1"/>
  <c r="T65" i="2"/>
  <c r="S65" i="2"/>
  <c r="R65" i="2"/>
  <c r="M65" i="2"/>
  <c r="J65" i="2" s="1"/>
  <c r="BF64" i="2"/>
  <c r="AR64" i="2"/>
  <c r="AS64" i="2" s="1"/>
  <c r="AQ64" i="2"/>
  <c r="AA64" i="2"/>
  <c r="V64" i="2"/>
  <c r="U64" i="2"/>
  <c r="X64" i="2" s="1"/>
  <c r="T64" i="2"/>
  <c r="S64" i="2"/>
  <c r="R64" i="2"/>
  <c r="M64" i="2"/>
  <c r="Z64" i="2" s="1"/>
  <c r="K738" i="1" s="1"/>
  <c r="J64" i="2"/>
  <c r="AP64" i="2" s="1"/>
  <c r="BF63" i="2"/>
  <c r="BF731" i="2" s="1"/>
  <c r="AT63" i="2"/>
  <c r="AS63" i="2"/>
  <c r="AR63" i="2"/>
  <c r="AQ63" i="2"/>
  <c r="AA63" i="2"/>
  <c r="Z63" i="2"/>
  <c r="V63" i="2"/>
  <c r="V731" i="2" s="1"/>
  <c r="U63" i="2"/>
  <c r="T63" i="2"/>
  <c r="T731" i="2" s="1"/>
  <c r="S63" i="2"/>
  <c r="S731" i="2" s="1"/>
  <c r="R63" i="2"/>
  <c r="R731" i="2" s="1"/>
  <c r="M63" i="2"/>
  <c r="M731" i="2" s="1"/>
  <c r="J63" i="2"/>
  <c r="BF62" i="2"/>
  <c r="AT62" i="2"/>
  <c r="AU62" i="2" s="1"/>
  <c r="AV62" i="2" s="1"/>
  <c r="AS62" i="2"/>
  <c r="AR62" i="2"/>
  <c r="AQ62" i="2"/>
  <c r="AA62" i="2"/>
  <c r="Z62" i="2"/>
  <c r="V62" i="2"/>
  <c r="U62" i="2"/>
  <c r="AP62" i="2" s="1"/>
  <c r="T62" i="2"/>
  <c r="S62" i="2"/>
  <c r="R62" i="2"/>
  <c r="M62" i="2"/>
  <c r="J62" i="2"/>
  <c r="BF61" i="2"/>
  <c r="AR61" i="2"/>
  <c r="AS61" i="2" s="1"/>
  <c r="AQ61" i="2"/>
  <c r="AP61" i="2"/>
  <c r="AO61" i="2"/>
  <c r="AA61" i="2"/>
  <c r="V61" i="2"/>
  <c r="U61" i="2"/>
  <c r="T61" i="2"/>
  <c r="S61" i="2"/>
  <c r="R61" i="2"/>
  <c r="M61" i="2"/>
  <c r="Z61" i="2" s="1"/>
  <c r="J61" i="2"/>
  <c r="BF60" i="2"/>
  <c r="AS60" i="2"/>
  <c r="AT60" i="2" s="1"/>
  <c r="AR60" i="2"/>
  <c r="AQ60" i="2"/>
  <c r="AA60" i="2"/>
  <c r="X60" i="2"/>
  <c r="V60" i="2"/>
  <c r="U60" i="2"/>
  <c r="AP60" i="2" s="1"/>
  <c r="T60" i="2"/>
  <c r="S60" i="2"/>
  <c r="R60" i="2"/>
  <c r="M60" i="2"/>
  <c r="J60" i="2" s="1"/>
  <c r="BF59" i="2"/>
  <c r="AT59" i="2"/>
  <c r="AU59" i="2" s="1"/>
  <c r="AV59" i="2" s="1"/>
  <c r="AS59" i="2"/>
  <c r="AR59" i="2"/>
  <c r="AQ59" i="2"/>
  <c r="AA59" i="2"/>
  <c r="X59" i="2"/>
  <c r="W59" i="2"/>
  <c r="V59" i="2"/>
  <c r="U59" i="2"/>
  <c r="T59" i="2"/>
  <c r="S59" i="2"/>
  <c r="R59" i="2"/>
  <c r="M59" i="2"/>
  <c r="Z59" i="2" s="1"/>
  <c r="K688" i="1" s="1"/>
  <c r="J59" i="2"/>
  <c r="AP59" i="2" s="1"/>
  <c r="BF58" i="2"/>
  <c r="AR58" i="2"/>
  <c r="AQ58" i="2"/>
  <c r="AA58" i="2"/>
  <c r="V58" i="2"/>
  <c r="U58" i="2"/>
  <c r="T58" i="2"/>
  <c r="S58" i="2"/>
  <c r="R58" i="2"/>
  <c r="M58" i="2"/>
  <c r="Z58" i="2" s="1"/>
  <c r="J58" i="2"/>
  <c r="BF57" i="2"/>
  <c r="AX57" i="2"/>
  <c r="AW57" i="2"/>
  <c r="AR57" i="2"/>
  <c r="AS57" i="2" s="1"/>
  <c r="AT57" i="2" s="1"/>
  <c r="AU57" i="2" s="1"/>
  <c r="AV57" i="2" s="1"/>
  <c r="AQ57" i="2"/>
  <c r="AA57" i="2"/>
  <c r="Z57" i="2"/>
  <c r="V57" i="2"/>
  <c r="U57" i="2"/>
  <c r="AP57" i="2" s="1"/>
  <c r="T57" i="2"/>
  <c r="S57" i="2"/>
  <c r="R57" i="2"/>
  <c r="M57" i="2"/>
  <c r="J57" i="2" s="1"/>
  <c r="BF56" i="2"/>
  <c r="AR56" i="2"/>
  <c r="AQ56" i="2"/>
  <c r="AP56" i="2"/>
  <c r="AA56" i="2"/>
  <c r="AO56" i="2" s="1"/>
  <c r="V56" i="2"/>
  <c r="U56" i="2"/>
  <c r="X56" i="2" s="1"/>
  <c r="T56" i="2"/>
  <c r="S56" i="2"/>
  <c r="R56" i="2"/>
  <c r="M56" i="2"/>
  <c r="Z56" i="2" s="1"/>
  <c r="K691" i="1" s="1"/>
  <c r="J56" i="2"/>
  <c r="BF55" i="2"/>
  <c r="AS55" i="2"/>
  <c r="AR55" i="2"/>
  <c r="AQ55" i="2"/>
  <c r="AA55" i="2"/>
  <c r="X55" i="2"/>
  <c r="V55" i="2"/>
  <c r="U55" i="2"/>
  <c r="AP55" i="2" s="1"/>
  <c r="T55" i="2"/>
  <c r="S55" i="2"/>
  <c r="R55" i="2"/>
  <c r="M55" i="2"/>
  <c r="Z55" i="2" s="1"/>
  <c r="J55" i="2"/>
  <c r="BF54" i="2"/>
  <c r="AT54" i="2"/>
  <c r="AU54" i="2" s="1"/>
  <c r="AV54" i="2" s="1"/>
  <c r="AS54" i="2"/>
  <c r="AR54" i="2"/>
  <c r="AQ54" i="2"/>
  <c r="AA54" i="2"/>
  <c r="X54" i="2"/>
  <c r="V54" i="2"/>
  <c r="W54" i="2" s="1"/>
  <c r="U54" i="2"/>
  <c r="T54" i="2"/>
  <c r="S54" i="2"/>
  <c r="R54" i="2"/>
  <c r="M54" i="2"/>
  <c r="Z54" i="2" s="1"/>
  <c r="K724" i="1" s="1"/>
  <c r="J54" i="2"/>
  <c r="AP54" i="2" s="1"/>
  <c r="BF53" i="2"/>
  <c r="AR53" i="2"/>
  <c r="AQ53" i="2"/>
  <c r="AA53" i="2"/>
  <c r="V53" i="2"/>
  <c r="U53" i="2"/>
  <c r="X53" i="2" s="1"/>
  <c r="T53" i="2"/>
  <c r="S53" i="2"/>
  <c r="R53" i="2"/>
  <c r="M53" i="2"/>
  <c r="Z53" i="2" s="1"/>
  <c r="J53" i="2"/>
  <c r="BF52" i="2"/>
  <c r="AV52" i="2"/>
  <c r="AU52" i="2"/>
  <c r="AS52" i="2"/>
  <c r="AT52" i="2" s="1"/>
  <c r="AW52" i="2" s="1"/>
  <c r="AX52" i="2" s="1"/>
  <c r="AR52" i="2"/>
  <c r="AQ52" i="2"/>
  <c r="AA52" i="2"/>
  <c r="AO52" i="2" s="1"/>
  <c r="Z52" i="2"/>
  <c r="K698" i="1" s="1"/>
  <c r="V52" i="2"/>
  <c r="U52" i="2"/>
  <c r="X52" i="2" s="1"/>
  <c r="T52" i="2"/>
  <c r="S52" i="2"/>
  <c r="R52" i="2"/>
  <c r="M52" i="2"/>
  <c r="J52" i="2" s="1"/>
  <c r="AP52" i="2" s="1"/>
  <c r="BF51" i="2"/>
  <c r="AR51" i="2"/>
  <c r="AQ51" i="2"/>
  <c r="AA51" i="2"/>
  <c r="AO51" i="2" s="1"/>
  <c r="Z51" i="2"/>
  <c r="X51" i="2"/>
  <c r="W51" i="2"/>
  <c r="V51" i="2"/>
  <c r="U51" i="2"/>
  <c r="T51" i="2"/>
  <c r="S51" i="2"/>
  <c r="R51" i="2"/>
  <c r="M51" i="2"/>
  <c r="J51" i="2"/>
  <c r="AP51" i="2" s="1"/>
  <c r="BF50" i="2"/>
  <c r="AR50" i="2"/>
  <c r="AS50" i="2" s="1"/>
  <c r="AQ50" i="2"/>
  <c r="AA50" i="2"/>
  <c r="X50" i="2"/>
  <c r="W50" i="2"/>
  <c r="V50" i="2"/>
  <c r="U50" i="2"/>
  <c r="T50" i="2"/>
  <c r="S50" i="2"/>
  <c r="R50" i="2"/>
  <c r="M50" i="2"/>
  <c r="J50" i="2" s="1"/>
  <c r="BF49" i="2"/>
  <c r="AS49" i="2"/>
  <c r="AT49" i="2" s="1"/>
  <c r="AU49" i="2" s="1"/>
  <c r="AV49" i="2" s="1"/>
  <c r="AR49" i="2"/>
  <c r="AQ49" i="2"/>
  <c r="AA49" i="2"/>
  <c r="Z49" i="2"/>
  <c r="V49" i="2"/>
  <c r="U49" i="2"/>
  <c r="AP49" i="2" s="1"/>
  <c r="T49" i="2"/>
  <c r="S49" i="2"/>
  <c r="R49" i="2"/>
  <c r="M49" i="2"/>
  <c r="J49" i="2" s="1"/>
  <c r="BF48" i="2"/>
  <c r="AS48" i="2"/>
  <c r="AR48" i="2"/>
  <c r="AQ48" i="2"/>
  <c r="AA48" i="2"/>
  <c r="AO48" i="2" s="1"/>
  <c r="Z48" i="2"/>
  <c r="K701" i="1" s="1"/>
  <c r="V48" i="2"/>
  <c r="U48" i="2"/>
  <c r="T48" i="2"/>
  <c r="S48" i="2"/>
  <c r="R48" i="2"/>
  <c r="M48" i="2"/>
  <c r="J48" i="2" s="1"/>
  <c r="AP48" i="2" s="1"/>
  <c r="BF47" i="2"/>
  <c r="AS47" i="2"/>
  <c r="AR47" i="2"/>
  <c r="AQ47" i="2"/>
  <c r="AA47" i="2"/>
  <c r="Z47" i="2"/>
  <c r="X47" i="2"/>
  <c r="W47" i="2"/>
  <c r="V47" i="2"/>
  <c r="U47" i="2"/>
  <c r="T47" i="2"/>
  <c r="S47" i="2"/>
  <c r="R47" i="2"/>
  <c r="M47" i="2"/>
  <c r="J47" i="2"/>
  <c r="BF46" i="2"/>
  <c r="AS46" i="2"/>
  <c r="AT46" i="2" s="1"/>
  <c r="AU46" i="2" s="1"/>
  <c r="AV46" i="2" s="1"/>
  <c r="AR46" i="2"/>
  <c r="AQ46" i="2"/>
  <c r="AA46" i="2"/>
  <c r="W46" i="2"/>
  <c r="V46" i="2"/>
  <c r="U46" i="2"/>
  <c r="AP46" i="2" s="1"/>
  <c r="T46" i="2"/>
  <c r="S46" i="2"/>
  <c r="R46" i="2"/>
  <c r="M46" i="2"/>
  <c r="Z46" i="2" s="1"/>
  <c r="K711" i="1" s="1"/>
  <c r="J46" i="2"/>
  <c r="BF45" i="2"/>
  <c r="AT45" i="2"/>
  <c r="AU45" i="2" s="1"/>
  <c r="AV45" i="2" s="1"/>
  <c r="AS45" i="2"/>
  <c r="AR45" i="2"/>
  <c r="AW45" i="2" s="1"/>
  <c r="AX45" i="2" s="1"/>
  <c r="AQ45" i="2"/>
  <c r="AA45" i="2"/>
  <c r="V45" i="2"/>
  <c r="U45" i="2"/>
  <c r="X45" i="2" s="1"/>
  <c r="T45" i="2"/>
  <c r="S45" i="2"/>
  <c r="R45" i="2"/>
  <c r="M45" i="2"/>
  <c r="Z45" i="2" s="1"/>
  <c r="J45" i="2"/>
  <c r="BF44" i="2"/>
  <c r="AU44" i="2"/>
  <c r="AV44" i="2" s="1"/>
  <c r="AS44" i="2"/>
  <c r="AT44" i="2" s="1"/>
  <c r="AW44" i="2" s="1"/>
  <c r="AX44" i="2" s="1"/>
  <c r="AR44" i="2"/>
  <c r="AQ44" i="2"/>
  <c r="AP44" i="2"/>
  <c r="AA44" i="2"/>
  <c r="AO44" i="2" s="1"/>
  <c r="Z44" i="2"/>
  <c r="X44" i="2"/>
  <c r="V44" i="2"/>
  <c r="U44" i="2"/>
  <c r="W44" i="2" s="1"/>
  <c r="T44" i="2"/>
  <c r="S44" i="2"/>
  <c r="R44" i="2"/>
  <c r="M44" i="2"/>
  <c r="J44" i="2" s="1"/>
  <c r="BF43" i="2"/>
  <c r="AR43" i="2"/>
  <c r="AQ43" i="2"/>
  <c r="AP43" i="2"/>
  <c r="AA43" i="2"/>
  <c r="Z43" i="2"/>
  <c r="X43" i="2"/>
  <c r="W43" i="2"/>
  <c r="V43" i="2"/>
  <c r="U43" i="2"/>
  <c r="AO43" i="2" s="1"/>
  <c r="T43" i="2"/>
  <c r="S43" i="2"/>
  <c r="R43" i="2"/>
  <c r="M43" i="2"/>
  <c r="J43" i="2"/>
  <c r="BF42" i="2"/>
  <c r="AR42" i="2"/>
  <c r="AS42" i="2" s="1"/>
  <c r="AQ42" i="2"/>
  <c r="AA42" i="2"/>
  <c r="X42" i="2"/>
  <c r="W42" i="2"/>
  <c r="V42" i="2"/>
  <c r="U42" i="2"/>
  <c r="T42" i="2"/>
  <c r="S42" i="2"/>
  <c r="R42" i="2"/>
  <c r="M42" i="2"/>
  <c r="J42" i="2" s="1"/>
  <c r="BF41" i="2"/>
  <c r="AR41" i="2"/>
  <c r="AS41" i="2" s="1"/>
  <c r="AQ41" i="2"/>
  <c r="AA41" i="2"/>
  <c r="V41" i="2"/>
  <c r="U41" i="2"/>
  <c r="AP41" i="2" s="1"/>
  <c r="T41" i="2"/>
  <c r="S41" i="2"/>
  <c r="R41" i="2"/>
  <c r="M41" i="2"/>
  <c r="J41" i="2" s="1"/>
  <c r="BF40" i="2"/>
  <c r="AR40" i="2"/>
  <c r="AQ40" i="2"/>
  <c r="AA40" i="2"/>
  <c r="V40" i="2"/>
  <c r="U40" i="2"/>
  <c r="X40" i="2" s="1"/>
  <c r="T40" i="2"/>
  <c r="S40" i="2"/>
  <c r="R40" i="2"/>
  <c r="M40" i="2"/>
  <c r="Z40" i="2" s="1"/>
  <c r="K726" i="1" s="1"/>
  <c r="BF39" i="2"/>
  <c r="AS39" i="2"/>
  <c r="AR39" i="2"/>
  <c r="AQ39" i="2"/>
  <c r="AA39" i="2"/>
  <c r="Z39" i="2"/>
  <c r="V39" i="2"/>
  <c r="U39" i="2"/>
  <c r="T39" i="2"/>
  <c r="S39" i="2"/>
  <c r="R39" i="2"/>
  <c r="M39" i="2"/>
  <c r="J39" i="2"/>
  <c r="BF38" i="2"/>
  <c r="AR38" i="2"/>
  <c r="AS38" i="2" s="1"/>
  <c r="AQ38" i="2"/>
  <c r="AA38" i="2"/>
  <c r="Z38" i="2"/>
  <c r="X38" i="2"/>
  <c r="V38" i="2"/>
  <c r="U38" i="2"/>
  <c r="AP38" i="2" s="1"/>
  <c r="T38" i="2"/>
  <c r="S38" i="2"/>
  <c r="R38" i="2"/>
  <c r="M38" i="2"/>
  <c r="J38" i="2" s="1"/>
  <c r="BF37" i="2"/>
  <c r="AT37" i="2"/>
  <c r="AU37" i="2" s="1"/>
  <c r="AS37" i="2"/>
  <c r="AR37" i="2"/>
  <c r="AQ37" i="2"/>
  <c r="AA37" i="2"/>
  <c r="Z37" i="2"/>
  <c r="W37" i="2"/>
  <c r="V37" i="2"/>
  <c r="U37" i="2"/>
  <c r="X37" i="2" s="1"/>
  <c r="T37" i="2"/>
  <c r="S37" i="2"/>
  <c r="R37" i="2"/>
  <c r="M37" i="2"/>
  <c r="J37" i="2" s="1"/>
  <c r="BF36" i="2"/>
  <c r="AS36" i="2"/>
  <c r="AT36" i="2" s="1"/>
  <c r="AU36" i="2" s="1"/>
  <c r="AR36" i="2"/>
  <c r="AQ36" i="2"/>
  <c r="AP36" i="2"/>
  <c r="AA36" i="2"/>
  <c r="Z36" i="2"/>
  <c r="X36" i="2"/>
  <c r="W36" i="2"/>
  <c r="V36" i="2"/>
  <c r="U36" i="2"/>
  <c r="AO36" i="2" s="1"/>
  <c r="T36" i="2"/>
  <c r="S36" i="2"/>
  <c r="R36" i="2"/>
  <c r="M36" i="2"/>
  <c r="J36" i="2" s="1"/>
  <c r="BF35" i="2"/>
  <c r="AT35" i="2"/>
  <c r="AS35" i="2"/>
  <c r="AR35" i="2"/>
  <c r="AQ35" i="2"/>
  <c r="AA35" i="2"/>
  <c r="X35" i="2"/>
  <c r="W35" i="2"/>
  <c r="V35" i="2"/>
  <c r="U35" i="2"/>
  <c r="T35" i="2"/>
  <c r="S35" i="2"/>
  <c r="R35" i="2"/>
  <c r="M35" i="2"/>
  <c r="Z35" i="2" s="1"/>
  <c r="K722" i="1" s="1"/>
  <c r="J35" i="2"/>
  <c r="AP35" i="2" s="1"/>
  <c r="BF34" i="2"/>
  <c r="AR34" i="2"/>
  <c r="AQ34" i="2"/>
  <c r="AA34" i="2"/>
  <c r="V34" i="2"/>
  <c r="U34" i="2"/>
  <c r="T34" i="2"/>
  <c r="S34" i="2"/>
  <c r="R34" i="2"/>
  <c r="M34" i="2"/>
  <c r="Z34" i="2" s="1"/>
  <c r="K727" i="1" s="1"/>
  <c r="J34" i="2"/>
  <c r="BF33" i="2"/>
  <c r="AW33" i="2"/>
  <c r="AX33" i="2" s="1"/>
  <c r="AU33" i="2"/>
  <c r="AV33" i="2" s="1"/>
  <c r="AS33" i="2"/>
  <c r="AT33" i="2" s="1"/>
  <c r="AR33" i="2"/>
  <c r="AQ33" i="2"/>
  <c r="AA33" i="2"/>
  <c r="AO33" i="2" s="1"/>
  <c r="Z33" i="2"/>
  <c r="K730" i="1" s="1"/>
  <c r="V33" i="2"/>
  <c r="U33" i="2"/>
  <c r="X33" i="2" s="1"/>
  <c r="T33" i="2"/>
  <c r="S33" i="2"/>
  <c r="R33" i="2"/>
  <c r="M33" i="2"/>
  <c r="J33" i="2" s="1"/>
  <c r="BF32" i="2"/>
  <c r="AR32" i="2"/>
  <c r="AQ32" i="2"/>
  <c r="AA32" i="2"/>
  <c r="Z32" i="2"/>
  <c r="V32" i="2"/>
  <c r="U32" i="2"/>
  <c r="X32" i="2" s="1"/>
  <c r="T32" i="2"/>
  <c r="S32" i="2"/>
  <c r="R32" i="2"/>
  <c r="M32" i="2"/>
  <c r="J32" i="2"/>
  <c r="BF31" i="2"/>
  <c r="AS31" i="2"/>
  <c r="AT31" i="2" s="1"/>
  <c r="AU31" i="2" s="1"/>
  <c r="AV31" i="2" s="1"/>
  <c r="AR31" i="2"/>
  <c r="AQ31" i="2"/>
  <c r="AA31" i="2"/>
  <c r="Z31" i="2"/>
  <c r="X31" i="2"/>
  <c r="V31" i="2"/>
  <c r="U31" i="2"/>
  <c r="T31" i="2"/>
  <c r="S31" i="2"/>
  <c r="R31" i="2"/>
  <c r="M31" i="2"/>
  <c r="J31" i="2" s="1"/>
  <c r="BF30" i="2"/>
  <c r="AR30" i="2"/>
  <c r="AQ30" i="2"/>
  <c r="AA30" i="2"/>
  <c r="X30" i="2"/>
  <c r="V30" i="2"/>
  <c r="W30" i="2" s="1"/>
  <c r="U30" i="2"/>
  <c r="T30" i="2"/>
  <c r="S30" i="2"/>
  <c r="R30" i="2"/>
  <c r="M30" i="2"/>
  <c r="J30" i="2" s="1"/>
  <c r="AP30" i="2" s="1"/>
  <c r="BF29" i="2"/>
  <c r="AR29" i="2"/>
  <c r="AQ29" i="2"/>
  <c r="AA29" i="2"/>
  <c r="V29" i="2"/>
  <c r="W29" i="2" s="1"/>
  <c r="U29" i="2"/>
  <c r="X29" i="2" s="1"/>
  <c r="T29" i="2"/>
  <c r="S29" i="2"/>
  <c r="R29" i="2"/>
  <c r="M29" i="2"/>
  <c r="Z29" i="2" s="1"/>
  <c r="K700" i="1" s="1"/>
  <c r="BF28" i="2"/>
  <c r="AU28" i="2"/>
  <c r="AS28" i="2"/>
  <c r="AT28" i="2" s="1"/>
  <c r="AR28" i="2"/>
  <c r="AQ28" i="2"/>
  <c r="AA28" i="2"/>
  <c r="X28" i="2"/>
  <c r="W28" i="2"/>
  <c r="V28" i="2"/>
  <c r="U28" i="2"/>
  <c r="T28" i="2"/>
  <c r="S28" i="2"/>
  <c r="R28" i="2"/>
  <c r="M28" i="2"/>
  <c r="J28" i="2" s="1"/>
  <c r="AP28" i="2" s="1"/>
  <c r="BF27" i="2"/>
  <c r="AS27" i="2"/>
  <c r="AT27" i="2" s="1"/>
  <c r="AU27" i="2" s="1"/>
  <c r="AV27" i="2" s="1"/>
  <c r="AR27" i="2"/>
  <c r="AQ27" i="2"/>
  <c r="AA27" i="2"/>
  <c r="V27" i="2"/>
  <c r="U27" i="2"/>
  <c r="AP27" i="2" s="1"/>
  <c r="T27" i="2"/>
  <c r="S27" i="2"/>
  <c r="R27" i="2"/>
  <c r="M27" i="2"/>
  <c r="Z27" i="2" s="1"/>
  <c r="K500" i="1" s="1"/>
  <c r="J27" i="2"/>
  <c r="BF26" i="2"/>
  <c r="AR26" i="2"/>
  <c r="AQ26" i="2"/>
  <c r="AA26" i="2"/>
  <c r="Z26" i="2"/>
  <c r="K734" i="1" s="1"/>
  <c r="V26" i="2"/>
  <c r="U26" i="2"/>
  <c r="T26" i="2"/>
  <c r="S26" i="2"/>
  <c r="R26" i="2"/>
  <c r="M26" i="2"/>
  <c r="J26" i="2" s="1"/>
  <c r="AO26" i="2" s="1"/>
  <c r="BF25" i="2"/>
  <c r="AR25" i="2"/>
  <c r="AQ25" i="2"/>
  <c r="AA25" i="2"/>
  <c r="Z25" i="2"/>
  <c r="X25" i="2"/>
  <c r="V25" i="2"/>
  <c r="U25" i="2"/>
  <c r="AP25" i="2" s="1"/>
  <c r="T25" i="2"/>
  <c r="S25" i="2"/>
  <c r="R25" i="2"/>
  <c r="M25" i="2"/>
  <c r="J25" i="2" s="1"/>
  <c r="BF24" i="2"/>
  <c r="AR24" i="2"/>
  <c r="AS24" i="2" s="1"/>
  <c r="AQ24" i="2"/>
  <c r="AA24" i="2"/>
  <c r="W24" i="2"/>
  <c r="V24" i="2"/>
  <c r="U24" i="2"/>
  <c r="X24" i="2" s="1"/>
  <c r="T24" i="2"/>
  <c r="S24" i="2"/>
  <c r="R24" i="2"/>
  <c r="M24" i="2"/>
  <c r="BF23" i="2"/>
  <c r="AS23" i="2"/>
  <c r="AR23" i="2"/>
  <c r="AQ23" i="2"/>
  <c r="AA23" i="2"/>
  <c r="Z23" i="2"/>
  <c r="K112" i="1" s="1"/>
  <c r="X23" i="2"/>
  <c r="V23" i="2"/>
  <c r="W23" i="2" s="1"/>
  <c r="U23" i="2"/>
  <c r="AO23" i="2" s="1"/>
  <c r="T23" i="2"/>
  <c r="S23" i="2"/>
  <c r="R23" i="2"/>
  <c r="M23" i="2"/>
  <c r="J23" i="2" s="1"/>
  <c r="BF22" i="2"/>
  <c r="AR22" i="2"/>
  <c r="AS22" i="2" s="1"/>
  <c r="AQ22" i="2"/>
  <c r="AA22" i="2"/>
  <c r="V22" i="2"/>
  <c r="U22" i="2"/>
  <c r="X22" i="2" s="1"/>
  <c r="T22" i="2"/>
  <c r="S22" i="2"/>
  <c r="R22" i="2"/>
  <c r="M22" i="2"/>
  <c r="Z22" i="2" s="1"/>
  <c r="K716" i="1" s="1"/>
  <c r="BF21" i="2"/>
  <c r="AT21" i="2"/>
  <c r="AS21" i="2"/>
  <c r="AR21" i="2"/>
  <c r="AQ21" i="2"/>
  <c r="AA21" i="2"/>
  <c r="W21" i="2"/>
  <c r="V21" i="2"/>
  <c r="U21" i="2"/>
  <c r="T21" i="2"/>
  <c r="S21" i="2"/>
  <c r="R21" i="2"/>
  <c r="R739" i="2" s="1"/>
  <c r="M21" i="2"/>
  <c r="M739" i="2" s="1"/>
  <c r="J21" i="2"/>
  <c r="BF20" i="2"/>
  <c r="AS20" i="2"/>
  <c r="AT20" i="2" s="1"/>
  <c r="AU20" i="2" s="1"/>
  <c r="AV20" i="2" s="1"/>
  <c r="AR20" i="2"/>
  <c r="AQ20" i="2"/>
  <c r="AA20" i="2"/>
  <c r="Z20" i="2"/>
  <c r="V20" i="2"/>
  <c r="U20" i="2"/>
  <c r="AP20" i="2" s="1"/>
  <c r="T20" i="2"/>
  <c r="S20" i="2"/>
  <c r="R20" i="2"/>
  <c r="M20" i="2"/>
  <c r="J20" i="2" s="1"/>
  <c r="BF19" i="2"/>
  <c r="BF741" i="2" s="1"/>
  <c r="AT19" i="2"/>
  <c r="AS19" i="2"/>
  <c r="AR19" i="2"/>
  <c r="AR741" i="2" s="1"/>
  <c r="AQ19" i="2"/>
  <c r="AA19" i="2"/>
  <c r="Z19" i="2"/>
  <c r="X19" i="2"/>
  <c r="W19" i="2"/>
  <c r="V19" i="2"/>
  <c r="U19" i="2"/>
  <c r="T19" i="2"/>
  <c r="S19" i="2"/>
  <c r="S741" i="2" s="1"/>
  <c r="R19" i="2"/>
  <c r="M19" i="2"/>
  <c r="J19" i="2"/>
  <c r="AP19" i="2" s="1"/>
  <c r="BF18" i="2"/>
  <c r="AR18" i="2"/>
  <c r="AQ18" i="2"/>
  <c r="AA18" i="2"/>
  <c r="Z18" i="2"/>
  <c r="X18" i="2"/>
  <c r="V18" i="2"/>
  <c r="U18" i="2"/>
  <c r="AP18" i="2" s="1"/>
  <c r="T18" i="2"/>
  <c r="S18" i="2"/>
  <c r="R18" i="2"/>
  <c r="M18" i="2"/>
  <c r="J18" i="2"/>
  <c r="BF17" i="2"/>
  <c r="BF733" i="2" s="1"/>
  <c r="AR17" i="2"/>
  <c r="AR733" i="2" s="1"/>
  <c r="AQ17" i="2"/>
  <c r="AQ733" i="2" s="1"/>
  <c r="AA17" i="2"/>
  <c r="X17" i="2"/>
  <c r="W17" i="2"/>
  <c r="V17" i="2"/>
  <c r="U17" i="2"/>
  <c r="U733" i="2" s="1"/>
  <c r="T17" i="2"/>
  <c r="T733" i="2" s="1"/>
  <c r="S17" i="2"/>
  <c r="S733" i="2" s="1"/>
  <c r="R17" i="2"/>
  <c r="M17" i="2"/>
  <c r="BF16" i="2"/>
  <c r="AR16" i="2"/>
  <c r="AQ16" i="2"/>
  <c r="AA16" i="2"/>
  <c r="V16" i="2"/>
  <c r="U16" i="2"/>
  <c r="T16" i="2"/>
  <c r="S16" i="2"/>
  <c r="R16" i="2"/>
  <c r="M16" i="2"/>
  <c r="Z16" i="2" s="1"/>
  <c r="K102" i="1" s="1"/>
  <c r="J16" i="2"/>
  <c r="BF15" i="2"/>
  <c r="AS15" i="2"/>
  <c r="AR15" i="2"/>
  <c r="AQ15" i="2"/>
  <c r="AQ740" i="2" s="1"/>
  <c r="AA15" i="2"/>
  <c r="V15" i="2"/>
  <c r="V740" i="2" s="1"/>
  <c r="U15" i="2"/>
  <c r="T15" i="2"/>
  <c r="T740" i="2" s="1"/>
  <c r="S15" i="2"/>
  <c r="S740" i="2" s="1"/>
  <c r="R15" i="2"/>
  <c r="M15" i="2"/>
  <c r="M740" i="2" s="1"/>
  <c r="BF14" i="2"/>
  <c r="AR14" i="2"/>
  <c r="AQ14" i="2"/>
  <c r="AA14" i="2"/>
  <c r="Z14" i="2"/>
  <c r="V14" i="2"/>
  <c r="U14" i="2"/>
  <c r="AP14" i="2" s="1"/>
  <c r="T14" i="2"/>
  <c r="S14" i="2"/>
  <c r="R14" i="2"/>
  <c r="M14" i="2"/>
  <c r="J14" i="2"/>
  <c r="BF13" i="2"/>
  <c r="BF728" i="2" s="1"/>
  <c r="AS13" i="2"/>
  <c r="AR13" i="2"/>
  <c r="AQ13" i="2"/>
  <c r="AA13" i="2"/>
  <c r="Z13" i="2"/>
  <c r="V13" i="2"/>
  <c r="U13" i="2"/>
  <c r="W13" i="2" s="1"/>
  <c r="T13" i="2"/>
  <c r="T728" i="2" s="1"/>
  <c r="S13" i="2"/>
  <c r="S728" i="2" s="1"/>
  <c r="R13" i="2"/>
  <c r="M13" i="2"/>
  <c r="J13" i="2"/>
  <c r="BF12" i="2"/>
  <c r="AS12" i="2"/>
  <c r="AR12" i="2"/>
  <c r="AQ12" i="2"/>
  <c r="AA12" i="2"/>
  <c r="Z12" i="2"/>
  <c r="X12" i="2"/>
  <c r="V12" i="2"/>
  <c r="U12" i="2"/>
  <c r="T12" i="2"/>
  <c r="S12" i="2"/>
  <c r="S735" i="2" s="1"/>
  <c r="R12" i="2"/>
  <c r="M12" i="2"/>
  <c r="BF11" i="2"/>
  <c r="AR11" i="2"/>
  <c r="AS11" i="2" s="1"/>
  <c r="AQ11" i="2"/>
  <c r="AA11" i="2"/>
  <c r="X11" i="2"/>
  <c r="W11" i="2"/>
  <c r="V11" i="2"/>
  <c r="U11" i="2"/>
  <c r="T11" i="2"/>
  <c r="S11" i="2"/>
  <c r="R11" i="2"/>
  <c r="M11" i="2"/>
  <c r="J11" i="2" s="1"/>
  <c r="BF10" i="2"/>
  <c r="AR10" i="2"/>
  <c r="AS10" i="2" s="1"/>
  <c r="AQ10" i="2"/>
  <c r="AA10" i="2"/>
  <c r="X10" i="2"/>
  <c r="V10" i="2"/>
  <c r="U10" i="2"/>
  <c r="T10" i="2"/>
  <c r="S10" i="2"/>
  <c r="R10" i="2"/>
  <c r="M10" i="2"/>
  <c r="BF9" i="2"/>
  <c r="AR9" i="2"/>
  <c r="AS9" i="2" s="1"/>
  <c r="AQ9" i="2"/>
  <c r="AA9" i="2"/>
  <c r="V9" i="2"/>
  <c r="U9" i="2"/>
  <c r="T9" i="2"/>
  <c r="S9" i="2"/>
  <c r="R9" i="2"/>
  <c r="M9" i="2"/>
  <c r="J9" i="2" s="1"/>
  <c r="BF8" i="2"/>
  <c r="BF738" i="2" s="1"/>
  <c r="AS8" i="2"/>
  <c r="AR8" i="2"/>
  <c r="AQ8" i="2"/>
  <c r="AQ738" i="2" s="1"/>
  <c r="AP8" i="2"/>
  <c r="AA8" i="2"/>
  <c r="V8" i="2"/>
  <c r="U8" i="2"/>
  <c r="T8" i="2"/>
  <c r="T738" i="2" s="1"/>
  <c r="S8" i="2"/>
  <c r="R8" i="2"/>
  <c r="M8" i="2"/>
  <c r="J8" i="2"/>
  <c r="BF7" i="2"/>
  <c r="AS7" i="2"/>
  <c r="AR7" i="2"/>
  <c r="AQ7" i="2"/>
  <c r="AA7" i="2"/>
  <c r="Z7" i="2"/>
  <c r="V7" i="2"/>
  <c r="U7" i="2"/>
  <c r="T7" i="2"/>
  <c r="S7" i="2"/>
  <c r="R7" i="2"/>
  <c r="M7" i="2"/>
  <c r="J7" i="2"/>
  <c r="K111" i="1"/>
  <c r="K7" i="1"/>
  <c r="K10" i="1"/>
  <c r="K11" i="1"/>
  <c r="K12" i="1"/>
  <c r="K13" i="1"/>
  <c r="K14" i="1"/>
  <c r="K15" i="1"/>
  <c r="K16" i="1"/>
  <c r="K17" i="1"/>
  <c r="K18" i="1"/>
  <c r="K19" i="1"/>
  <c r="K20" i="1"/>
  <c r="K21" i="1"/>
  <c r="K23" i="1"/>
  <c r="K26" i="1"/>
  <c r="K27" i="1"/>
  <c r="K28" i="1"/>
  <c r="K30" i="1"/>
  <c r="K31" i="1"/>
  <c r="K32" i="1"/>
  <c r="K33" i="1"/>
  <c r="K34" i="1"/>
  <c r="K35" i="1"/>
  <c r="K36" i="1"/>
  <c r="K37" i="1"/>
  <c r="K38" i="1"/>
  <c r="K39" i="1"/>
  <c r="K40" i="1"/>
  <c r="K41" i="1"/>
  <c r="K42" i="1"/>
  <c r="K43" i="1"/>
  <c r="K46" i="1"/>
  <c r="K47" i="1"/>
  <c r="K49" i="1"/>
  <c r="K50" i="1"/>
  <c r="K51" i="1"/>
  <c r="K52" i="1"/>
  <c r="K55" i="1"/>
  <c r="K56" i="1"/>
  <c r="K57" i="1"/>
  <c r="K58" i="1"/>
  <c r="K59" i="1"/>
  <c r="K62" i="1"/>
  <c r="K63" i="1"/>
  <c r="K64" i="1"/>
  <c r="K67" i="1"/>
  <c r="K71" i="1"/>
  <c r="K72" i="1"/>
  <c r="K73" i="1"/>
  <c r="K74" i="1"/>
  <c r="K75" i="1"/>
  <c r="K76" i="1"/>
  <c r="K77" i="1"/>
  <c r="K79" i="1"/>
  <c r="K80" i="1"/>
  <c r="K82" i="1"/>
  <c r="K83" i="1"/>
  <c r="K84" i="1"/>
  <c r="K87" i="1"/>
  <c r="K88" i="1"/>
  <c r="K89" i="1"/>
  <c r="K90" i="1"/>
  <c r="K91" i="1"/>
  <c r="K92" i="1"/>
  <c r="K93" i="1"/>
  <c r="K94" i="1"/>
  <c r="K95" i="1"/>
  <c r="K96" i="1"/>
  <c r="K97" i="1"/>
  <c r="K98" i="1"/>
  <c r="K101" i="1"/>
  <c r="K103" i="1"/>
  <c r="K104" i="1"/>
  <c r="K106" i="1"/>
  <c r="K107" i="1"/>
  <c r="K108" i="1"/>
  <c r="K110" i="1"/>
  <c r="K113" i="1"/>
  <c r="K114" i="1"/>
  <c r="K115" i="1"/>
  <c r="K117" i="1"/>
  <c r="K118" i="1"/>
  <c r="K119" i="1"/>
  <c r="K120" i="1"/>
  <c r="K121" i="1"/>
  <c r="K123" i="1"/>
  <c r="K124" i="1"/>
  <c r="K126" i="1"/>
  <c r="K127" i="1"/>
  <c r="K128" i="1"/>
  <c r="K129" i="1"/>
  <c r="K130" i="1"/>
  <c r="K132" i="1"/>
  <c r="K134" i="1"/>
  <c r="K136" i="1"/>
  <c r="K137" i="1"/>
  <c r="K138" i="1"/>
  <c r="K140" i="1"/>
  <c r="K141" i="1"/>
  <c r="K142" i="1"/>
  <c r="K146" i="1"/>
  <c r="K147" i="1"/>
  <c r="K148" i="1"/>
  <c r="K152" i="1"/>
  <c r="K153" i="1"/>
  <c r="K156" i="1"/>
  <c r="K157" i="1"/>
  <c r="K158" i="1"/>
  <c r="K159" i="1"/>
  <c r="K160" i="1"/>
  <c r="K161" i="1"/>
  <c r="K163" i="1"/>
  <c r="K164" i="1"/>
  <c r="K166" i="1"/>
  <c r="K167" i="1"/>
  <c r="K168" i="1"/>
  <c r="K171" i="1"/>
  <c r="K172" i="1"/>
  <c r="K173" i="1"/>
  <c r="K174" i="1"/>
  <c r="K175" i="1"/>
  <c r="K177" i="1"/>
  <c r="K178" i="1"/>
  <c r="K179" i="1"/>
  <c r="K181" i="1"/>
  <c r="K182" i="1"/>
  <c r="K184" i="1"/>
  <c r="K185" i="1"/>
  <c r="K187" i="1"/>
  <c r="K189" i="1"/>
  <c r="K190" i="1"/>
  <c r="K191" i="1"/>
  <c r="K192" i="1"/>
  <c r="K194" i="1"/>
  <c r="K195" i="1"/>
  <c r="K196" i="1"/>
  <c r="K197" i="1"/>
  <c r="K504" i="1"/>
  <c r="K199" i="1"/>
  <c r="K200" i="1"/>
  <c r="K202" i="1"/>
  <c r="K204" i="1"/>
  <c r="K205" i="1"/>
  <c r="K206" i="1"/>
  <c r="K207" i="1"/>
  <c r="K208" i="1"/>
  <c r="K209" i="1"/>
  <c r="K211" i="1"/>
  <c r="K214" i="1"/>
  <c r="K215" i="1"/>
  <c r="K216" i="1"/>
  <c r="K217" i="1"/>
  <c r="K218" i="1"/>
  <c r="K219" i="1"/>
  <c r="K220" i="1"/>
  <c r="K222" i="1"/>
  <c r="K223" i="1"/>
  <c r="K224" i="1"/>
  <c r="K225" i="1"/>
  <c r="K226" i="1"/>
  <c r="K227" i="1"/>
  <c r="K228" i="1"/>
  <c r="K229" i="1"/>
  <c r="K230" i="1"/>
  <c r="K231" i="1"/>
  <c r="K233" i="1"/>
  <c r="K234" i="1"/>
  <c r="K468" i="1"/>
  <c r="K236" i="1"/>
  <c r="K237" i="1"/>
  <c r="K375" i="1"/>
  <c r="K240" i="1"/>
  <c r="K242" i="1"/>
  <c r="K243" i="1"/>
  <c r="K244" i="1"/>
  <c r="K245" i="1"/>
  <c r="K247" i="1"/>
  <c r="K248" i="1"/>
  <c r="K249" i="1"/>
  <c r="K251" i="1"/>
  <c r="K253" i="1"/>
  <c r="K254" i="1"/>
  <c r="K255" i="1"/>
  <c r="K257" i="1"/>
  <c r="K259" i="1"/>
  <c r="K260" i="1"/>
  <c r="K261" i="1"/>
  <c r="K262" i="1"/>
  <c r="K264" i="1"/>
  <c r="K265" i="1"/>
  <c r="K266" i="1"/>
  <c r="K268" i="1"/>
  <c r="K269" i="1"/>
  <c r="K270" i="1"/>
  <c r="K271" i="1"/>
  <c r="K272" i="1"/>
  <c r="K273" i="1"/>
  <c r="K274" i="1"/>
  <c r="K276" i="1"/>
  <c r="K277" i="1"/>
  <c r="K278" i="1"/>
  <c r="K279" i="1"/>
  <c r="K281" i="1"/>
  <c r="K282" i="1"/>
  <c r="K283" i="1"/>
  <c r="K284" i="1"/>
  <c r="K286" i="1"/>
  <c r="K288" i="1"/>
  <c r="K290" i="1"/>
  <c r="K292" i="1"/>
  <c r="K293" i="1"/>
  <c r="K294" i="1"/>
  <c r="K295" i="1"/>
  <c r="K296" i="1"/>
  <c r="K298" i="1"/>
  <c r="K299" i="1"/>
  <c r="K300" i="1"/>
  <c r="K302" i="1"/>
  <c r="K303" i="1"/>
  <c r="K306" i="1"/>
  <c r="K307" i="1"/>
  <c r="K308" i="1"/>
  <c r="K310" i="1"/>
  <c r="K312" i="1"/>
  <c r="K313" i="1"/>
  <c r="K314" i="1"/>
  <c r="K470" i="1"/>
  <c r="K316" i="1"/>
  <c r="K319" i="1"/>
  <c r="K320" i="1"/>
  <c r="K321" i="1"/>
  <c r="K322" i="1"/>
  <c r="K323" i="1"/>
  <c r="K324" i="1"/>
  <c r="K326" i="1"/>
  <c r="K327" i="1"/>
  <c r="K328" i="1"/>
  <c r="K329" i="1"/>
  <c r="K330" i="1"/>
  <c r="K331" i="1"/>
  <c r="K332" i="1"/>
  <c r="K333" i="1"/>
  <c r="K334" i="1"/>
  <c r="K336" i="1"/>
  <c r="K337" i="1"/>
  <c r="K338" i="1"/>
  <c r="K339" i="1"/>
  <c r="K340" i="1"/>
  <c r="K341" i="1"/>
  <c r="K342" i="1"/>
  <c r="K344" i="1"/>
  <c r="K345" i="1"/>
  <c r="K346" i="1"/>
  <c r="K347" i="1"/>
  <c r="K348" i="1"/>
  <c r="K349" i="1"/>
  <c r="K350" i="1"/>
  <c r="K351" i="1"/>
  <c r="K353" i="1"/>
  <c r="K355" i="1"/>
  <c r="K356" i="1"/>
  <c r="K357" i="1"/>
  <c r="K358" i="1"/>
  <c r="K363" i="1"/>
  <c r="K364" i="1"/>
  <c r="K365" i="1"/>
  <c r="K366" i="1"/>
  <c r="K367" i="1"/>
  <c r="K368" i="1"/>
  <c r="K370" i="1"/>
  <c r="K371" i="1"/>
  <c r="K372" i="1"/>
  <c r="K373" i="1"/>
  <c r="K376" i="1"/>
  <c r="K377" i="1"/>
  <c r="K378" i="1"/>
  <c r="K379" i="1"/>
  <c r="K380" i="1"/>
  <c r="K381" i="1"/>
  <c r="K382" i="1"/>
  <c r="K383" i="1"/>
  <c r="K386" i="1"/>
  <c r="K387" i="1"/>
  <c r="K388" i="1"/>
  <c r="K389" i="1"/>
  <c r="K390" i="1"/>
  <c r="K391" i="1"/>
  <c r="K392" i="1"/>
  <c r="K393" i="1"/>
  <c r="K394" i="1"/>
  <c r="K395" i="1"/>
  <c r="K398" i="1"/>
  <c r="K400" i="1"/>
  <c r="K401" i="1"/>
  <c r="K402" i="1"/>
  <c r="K403" i="1"/>
  <c r="K404" i="1"/>
  <c r="K405" i="1"/>
  <c r="K406" i="1"/>
  <c r="K407" i="1"/>
  <c r="K408" i="1"/>
  <c r="K410" i="1"/>
  <c r="K411" i="1"/>
  <c r="K412" i="1"/>
  <c r="K413" i="1"/>
  <c r="K414" i="1"/>
  <c r="K415" i="1"/>
  <c r="K416" i="1"/>
  <c r="K417" i="1"/>
  <c r="K418" i="1"/>
  <c r="K419" i="1"/>
  <c r="K421" i="1"/>
  <c r="K422" i="1"/>
  <c r="K423" i="1"/>
  <c r="K424" i="1"/>
  <c r="K425" i="1"/>
  <c r="K426" i="1"/>
  <c r="K428" i="1"/>
  <c r="K429" i="1"/>
  <c r="K430" i="1"/>
  <c r="K431" i="1"/>
  <c r="K432" i="1"/>
  <c r="K434" i="1"/>
  <c r="K435" i="1"/>
  <c r="K438" i="1"/>
  <c r="K439" i="1"/>
  <c r="K440" i="1"/>
  <c r="K441" i="1"/>
  <c r="K443" i="1"/>
  <c r="K445" i="1"/>
  <c r="K447" i="1"/>
  <c r="K448" i="1"/>
  <c r="K449" i="1"/>
  <c r="K451" i="1"/>
  <c r="K452" i="1"/>
  <c r="K453" i="1"/>
  <c r="K458" i="1"/>
  <c r="K459" i="1"/>
  <c r="K460" i="1"/>
  <c r="K461" i="1"/>
  <c r="K462" i="1"/>
  <c r="K464" i="1"/>
  <c r="K466" i="1"/>
  <c r="K467" i="1"/>
  <c r="K235" i="1"/>
  <c r="K469" i="1"/>
  <c r="K238" i="1"/>
  <c r="K473" i="1"/>
  <c r="K474" i="1"/>
  <c r="K475" i="1"/>
  <c r="K476" i="1"/>
  <c r="K477" i="1"/>
  <c r="K478" i="1"/>
  <c r="K479" i="1"/>
  <c r="K482" i="1"/>
  <c r="K484" i="1"/>
  <c r="K485" i="1"/>
  <c r="K486" i="1"/>
  <c r="K487" i="1"/>
  <c r="K490" i="1"/>
  <c r="K491" i="1"/>
  <c r="K492" i="1"/>
  <c r="K493" i="1"/>
  <c r="K495" i="1"/>
  <c r="K496" i="1"/>
  <c r="K497" i="1"/>
  <c r="K498" i="1"/>
  <c r="K499" i="1"/>
  <c r="K501" i="1"/>
  <c r="K502" i="1"/>
  <c r="K503" i="1"/>
  <c r="K315" i="1"/>
  <c r="K505" i="1"/>
  <c r="K507" i="1"/>
  <c r="K508" i="1"/>
  <c r="K509" i="1"/>
  <c r="K510" i="1"/>
  <c r="K512" i="1"/>
  <c r="K513" i="1"/>
  <c r="K514" i="1"/>
  <c r="K515" i="1"/>
  <c r="K516" i="1"/>
  <c r="K517" i="1"/>
  <c r="K518" i="1"/>
  <c r="K519" i="1"/>
  <c r="K520" i="1"/>
  <c r="K521" i="1"/>
  <c r="K522" i="1"/>
  <c r="K523" i="1"/>
  <c r="K525" i="1"/>
  <c r="K528" i="1"/>
  <c r="K530" i="1"/>
  <c r="K531" i="1"/>
  <c r="K533" i="1"/>
  <c r="K534" i="1"/>
  <c r="K535" i="1"/>
  <c r="K536" i="1"/>
  <c r="K537" i="1"/>
  <c r="K538" i="1"/>
  <c r="K539" i="1"/>
  <c r="K541" i="1"/>
  <c r="K542" i="1"/>
  <c r="K543" i="1"/>
  <c r="K544" i="1"/>
  <c r="K545" i="1"/>
  <c r="K546" i="1"/>
  <c r="K547" i="1"/>
  <c r="K548" i="1"/>
  <c r="K549" i="1"/>
  <c r="K551" i="1"/>
  <c r="K552" i="1"/>
  <c r="K556" i="1"/>
  <c r="K558" i="1"/>
  <c r="K560" i="1"/>
  <c r="K561" i="1"/>
  <c r="K562" i="1"/>
  <c r="K564" i="1"/>
  <c r="K565" i="1"/>
  <c r="K566" i="1"/>
  <c r="K568" i="1"/>
  <c r="K569" i="1"/>
  <c r="K570" i="1"/>
  <c r="K575" i="1"/>
  <c r="K576" i="1"/>
  <c r="K577" i="1"/>
  <c r="K579" i="1"/>
  <c r="K580" i="1"/>
  <c r="K586" i="1"/>
  <c r="K587" i="1"/>
  <c r="K591" i="1"/>
  <c r="K594" i="1"/>
  <c r="K595" i="1"/>
  <c r="K596" i="1"/>
  <c r="K597" i="1"/>
  <c r="K599" i="1"/>
  <c r="K600" i="1"/>
  <c r="K602" i="1"/>
  <c r="K604" i="1"/>
  <c r="K606" i="1"/>
  <c r="K607" i="1"/>
  <c r="K608" i="1"/>
  <c r="K609" i="1"/>
  <c r="K611" i="1"/>
  <c r="K614" i="1"/>
  <c r="K615" i="1"/>
  <c r="K617" i="1"/>
  <c r="K618" i="1"/>
  <c r="K619" i="1"/>
  <c r="K620" i="1"/>
  <c r="K621" i="1"/>
  <c r="K622" i="1"/>
  <c r="K623" i="1"/>
  <c r="K625" i="1"/>
  <c r="K626" i="1"/>
  <c r="K627" i="1"/>
  <c r="K628" i="1"/>
  <c r="K629" i="1"/>
  <c r="K630" i="1"/>
  <c r="K631" i="1"/>
  <c r="K633" i="1"/>
  <c r="K634" i="1"/>
  <c r="K635" i="1"/>
  <c r="K637" i="1"/>
  <c r="K638" i="1"/>
  <c r="K639" i="1"/>
  <c r="K640" i="1"/>
  <c r="K641" i="1"/>
  <c r="K643" i="1"/>
  <c r="K645" i="1"/>
  <c r="K647" i="1"/>
  <c r="K648" i="1"/>
  <c r="K649" i="1"/>
  <c r="K650" i="1"/>
  <c r="K651" i="1"/>
  <c r="K652" i="1"/>
  <c r="K655" i="1"/>
  <c r="K656" i="1"/>
  <c r="K658" i="1"/>
  <c r="K659" i="1"/>
  <c r="K660" i="1"/>
  <c r="K661" i="1"/>
  <c r="K662" i="1"/>
  <c r="K663" i="1"/>
  <c r="K664" i="1"/>
  <c r="K665" i="1"/>
  <c r="K666" i="1"/>
  <c r="K667" i="1"/>
  <c r="K668" i="1"/>
  <c r="K670" i="1"/>
  <c r="K671" i="1"/>
  <c r="K673" i="1"/>
  <c r="K674" i="1"/>
  <c r="K675" i="1"/>
  <c r="K678" i="1"/>
  <c r="K679" i="1"/>
  <c r="K680" i="1"/>
  <c r="K681" i="1"/>
  <c r="K682" i="1"/>
  <c r="K684" i="1"/>
  <c r="K686" i="1"/>
  <c r="K687" i="1"/>
  <c r="K689" i="1"/>
  <c r="K690" i="1"/>
  <c r="K694" i="1"/>
  <c r="K699" i="1"/>
  <c r="K703" i="1"/>
  <c r="K704" i="1"/>
  <c r="K708" i="1"/>
  <c r="K709" i="1"/>
  <c r="K710" i="1"/>
  <c r="K712" i="1"/>
  <c r="K713" i="1"/>
  <c r="K715" i="1"/>
  <c r="K718" i="1"/>
  <c r="K719" i="1"/>
  <c r="K721" i="1"/>
  <c r="K723" i="1"/>
  <c r="K728" i="1"/>
  <c r="K729" i="1"/>
  <c r="K735" i="1"/>
  <c r="K736" i="1"/>
  <c r="K739" i="1"/>
  <c r="K744" i="1"/>
  <c r="K748" i="1"/>
  <c r="K749" i="1"/>
  <c r="K751" i="1"/>
  <c r="K752" i="1"/>
  <c r="K753" i="1"/>
  <c r="K754" i="1"/>
  <c r="K755" i="1"/>
  <c r="K756" i="1"/>
  <c r="K757" i="1"/>
  <c r="K758"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6" i="1"/>
  <c r="AA740" i="2" l="1"/>
  <c r="M733" i="2"/>
  <c r="J17" i="2"/>
  <c r="Z17" i="2"/>
  <c r="AT74" i="2"/>
  <c r="AU74" i="2" s="1"/>
  <c r="AV74" i="2" s="1"/>
  <c r="AT7" i="2"/>
  <c r="AT11" i="2"/>
  <c r="AU21" i="2"/>
  <c r="AT69" i="2"/>
  <c r="AU69" i="2" s="1"/>
  <c r="AV69" i="2" s="1"/>
  <c r="W9" i="2"/>
  <c r="AP9" i="2"/>
  <c r="AO9" i="2"/>
  <c r="X9" i="2"/>
  <c r="AT24" i="2"/>
  <c r="AU24" i="2" s="1"/>
  <c r="AV24" i="2" s="1"/>
  <c r="AW24" i="2"/>
  <c r="AX24" i="2" s="1"/>
  <c r="AT42" i="2"/>
  <c r="AU42" i="2" s="1"/>
  <c r="AV42" i="2" s="1"/>
  <c r="AT64" i="2"/>
  <c r="AU64" i="2" s="1"/>
  <c r="AV64" i="2" s="1"/>
  <c r="AW64" i="2"/>
  <c r="AX64" i="2" s="1"/>
  <c r="AW111" i="2"/>
  <c r="AX111" i="2" s="1"/>
  <c r="AV111" i="2"/>
  <c r="AV28" i="2"/>
  <c r="AW28" i="2" s="1"/>
  <c r="AX28" i="2" s="1"/>
  <c r="AW27" i="2"/>
  <c r="AX27" i="2" s="1"/>
  <c r="AO30" i="2"/>
  <c r="AT38" i="2"/>
  <c r="AU38" i="2" s="1"/>
  <c r="AV38" i="2" s="1"/>
  <c r="AW100" i="2"/>
  <c r="AX100" i="2" s="1"/>
  <c r="AV100" i="2"/>
  <c r="AT10" i="2"/>
  <c r="AU10" i="2" s="1"/>
  <c r="AV10" i="2" s="1"/>
  <c r="AT9" i="2"/>
  <c r="AU9" i="2" s="1"/>
  <c r="AV9" i="2" s="1"/>
  <c r="AW9" i="2"/>
  <c r="AX9" i="2" s="1"/>
  <c r="AS14" i="2"/>
  <c r="AT14" i="2" s="1"/>
  <c r="AU14" i="2" s="1"/>
  <c r="AV14" i="2" s="1"/>
  <c r="AW18" i="2"/>
  <c r="AX18" i="2" s="1"/>
  <c r="AS18" i="2"/>
  <c r="AT18" i="2" s="1"/>
  <c r="AU18" i="2" s="1"/>
  <c r="AV18" i="2" s="1"/>
  <c r="AT41" i="2"/>
  <c r="AU41" i="2" s="1"/>
  <c r="AV41" i="2" s="1"/>
  <c r="AT72" i="2"/>
  <c r="AU72" i="2" s="1"/>
  <c r="AV72" i="2" s="1"/>
  <c r="AA738" i="2"/>
  <c r="AO8" i="2"/>
  <c r="J10" i="2"/>
  <c r="Z10" i="2"/>
  <c r="K707" i="1" s="1"/>
  <c r="AW31" i="2"/>
  <c r="AX31" i="2" s="1"/>
  <c r="X16" i="2"/>
  <c r="AP16" i="2"/>
  <c r="AO16" i="2"/>
  <c r="W16" i="2"/>
  <c r="J24" i="2"/>
  <c r="Z24" i="2"/>
  <c r="K714" i="1" s="1"/>
  <c r="AP34" i="2"/>
  <c r="AO34" i="2"/>
  <c r="X34" i="2"/>
  <c r="W34" i="2"/>
  <c r="AW37" i="2"/>
  <c r="AX37" i="2" s="1"/>
  <c r="AV37" i="2"/>
  <c r="AW180" i="2"/>
  <c r="AX180" i="2" s="1"/>
  <c r="AW22" i="2"/>
  <c r="AX22" i="2" s="1"/>
  <c r="AT22" i="2"/>
  <c r="AU22" i="2" s="1"/>
  <c r="AV22" i="2" s="1"/>
  <c r="AV36" i="2"/>
  <c r="AW36" i="2" s="1"/>
  <c r="AX36" i="2" s="1"/>
  <c r="AT61" i="2"/>
  <c r="AU61" i="2" s="1"/>
  <c r="AV61" i="2" s="1"/>
  <c r="AW140" i="2"/>
  <c r="AX140" i="2" s="1"/>
  <c r="AP11" i="2"/>
  <c r="AP37" i="2"/>
  <c r="AO37" i="2"/>
  <c r="AT50" i="2"/>
  <c r="AU50" i="2" s="1"/>
  <c r="AV50" i="2" s="1"/>
  <c r="AW50" i="2"/>
  <c r="AX50" i="2" s="1"/>
  <c r="AP67" i="2"/>
  <c r="AO67" i="2"/>
  <c r="AP134" i="2"/>
  <c r="AO134" i="2"/>
  <c r="AS32" i="2"/>
  <c r="AT32" i="2" s="1"/>
  <c r="AU32" i="2" s="1"/>
  <c r="AV32" i="2" s="1"/>
  <c r="AU35" i="2"/>
  <c r="AV35" i="2" s="1"/>
  <c r="AT39" i="2"/>
  <c r="AU39" i="2" s="1"/>
  <c r="AV39" i="2" s="1"/>
  <c r="AW70" i="2"/>
  <c r="AX70" i="2" s="1"/>
  <c r="AW78" i="2"/>
  <c r="AX78" i="2" s="1"/>
  <c r="AT79" i="2"/>
  <c r="AU79" i="2" s="1"/>
  <c r="AV79" i="2" s="1"/>
  <c r="AP89" i="2"/>
  <c r="AO89" i="2"/>
  <c r="X89" i="2"/>
  <c r="AV95" i="2"/>
  <c r="AW95" i="2" s="1"/>
  <c r="AX95" i="2" s="1"/>
  <c r="J108" i="2"/>
  <c r="Z108" i="2"/>
  <c r="K642" i="1" s="1"/>
  <c r="AT127" i="2"/>
  <c r="AU127" i="2" s="1"/>
  <c r="AV127" i="2" s="1"/>
  <c r="AW137" i="2"/>
  <c r="AX137" i="2" s="1"/>
  <c r="AV156" i="2"/>
  <c r="AW156" i="2" s="1"/>
  <c r="AX156" i="2" s="1"/>
  <c r="J191" i="2"/>
  <c r="AO191" i="2" s="1"/>
  <c r="Z191" i="2"/>
  <c r="K557" i="1" s="1"/>
  <c r="AS274" i="2"/>
  <c r="AT274" i="2" s="1"/>
  <c r="AU274" i="2" s="1"/>
  <c r="AV274" i="2" s="1"/>
  <c r="AA741" i="2"/>
  <c r="AS25" i="2"/>
  <c r="AT25" i="2" s="1"/>
  <c r="AU25" i="2" s="1"/>
  <c r="AV25" i="2" s="1"/>
  <c r="W41" i="2"/>
  <c r="AS51" i="2"/>
  <c r="AT51" i="2" s="1"/>
  <c r="AU51" i="2" s="1"/>
  <c r="AV51" i="2" s="1"/>
  <c r="AT55" i="2"/>
  <c r="AU55" i="2" s="1"/>
  <c r="AV55" i="2" s="1"/>
  <c r="W57" i="2"/>
  <c r="AP58" i="2"/>
  <c r="AO58" i="2"/>
  <c r="W62" i="2"/>
  <c r="U731" i="2"/>
  <c r="AP63" i="2"/>
  <c r="AO63" i="2"/>
  <c r="AS66" i="2"/>
  <c r="AT66" i="2" s="1"/>
  <c r="AU66" i="2" s="1"/>
  <c r="AV66" i="2" s="1"/>
  <c r="AT71" i="2"/>
  <c r="AU71" i="2" s="1"/>
  <c r="AV71" i="2" s="1"/>
  <c r="W74" i="2"/>
  <c r="AU92" i="2"/>
  <c r="AV92" i="2" s="1"/>
  <c r="AW93" i="2"/>
  <c r="AX93" i="2" s="1"/>
  <c r="AW105" i="2"/>
  <c r="AX105" i="2" s="1"/>
  <c r="X132" i="2"/>
  <c r="W132" i="2"/>
  <c r="W134" i="2"/>
  <c r="AW169" i="2"/>
  <c r="AX169" i="2" s="1"/>
  <c r="AP186" i="2"/>
  <c r="AO186" i="2"/>
  <c r="X186" i="2"/>
  <c r="W186" i="2"/>
  <c r="AW334" i="2"/>
  <c r="AX334" i="2" s="1"/>
  <c r="X100" i="2"/>
  <c r="W100" i="2"/>
  <c r="AA735" i="2"/>
  <c r="M727" i="2"/>
  <c r="M725" i="2"/>
  <c r="M736" i="2"/>
  <c r="V728" i="2"/>
  <c r="AO19" i="2"/>
  <c r="W20" i="2"/>
  <c r="W27" i="2"/>
  <c r="AS29" i="2"/>
  <c r="AT29" i="2" s="1"/>
  <c r="AU29" i="2" s="1"/>
  <c r="AV29" i="2" s="1"/>
  <c r="Z30" i="2"/>
  <c r="K696" i="1" s="1"/>
  <c r="AP31" i="2"/>
  <c r="AP33" i="2"/>
  <c r="X41" i="2"/>
  <c r="AS43" i="2"/>
  <c r="AT43" i="2" s="1"/>
  <c r="AU43" i="2" s="1"/>
  <c r="AV43" i="2" s="1"/>
  <c r="AT47" i="2"/>
  <c r="AU47" i="2" s="1"/>
  <c r="AV47" i="2" s="1"/>
  <c r="W49" i="2"/>
  <c r="W53" i="2"/>
  <c r="X57" i="2"/>
  <c r="AU60" i="2"/>
  <c r="AV60" i="2" s="1"/>
  <c r="X62" i="2"/>
  <c r="AW65" i="2"/>
  <c r="AX65" i="2" s="1"/>
  <c r="W68" i="2"/>
  <c r="AW80" i="2"/>
  <c r="AX80" i="2" s="1"/>
  <c r="AS80" i="2"/>
  <c r="AT80" i="2" s="1"/>
  <c r="AU80" i="2" s="1"/>
  <c r="AV80" i="2" s="1"/>
  <c r="J84" i="2"/>
  <c r="Z84" i="2"/>
  <c r="K669" i="1" s="1"/>
  <c r="W89" i="2"/>
  <c r="AS93" i="2"/>
  <c r="AT93" i="2" s="1"/>
  <c r="AU93" i="2" s="1"/>
  <c r="AV93" i="2" s="1"/>
  <c r="AP110" i="2"/>
  <c r="AO110" i="2"/>
  <c r="AS114" i="2"/>
  <c r="AT114" i="2" s="1"/>
  <c r="AU114" i="2" s="1"/>
  <c r="AV114" i="2" s="1"/>
  <c r="AP121" i="2"/>
  <c r="AO121" i="2"/>
  <c r="X121" i="2"/>
  <c r="AU124" i="2"/>
  <c r="AV124" i="2" s="1"/>
  <c r="X134" i="2"/>
  <c r="U734" i="2"/>
  <c r="AP153" i="2"/>
  <c r="AO153" i="2"/>
  <c r="X153" i="2"/>
  <c r="W153" i="2"/>
  <c r="AS162" i="2"/>
  <c r="AT162" i="2" s="1"/>
  <c r="AU162" i="2" s="1"/>
  <c r="AV162" i="2" s="1"/>
  <c r="J164" i="2"/>
  <c r="Z164" i="2"/>
  <c r="K610" i="1" s="1"/>
  <c r="AP166" i="2"/>
  <c r="AO166" i="2"/>
  <c r="X166" i="2"/>
  <c r="AP172" i="2"/>
  <c r="AV269" i="2"/>
  <c r="AW269" i="2" s="1"/>
  <c r="AX269" i="2" s="1"/>
  <c r="AW326" i="2"/>
  <c r="AX326" i="2" s="1"/>
  <c r="AS326" i="2"/>
  <c r="AT326" i="2" s="1"/>
  <c r="AU326" i="2" s="1"/>
  <c r="AV326" i="2" s="1"/>
  <c r="AU334" i="2"/>
  <c r="AV334" i="2" s="1"/>
  <c r="R725" i="2"/>
  <c r="R736" i="2"/>
  <c r="R727" i="2"/>
  <c r="AR738" i="2"/>
  <c r="Z9" i="2"/>
  <c r="K741" i="1" s="1"/>
  <c r="AP10" i="2"/>
  <c r="X20" i="2"/>
  <c r="X735" i="2" s="1"/>
  <c r="S739" i="2"/>
  <c r="X27" i="2"/>
  <c r="Z41" i="2"/>
  <c r="K695" i="1" s="1"/>
  <c r="AP42" i="2"/>
  <c r="W45" i="2"/>
  <c r="X49" i="2"/>
  <c r="AP50" i="2"/>
  <c r="AO50" i="2"/>
  <c r="W58" i="2"/>
  <c r="W63" i="2"/>
  <c r="X68" i="2"/>
  <c r="AW90" i="2"/>
  <c r="AX90" i="2" s="1"/>
  <c r="J95" i="2"/>
  <c r="AT103" i="2"/>
  <c r="AU103" i="2" s="1"/>
  <c r="AV103" i="2" s="1"/>
  <c r="AW125" i="2"/>
  <c r="AX125" i="2" s="1"/>
  <c r="AW135" i="2"/>
  <c r="AX135" i="2" s="1"/>
  <c r="AT143" i="2"/>
  <c r="AU143" i="2" s="1"/>
  <c r="AV143" i="2" s="1"/>
  <c r="AW175" i="2"/>
  <c r="AX175" i="2" s="1"/>
  <c r="J183" i="2"/>
  <c r="J736" i="2" s="1"/>
  <c r="AW187" i="2"/>
  <c r="AX187" i="2" s="1"/>
  <c r="AS193" i="2"/>
  <c r="AT193" i="2" s="1"/>
  <c r="AU193" i="2" s="1"/>
  <c r="AV193" i="2" s="1"/>
  <c r="AP208" i="2"/>
  <c r="AW259" i="2"/>
  <c r="AX259" i="2" s="1"/>
  <c r="AT259" i="2"/>
  <c r="AU259" i="2" s="1"/>
  <c r="AV259" i="2" s="1"/>
  <c r="AP74" i="2"/>
  <c r="AO74" i="2"/>
  <c r="AR726" i="2"/>
  <c r="AR737" i="2"/>
  <c r="U728" i="2"/>
  <c r="X13" i="2"/>
  <c r="S725" i="2"/>
  <c r="S736" i="2"/>
  <c r="S727" i="2"/>
  <c r="M737" i="2"/>
  <c r="M726" i="2"/>
  <c r="AQ735" i="2"/>
  <c r="AT15" i="2"/>
  <c r="V733" i="2"/>
  <c r="AQ741" i="2"/>
  <c r="T739" i="2"/>
  <c r="BF739" i="2"/>
  <c r="AS26" i="2"/>
  <c r="AT26" i="2" s="1"/>
  <c r="AU26" i="2" s="1"/>
  <c r="AV26" i="2" s="1"/>
  <c r="J29" i="2"/>
  <c r="AP29" i="2" s="1"/>
  <c r="W31" i="2"/>
  <c r="W38" i="2"/>
  <c r="W728" i="2" s="1"/>
  <c r="AS40" i="2"/>
  <c r="AT40" i="2" s="1"/>
  <c r="AU40" i="2" s="1"/>
  <c r="AV40" i="2" s="1"/>
  <c r="AO53" i="2"/>
  <c r="AS56" i="2"/>
  <c r="AT56" i="2" s="1"/>
  <c r="AU56" i="2" s="1"/>
  <c r="AV56" i="2" s="1"/>
  <c r="X58" i="2"/>
  <c r="X63" i="2"/>
  <c r="J71" i="2"/>
  <c r="J737" i="2" s="1"/>
  <c r="W76" i="2"/>
  <c r="J79" i="2"/>
  <c r="AP86" i="2"/>
  <c r="AO86" i="2"/>
  <c r="AP98" i="2"/>
  <c r="AP108" i="2"/>
  <c r="AO108" i="2"/>
  <c r="X108" i="2"/>
  <c r="W108" i="2"/>
  <c r="W110" i="2"/>
  <c r="J116" i="2"/>
  <c r="Z116" i="2"/>
  <c r="K624" i="1" s="1"/>
  <c r="W121" i="2"/>
  <c r="AO123" i="2"/>
  <c r="AW154" i="2"/>
  <c r="AX154" i="2" s="1"/>
  <c r="AP159" i="2"/>
  <c r="W166" i="2"/>
  <c r="AP261" i="2"/>
  <c r="AO261" i="2"/>
  <c r="X261" i="2"/>
  <c r="W261" i="2"/>
  <c r="T725" i="2"/>
  <c r="T736" i="2"/>
  <c r="T727" i="2"/>
  <c r="BF725" i="2"/>
  <c r="BF727" i="2"/>
  <c r="BF736" i="2"/>
  <c r="AT8" i="2"/>
  <c r="W10" i="2"/>
  <c r="R726" i="2"/>
  <c r="R737" i="2"/>
  <c r="J15" i="2"/>
  <c r="U739" i="2"/>
  <c r="X21" i="2"/>
  <c r="J22" i="2"/>
  <c r="AP22" i="2" s="1"/>
  <c r="AO41" i="2"/>
  <c r="AO45" i="2"/>
  <c r="AP53" i="2"/>
  <c r="AO57" i="2"/>
  <c r="AO62" i="2"/>
  <c r="X69" i="2"/>
  <c r="W69" i="2"/>
  <c r="AP97" i="2"/>
  <c r="AO97" i="2"/>
  <c r="X97" i="2"/>
  <c r="AW102" i="2"/>
  <c r="AX102" i="2" s="1"/>
  <c r="X110" i="2"/>
  <c r="AW113" i="2"/>
  <c r="AX113" i="2" s="1"/>
  <c r="AU148" i="2"/>
  <c r="AV148" i="2" s="1"/>
  <c r="AS154" i="2"/>
  <c r="AT154" i="2" s="1"/>
  <c r="AU154" i="2" s="1"/>
  <c r="AV154" i="2" s="1"/>
  <c r="J156" i="2"/>
  <c r="Z156" i="2"/>
  <c r="K589" i="1" s="1"/>
  <c r="AW161" i="2"/>
  <c r="AX161" i="2" s="1"/>
  <c r="AS192" i="2"/>
  <c r="AT192" i="2" s="1"/>
  <c r="AU192" i="2" s="1"/>
  <c r="AV192" i="2" s="1"/>
  <c r="AQ726" i="2"/>
  <c r="AQ737" i="2"/>
  <c r="U736" i="2"/>
  <c r="U727" i="2"/>
  <c r="U725" i="2"/>
  <c r="AP7" i="2"/>
  <c r="S726" i="2"/>
  <c r="S737" i="2"/>
  <c r="AT12" i="2"/>
  <c r="AO13" i="2"/>
  <c r="AO20" i="2"/>
  <c r="V739" i="2"/>
  <c r="AO27" i="2"/>
  <c r="AP39" i="2"/>
  <c r="J40" i="2"/>
  <c r="AP40" i="2" s="1"/>
  <c r="AP45" i="2"/>
  <c r="AT48" i="2"/>
  <c r="AU48" i="2" s="1"/>
  <c r="AV48" i="2" s="1"/>
  <c r="AO49" i="2"/>
  <c r="AA731" i="2"/>
  <c r="AW67" i="2"/>
  <c r="AX67" i="2" s="1"/>
  <c r="AO68" i="2"/>
  <c r="X77" i="2"/>
  <c r="W77" i="2"/>
  <c r="AP84" i="2"/>
  <c r="AO84" i="2"/>
  <c r="X84" i="2"/>
  <c r="W84" i="2"/>
  <c r="AW101" i="2"/>
  <c r="AX101" i="2" s="1"/>
  <c r="AP118" i="2"/>
  <c r="AO118" i="2"/>
  <c r="AS122" i="2"/>
  <c r="AT122" i="2" s="1"/>
  <c r="AU122" i="2" s="1"/>
  <c r="AV122" i="2" s="1"/>
  <c r="AW123" i="2"/>
  <c r="AX123" i="2" s="1"/>
  <c r="AP130" i="2"/>
  <c r="AW134" i="2"/>
  <c r="AX134" i="2" s="1"/>
  <c r="AP158" i="2"/>
  <c r="AO158" i="2"/>
  <c r="X158" i="2"/>
  <c r="AP164" i="2"/>
  <c r="M738" i="2"/>
  <c r="BF737" i="2"/>
  <c r="BF726" i="2"/>
  <c r="AP13" i="2"/>
  <c r="R740" i="2"/>
  <c r="Z42" i="2"/>
  <c r="K705" i="1" s="1"/>
  <c r="Z50" i="2"/>
  <c r="K69" i="1" s="1"/>
  <c r="X86" i="2"/>
  <c r="AW89" i="2"/>
  <c r="AX89" i="2" s="1"/>
  <c r="AP129" i="2"/>
  <c r="AO129" i="2"/>
  <c r="X129" i="2"/>
  <c r="AW141" i="2"/>
  <c r="AX141" i="2" s="1"/>
  <c r="AS141" i="2"/>
  <c r="AT141" i="2" s="1"/>
  <c r="AU141" i="2" s="1"/>
  <c r="AV141" i="2" s="1"/>
  <c r="AP146" i="2"/>
  <c r="AO160" i="2"/>
  <c r="AW167" i="2"/>
  <c r="AX167" i="2" s="1"/>
  <c r="AP177" i="2"/>
  <c r="AO177" i="2"/>
  <c r="X177" i="2"/>
  <c r="W177" i="2"/>
  <c r="AP161" i="2"/>
  <c r="AO161" i="2"/>
  <c r="X161" i="2"/>
  <c r="W161" i="2"/>
  <c r="W7" i="2"/>
  <c r="R738" i="2"/>
  <c r="U726" i="2"/>
  <c r="U737" i="2"/>
  <c r="M735" i="2"/>
  <c r="J12" i="2"/>
  <c r="AQ728" i="2"/>
  <c r="W14" i="2"/>
  <c r="AS16" i="2"/>
  <c r="AT16" i="2" s="1"/>
  <c r="AU16" i="2" s="1"/>
  <c r="AV16" i="2" s="1"/>
  <c r="AA733" i="2"/>
  <c r="M741" i="2"/>
  <c r="AU19" i="2"/>
  <c r="Z21" i="2"/>
  <c r="Z728" i="2" s="1"/>
  <c r="K8" i="1" s="1"/>
  <c r="AT23" i="2"/>
  <c r="AU23" i="2" s="1"/>
  <c r="AV23" i="2" s="1"/>
  <c r="AO24" i="2"/>
  <c r="Z28" i="2"/>
  <c r="K685" i="1" s="1"/>
  <c r="AS30" i="2"/>
  <c r="AT30" i="2" s="1"/>
  <c r="AU30" i="2" s="1"/>
  <c r="AV30" i="2" s="1"/>
  <c r="AO31" i="2"/>
  <c r="AS34" i="2"/>
  <c r="AT34" i="2" s="1"/>
  <c r="AU34" i="2" s="1"/>
  <c r="AV34" i="2" s="1"/>
  <c r="AO38" i="2"/>
  <c r="W39" i="2"/>
  <c r="X46" i="2"/>
  <c r="AP47" i="2"/>
  <c r="AS53" i="2"/>
  <c r="AT53" i="2" s="1"/>
  <c r="AU53" i="2" s="1"/>
  <c r="AV53" i="2" s="1"/>
  <c r="AS58" i="2"/>
  <c r="AT58" i="2" s="1"/>
  <c r="AU58" i="2" s="1"/>
  <c r="AV58" i="2" s="1"/>
  <c r="AW62" i="2"/>
  <c r="AX62" i="2" s="1"/>
  <c r="AO69" i="2"/>
  <c r="AP95" i="2"/>
  <c r="AW98" i="2"/>
  <c r="AX98" i="2" s="1"/>
  <c r="J103" i="2"/>
  <c r="J738" i="2" s="1"/>
  <c r="J114" i="2"/>
  <c r="AP116" i="2"/>
  <c r="AO116" i="2"/>
  <c r="X116" i="2"/>
  <c r="W116" i="2"/>
  <c r="W118" i="2"/>
  <c r="J124" i="2"/>
  <c r="Z124" i="2"/>
  <c r="K583" i="1" s="1"/>
  <c r="AV132" i="2"/>
  <c r="AW132" i="2" s="1"/>
  <c r="AX132" i="2" s="1"/>
  <c r="AS133" i="2"/>
  <c r="AT133" i="2" s="1"/>
  <c r="AU133" i="2" s="1"/>
  <c r="AV133" i="2" s="1"/>
  <c r="AP138" i="2"/>
  <c r="J143" i="2"/>
  <c r="W158" i="2"/>
  <c r="AW166" i="2"/>
  <c r="AX166" i="2" s="1"/>
  <c r="AT167" i="2"/>
  <c r="AU167" i="2" s="1"/>
  <c r="AV167" i="2" s="1"/>
  <c r="AU172" i="2"/>
  <c r="AV172" i="2" s="1"/>
  <c r="AW185" i="2"/>
  <c r="AX185" i="2" s="1"/>
  <c r="J240" i="2"/>
  <c r="Z240" i="2"/>
  <c r="K488" i="1" s="1"/>
  <c r="V725" i="2"/>
  <c r="V736" i="2"/>
  <c r="V727" i="2"/>
  <c r="X7" i="2"/>
  <c r="S738" i="2"/>
  <c r="AO10" i="2"/>
  <c r="R735" i="2"/>
  <c r="AR728" i="2"/>
  <c r="X14" i="2"/>
  <c r="BF740" i="2"/>
  <c r="AO17" i="2"/>
  <c r="W18" i="2"/>
  <c r="R741" i="2"/>
  <c r="AP24" i="2"/>
  <c r="W25" i="2"/>
  <c r="W726" i="2" s="1"/>
  <c r="W32" i="2"/>
  <c r="X39" i="2"/>
  <c r="AO42" i="2"/>
  <c r="W55" i="2"/>
  <c r="W60" i="2"/>
  <c r="AO64" i="2"/>
  <c r="AP69" i="2"/>
  <c r="W70" i="2"/>
  <c r="AP71" i="2"/>
  <c r="AO71" i="2"/>
  <c r="X71" i="2"/>
  <c r="AO77" i="2"/>
  <c r="W78" i="2"/>
  <c r="AP79" i="2"/>
  <c r="U732" i="2"/>
  <c r="AP81" i="2"/>
  <c r="AO81" i="2"/>
  <c r="AP82" i="2"/>
  <c r="AP94" i="2"/>
  <c r="AO94" i="2"/>
  <c r="AP106" i="2"/>
  <c r="AW110" i="2"/>
  <c r="AX110" i="2" s="1"/>
  <c r="X118" i="2"/>
  <c r="W129" i="2"/>
  <c r="AO131" i="2"/>
  <c r="J135" i="2"/>
  <c r="AO139" i="2"/>
  <c r="AP145" i="2"/>
  <c r="AO145" i="2"/>
  <c r="X145" i="2"/>
  <c r="W145" i="2"/>
  <c r="AP151" i="2"/>
  <c r="AP156" i="2"/>
  <c r="AO171" i="2"/>
  <c r="AW178" i="2"/>
  <c r="AX178" i="2" s="1"/>
  <c r="X190" i="2"/>
  <c r="W190" i="2"/>
  <c r="U740" i="2"/>
  <c r="AP15" i="2"/>
  <c r="AO21" i="2"/>
  <c r="AO28" i="2"/>
  <c r="AO35" i="2"/>
  <c r="AO54" i="2"/>
  <c r="AO59" i="2"/>
  <c r="AP66" i="2"/>
  <c r="AO66" i="2"/>
  <c r="AS75" i="2"/>
  <c r="AT75" i="2" s="1"/>
  <c r="AU75" i="2" s="1"/>
  <c r="AV75" i="2" s="1"/>
  <c r="AP92" i="2"/>
  <c r="AO92" i="2"/>
  <c r="X92" i="2"/>
  <c r="W92" i="2"/>
  <c r="AP105" i="2"/>
  <c r="AO105" i="2"/>
  <c r="X105" i="2"/>
  <c r="AW130" i="2"/>
  <c r="AX130" i="2" s="1"/>
  <c r="AP137" i="2"/>
  <c r="AO137" i="2"/>
  <c r="X137" i="2"/>
  <c r="W137" i="2"/>
  <c r="AO152" i="2"/>
  <c r="AS178" i="2"/>
  <c r="AT178" i="2" s="1"/>
  <c r="AU178" i="2" s="1"/>
  <c r="AV178" i="2" s="1"/>
  <c r="J180" i="2"/>
  <c r="J732" i="2" s="1"/>
  <c r="Z180" i="2"/>
  <c r="K559" i="1" s="1"/>
  <c r="AP182" i="2"/>
  <c r="AO182" i="2"/>
  <c r="X182" i="2"/>
  <c r="AW237" i="2"/>
  <c r="AX237" i="2" s="1"/>
  <c r="AT237" i="2"/>
  <c r="AU237" i="2" s="1"/>
  <c r="AV237" i="2" s="1"/>
  <c r="T735" i="2"/>
  <c r="BF735" i="2"/>
  <c r="AT13" i="2"/>
  <c r="AP21" i="2"/>
  <c r="AP26" i="2"/>
  <c r="AO46" i="2"/>
  <c r="AW49" i="2"/>
  <c r="AX49" i="2" s="1"/>
  <c r="Z60" i="2"/>
  <c r="K706" i="1" s="1"/>
  <c r="AU63" i="2"/>
  <c r="AU68" i="2"/>
  <c r="AV68" i="2" s="1"/>
  <c r="W81" i="2"/>
  <c r="J100" i="2"/>
  <c r="AP100" i="2" s="1"/>
  <c r="Z100" i="2"/>
  <c r="K109" i="1" s="1"/>
  <c r="AV108" i="2"/>
  <c r="AW108" i="2" s="1"/>
  <c r="AX108" i="2" s="1"/>
  <c r="AS109" i="2"/>
  <c r="AT109" i="2" s="1"/>
  <c r="AU109" i="2" s="1"/>
  <c r="AV109" i="2" s="1"/>
  <c r="AT119" i="2"/>
  <c r="AU119" i="2" s="1"/>
  <c r="AV119" i="2" s="1"/>
  <c r="AP126" i="2"/>
  <c r="AO126" i="2"/>
  <c r="AS130" i="2"/>
  <c r="AT130" i="2" s="1"/>
  <c r="AU130" i="2" s="1"/>
  <c r="AV130" i="2" s="1"/>
  <c r="J148" i="2"/>
  <c r="AP148" i="2" s="1"/>
  <c r="Z148" i="2"/>
  <c r="K585" i="1" s="1"/>
  <c r="AP150" i="2"/>
  <c r="AO150" i="2"/>
  <c r="X150" i="2"/>
  <c r="AP169" i="2"/>
  <c r="AO169" i="2"/>
  <c r="X169" i="2"/>
  <c r="W169" i="2"/>
  <c r="J204" i="2"/>
  <c r="AP204" i="2" s="1"/>
  <c r="Z204" i="2"/>
  <c r="K532" i="1" s="1"/>
  <c r="AP224" i="2"/>
  <c r="AO224" i="2"/>
  <c r="X224" i="2"/>
  <c r="W224" i="2"/>
  <c r="AW96" i="2"/>
  <c r="AX96" i="2" s="1"/>
  <c r="AA725" i="2"/>
  <c r="AA736" i="2"/>
  <c r="AA727" i="2"/>
  <c r="K717" i="1"/>
  <c r="AO7" i="2"/>
  <c r="Z11" i="2"/>
  <c r="U735" i="2"/>
  <c r="AO14" i="2"/>
  <c r="W15" i="2"/>
  <c r="U741" i="2"/>
  <c r="AQ739" i="2"/>
  <c r="W22" i="2"/>
  <c r="AO32" i="2"/>
  <c r="AO39" i="2"/>
  <c r="X61" i="2"/>
  <c r="W61" i="2"/>
  <c r="W66" i="2"/>
  <c r="AU76" i="2"/>
  <c r="AV76" i="2" s="1"/>
  <c r="X81" i="2"/>
  <c r="AU84" i="2"/>
  <c r="AV84" i="2" s="1"/>
  <c r="AW85" i="2"/>
  <c r="AX85" i="2" s="1"/>
  <c r="X94" i="2"/>
  <c r="AW97" i="2"/>
  <c r="AX97" i="2" s="1"/>
  <c r="W105" i="2"/>
  <c r="AP124" i="2"/>
  <c r="AO124" i="2"/>
  <c r="X124" i="2"/>
  <c r="W124" i="2"/>
  <c r="AS146" i="2"/>
  <c r="AT146" i="2" s="1"/>
  <c r="AU146" i="2" s="1"/>
  <c r="AV146" i="2" s="1"/>
  <c r="AT159" i="2"/>
  <c r="AU159" i="2" s="1"/>
  <c r="AV159" i="2" s="1"/>
  <c r="AU164" i="2"/>
  <c r="AV164" i="2" s="1"/>
  <c r="AP175" i="2"/>
  <c r="W182" i="2"/>
  <c r="AO183" i="2"/>
  <c r="U738" i="2"/>
  <c r="X8" i="2"/>
  <c r="AQ725" i="2"/>
  <c r="AQ736" i="2"/>
  <c r="AQ727" i="2"/>
  <c r="W8" i="2"/>
  <c r="AA726" i="2"/>
  <c r="AA737" i="2"/>
  <c r="V735" i="2"/>
  <c r="M728" i="2"/>
  <c r="X15" i="2"/>
  <c r="AS17" i="2"/>
  <c r="AS726" i="2" s="1"/>
  <c r="AO18" i="2"/>
  <c r="AW20" i="2"/>
  <c r="AX20" i="2" s="1"/>
  <c r="AR739" i="2"/>
  <c r="AO25" i="2"/>
  <c r="W26" i="2"/>
  <c r="W737" i="2" s="1"/>
  <c r="AP32" i="2"/>
  <c r="W33" i="2"/>
  <c r="W40" i="2"/>
  <c r="X48" i="2"/>
  <c r="X726" i="2" s="1"/>
  <c r="W48" i="2"/>
  <c r="W52" i="2"/>
  <c r="AW54" i="2"/>
  <c r="AX54" i="2" s="1"/>
  <c r="AO55" i="2"/>
  <c r="AW59" i="2"/>
  <c r="AX59" i="2" s="1"/>
  <c r="AO60" i="2"/>
  <c r="X66" i="2"/>
  <c r="X741" i="2" s="1"/>
  <c r="AO70" i="2"/>
  <c r="AS77" i="2"/>
  <c r="AT77" i="2" s="1"/>
  <c r="AU77" i="2" s="1"/>
  <c r="AV77" i="2" s="1"/>
  <c r="AO78" i="2"/>
  <c r="AW82" i="2"/>
  <c r="AX82" i="2" s="1"/>
  <c r="AS85" i="2"/>
  <c r="AT85" i="2" s="1"/>
  <c r="AU85" i="2" s="1"/>
  <c r="AV85" i="2" s="1"/>
  <c r="AP103" i="2"/>
  <c r="AW106" i="2"/>
  <c r="AX106" i="2" s="1"/>
  <c r="AP114" i="2"/>
  <c r="AW118" i="2"/>
  <c r="AX118" i="2" s="1"/>
  <c r="W126" i="2"/>
  <c r="J132" i="2"/>
  <c r="AP132" i="2" s="1"/>
  <c r="Z132" i="2"/>
  <c r="K616" i="1" s="1"/>
  <c r="AS138" i="2"/>
  <c r="AT138" i="2" s="1"/>
  <c r="AU138" i="2" s="1"/>
  <c r="AV138" i="2" s="1"/>
  <c r="J140" i="2"/>
  <c r="AP140" i="2" s="1"/>
  <c r="Z140" i="2"/>
  <c r="K603" i="1" s="1"/>
  <c r="AP143" i="2"/>
  <c r="W150" i="2"/>
  <c r="AO163" i="2"/>
  <c r="AW170" i="2"/>
  <c r="AX170" i="2" s="1"/>
  <c r="AW177" i="2"/>
  <c r="AX177" i="2" s="1"/>
  <c r="Z8" i="2"/>
  <c r="Z725" i="2" s="1"/>
  <c r="K555" i="1" s="1"/>
  <c r="AO11" i="2"/>
  <c r="W12" i="2"/>
  <c r="R728" i="2"/>
  <c r="Z15" i="2"/>
  <c r="AP23" i="2"/>
  <c r="X26" i="2"/>
  <c r="X737" i="2" s="1"/>
  <c r="AW46" i="2"/>
  <c r="AX46" i="2" s="1"/>
  <c r="AO47" i="2"/>
  <c r="AP73" i="2"/>
  <c r="J76" i="2"/>
  <c r="AO76" i="2" s="1"/>
  <c r="Z76" i="2"/>
  <c r="K683" i="1" s="1"/>
  <c r="J87" i="2"/>
  <c r="AP87" i="2" s="1"/>
  <c r="AP102" i="2"/>
  <c r="AO102" i="2"/>
  <c r="AP113" i="2"/>
  <c r="AO113" i="2"/>
  <c r="X113" i="2"/>
  <c r="AW117" i="2"/>
  <c r="AX117" i="2" s="1"/>
  <c r="X126" i="2"/>
  <c r="AP135" i="2"/>
  <c r="AP142" i="2"/>
  <c r="AO142" i="2"/>
  <c r="AW151" i="2"/>
  <c r="AX151" i="2" s="1"/>
  <c r="AS170" i="2"/>
  <c r="AT170" i="2" s="1"/>
  <c r="AU170" i="2" s="1"/>
  <c r="AV170" i="2" s="1"/>
  <c r="J172" i="2"/>
  <c r="Z172" i="2"/>
  <c r="K601" i="1" s="1"/>
  <c r="AP174" i="2"/>
  <c r="AO174" i="2"/>
  <c r="X174" i="2"/>
  <c r="AP180" i="2"/>
  <c r="AW183" i="2"/>
  <c r="AX183" i="2" s="1"/>
  <c r="V734" i="2"/>
  <c r="J192" i="2"/>
  <c r="AP192" i="2" s="1"/>
  <c r="AW211" i="2"/>
  <c r="AX211" i="2" s="1"/>
  <c r="AS211" i="2"/>
  <c r="AT211" i="2" s="1"/>
  <c r="AU211" i="2" s="1"/>
  <c r="AV211" i="2" s="1"/>
  <c r="AT217" i="2"/>
  <c r="AU217" i="2" s="1"/>
  <c r="AV217" i="2" s="1"/>
  <c r="AT221" i="2"/>
  <c r="AU221" i="2" s="1"/>
  <c r="AV221" i="2" s="1"/>
  <c r="AT229" i="2"/>
  <c r="AU229" i="2" s="1"/>
  <c r="AV229" i="2" s="1"/>
  <c r="AT252" i="2"/>
  <c r="AU252" i="2" s="1"/>
  <c r="AV252" i="2" s="1"/>
  <c r="AW252" i="2"/>
  <c r="AX252" i="2" s="1"/>
  <c r="AT262" i="2"/>
  <c r="AU262" i="2" s="1"/>
  <c r="AV262" i="2" s="1"/>
  <c r="AW262" i="2" s="1"/>
  <c r="AX262" i="2" s="1"/>
  <c r="AS149" i="2"/>
  <c r="AT149" i="2" s="1"/>
  <c r="AU149" i="2" s="1"/>
  <c r="AV149" i="2" s="1"/>
  <c r="AS157" i="2"/>
  <c r="AT157" i="2" s="1"/>
  <c r="AU157" i="2" s="1"/>
  <c r="AV157" i="2" s="1"/>
  <c r="AS165" i="2"/>
  <c r="AT165" i="2" s="1"/>
  <c r="AU165" i="2" s="1"/>
  <c r="AV165" i="2" s="1"/>
  <c r="AS173" i="2"/>
  <c r="AT173" i="2" s="1"/>
  <c r="AU173" i="2" s="1"/>
  <c r="AV173" i="2" s="1"/>
  <c r="AS181" i="2"/>
  <c r="AT181" i="2" s="1"/>
  <c r="AU181" i="2" s="1"/>
  <c r="AV181" i="2" s="1"/>
  <c r="AT188" i="2"/>
  <c r="AU188" i="2" s="1"/>
  <c r="AV188" i="2" s="1"/>
  <c r="AP191" i="2"/>
  <c r="AT225" i="2"/>
  <c r="AU225" i="2" s="1"/>
  <c r="AV225" i="2" s="1"/>
  <c r="AW273" i="2"/>
  <c r="AX273" i="2" s="1"/>
  <c r="AS297" i="2"/>
  <c r="AT297" i="2" s="1"/>
  <c r="AU297" i="2" s="1"/>
  <c r="AV297" i="2" s="1"/>
  <c r="AS194" i="2"/>
  <c r="AT194" i="2" s="1"/>
  <c r="AU194" i="2" s="1"/>
  <c r="AV194" i="2" s="1"/>
  <c r="AO203" i="2"/>
  <c r="AO220" i="2"/>
  <c r="AP240" i="2"/>
  <c r="AT246" i="2"/>
  <c r="AU246" i="2" s="1"/>
  <c r="AV246" i="2" s="1"/>
  <c r="Z286" i="2"/>
  <c r="K457" i="1" s="1"/>
  <c r="J286" i="2"/>
  <c r="AO286" i="2" s="1"/>
  <c r="AS88" i="2"/>
  <c r="AT88" i="2" s="1"/>
  <c r="AU88" i="2" s="1"/>
  <c r="AV88" i="2" s="1"/>
  <c r="AS96" i="2"/>
  <c r="AT96" i="2" s="1"/>
  <c r="AU96" i="2" s="1"/>
  <c r="AV96" i="2" s="1"/>
  <c r="AS104" i="2"/>
  <c r="AT104" i="2" s="1"/>
  <c r="AU104" i="2" s="1"/>
  <c r="AV104" i="2" s="1"/>
  <c r="AS112" i="2"/>
  <c r="AT112" i="2" s="1"/>
  <c r="AU112" i="2" s="1"/>
  <c r="AV112" i="2" s="1"/>
  <c r="AS120" i="2"/>
  <c r="AT120" i="2" s="1"/>
  <c r="AU120" i="2" s="1"/>
  <c r="AV120" i="2" s="1"/>
  <c r="AS128" i="2"/>
  <c r="AT128" i="2" s="1"/>
  <c r="AU128" i="2" s="1"/>
  <c r="AV128" i="2" s="1"/>
  <c r="AS136" i="2"/>
  <c r="AT136" i="2" s="1"/>
  <c r="AU136" i="2" s="1"/>
  <c r="AV136" i="2" s="1"/>
  <c r="W140" i="2"/>
  <c r="AS144" i="2"/>
  <c r="AT144" i="2" s="1"/>
  <c r="AU144" i="2" s="1"/>
  <c r="AV144" i="2" s="1"/>
  <c r="W148" i="2"/>
  <c r="AS152" i="2"/>
  <c r="AT152" i="2" s="1"/>
  <c r="AU152" i="2" s="1"/>
  <c r="AV152" i="2" s="1"/>
  <c r="W156" i="2"/>
  <c r="AS160" i="2"/>
  <c r="AT160" i="2" s="1"/>
  <c r="AU160" i="2" s="1"/>
  <c r="AV160" i="2" s="1"/>
  <c r="W164" i="2"/>
  <c r="AS168" i="2"/>
  <c r="AT168" i="2" s="1"/>
  <c r="AU168" i="2" s="1"/>
  <c r="AV168" i="2" s="1"/>
  <c r="W172" i="2"/>
  <c r="AS176" i="2"/>
  <c r="AT176" i="2" s="1"/>
  <c r="AU176" i="2" s="1"/>
  <c r="AV176" i="2" s="1"/>
  <c r="W180" i="2"/>
  <c r="AP183" i="2"/>
  <c r="J184" i="2"/>
  <c r="AP184" i="2" s="1"/>
  <c r="AO187" i="2"/>
  <c r="AS195" i="2"/>
  <c r="AT195" i="2" s="1"/>
  <c r="AU195" i="2" s="1"/>
  <c r="AV195" i="2" s="1"/>
  <c r="W197" i="2"/>
  <c r="AP199" i="2"/>
  <c r="AP202" i="2"/>
  <c r="AO202" i="2"/>
  <c r="W202" i="2"/>
  <c r="AO206" i="2"/>
  <c r="X206" i="2"/>
  <c r="W206" i="2"/>
  <c r="J212" i="2"/>
  <c r="AP212" i="2" s="1"/>
  <c r="Z212" i="2"/>
  <c r="K529" i="1" s="1"/>
  <c r="AP227" i="2"/>
  <c r="AO227" i="2"/>
  <c r="X227" i="2"/>
  <c r="W227" i="2"/>
  <c r="J243" i="2"/>
  <c r="AP243" i="2" s="1"/>
  <c r="Z243" i="2"/>
  <c r="J269" i="2"/>
  <c r="AP269" i="2" s="1"/>
  <c r="Z269" i="2"/>
  <c r="K463" i="1" s="1"/>
  <c r="AA732" i="2"/>
  <c r="X140" i="2"/>
  <c r="X148" i="2"/>
  <c r="AA734" i="2"/>
  <c r="X156" i="2"/>
  <c r="X164" i="2"/>
  <c r="X172" i="2"/>
  <c r="X180" i="2"/>
  <c r="AO198" i="2"/>
  <c r="X198" i="2"/>
  <c r="W198" i="2"/>
  <c r="AW220" i="2"/>
  <c r="AX220" i="2" s="1"/>
  <c r="AT220" i="2"/>
  <c r="AU220" i="2" s="1"/>
  <c r="AV220" i="2" s="1"/>
  <c r="AW228" i="2"/>
  <c r="AX228" i="2" s="1"/>
  <c r="AP231" i="2"/>
  <c r="AP239" i="2"/>
  <c r="AW257" i="2"/>
  <c r="AX257" i="2" s="1"/>
  <c r="AW261" i="2"/>
  <c r="AX261" i="2" s="1"/>
  <c r="AT266" i="2"/>
  <c r="AU266" i="2" s="1"/>
  <c r="AV266" i="2" s="1"/>
  <c r="AW266" i="2"/>
  <c r="AX266" i="2" s="1"/>
  <c r="AO276" i="2"/>
  <c r="AW278" i="2"/>
  <c r="AX278" i="2" s="1"/>
  <c r="W79" i="2"/>
  <c r="AS83" i="2"/>
  <c r="AT83" i="2" s="1"/>
  <c r="AU83" i="2" s="1"/>
  <c r="AV83" i="2" s="1"/>
  <c r="AS91" i="2"/>
  <c r="AT91" i="2" s="1"/>
  <c r="AU91" i="2" s="1"/>
  <c r="AV91" i="2" s="1"/>
  <c r="AS99" i="2"/>
  <c r="AT99" i="2" s="1"/>
  <c r="AU99" i="2" s="1"/>
  <c r="AV99" i="2" s="1"/>
  <c r="AS107" i="2"/>
  <c r="AT107" i="2" s="1"/>
  <c r="AU107" i="2" s="1"/>
  <c r="AV107" i="2" s="1"/>
  <c r="AS115" i="2"/>
  <c r="AT115" i="2" s="1"/>
  <c r="AU115" i="2" s="1"/>
  <c r="AV115" i="2" s="1"/>
  <c r="AS123" i="2"/>
  <c r="AT123" i="2" s="1"/>
  <c r="AU123" i="2" s="1"/>
  <c r="AV123" i="2" s="1"/>
  <c r="AS131" i="2"/>
  <c r="AT131" i="2" s="1"/>
  <c r="AU131" i="2" s="1"/>
  <c r="AV131" i="2" s="1"/>
  <c r="AS139" i="2"/>
  <c r="AT139" i="2" s="1"/>
  <c r="AU139" i="2" s="1"/>
  <c r="AV139" i="2" s="1"/>
  <c r="AS147" i="2"/>
  <c r="AT147" i="2" s="1"/>
  <c r="AU147" i="2" s="1"/>
  <c r="AV147" i="2" s="1"/>
  <c r="AW184" i="2"/>
  <c r="AX184" i="2" s="1"/>
  <c r="AP200" i="2"/>
  <c r="AO214" i="2"/>
  <c r="X214" i="2"/>
  <c r="W214" i="2"/>
  <c r="AO245" i="2"/>
  <c r="AU291" i="2"/>
  <c r="AV291" i="2" s="1"/>
  <c r="X79" i="2"/>
  <c r="X87" i="2"/>
  <c r="X733" i="2" s="1"/>
  <c r="X95" i="2"/>
  <c r="X103" i="2"/>
  <c r="X111" i="2"/>
  <c r="X119" i="2"/>
  <c r="X127" i="2"/>
  <c r="X135" i="2"/>
  <c r="X143" i="2"/>
  <c r="X151" i="2"/>
  <c r="X175" i="2"/>
  <c r="X187" i="2"/>
  <c r="AW190" i="2"/>
  <c r="AX190" i="2" s="1"/>
  <c r="J195" i="2"/>
  <c r="AP195" i="2" s="1"/>
  <c r="AO197" i="2"/>
  <c r="AO204" i="2"/>
  <c r="AP206" i="2"/>
  <c r="AT234" i="2"/>
  <c r="AU234" i="2" s="1"/>
  <c r="AV234" i="2" s="1"/>
  <c r="AW235" i="2"/>
  <c r="AX235" i="2" s="1"/>
  <c r="AW276" i="2"/>
  <c r="AX276" i="2" s="1"/>
  <c r="AU306" i="2"/>
  <c r="AV306" i="2" s="1"/>
  <c r="AQ732" i="2"/>
  <c r="W82" i="2"/>
  <c r="W90" i="2"/>
  <c r="W98" i="2"/>
  <c r="W106" i="2"/>
  <c r="W114" i="2"/>
  <c r="W122" i="2"/>
  <c r="W130" i="2"/>
  <c r="W138" i="2"/>
  <c r="AO140" i="2"/>
  <c r="W146" i="2"/>
  <c r="AO148" i="2"/>
  <c r="AQ734" i="2"/>
  <c r="W154" i="2"/>
  <c r="AO156" i="2"/>
  <c r="W162" i="2"/>
  <c r="AO164" i="2"/>
  <c r="W170" i="2"/>
  <c r="AO172" i="2"/>
  <c r="W178" i="2"/>
  <c r="AO180" i="2"/>
  <c r="AW189" i="2"/>
  <c r="AX189" i="2" s="1"/>
  <c r="X192" i="2"/>
  <c r="AP197" i="2"/>
  <c r="AP198" i="2"/>
  <c r="AP230" i="2"/>
  <c r="AO230" i="2"/>
  <c r="X230" i="2"/>
  <c r="W230" i="2"/>
  <c r="AW240" i="2"/>
  <c r="AX240" i="2" s="1"/>
  <c r="AW260" i="2"/>
  <c r="AX260" i="2" s="1"/>
  <c r="AT260" i="2"/>
  <c r="AU260" i="2" s="1"/>
  <c r="AV260" i="2" s="1"/>
  <c r="AU296" i="2"/>
  <c r="AV296" i="2" s="1"/>
  <c r="AR732" i="2"/>
  <c r="X82" i="2"/>
  <c r="X90" i="2"/>
  <c r="X98" i="2"/>
  <c r="X106" i="2"/>
  <c r="X114" i="2"/>
  <c r="X122" i="2"/>
  <c r="X130" i="2"/>
  <c r="X138" i="2"/>
  <c r="X146" i="2"/>
  <c r="AR734" i="2"/>
  <c r="X154" i="2"/>
  <c r="X162" i="2"/>
  <c r="X170" i="2"/>
  <c r="X178" i="2"/>
  <c r="Z185" i="2"/>
  <c r="Z736" i="2" s="1"/>
  <c r="K746" i="1" s="1"/>
  <c r="J185" i="2"/>
  <c r="AP185" i="2" s="1"/>
  <c r="AW186" i="2"/>
  <c r="AX186" i="2" s="1"/>
  <c r="AS206" i="2"/>
  <c r="AT206" i="2" s="1"/>
  <c r="AU206" i="2" s="1"/>
  <c r="AV206" i="2" s="1"/>
  <c r="AP214" i="2"/>
  <c r="AW223" i="2"/>
  <c r="AX223" i="2" s="1"/>
  <c r="AT223" i="2"/>
  <c r="AU223" i="2" s="1"/>
  <c r="AV223" i="2" s="1"/>
  <c r="AW232" i="2"/>
  <c r="AX232" i="2" s="1"/>
  <c r="J252" i="2"/>
  <c r="AO252" i="2" s="1"/>
  <c r="Z252" i="2"/>
  <c r="K480" i="1" s="1"/>
  <c r="AP257" i="2"/>
  <c r="AO257" i="2"/>
  <c r="AO79" i="2"/>
  <c r="AS81" i="2"/>
  <c r="W85" i="2"/>
  <c r="AO87" i="2"/>
  <c r="W93" i="2"/>
  <c r="AO95" i="2"/>
  <c r="W101" i="2"/>
  <c r="AO103" i="2"/>
  <c r="W109" i="2"/>
  <c r="AO111" i="2"/>
  <c r="W117" i="2"/>
  <c r="AO119" i="2"/>
  <c r="W125" i="2"/>
  <c r="AO127" i="2"/>
  <c r="W133" i="2"/>
  <c r="AO135" i="2"/>
  <c r="W141" i="2"/>
  <c r="W733" i="2" s="1"/>
  <c r="AO143" i="2"/>
  <c r="W149" i="2"/>
  <c r="AO151" i="2"/>
  <c r="AS153" i="2"/>
  <c r="W157" i="2"/>
  <c r="AO159" i="2"/>
  <c r="W165" i="2"/>
  <c r="AO167" i="2"/>
  <c r="W173" i="2"/>
  <c r="AO175" i="2"/>
  <c r="W181" i="2"/>
  <c r="AP187" i="2"/>
  <c r="AU196" i="2"/>
  <c r="AV196" i="2" s="1"/>
  <c r="AW203" i="2"/>
  <c r="AX203" i="2" s="1"/>
  <c r="AW219" i="2"/>
  <c r="AX219" i="2" s="1"/>
  <c r="AT219" i="2"/>
  <c r="AU219" i="2" s="1"/>
  <c r="AV219" i="2" s="1"/>
  <c r="AU227" i="2"/>
  <c r="AV227" i="2" s="1"/>
  <c r="AO237" i="2"/>
  <c r="AO239" i="2"/>
  <c r="AT249" i="2"/>
  <c r="AU249" i="2" s="1"/>
  <c r="AV249" i="2" s="1"/>
  <c r="AT264" i="2"/>
  <c r="AU264" i="2" s="1"/>
  <c r="AV264" i="2" s="1"/>
  <c r="V738" i="2"/>
  <c r="T726" i="2"/>
  <c r="T737" i="2"/>
  <c r="AR735" i="2"/>
  <c r="T741" i="2"/>
  <c r="W184" i="2"/>
  <c r="J190" i="2"/>
  <c r="AO190" i="2" s="1"/>
  <c r="AS191" i="2"/>
  <c r="AT191" i="2" s="1"/>
  <c r="AU191" i="2" s="1"/>
  <c r="AV191" i="2" s="1"/>
  <c r="AT197" i="2"/>
  <c r="AU197" i="2" s="1"/>
  <c r="AV197" i="2" s="1"/>
  <c r="AS198" i="2"/>
  <c r="AT198" i="2" s="1"/>
  <c r="AU198" i="2" s="1"/>
  <c r="AV198" i="2" s="1"/>
  <c r="AS200" i="2"/>
  <c r="AT200" i="2" s="1"/>
  <c r="AU200" i="2" s="1"/>
  <c r="AV200" i="2" s="1"/>
  <c r="AS203" i="2"/>
  <c r="AT203" i="2" s="1"/>
  <c r="AU203" i="2" s="1"/>
  <c r="AV203" i="2" s="1"/>
  <c r="AS214" i="2"/>
  <c r="AT214" i="2" s="1"/>
  <c r="AU214" i="2" s="1"/>
  <c r="AV214" i="2" s="1"/>
  <c r="AP225" i="2"/>
  <c r="AW231" i="2"/>
  <c r="AX231" i="2" s="1"/>
  <c r="J246" i="2"/>
  <c r="AP246" i="2" s="1"/>
  <c r="Z246" i="2"/>
  <c r="K506" i="1" s="1"/>
  <c r="AT270" i="2"/>
  <c r="AU270" i="2" s="1"/>
  <c r="AV270" i="2" s="1"/>
  <c r="W56" i="2"/>
  <c r="AQ731" i="2"/>
  <c r="W64" i="2"/>
  <c r="W72" i="2"/>
  <c r="W80" i="2"/>
  <c r="M732" i="2"/>
  <c r="AO82" i="2"/>
  <c r="W88" i="2"/>
  <c r="AO90" i="2"/>
  <c r="W96" i="2"/>
  <c r="AO98" i="2"/>
  <c r="W104" i="2"/>
  <c r="AO106" i="2"/>
  <c r="W112" i="2"/>
  <c r="AO114" i="2"/>
  <c r="W120" i="2"/>
  <c r="AO122" i="2"/>
  <c r="W128" i="2"/>
  <c r="AO130" i="2"/>
  <c r="W136" i="2"/>
  <c r="AO138" i="2"/>
  <c r="W144" i="2"/>
  <c r="AO146" i="2"/>
  <c r="W152" i="2"/>
  <c r="M734" i="2"/>
  <c r="AO154" i="2"/>
  <c r="W160" i="2"/>
  <c r="AO162" i="2"/>
  <c r="W168" i="2"/>
  <c r="AO170" i="2"/>
  <c r="W176" i="2"/>
  <c r="AO178" i="2"/>
  <c r="AO195" i="2"/>
  <c r="AW199" i="2"/>
  <c r="AX199" i="2" s="1"/>
  <c r="AW205" i="2"/>
  <c r="AX205" i="2" s="1"/>
  <c r="AT255" i="2"/>
  <c r="AU255" i="2" s="1"/>
  <c r="AV255" i="2" s="1"/>
  <c r="AW255" i="2"/>
  <c r="AX255" i="2" s="1"/>
  <c r="AR725" i="2"/>
  <c r="AR736" i="2"/>
  <c r="AR727" i="2"/>
  <c r="V726" i="2"/>
  <c r="V737" i="2"/>
  <c r="AA728" i="2"/>
  <c r="AR740" i="2"/>
  <c r="R733" i="2"/>
  <c r="V741" i="2"/>
  <c r="AA739" i="2"/>
  <c r="AR731" i="2"/>
  <c r="R732" i="2"/>
  <c r="R734" i="2"/>
  <c r="W185" i="2"/>
  <c r="W194" i="2"/>
  <c r="W741" i="2" s="1"/>
  <c r="AW201" i="2"/>
  <c r="AX201" i="2" s="1"/>
  <c r="AT213" i="2"/>
  <c r="AU213" i="2" s="1"/>
  <c r="AV213" i="2" s="1"/>
  <c r="AW213" i="2"/>
  <c r="AX213" i="2" s="1"/>
  <c r="AW218" i="2"/>
  <c r="AX218" i="2" s="1"/>
  <c r="AT226" i="2"/>
  <c r="AU226" i="2" s="1"/>
  <c r="AV226" i="2" s="1"/>
  <c r="AW230" i="2"/>
  <c r="AX230" i="2" s="1"/>
  <c r="X236" i="2"/>
  <c r="AP236" i="2"/>
  <c r="AO236" i="2"/>
  <c r="W236" i="2"/>
  <c r="AW243" i="2"/>
  <c r="AX243" i="2" s="1"/>
  <c r="AW248" i="2"/>
  <c r="AX248" i="2" s="1"/>
  <c r="AW254" i="2"/>
  <c r="AX254" i="2" s="1"/>
  <c r="AP281" i="2"/>
  <c r="AO281" i="2"/>
  <c r="J219" i="2"/>
  <c r="AP219" i="2" s="1"/>
  <c r="J222" i="2"/>
  <c r="AO222" i="2" s="1"/>
  <c r="J228" i="2"/>
  <c r="AP228" i="2" s="1"/>
  <c r="AP330" i="2"/>
  <c r="AO330" i="2"/>
  <c r="AW342" i="2"/>
  <c r="AX342" i="2" s="1"/>
  <c r="AW355" i="2"/>
  <c r="AX355" i="2" s="1"/>
  <c r="J368" i="2"/>
  <c r="AP368" i="2" s="1"/>
  <c r="Z368" i="2"/>
  <c r="K374" i="1" s="1"/>
  <c r="AS256" i="2"/>
  <c r="AT256" i="2" s="1"/>
  <c r="AU256" i="2" s="1"/>
  <c r="AV256" i="2" s="1"/>
  <c r="X283" i="2"/>
  <c r="W283" i="2"/>
  <c r="AP285" i="2"/>
  <c r="AO285" i="2"/>
  <c r="X285" i="2"/>
  <c r="AP288" i="2"/>
  <c r="AO288" i="2"/>
  <c r="X288" i="2"/>
  <c r="AS305" i="2"/>
  <c r="AT305" i="2" s="1"/>
  <c r="AU305" i="2" s="1"/>
  <c r="AV305" i="2" s="1"/>
  <c r="AP320" i="2"/>
  <c r="AW323" i="2"/>
  <c r="AX323" i="2" s="1"/>
  <c r="J328" i="2"/>
  <c r="AO328" i="2" s="1"/>
  <c r="Z328" i="2"/>
  <c r="K437" i="1" s="1"/>
  <c r="AO339" i="2"/>
  <c r="AP339" i="2"/>
  <c r="X339" i="2"/>
  <c r="W345" i="2"/>
  <c r="AP345" i="2"/>
  <c r="AO345" i="2"/>
  <c r="AV460" i="2"/>
  <c r="AW460" i="2" s="1"/>
  <c r="AX460" i="2" s="1"/>
  <c r="AU478" i="2"/>
  <c r="AV478" i="2" s="1"/>
  <c r="AW208" i="2"/>
  <c r="AX208" i="2" s="1"/>
  <c r="W210" i="2"/>
  <c r="AW216" i="2"/>
  <c r="AX216" i="2" s="1"/>
  <c r="W218" i="2"/>
  <c r="W221" i="2"/>
  <c r="AW222" i="2"/>
  <c r="AX222" i="2" s="1"/>
  <c r="AS238" i="2"/>
  <c r="AT238" i="2" s="1"/>
  <c r="AU238" i="2" s="1"/>
  <c r="AV238" i="2" s="1"/>
  <c r="AS241" i="2"/>
  <c r="AT241" i="2" s="1"/>
  <c r="AU241" i="2" s="1"/>
  <c r="AV241" i="2" s="1"/>
  <c r="AS244" i="2"/>
  <c r="AT244" i="2" s="1"/>
  <c r="AU244" i="2" s="1"/>
  <c r="AV244" i="2" s="1"/>
  <c r="AS247" i="2"/>
  <c r="AT247" i="2" s="1"/>
  <c r="AU247" i="2" s="1"/>
  <c r="AV247" i="2" s="1"/>
  <c r="AS250" i="2"/>
  <c r="AT250" i="2" s="1"/>
  <c r="AU250" i="2" s="1"/>
  <c r="AV250" i="2" s="1"/>
  <c r="AS253" i="2"/>
  <c r="AT253" i="2" s="1"/>
  <c r="AU253" i="2" s="1"/>
  <c r="AV253" i="2" s="1"/>
  <c r="AS263" i="2"/>
  <c r="AT263" i="2" s="1"/>
  <c r="AU263" i="2" s="1"/>
  <c r="AV263" i="2" s="1"/>
  <c r="W265" i="2"/>
  <c r="W282" i="2"/>
  <c r="W290" i="2"/>
  <c r="AP301" i="2"/>
  <c r="AO301" i="2"/>
  <c r="X301" i="2"/>
  <c r="W301" i="2"/>
  <c r="AU304" i="2"/>
  <c r="AV304" i="2" s="1"/>
  <c r="AU314" i="2"/>
  <c r="AV314" i="2" s="1"/>
  <c r="AT323" i="2"/>
  <c r="AU323" i="2" s="1"/>
  <c r="AV323" i="2" s="1"/>
  <c r="W330" i="2"/>
  <c r="AU333" i="2"/>
  <c r="AV333" i="2" s="1"/>
  <c r="AW347" i="2"/>
  <c r="AX347" i="2" s="1"/>
  <c r="J356" i="2"/>
  <c r="Z356" i="2"/>
  <c r="K385" i="1" s="1"/>
  <c r="AU426" i="2"/>
  <c r="AV426" i="2" s="1"/>
  <c r="AW437" i="2"/>
  <c r="AX437" i="2" s="1"/>
  <c r="X210" i="2"/>
  <c r="X218" i="2"/>
  <c r="X221" i="2"/>
  <c r="AS232" i="2"/>
  <c r="AT232" i="2" s="1"/>
  <c r="AU232" i="2" s="1"/>
  <c r="AV232" i="2" s="1"/>
  <c r="W258" i="2"/>
  <c r="X265" i="2"/>
  <c r="AT275" i="2"/>
  <c r="AU275" i="2" s="1"/>
  <c r="AV275" i="2" s="1"/>
  <c r="AS279" i="2"/>
  <c r="AT279" i="2" s="1"/>
  <c r="AU279" i="2" s="1"/>
  <c r="AV279" i="2" s="1"/>
  <c r="X282" i="2"/>
  <c r="W285" i="2"/>
  <c r="AP286" i="2"/>
  <c r="W288" i="2"/>
  <c r="X290" i="2"/>
  <c r="AW294" i="2"/>
  <c r="AX294" i="2" s="1"/>
  <c r="AW324" i="2"/>
  <c r="AX324" i="2" s="1"/>
  <c r="X330" i="2"/>
  <c r="W339" i="2"/>
  <c r="AW340" i="2"/>
  <c r="AX340" i="2" s="1"/>
  <c r="X345" i="2"/>
  <c r="AS347" i="2"/>
  <c r="AT347" i="2" s="1"/>
  <c r="AU347" i="2" s="1"/>
  <c r="AV347" i="2" s="1"/>
  <c r="AW348" i="2"/>
  <c r="AX348" i="2" s="1"/>
  <c r="AT447" i="2"/>
  <c r="AU447" i="2" s="1"/>
  <c r="AV447" i="2" s="1"/>
  <c r="W205" i="2"/>
  <c r="W739" i="2" s="1"/>
  <c r="W213" i="2"/>
  <c r="AT235" i="2"/>
  <c r="AU235" i="2" s="1"/>
  <c r="AV235" i="2" s="1"/>
  <c r="W249" i="2"/>
  <c r="W255" i="2"/>
  <c r="X258" i="2"/>
  <c r="AP262" i="2"/>
  <c r="X262" i="2"/>
  <c r="AT267" i="2"/>
  <c r="AU267" i="2" s="1"/>
  <c r="AV267" i="2" s="1"/>
  <c r="X273" i="2"/>
  <c r="W277" i="2"/>
  <c r="AP299" i="2"/>
  <c r="AP309" i="2"/>
  <c r="AO309" i="2"/>
  <c r="X309" i="2"/>
  <c r="W309" i="2"/>
  <c r="AS313" i="2"/>
  <c r="AT313" i="2" s="1"/>
  <c r="AU313" i="2" s="1"/>
  <c r="AV313" i="2" s="1"/>
  <c r="AP319" i="2"/>
  <c r="AW406" i="2"/>
  <c r="AX406" i="2" s="1"/>
  <c r="AU406" i="2"/>
  <c r="AV406" i="2" s="1"/>
  <c r="J193" i="2"/>
  <c r="AP193" i="2" s="1"/>
  <c r="J201" i="2"/>
  <c r="AP201" i="2" s="1"/>
  <c r="X205" i="2"/>
  <c r="J209" i="2"/>
  <c r="AP209" i="2" s="1"/>
  <c r="X213" i="2"/>
  <c r="J217" i="2"/>
  <c r="J223" i="2"/>
  <c r="AP223" i="2" s="1"/>
  <c r="J226" i="2"/>
  <c r="AP226" i="2" s="1"/>
  <c r="J229" i="2"/>
  <c r="AP229" i="2" s="1"/>
  <c r="W240" i="2"/>
  <c r="W243" i="2"/>
  <c r="W246" i="2"/>
  <c r="X249" i="2"/>
  <c r="W252" i="2"/>
  <c r="X255" i="2"/>
  <c r="Z258" i="2"/>
  <c r="K511" i="1" s="1"/>
  <c r="W269" i="2"/>
  <c r="AS271" i="2"/>
  <c r="AT271" i="2" s="1"/>
  <c r="AU271" i="2" s="1"/>
  <c r="AV271" i="2" s="1"/>
  <c r="X277" i="2"/>
  <c r="J279" i="2"/>
  <c r="AP279" i="2" s="1"/>
  <c r="AW281" i="2"/>
  <c r="AX281" i="2" s="1"/>
  <c r="W287" i="2"/>
  <c r="AP310" i="2"/>
  <c r="AU322" i="2"/>
  <c r="AV322" i="2" s="1"/>
  <c r="AU331" i="2"/>
  <c r="AV331" i="2" s="1"/>
  <c r="AP351" i="2"/>
  <c r="AW401" i="2"/>
  <c r="AX401" i="2" s="1"/>
  <c r="W200" i="2"/>
  <c r="W208" i="2"/>
  <c r="AO210" i="2"/>
  <c r="W216" i="2"/>
  <c r="AO218" i="2"/>
  <c r="J220" i="2"/>
  <c r="AP220" i="2" s="1"/>
  <c r="AO221" i="2"/>
  <c r="W225" i="2"/>
  <c r="W231" i="2"/>
  <c r="X240" i="2"/>
  <c r="X243" i="2"/>
  <c r="X246" i="2"/>
  <c r="J260" i="2"/>
  <c r="AP260" i="2" s="1"/>
  <c r="W262" i="2"/>
  <c r="AO265" i="2"/>
  <c r="X269" i="2"/>
  <c r="AW280" i="2"/>
  <c r="AX280" i="2" s="1"/>
  <c r="AO282" i="2"/>
  <c r="X287" i="2"/>
  <c r="AO290" i="2"/>
  <c r="J296" i="2"/>
  <c r="AO296" i="2" s="1"/>
  <c r="Z296" i="2"/>
  <c r="K737" i="1" s="1"/>
  <c r="AP298" i="2"/>
  <c r="AO298" i="2"/>
  <c r="AP307" i="2"/>
  <c r="AW332" i="2"/>
  <c r="AX332" i="2" s="1"/>
  <c r="AW353" i="2"/>
  <c r="AX353" i="2" s="1"/>
  <c r="AW360" i="2"/>
  <c r="AX360" i="2" s="1"/>
  <c r="AT391" i="2"/>
  <c r="AU391" i="2" s="1"/>
  <c r="AV391" i="2" s="1"/>
  <c r="AW391" i="2"/>
  <c r="AX391" i="2" s="1"/>
  <c r="X200" i="2"/>
  <c r="X208" i="2"/>
  <c r="X216" i="2"/>
  <c r="AS248" i="2"/>
  <c r="AT248" i="2" s="1"/>
  <c r="AU248" i="2" s="1"/>
  <c r="AV248" i="2" s="1"/>
  <c r="AO258" i="2"/>
  <c r="AO273" i="2"/>
  <c r="AP278" i="2"/>
  <c r="J280" i="2"/>
  <c r="AO280" i="2" s="1"/>
  <c r="Z280" i="2"/>
  <c r="K456" i="1" s="1"/>
  <c r="AW292" i="2"/>
  <c r="AX292" i="2" s="1"/>
  <c r="AW302" i="2"/>
  <c r="AX302" i="2" s="1"/>
  <c r="AP306" i="2"/>
  <c r="AO306" i="2"/>
  <c r="AP317" i="2"/>
  <c r="AO317" i="2"/>
  <c r="X317" i="2"/>
  <c r="W317" i="2"/>
  <c r="AS321" i="2"/>
  <c r="AT321" i="2" s="1"/>
  <c r="AU321" i="2" s="1"/>
  <c r="AV321" i="2" s="1"/>
  <c r="J323" i="2"/>
  <c r="AP336" i="2"/>
  <c r="AO336" i="2"/>
  <c r="X336" i="2"/>
  <c r="AP343" i="2"/>
  <c r="AT345" i="2"/>
  <c r="AU345" i="2" s="1"/>
  <c r="AV345" i="2" s="1"/>
  <c r="AP363" i="2"/>
  <c r="X363" i="2"/>
  <c r="W363" i="2"/>
  <c r="AW396" i="2"/>
  <c r="AX396" i="2" s="1"/>
  <c r="AT405" i="2"/>
  <c r="AU405" i="2" s="1"/>
  <c r="AV405" i="2" s="1"/>
  <c r="AP270" i="2"/>
  <c r="X270" i="2"/>
  <c r="AW290" i="2"/>
  <c r="AX290" i="2" s="1"/>
  <c r="AT290" i="2"/>
  <c r="AU290" i="2" s="1"/>
  <c r="AV290" i="2" s="1"/>
  <c r="J304" i="2"/>
  <c r="AO304" i="2" s="1"/>
  <c r="Z304" i="2"/>
  <c r="K420" i="1" s="1"/>
  <c r="AW311" i="2"/>
  <c r="AX311" i="2" s="1"/>
  <c r="AU330" i="2"/>
  <c r="AV330" i="2" s="1"/>
  <c r="AW358" i="2"/>
  <c r="AX358" i="2" s="1"/>
  <c r="AW385" i="2"/>
  <c r="AX385" i="2" s="1"/>
  <c r="AS224" i="2"/>
  <c r="AT224" i="2" s="1"/>
  <c r="AU224" i="2" s="1"/>
  <c r="AV224" i="2" s="1"/>
  <c r="AP238" i="2"/>
  <c r="AO240" i="2"/>
  <c r="AT245" i="2"/>
  <c r="AU245" i="2" s="1"/>
  <c r="AV245" i="2" s="1"/>
  <c r="AP252" i="2"/>
  <c r="W256" i="2"/>
  <c r="AO262" i="2"/>
  <c r="Z266" i="2"/>
  <c r="K105" i="1" s="1"/>
  <c r="AO269" i="2"/>
  <c r="X274" i="2"/>
  <c r="AO275" i="2"/>
  <c r="AS286" i="2"/>
  <c r="AT286" i="2" s="1"/>
  <c r="AU286" i="2" s="1"/>
  <c r="AV286" i="2" s="1"/>
  <c r="AO287" i="2"/>
  <c r="AS289" i="2"/>
  <c r="AT289" i="2" s="1"/>
  <c r="AU289" i="2" s="1"/>
  <c r="AV289" i="2" s="1"/>
  <c r="X298" i="2"/>
  <c r="AW299" i="2"/>
  <c r="AX299" i="2" s="1"/>
  <c r="W306" i="2"/>
  <c r="AW310" i="2"/>
  <c r="AX310" i="2" s="1"/>
  <c r="AO319" i="2"/>
  <c r="AP334" i="2"/>
  <c r="W336" i="2"/>
  <c r="AT337" i="2"/>
  <c r="AU337" i="2" s="1"/>
  <c r="AV337" i="2" s="1"/>
  <c r="J340" i="2"/>
  <c r="AP340" i="2" s="1"/>
  <c r="AT352" i="2"/>
  <c r="AU352" i="2" s="1"/>
  <c r="AV352" i="2" s="1"/>
  <c r="AS358" i="2"/>
  <c r="AT358" i="2" s="1"/>
  <c r="AU358" i="2" s="1"/>
  <c r="AV358" i="2" s="1"/>
  <c r="AO200" i="2"/>
  <c r="AS202" i="2"/>
  <c r="AT202" i="2" s="1"/>
  <c r="AU202" i="2" s="1"/>
  <c r="AV202" i="2" s="1"/>
  <c r="AO208" i="2"/>
  <c r="AS210" i="2"/>
  <c r="AT210" i="2" s="1"/>
  <c r="AU210" i="2" s="1"/>
  <c r="AV210" i="2" s="1"/>
  <c r="AO216" i="2"/>
  <c r="AS218" i="2"/>
  <c r="AT218" i="2" s="1"/>
  <c r="AU218" i="2" s="1"/>
  <c r="AV218" i="2" s="1"/>
  <c r="AO225" i="2"/>
  <c r="AO231" i="2"/>
  <c r="AO234" i="2"/>
  <c r="W241" i="2"/>
  <c r="W247" i="2"/>
  <c r="W250" i="2"/>
  <c r="W253" i="2"/>
  <c r="X256" i="2"/>
  <c r="W263" i="2"/>
  <c r="W270" i="2"/>
  <c r="AW272" i="2"/>
  <c r="AX272" i="2" s="1"/>
  <c r="AW284" i="2"/>
  <c r="AX284" i="2" s="1"/>
  <c r="AW288" i="2"/>
  <c r="AX288" i="2" s="1"/>
  <c r="J291" i="2"/>
  <c r="AO291" i="2" s="1"/>
  <c r="J294" i="2"/>
  <c r="AO294" i="2" s="1"/>
  <c r="AP296" i="2"/>
  <c r="X296" i="2"/>
  <c r="W296" i="2"/>
  <c r="X306" i="2"/>
  <c r="J312" i="2"/>
  <c r="Z312" i="2"/>
  <c r="K427" i="1" s="1"/>
  <c r="AP314" i="2"/>
  <c r="AO314" i="2"/>
  <c r="AP325" i="2"/>
  <c r="AO325" i="2"/>
  <c r="X325" i="2"/>
  <c r="W325" i="2"/>
  <c r="AS329" i="2"/>
  <c r="AT329" i="2" s="1"/>
  <c r="AU329" i="2" s="1"/>
  <c r="AV329" i="2" s="1"/>
  <c r="J331" i="2"/>
  <c r="AO331" i="2" s="1"/>
  <c r="AP355" i="2"/>
  <c r="AO355" i="2"/>
  <c r="X355" i="2"/>
  <c r="W355" i="2"/>
  <c r="AP362" i="2"/>
  <c r="AO362" i="2"/>
  <c r="X362" i="2"/>
  <c r="W232" i="2"/>
  <c r="X241" i="2"/>
  <c r="X247" i="2"/>
  <c r="X250" i="2"/>
  <c r="X253" i="2"/>
  <c r="Z256" i="2"/>
  <c r="K584" i="1" s="1"/>
  <c r="AS258" i="2"/>
  <c r="AT258" i="2" s="1"/>
  <c r="AU258" i="2" s="1"/>
  <c r="AV258" i="2" s="1"/>
  <c r="X263" i="2"/>
  <c r="W267" i="2"/>
  <c r="AP280" i="2"/>
  <c r="AW307" i="2"/>
  <c r="AX307" i="2" s="1"/>
  <c r="AP326" i="2"/>
  <c r="X342" i="2"/>
  <c r="AW344" i="2"/>
  <c r="AX344" i="2" s="1"/>
  <c r="X238" i="2"/>
  <c r="AP264" i="2"/>
  <c r="AO270" i="2"/>
  <c r="AO274" i="2"/>
  <c r="X275" i="2"/>
  <c r="W279" i="2"/>
  <c r="J283" i="2"/>
  <c r="AP283" i="2" s="1"/>
  <c r="AP295" i="2"/>
  <c r="AP304" i="2"/>
  <c r="AT307" i="2"/>
  <c r="AU307" i="2" s="1"/>
  <c r="AV307" i="2" s="1"/>
  <c r="W314" i="2"/>
  <c r="AW318" i="2"/>
  <c r="AX318" i="2" s="1"/>
  <c r="AP323" i="2"/>
  <c r="AV328" i="2"/>
  <c r="AW328" i="2" s="1"/>
  <c r="AX328" i="2" s="1"/>
  <c r="AP333" i="2"/>
  <c r="AO333" i="2"/>
  <c r="X333" i="2"/>
  <c r="AV357" i="2"/>
  <c r="AW357" i="2" s="1"/>
  <c r="AX357" i="2" s="1"/>
  <c r="W362" i="2"/>
  <c r="AW378" i="2"/>
  <c r="AX378" i="2" s="1"/>
  <c r="AP254" i="2"/>
  <c r="AO256" i="2"/>
  <c r="W260" i="2"/>
  <c r="W271" i="2"/>
  <c r="W280" i="2"/>
  <c r="J288" i="2"/>
  <c r="Z288" i="2"/>
  <c r="K444" i="1" s="1"/>
  <c r="AW298" i="2"/>
  <c r="AX298" i="2" s="1"/>
  <c r="AT298" i="2"/>
  <c r="AU298" i="2" s="1"/>
  <c r="AV298" i="2" s="1"/>
  <c r="X314" i="2"/>
  <c r="J320" i="2"/>
  <c r="Z320" i="2"/>
  <c r="K436" i="1" s="1"/>
  <c r="AP322" i="2"/>
  <c r="AO322" i="2"/>
  <c r="AT336" i="2"/>
  <c r="AU336" i="2" s="1"/>
  <c r="AV336" i="2" s="1"/>
  <c r="W342" i="2"/>
  <c r="AP354" i="2"/>
  <c r="AO354" i="2"/>
  <c r="X354" i="2"/>
  <c r="AO244" i="2"/>
  <c r="W264" i="2"/>
  <c r="AP272" i="2"/>
  <c r="X280" i="2"/>
  <c r="AP293" i="2"/>
  <c r="AO293" i="2"/>
  <c r="X293" i="2"/>
  <c r="AP312" i="2"/>
  <c r="AW315" i="2"/>
  <c r="AX315" i="2" s="1"/>
  <c r="W333" i="2"/>
  <c r="AP346" i="2"/>
  <c r="AW350" i="2"/>
  <c r="AX350" i="2" s="1"/>
  <c r="AP365" i="2"/>
  <c r="W365" i="2"/>
  <c r="AO365" i="2"/>
  <c r="X365" i="2"/>
  <c r="AP369" i="2"/>
  <c r="AO369" i="2"/>
  <c r="AW359" i="2"/>
  <c r="AX359" i="2" s="1"/>
  <c r="AP370" i="2"/>
  <c r="AO370" i="2"/>
  <c r="AW377" i="2"/>
  <c r="AX377" i="2" s="1"/>
  <c r="AP386" i="2"/>
  <c r="AO386" i="2"/>
  <c r="AW400" i="2"/>
  <c r="AX400" i="2" s="1"/>
  <c r="AT410" i="2"/>
  <c r="AU410" i="2" s="1"/>
  <c r="AV410" i="2" s="1"/>
  <c r="AV425" i="2"/>
  <c r="AW425" i="2"/>
  <c r="AX425" i="2" s="1"/>
  <c r="AW487" i="2"/>
  <c r="AX487" i="2" s="1"/>
  <c r="AU487" i="2"/>
  <c r="AV487" i="2" s="1"/>
  <c r="AW335" i="2"/>
  <c r="AX335" i="2" s="1"/>
  <c r="AS344" i="2"/>
  <c r="AT344" i="2" s="1"/>
  <c r="AU344" i="2" s="1"/>
  <c r="AV344" i="2" s="1"/>
  <c r="AT360" i="2"/>
  <c r="AU360" i="2" s="1"/>
  <c r="AV360" i="2" s="1"/>
  <c r="X366" i="2"/>
  <c r="W366" i="2"/>
  <c r="AW376" i="2"/>
  <c r="AX376" i="2" s="1"/>
  <c r="AV377" i="2"/>
  <c r="J420" i="2"/>
  <c r="AO420" i="2" s="1"/>
  <c r="Z420" i="2"/>
  <c r="K318" i="1" s="1"/>
  <c r="AW431" i="2"/>
  <c r="AX431" i="2" s="1"/>
  <c r="AV431" i="2"/>
  <c r="AS544" i="2"/>
  <c r="AT544" i="2" s="1"/>
  <c r="AU544" i="2" s="1"/>
  <c r="AV544" i="2" s="1"/>
  <c r="J297" i="2"/>
  <c r="J305" i="2"/>
  <c r="J329" i="2"/>
  <c r="AS332" i="2"/>
  <c r="AT332" i="2" s="1"/>
  <c r="AU332" i="2" s="1"/>
  <c r="AV332" i="2" s="1"/>
  <c r="AS335" i="2"/>
  <c r="AT335" i="2" s="1"/>
  <c r="AU335" i="2" s="1"/>
  <c r="AV335" i="2" s="1"/>
  <c r="AS338" i="2"/>
  <c r="AT338" i="2" s="1"/>
  <c r="AU338" i="2" s="1"/>
  <c r="AV338" i="2" s="1"/>
  <c r="J344" i="2"/>
  <c r="W350" i="2"/>
  <c r="AS353" i="2"/>
  <c r="AT353" i="2" s="1"/>
  <c r="AU353" i="2" s="1"/>
  <c r="AV353" i="2" s="1"/>
  <c r="AO367" i="2"/>
  <c r="X367" i="2"/>
  <c r="W370" i="2"/>
  <c r="AT374" i="2"/>
  <c r="AU374" i="2" s="1"/>
  <c r="AV374" i="2" s="1"/>
  <c r="AO380" i="2"/>
  <c r="AT389" i="2"/>
  <c r="AU389" i="2" s="1"/>
  <c r="AV389" i="2" s="1"/>
  <c r="Z293" i="2"/>
  <c r="K571" i="1" s="1"/>
  <c r="W304" i="2"/>
  <c r="W312" i="2"/>
  <c r="W320" i="2"/>
  <c r="W328" i="2"/>
  <c r="X370" i="2"/>
  <c r="AW384" i="2"/>
  <c r="AX384" i="2" s="1"/>
  <c r="AT384" i="2"/>
  <c r="AU384" i="2" s="1"/>
  <c r="AV384" i="2" s="1"/>
  <c r="X304" i="2"/>
  <c r="X312" i="2"/>
  <c r="X320" i="2"/>
  <c r="X328" i="2"/>
  <c r="W343" i="2"/>
  <c r="AO350" i="2"/>
  <c r="AS363" i="2"/>
  <c r="AT363" i="2" s="1"/>
  <c r="AU363" i="2" s="1"/>
  <c r="AV363" i="2" s="1"/>
  <c r="AO366" i="2"/>
  <c r="W367" i="2"/>
  <c r="AW373" i="2"/>
  <c r="AX373" i="2" s="1"/>
  <c r="AS395" i="2"/>
  <c r="AT395" i="2" s="1"/>
  <c r="AU395" i="2" s="1"/>
  <c r="AV395" i="2" s="1"/>
  <c r="AP437" i="2"/>
  <c r="AO437" i="2"/>
  <c r="AS445" i="2"/>
  <c r="AT445" i="2" s="1"/>
  <c r="AU445" i="2" s="1"/>
  <c r="AV445" i="2" s="1"/>
  <c r="AS287" i="2"/>
  <c r="AT287" i="2" s="1"/>
  <c r="AU287" i="2" s="1"/>
  <c r="AV287" i="2" s="1"/>
  <c r="W291" i="2"/>
  <c r="AS295" i="2"/>
  <c r="AT295" i="2" s="1"/>
  <c r="AU295" i="2" s="1"/>
  <c r="AV295" i="2" s="1"/>
  <c r="W299" i="2"/>
  <c r="AS303" i="2"/>
  <c r="AT303" i="2" s="1"/>
  <c r="AU303" i="2" s="1"/>
  <c r="AV303" i="2" s="1"/>
  <c r="W307" i="2"/>
  <c r="AS311" i="2"/>
  <c r="AT311" i="2" s="1"/>
  <c r="AU311" i="2" s="1"/>
  <c r="AV311" i="2" s="1"/>
  <c r="W315" i="2"/>
  <c r="AS319" i="2"/>
  <c r="AT319" i="2" s="1"/>
  <c r="AU319" i="2" s="1"/>
  <c r="AV319" i="2" s="1"/>
  <c r="W323" i="2"/>
  <c r="AS327" i="2"/>
  <c r="AT327" i="2" s="1"/>
  <c r="AU327" i="2" s="1"/>
  <c r="AV327" i="2" s="1"/>
  <c r="W331" i="2"/>
  <c r="W334" i="2"/>
  <c r="X337" i="2"/>
  <c r="AW341" i="2"/>
  <c r="AX341" i="2" s="1"/>
  <c r="X343" i="2"/>
  <c r="X346" i="2"/>
  <c r="AP350" i="2"/>
  <c r="W351" i="2"/>
  <c r="AP366" i="2"/>
  <c r="AS371" i="2"/>
  <c r="AT371" i="2" s="1"/>
  <c r="AU371" i="2" s="1"/>
  <c r="AV371" i="2" s="1"/>
  <c r="AW372" i="2"/>
  <c r="AX372" i="2" s="1"/>
  <c r="AW381" i="2"/>
  <c r="AX381" i="2" s="1"/>
  <c r="AS381" i="2"/>
  <c r="AT381" i="2" s="1"/>
  <c r="AU381" i="2" s="1"/>
  <c r="AV381" i="2" s="1"/>
  <c r="X291" i="2"/>
  <c r="X299" i="2"/>
  <c r="X307" i="2"/>
  <c r="X315" i="2"/>
  <c r="X323" i="2"/>
  <c r="X331" i="2"/>
  <c r="X334" i="2"/>
  <c r="AS339" i="2"/>
  <c r="AT339" i="2" s="1"/>
  <c r="AU339" i="2" s="1"/>
  <c r="AV339" i="2" s="1"/>
  <c r="AS342" i="2"/>
  <c r="AT342" i="2" s="1"/>
  <c r="AU342" i="2" s="1"/>
  <c r="AV342" i="2" s="1"/>
  <c r="AP347" i="2"/>
  <c r="AO347" i="2"/>
  <c r="X351" i="2"/>
  <c r="AP352" i="2"/>
  <c r="X352" i="2"/>
  <c r="AS354" i="2"/>
  <c r="AT354" i="2" s="1"/>
  <c r="AU354" i="2" s="1"/>
  <c r="AV354" i="2" s="1"/>
  <c r="X357" i="2"/>
  <c r="AW361" i="2"/>
  <c r="AX361" i="2" s="1"/>
  <c r="AP400" i="2"/>
  <c r="AO400" i="2"/>
  <c r="AW434" i="2"/>
  <c r="AX434" i="2" s="1"/>
  <c r="AT449" i="2"/>
  <c r="AU449" i="2" s="1"/>
  <c r="AV449" i="2" s="1"/>
  <c r="AW449" i="2"/>
  <c r="AX449" i="2" s="1"/>
  <c r="AW512" i="2"/>
  <c r="AX512" i="2" s="1"/>
  <c r="AV512" i="2"/>
  <c r="W286" i="2"/>
  <c r="AO312" i="2"/>
  <c r="AO320" i="2"/>
  <c r="Z357" i="2"/>
  <c r="K384" i="1" s="1"/>
  <c r="X358" i="2"/>
  <c r="W358" i="2"/>
  <c r="AW364" i="2"/>
  <c r="AX364" i="2" s="1"/>
  <c r="AP367" i="2"/>
  <c r="AV382" i="2"/>
  <c r="AW382" i="2"/>
  <c r="AX382" i="2" s="1"/>
  <c r="AS421" i="2"/>
  <c r="AT421" i="2" s="1"/>
  <c r="AU421" i="2" s="1"/>
  <c r="AV421" i="2" s="1"/>
  <c r="AW463" i="2"/>
  <c r="AX463" i="2" s="1"/>
  <c r="AT463" i="2"/>
  <c r="AU463" i="2" s="1"/>
  <c r="AV463" i="2" s="1"/>
  <c r="X278" i="2"/>
  <c r="X286" i="2"/>
  <c r="X294" i="2"/>
  <c r="X302" i="2"/>
  <c r="X310" i="2"/>
  <c r="X318" i="2"/>
  <c r="X326" i="2"/>
  <c r="AO334" i="2"/>
  <c r="AO337" i="2"/>
  <c r="J342" i="2"/>
  <c r="AP342" i="2" s="1"/>
  <c r="AO343" i="2"/>
  <c r="AO346" i="2"/>
  <c r="W347" i="2"/>
  <c r="AW349" i="2"/>
  <c r="AX349" i="2" s="1"/>
  <c r="AS350" i="2"/>
  <c r="AT350" i="2" s="1"/>
  <c r="AU350" i="2" s="1"/>
  <c r="AV350" i="2" s="1"/>
  <c r="W352" i="2"/>
  <c r="AT355" i="2"/>
  <c r="AU355" i="2" s="1"/>
  <c r="AV355" i="2" s="1"/>
  <c r="AO359" i="2"/>
  <c r="AS364" i="2"/>
  <c r="AT364" i="2" s="1"/>
  <c r="AU364" i="2" s="1"/>
  <c r="AV364" i="2" s="1"/>
  <c r="AW370" i="2"/>
  <c r="AX370" i="2" s="1"/>
  <c r="X378" i="2"/>
  <c r="W378" i="2"/>
  <c r="AW387" i="2"/>
  <c r="AX387" i="2" s="1"/>
  <c r="AW408" i="2"/>
  <c r="AX408" i="2" s="1"/>
  <c r="AV415" i="2"/>
  <c r="AW415" i="2" s="1"/>
  <c r="AX415" i="2" s="1"/>
  <c r="Z455" i="2"/>
  <c r="K305" i="1" s="1"/>
  <c r="J455" i="2"/>
  <c r="AP455" i="2" s="1"/>
  <c r="W281" i="2"/>
  <c r="W289" i="2"/>
  <c r="W297" i="2"/>
  <c r="AO299" i="2"/>
  <c r="W305" i="2"/>
  <c r="AO307" i="2"/>
  <c r="W313" i="2"/>
  <c r="AO315" i="2"/>
  <c r="W321" i="2"/>
  <c r="AO323" i="2"/>
  <c r="W329" i="2"/>
  <c r="AP337" i="2"/>
  <c r="X347" i="2"/>
  <c r="AO351" i="2"/>
  <c r="AO357" i="2"/>
  <c r="AP360" i="2"/>
  <c r="J363" i="2"/>
  <c r="AO363" i="2" s="1"/>
  <c r="AW365" i="2"/>
  <c r="AX365" i="2" s="1"/>
  <c r="AW367" i="2"/>
  <c r="AX367" i="2" s="1"/>
  <c r="AU398" i="2"/>
  <c r="AV398" i="2" s="1"/>
  <c r="AV444" i="2"/>
  <c r="AW444" i="2" s="1"/>
  <c r="AX444" i="2" s="1"/>
  <c r="X353" i="2"/>
  <c r="W353" i="2"/>
  <c r="AW386" i="2"/>
  <c r="AX386" i="2" s="1"/>
  <c r="AW392" i="2"/>
  <c r="AX392" i="2" s="1"/>
  <c r="AW407" i="2"/>
  <c r="AX407" i="2" s="1"/>
  <c r="X493" i="2"/>
  <c r="AO493" i="2"/>
  <c r="W493" i="2"/>
  <c r="AP493" i="2"/>
  <c r="AP507" i="2"/>
  <c r="AO507" i="2"/>
  <c r="X507" i="2"/>
  <c r="W507" i="2"/>
  <c r="AW356" i="2"/>
  <c r="AX356" i="2" s="1"/>
  <c r="AP358" i="2"/>
  <c r="AW368" i="2"/>
  <c r="AX368" i="2" s="1"/>
  <c r="AP374" i="2"/>
  <c r="AW402" i="2"/>
  <c r="AX402" i="2" s="1"/>
  <c r="AT402" i="2"/>
  <c r="AU402" i="2" s="1"/>
  <c r="AV402" i="2" s="1"/>
  <c r="AV439" i="2"/>
  <c r="AW439" i="2" s="1"/>
  <c r="AX439" i="2" s="1"/>
  <c r="AW452" i="2"/>
  <c r="AX452" i="2" s="1"/>
  <c r="AO514" i="2"/>
  <c r="AS343" i="2"/>
  <c r="AT343" i="2" s="1"/>
  <c r="AU343" i="2" s="1"/>
  <c r="AV343" i="2" s="1"/>
  <c r="AW351" i="2"/>
  <c r="AX351" i="2" s="1"/>
  <c r="AS356" i="2"/>
  <c r="AT356" i="2" s="1"/>
  <c r="AU356" i="2" s="1"/>
  <c r="AV356" i="2" s="1"/>
  <c r="AP373" i="2"/>
  <c r="AO373" i="2"/>
  <c r="AP378" i="2"/>
  <c r="AW379" i="2"/>
  <c r="AX379" i="2" s="1"/>
  <c r="AP392" i="2"/>
  <c r="X413" i="2"/>
  <c r="W413" i="2"/>
  <c r="AP427" i="2"/>
  <c r="X429" i="2"/>
  <c r="W429" i="2"/>
  <c r="AW440" i="2"/>
  <c r="AX440" i="2" s="1"/>
  <c r="AS440" i="2"/>
  <c r="AT440" i="2" s="1"/>
  <c r="AU440" i="2" s="1"/>
  <c r="AV440" i="2" s="1"/>
  <c r="AP458" i="2"/>
  <c r="AO458" i="2"/>
  <c r="X458" i="2"/>
  <c r="W458" i="2"/>
  <c r="AP383" i="2"/>
  <c r="X383" i="2"/>
  <c r="Z386" i="2"/>
  <c r="K354" i="1" s="1"/>
  <c r="AT388" i="2"/>
  <c r="AU388" i="2" s="1"/>
  <c r="AV388" i="2" s="1"/>
  <c r="Z393" i="2"/>
  <c r="K360" i="1" s="1"/>
  <c r="AS399" i="2"/>
  <c r="AT399" i="2" s="1"/>
  <c r="AU399" i="2" s="1"/>
  <c r="AV399" i="2" s="1"/>
  <c r="Z400" i="2"/>
  <c r="K343" i="1" s="1"/>
  <c r="Z404" i="2"/>
  <c r="K362" i="1" s="1"/>
  <c r="J426" i="2"/>
  <c r="AO426" i="2" s="1"/>
  <c r="AO428" i="2"/>
  <c r="AS432" i="2"/>
  <c r="AT432" i="2" s="1"/>
  <c r="AU432" i="2" s="1"/>
  <c r="AV432" i="2" s="1"/>
  <c r="AW441" i="2"/>
  <c r="AX441" i="2" s="1"/>
  <c r="AW443" i="2"/>
  <c r="AX443" i="2" s="1"/>
  <c r="AW446" i="2"/>
  <c r="AX446" i="2" s="1"/>
  <c r="AP457" i="2"/>
  <c r="X457" i="2"/>
  <c r="W457" i="2"/>
  <c r="AW462" i="2"/>
  <c r="AX462" i="2" s="1"/>
  <c r="J466" i="2"/>
  <c r="AP466" i="2" s="1"/>
  <c r="Z466" i="2"/>
  <c r="K285" i="1" s="1"/>
  <c r="AW477" i="2"/>
  <c r="AX477" i="2" s="1"/>
  <c r="AT503" i="2"/>
  <c r="AU503" i="2" s="1"/>
  <c r="AV503" i="2" s="1"/>
  <c r="AO552" i="2"/>
  <c r="AS385" i="2"/>
  <c r="AT385" i="2" s="1"/>
  <c r="AU385" i="2" s="1"/>
  <c r="AV385" i="2" s="1"/>
  <c r="W390" i="2"/>
  <c r="W397" i="2"/>
  <c r="AS411" i="2"/>
  <c r="AT411" i="2" s="1"/>
  <c r="AU411" i="2" s="1"/>
  <c r="AV411" i="2" s="1"/>
  <c r="AS416" i="2"/>
  <c r="AT416" i="2" s="1"/>
  <c r="AU416" i="2" s="1"/>
  <c r="AV416" i="2" s="1"/>
  <c r="AW427" i="2"/>
  <c r="AX427" i="2" s="1"/>
  <c r="W436" i="2"/>
  <c r="J439" i="2"/>
  <c r="AP439" i="2" s="1"/>
  <c r="AP471" i="2"/>
  <c r="AO471" i="2"/>
  <c r="X471" i="2"/>
  <c r="AW486" i="2"/>
  <c r="AX486" i="2" s="1"/>
  <c r="AP515" i="2"/>
  <c r="AO515" i="2"/>
  <c r="X515" i="2"/>
  <c r="AW526" i="2"/>
  <c r="AX526" i="2" s="1"/>
  <c r="AP454" i="2"/>
  <c r="AO454" i="2"/>
  <c r="AP491" i="2"/>
  <c r="AO491" i="2"/>
  <c r="X491" i="2"/>
  <c r="W491" i="2"/>
  <c r="AW494" i="2"/>
  <c r="AX494" i="2" s="1"/>
  <c r="AP512" i="2"/>
  <c r="AO512" i="2"/>
  <c r="AP529" i="2"/>
  <c r="W529" i="2"/>
  <c r="AO529" i="2"/>
  <c r="AS403" i="2"/>
  <c r="AT403" i="2" s="1"/>
  <c r="AU403" i="2" s="1"/>
  <c r="AV403" i="2" s="1"/>
  <c r="AU407" i="2"/>
  <c r="AV407" i="2" s="1"/>
  <c r="AP410" i="2"/>
  <c r="AO413" i="2"/>
  <c r="AP425" i="2"/>
  <c r="AO429" i="2"/>
  <c r="AW433" i="2"/>
  <c r="AX433" i="2" s="1"/>
  <c r="AS434" i="2"/>
  <c r="AT434" i="2" s="1"/>
  <c r="AU434" i="2" s="1"/>
  <c r="AV434" i="2" s="1"/>
  <c r="AP452" i="2"/>
  <c r="AP468" i="2"/>
  <c r="AO468" i="2"/>
  <c r="AP469" i="2"/>
  <c r="W471" i="2"/>
  <c r="AP481" i="2"/>
  <c r="AU501" i="2"/>
  <c r="AV501" i="2" s="1"/>
  <c r="AS509" i="2"/>
  <c r="AT509" i="2" s="1"/>
  <c r="AU509" i="2" s="1"/>
  <c r="AV509" i="2" s="1"/>
  <c r="AT510" i="2"/>
  <c r="AU510" i="2" s="1"/>
  <c r="AV510" i="2" s="1"/>
  <c r="W515" i="2"/>
  <c r="AP377" i="2"/>
  <c r="X380" i="2"/>
  <c r="X387" i="2"/>
  <c r="AP391" i="2"/>
  <c r="X391" i="2"/>
  <c r="J396" i="2"/>
  <c r="AT396" i="2"/>
  <c r="AU396" i="2" s="1"/>
  <c r="AV396" i="2" s="1"/>
  <c r="AO397" i="2"/>
  <c r="J407" i="2"/>
  <c r="AO407" i="2" s="1"/>
  <c r="AP413" i="2"/>
  <c r="W414" i="2"/>
  <c r="W420" i="2"/>
  <c r="AP429" i="2"/>
  <c r="W430" i="2"/>
  <c r="AO436" i="2"/>
  <c r="W454" i="2"/>
  <c r="AO457" i="2"/>
  <c r="AS458" i="2"/>
  <c r="AT458" i="2" s="1"/>
  <c r="AU458" i="2" s="1"/>
  <c r="AV458" i="2" s="1"/>
  <c r="AS474" i="2"/>
  <c r="AT474" i="2" s="1"/>
  <c r="AU474" i="2" s="1"/>
  <c r="AV474" i="2" s="1"/>
  <c r="AU484" i="2"/>
  <c r="AV484" i="2" s="1"/>
  <c r="AW508" i="2"/>
  <c r="AX508" i="2" s="1"/>
  <c r="AW517" i="2"/>
  <c r="AX517" i="2" s="1"/>
  <c r="AS524" i="2"/>
  <c r="AT524" i="2" s="1"/>
  <c r="AU524" i="2" s="1"/>
  <c r="AV524" i="2" s="1"/>
  <c r="X529" i="2"/>
  <c r="AO383" i="2"/>
  <c r="AO390" i="2"/>
  <c r="AP397" i="2"/>
  <c r="W398" i="2"/>
  <c r="W410" i="2"/>
  <c r="X414" i="2"/>
  <c r="AP415" i="2"/>
  <c r="AO415" i="2"/>
  <c r="X415" i="2"/>
  <c r="AW417" i="2"/>
  <c r="AX417" i="2" s="1"/>
  <c r="X420" i="2"/>
  <c r="W425" i="2"/>
  <c r="X430" i="2"/>
  <c r="AP431" i="2"/>
  <c r="AO431" i="2"/>
  <c r="X431" i="2"/>
  <c r="AP436" i="2"/>
  <c r="Z452" i="2"/>
  <c r="X454" i="2"/>
  <c r="AP465" i="2"/>
  <c r="AO465" i="2"/>
  <c r="W468" i="2"/>
  <c r="Z481" i="2"/>
  <c r="K526" i="1" s="1"/>
  <c r="AW493" i="2"/>
  <c r="AX493" i="2" s="1"/>
  <c r="AW499" i="2"/>
  <c r="AX499" i="2" s="1"/>
  <c r="AS517" i="2"/>
  <c r="AT517" i="2" s="1"/>
  <c r="AU517" i="2" s="1"/>
  <c r="AV517" i="2" s="1"/>
  <c r="AO376" i="2"/>
  <c r="AO394" i="2"/>
  <c r="X398" i="2"/>
  <c r="AS400" i="2"/>
  <c r="AT400" i="2" s="1"/>
  <c r="AU400" i="2" s="1"/>
  <c r="AV400" i="2" s="1"/>
  <c r="AO401" i="2"/>
  <c r="AO405" i="2"/>
  <c r="AS408" i="2"/>
  <c r="AT408" i="2" s="1"/>
  <c r="AU408" i="2" s="1"/>
  <c r="AV408" i="2" s="1"/>
  <c r="AO409" i="2"/>
  <c r="X410" i="2"/>
  <c r="AO419" i="2"/>
  <c r="AW435" i="2"/>
  <c r="AX435" i="2" s="1"/>
  <c r="X468" i="2"/>
  <c r="AW491" i="2"/>
  <c r="AX491" i="2" s="1"/>
  <c r="AW498" i="2"/>
  <c r="AX498" i="2" s="1"/>
  <c r="AW516" i="2"/>
  <c r="AX516" i="2" s="1"/>
  <c r="AW551" i="2"/>
  <c r="AX551" i="2" s="1"/>
  <c r="X360" i="2"/>
  <c r="X368" i="2"/>
  <c r="W371" i="2"/>
  <c r="W374" i="2"/>
  <c r="X377" i="2"/>
  <c r="AS379" i="2"/>
  <c r="AT379" i="2" s="1"/>
  <c r="AU379" i="2" s="1"/>
  <c r="AV379" i="2" s="1"/>
  <c r="X384" i="2"/>
  <c r="W388" i="2"/>
  <c r="W395" i="2"/>
  <c r="X402" i="2"/>
  <c r="AP405" i="2"/>
  <c r="W406" i="2"/>
  <c r="AW412" i="2"/>
  <c r="AX412" i="2" s="1"/>
  <c r="AS413" i="2"/>
  <c r="AT413" i="2" s="1"/>
  <c r="AU413" i="2" s="1"/>
  <c r="AV413" i="2" s="1"/>
  <c r="W415" i="2"/>
  <c r="X421" i="2"/>
  <c r="W421" i="2"/>
  <c r="Z425" i="2"/>
  <c r="K317" i="1" s="1"/>
  <c r="W426" i="2"/>
  <c r="AW428" i="2"/>
  <c r="AX428" i="2" s="1"/>
  <c r="AS429" i="2"/>
  <c r="AT429" i="2" s="1"/>
  <c r="AU429" i="2" s="1"/>
  <c r="AV429" i="2" s="1"/>
  <c r="W431" i="2"/>
  <c r="W438" i="2"/>
  <c r="AP441" i="2"/>
  <c r="AP444" i="2"/>
  <c r="AO444" i="2"/>
  <c r="X444" i="2"/>
  <c r="W444" i="2"/>
  <c r="AP449" i="2"/>
  <c r="X449" i="2"/>
  <c r="AP450" i="2"/>
  <c r="AO450" i="2"/>
  <c r="X450" i="2"/>
  <c r="W450" i="2"/>
  <c r="AW457" i="2"/>
  <c r="AX457" i="2" s="1"/>
  <c r="W465" i="2"/>
  <c r="AU472" i="2"/>
  <c r="AV472" i="2" s="1"/>
  <c r="AW473" i="2"/>
  <c r="AX473" i="2" s="1"/>
  <c r="AS491" i="2"/>
  <c r="AT491" i="2" s="1"/>
  <c r="AU491" i="2" s="1"/>
  <c r="AV491" i="2" s="1"/>
  <c r="AS498" i="2"/>
  <c r="AT498" i="2" s="1"/>
  <c r="AU498" i="2" s="1"/>
  <c r="AV498" i="2" s="1"/>
  <c r="AW506" i="2"/>
  <c r="AX506" i="2" s="1"/>
  <c r="AP399" i="2"/>
  <c r="X399" i="2"/>
  <c r="AO414" i="2"/>
  <c r="AO430" i="2"/>
  <c r="AP442" i="2"/>
  <c r="AO442" i="2"/>
  <c r="W442" i="2"/>
  <c r="AP446" i="2"/>
  <c r="AO446" i="2"/>
  <c r="AP447" i="2"/>
  <c r="AP462" i="2"/>
  <c r="AO462" i="2"/>
  <c r="AP463" i="2"/>
  <c r="X465" i="2"/>
  <c r="AP487" i="2"/>
  <c r="AW492" i="2"/>
  <c r="AX492" i="2" s="1"/>
  <c r="AU492" i="2"/>
  <c r="AV492" i="2" s="1"/>
  <c r="AW505" i="2"/>
  <c r="AX505" i="2" s="1"/>
  <c r="J508" i="2"/>
  <c r="AO508" i="2" s="1"/>
  <c r="AO521" i="2"/>
  <c r="Z371" i="2"/>
  <c r="K369" i="1" s="1"/>
  <c r="AO391" i="2"/>
  <c r="Z395" i="2"/>
  <c r="K352" i="1" s="1"/>
  <c r="AO398" i="2"/>
  <c r="AS401" i="2"/>
  <c r="AT401" i="2" s="1"/>
  <c r="AU401" i="2" s="1"/>
  <c r="AV401" i="2" s="1"/>
  <c r="AW404" i="2"/>
  <c r="AX404" i="2" s="1"/>
  <c r="X407" i="2"/>
  <c r="AS409" i="2"/>
  <c r="AT409" i="2" s="1"/>
  <c r="AU409" i="2" s="1"/>
  <c r="AV409" i="2" s="1"/>
  <c r="AO410" i="2"/>
  <c r="AW419" i="2"/>
  <c r="AX419" i="2" s="1"/>
  <c r="AS424" i="2"/>
  <c r="AT424" i="2" s="1"/>
  <c r="AU424" i="2" s="1"/>
  <c r="AV424" i="2" s="1"/>
  <c r="AO425" i="2"/>
  <c r="AP433" i="2"/>
  <c r="Z444" i="2"/>
  <c r="K304" i="1" s="1"/>
  <c r="AT455" i="2"/>
  <c r="AU455" i="2" s="1"/>
  <c r="AV455" i="2" s="1"/>
  <c r="AP460" i="2"/>
  <c r="AS482" i="2"/>
  <c r="AT482" i="2" s="1"/>
  <c r="AU482" i="2" s="1"/>
  <c r="AV482" i="2" s="1"/>
  <c r="AO511" i="2"/>
  <c r="X511" i="2"/>
  <c r="W511" i="2"/>
  <c r="AO539" i="2"/>
  <c r="AP539" i="2"/>
  <c r="X539" i="2"/>
  <c r="W539" i="2"/>
  <c r="AP553" i="2"/>
  <c r="AO553" i="2"/>
  <c r="X553" i="2"/>
  <c r="AO360" i="2"/>
  <c r="AS376" i="2"/>
  <c r="AT376" i="2" s="1"/>
  <c r="AU376" i="2" s="1"/>
  <c r="AV376" i="2" s="1"/>
  <c r="AO377" i="2"/>
  <c r="AO384" i="2"/>
  <c r="W385" i="2"/>
  <c r="W392" i="2"/>
  <c r="W399" i="2"/>
  <c r="AO402" i="2"/>
  <c r="AS419" i="2"/>
  <c r="AT419" i="2" s="1"/>
  <c r="AU419" i="2" s="1"/>
  <c r="AV419" i="2" s="1"/>
  <c r="W427" i="2"/>
  <c r="Z440" i="2"/>
  <c r="K297" i="1" s="1"/>
  <c r="X442" i="2"/>
  <c r="W446" i="2"/>
  <c r="AU452" i="2"/>
  <c r="AV452" i="2" s="1"/>
  <c r="W462" i="2"/>
  <c r="AW469" i="2"/>
  <c r="AX469" i="2" s="1"/>
  <c r="AW470" i="2"/>
  <c r="AX470" i="2" s="1"/>
  <c r="AP475" i="2"/>
  <c r="AO480" i="2"/>
  <c r="AU481" i="2"/>
  <c r="AV481" i="2" s="1"/>
  <c r="Z487" i="2"/>
  <c r="K256" i="1" s="1"/>
  <c r="AW490" i="2"/>
  <c r="AX490" i="2" s="1"/>
  <c r="AW514" i="2"/>
  <c r="AX514" i="2" s="1"/>
  <c r="AS541" i="2"/>
  <c r="AT541" i="2" s="1"/>
  <c r="AU541" i="2" s="1"/>
  <c r="AV541" i="2" s="1"/>
  <c r="AO371" i="2"/>
  <c r="AO374" i="2"/>
  <c r="X385" i="2"/>
  <c r="AO388" i="2"/>
  <c r="AO395" i="2"/>
  <c r="W396" i="2"/>
  <c r="W403" i="2"/>
  <c r="AO406" i="2"/>
  <c r="W407" i="2"/>
  <c r="Z411" i="2"/>
  <c r="K335" i="1" s="1"/>
  <c r="AO421" i="2"/>
  <c r="W433" i="2"/>
  <c r="AP434" i="2"/>
  <c r="AW436" i="2"/>
  <c r="AX436" i="2" s="1"/>
  <c r="AO438" i="2"/>
  <c r="AO445" i="2"/>
  <c r="X446" i="2"/>
  <c r="Z448" i="2"/>
  <c r="K311" i="1" s="1"/>
  <c r="AW453" i="2"/>
  <c r="AX453" i="2" s="1"/>
  <c r="Z460" i="2"/>
  <c r="K289" i="1" s="1"/>
  <c r="X462" i="2"/>
  <c r="AW468" i="2"/>
  <c r="AX468" i="2" s="1"/>
  <c r="AU469" i="2"/>
  <c r="AV469" i="2" s="1"/>
  <c r="J472" i="2"/>
  <c r="AO472" i="2" s="1"/>
  <c r="AP483" i="2"/>
  <c r="AO483" i="2"/>
  <c r="AW497" i="2"/>
  <c r="AX497" i="2" s="1"/>
  <c r="W553" i="2"/>
  <c r="W361" i="2"/>
  <c r="W369" i="2"/>
  <c r="W372" i="2"/>
  <c r="AO381" i="2"/>
  <c r="Z385" i="2"/>
  <c r="K361" i="1" s="1"/>
  <c r="AP393" i="2"/>
  <c r="W412" i="2"/>
  <c r="AP421" i="2"/>
  <c r="W422" i="2"/>
  <c r="Z427" i="2"/>
  <c r="K309" i="1" s="1"/>
  <c r="W428" i="2"/>
  <c r="X433" i="2"/>
  <c r="AO449" i="2"/>
  <c r="AS450" i="2"/>
  <c r="AT450" i="2" s="1"/>
  <c r="AU450" i="2" s="1"/>
  <c r="AV450" i="2" s="1"/>
  <c r="AW451" i="2"/>
  <c r="AX451" i="2" s="1"/>
  <c r="AW466" i="2"/>
  <c r="AX466" i="2" s="1"/>
  <c r="Z475" i="2"/>
  <c r="AO477" i="2"/>
  <c r="AW480" i="2"/>
  <c r="AX480" i="2" s="1"/>
  <c r="AS513" i="2"/>
  <c r="AT513" i="2" s="1"/>
  <c r="AU513" i="2" s="1"/>
  <c r="AV513" i="2" s="1"/>
  <c r="AW513" i="2" s="1"/>
  <c r="AX513" i="2" s="1"/>
  <c r="AO399" i="2"/>
  <c r="Z403" i="2"/>
  <c r="K359" i="1" s="1"/>
  <c r="AP418" i="2"/>
  <c r="AP423" i="2"/>
  <c r="AO423" i="2"/>
  <c r="X423" i="2"/>
  <c r="Z433" i="2"/>
  <c r="K169" i="1" s="1"/>
  <c r="AO441" i="2"/>
  <c r="AW442" i="2"/>
  <c r="AX442" i="2" s="1"/>
  <c r="AW465" i="2"/>
  <c r="AX465" i="2" s="1"/>
  <c r="AP484" i="2"/>
  <c r="AW488" i="2"/>
  <c r="AX488" i="2" s="1"/>
  <c r="AW489" i="2"/>
  <c r="AX489" i="2" s="1"/>
  <c r="AO500" i="2"/>
  <c r="X500" i="2"/>
  <c r="W500" i="2"/>
  <c r="AO503" i="2"/>
  <c r="AW504" i="2"/>
  <c r="AX504" i="2" s="1"/>
  <c r="AP508" i="2"/>
  <c r="AP511" i="2"/>
  <c r="AW527" i="2"/>
  <c r="AX527" i="2" s="1"/>
  <c r="W531" i="2"/>
  <c r="AO531" i="2"/>
  <c r="X531" i="2"/>
  <c r="AW533" i="2"/>
  <c r="AX533" i="2" s="1"/>
  <c r="AT533" i="2"/>
  <c r="AU533" i="2" s="1"/>
  <c r="AV533" i="2" s="1"/>
  <c r="AO516" i="2"/>
  <c r="AO532" i="2"/>
  <c r="AP532" i="2"/>
  <c r="AP550" i="2"/>
  <c r="AO550" i="2"/>
  <c r="X550" i="2"/>
  <c r="W550" i="2"/>
  <c r="AS479" i="2"/>
  <c r="AT479" i="2" s="1"/>
  <c r="AU479" i="2" s="1"/>
  <c r="AV479" i="2" s="1"/>
  <c r="J485" i="2"/>
  <c r="AT485" i="2"/>
  <c r="AU485" i="2" s="1"/>
  <c r="AV485" i="2" s="1"/>
  <c r="J488" i="2"/>
  <c r="AO488" i="2" s="1"/>
  <c r="AS495" i="2"/>
  <c r="AT495" i="2" s="1"/>
  <c r="AU495" i="2" s="1"/>
  <c r="AV495" i="2" s="1"/>
  <c r="AS502" i="2"/>
  <c r="AT502" i="2" s="1"/>
  <c r="AU502" i="2" s="1"/>
  <c r="AV502" i="2" s="1"/>
  <c r="AS518" i="2"/>
  <c r="AT518" i="2" s="1"/>
  <c r="AU518" i="2" s="1"/>
  <c r="AV518" i="2" s="1"/>
  <c r="AS525" i="2"/>
  <c r="AT525" i="2" s="1"/>
  <c r="AU525" i="2" s="1"/>
  <c r="AV525" i="2" s="1"/>
  <c r="AS558" i="2"/>
  <c r="AT558" i="2" s="1"/>
  <c r="AU558" i="2" s="1"/>
  <c r="AV558" i="2" s="1"/>
  <c r="AS574" i="2"/>
  <c r="AT574" i="2" s="1"/>
  <c r="AU574" i="2" s="1"/>
  <c r="AV574" i="2" s="1"/>
  <c r="AW574" i="2"/>
  <c r="AX574" i="2" s="1"/>
  <c r="W490" i="2"/>
  <c r="W497" i="2"/>
  <c r="W504" i="2"/>
  <c r="W516" i="2"/>
  <c r="W522" i="2"/>
  <c r="AO522" i="2"/>
  <c r="W532" i="2"/>
  <c r="AP537" i="2"/>
  <c r="AO537" i="2"/>
  <c r="X537" i="2"/>
  <c r="W537" i="2"/>
  <c r="AW573" i="2"/>
  <c r="AX573" i="2" s="1"/>
  <c r="AS584" i="2"/>
  <c r="AT584" i="2" s="1"/>
  <c r="AU584" i="2" s="1"/>
  <c r="AV584" i="2" s="1"/>
  <c r="AS448" i="2"/>
  <c r="AT448" i="2" s="1"/>
  <c r="AU448" i="2" s="1"/>
  <c r="AV448" i="2" s="1"/>
  <c r="W452" i="2"/>
  <c r="AS456" i="2"/>
  <c r="AT456" i="2" s="1"/>
  <c r="AU456" i="2" s="1"/>
  <c r="AV456" i="2" s="1"/>
  <c r="W460" i="2"/>
  <c r="W475" i="2"/>
  <c r="W481" i="2"/>
  <c r="W484" i="2"/>
  <c r="W487" i="2"/>
  <c r="X490" i="2"/>
  <c r="X497" i="2"/>
  <c r="AS499" i="2"/>
  <c r="AT499" i="2" s="1"/>
  <c r="AU499" i="2" s="1"/>
  <c r="AV499" i="2" s="1"/>
  <c r="X504" i="2"/>
  <c r="X516" i="2"/>
  <c r="AW519" i="2"/>
  <c r="AX519" i="2" s="1"/>
  <c r="X532" i="2"/>
  <c r="AO571" i="2"/>
  <c r="AP571" i="2"/>
  <c r="X571" i="2"/>
  <c r="W571" i="2"/>
  <c r="AU573" i="2"/>
  <c r="AV573" i="2" s="1"/>
  <c r="X452" i="2"/>
  <c r="X460" i="2"/>
  <c r="W466" i="2"/>
  <c r="W469" i="2"/>
  <c r="W472" i="2"/>
  <c r="X475" i="2"/>
  <c r="W478" i="2"/>
  <c r="X481" i="2"/>
  <c r="X484" i="2"/>
  <c r="X487" i="2"/>
  <c r="W508" i="2"/>
  <c r="AS520" i="2"/>
  <c r="AT520" i="2" s="1"/>
  <c r="AU520" i="2" s="1"/>
  <c r="AV520" i="2" s="1"/>
  <c r="X522" i="2"/>
  <c r="AO523" i="2"/>
  <c r="AS528" i="2"/>
  <c r="AT528" i="2" s="1"/>
  <c r="AU528" i="2" s="1"/>
  <c r="AV528" i="2" s="1"/>
  <c r="AW530" i="2"/>
  <c r="AX530" i="2" s="1"/>
  <c r="J544" i="2"/>
  <c r="AT551" i="2"/>
  <c r="AU551" i="2" s="1"/>
  <c r="AV551" i="2" s="1"/>
  <c r="AW556" i="2"/>
  <c r="AX556" i="2" s="1"/>
  <c r="AW557" i="2"/>
  <c r="AX557" i="2" s="1"/>
  <c r="J585" i="2"/>
  <c r="Z585" i="2"/>
  <c r="K151" i="1" s="1"/>
  <c r="AS542" i="2"/>
  <c r="AT542" i="2" s="1"/>
  <c r="AU542" i="2" s="1"/>
  <c r="AV542" i="2" s="1"/>
  <c r="AW542" i="2"/>
  <c r="AX542" i="2" s="1"/>
  <c r="W546" i="2"/>
  <c r="AP546" i="2"/>
  <c r="AO546" i="2"/>
  <c r="AW553" i="2"/>
  <c r="AX553" i="2" s="1"/>
  <c r="AV553" i="2"/>
  <c r="Z559" i="2"/>
  <c r="K180" i="1" s="1"/>
  <c r="J559" i="2"/>
  <c r="AP559" i="2" s="1"/>
  <c r="W650" i="2"/>
  <c r="AP650" i="2"/>
  <c r="AO650" i="2"/>
  <c r="X650" i="2"/>
  <c r="X439" i="2"/>
  <c r="X447" i="2"/>
  <c r="X455" i="2"/>
  <c r="X463" i="2"/>
  <c r="AP488" i="2"/>
  <c r="AO490" i="2"/>
  <c r="W494" i="2"/>
  <c r="AO497" i="2"/>
  <c r="W498" i="2"/>
  <c r="AO504" i="2"/>
  <c r="W505" i="2"/>
  <c r="AW515" i="2"/>
  <c r="AX515" i="2" s="1"/>
  <c r="AP516" i="2"/>
  <c r="J520" i="2"/>
  <c r="AW529" i="2"/>
  <c r="AX529" i="2" s="1"/>
  <c r="AS537" i="2"/>
  <c r="AT537" i="2" s="1"/>
  <c r="AU537" i="2" s="1"/>
  <c r="AV537" i="2" s="1"/>
  <c r="AW538" i="2"/>
  <c r="AX538" i="2" s="1"/>
  <c r="AS538" i="2"/>
  <c r="AT538" i="2" s="1"/>
  <c r="AU538" i="2" s="1"/>
  <c r="AV538" i="2" s="1"/>
  <c r="AW554" i="2"/>
  <c r="AX554" i="2" s="1"/>
  <c r="AW555" i="2"/>
  <c r="AX555" i="2" s="1"/>
  <c r="AS555" i="2"/>
  <c r="AT555" i="2" s="1"/>
  <c r="AU555" i="2" s="1"/>
  <c r="AV555" i="2" s="1"/>
  <c r="AW567" i="2"/>
  <c r="AX567" i="2" s="1"/>
  <c r="AW583" i="2"/>
  <c r="AX583" i="2" s="1"/>
  <c r="AS583" i="2"/>
  <c r="AT583" i="2" s="1"/>
  <c r="AU583" i="2" s="1"/>
  <c r="AV583" i="2" s="1"/>
  <c r="AO452" i="2"/>
  <c r="AO460" i="2"/>
  <c r="AO475" i="2"/>
  <c r="AO478" i="2"/>
  <c r="AO481" i="2"/>
  <c r="AO484" i="2"/>
  <c r="AO487" i="2"/>
  <c r="X498" i="2"/>
  <c r="X505" i="2"/>
  <c r="W509" i="2"/>
  <c r="AP522" i="2"/>
  <c r="AO524" i="2"/>
  <c r="W524" i="2"/>
  <c r="AW540" i="2"/>
  <c r="AX540" i="2" s="1"/>
  <c r="X546" i="2"/>
  <c r="Z561" i="2"/>
  <c r="K203" i="1" s="1"/>
  <c r="AO466" i="2"/>
  <c r="AO469" i="2"/>
  <c r="AP478" i="2"/>
  <c r="Z498" i="2"/>
  <c r="K241" i="1" s="1"/>
  <c r="Z505" i="2"/>
  <c r="K246" i="1" s="1"/>
  <c r="Z527" i="2"/>
  <c r="K213" i="1" s="1"/>
  <c r="J527" i="2"/>
  <c r="AP527" i="2" s="1"/>
  <c r="AW532" i="2"/>
  <c r="AX532" i="2" s="1"/>
  <c r="AT532" i="2"/>
  <c r="AU532" i="2" s="1"/>
  <c r="AV532" i="2" s="1"/>
  <c r="AW548" i="2"/>
  <c r="AX548" i="2" s="1"/>
  <c r="X570" i="2"/>
  <c r="W570" i="2"/>
  <c r="AS576" i="2"/>
  <c r="AT576" i="2" s="1"/>
  <c r="AU576" i="2" s="1"/>
  <c r="AV576" i="2" s="1"/>
  <c r="AW624" i="2"/>
  <c r="AX624" i="2" s="1"/>
  <c r="AP640" i="2"/>
  <c r="AO640" i="2"/>
  <c r="X640" i="2"/>
  <c r="W640" i="2"/>
  <c r="W437" i="2"/>
  <c r="AO439" i="2"/>
  <c r="W445" i="2"/>
  <c r="AO447" i="2"/>
  <c r="W453" i="2"/>
  <c r="AO455" i="2"/>
  <c r="W461" i="2"/>
  <c r="AO463" i="2"/>
  <c r="W467" i="2"/>
  <c r="W473" i="2"/>
  <c r="W476" i="2"/>
  <c r="W479" i="2"/>
  <c r="AT493" i="2"/>
  <c r="AU493" i="2" s="1"/>
  <c r="AV493" i="2" s="1"/>
  <c r="AO494" i="2"/>
  <c r="AT500" i="2"/>
  <c r="AU500" i="2" s="1"/>
  <c r="AV500" i="2" s="1"/>
  <c r="AP501" i="2"/>
  <c r="X509" i="2"/>
  <c r="W513" i="2"/>
  <c r="AP518" i="2"/>
  <c r="X524" i="2"/>
  <c r="W525" i="2"/>
  <c r="AS534" i="2"/>
  <c r="AT534" i="2" s="1"/>
  <c r="AU534" i="2" s="1"/>
  <c r="AV534" i="2" s="1"/>
  <c r="AW534" i="2"/>
  <c r="AX534" i="2" s="1"/>
  <c r="Z545" i="2"/>
  <c r="K210" i="1" s="1"/>
  <c r="AS548" i="2"/>
  <c r="AT548" i="2" s="1"/>
  <c r="AU548" i="2" s="1"/>
  <c r="AV548" i="2" s="1"/>
  <c r="J551" i="2"/>
  <c r="AP551" i="2" s="1"/>
  <c r="AW562" i="2"/>
  <c r="AX562" i="2" s="1"/>
  <c r="J593" i="2"/>
  <c r="AP593" i="2" s="1"/>
  <c r="Z593" i="2"/>
  <c r="K150" i="1" s="1"/>
  <c r="W464" i="2"/>
  <c r="W470" i="2"/>
  <c r="Z482" i="2"/>
  <c r="K263" i="1" s="1"/>
  <c r="AP494" i="2"/>
  <c r="W495" i="2"/>
  <c r="AO498" i="2"/>
  <c r="W502" i="2"/>
  <c r="AO505" i="2"/>
  <c r="W506" i="2"/>
  <c r="X513" i="2"/>
  <c r="W514" i="2"/>
  <c r="AO517" i="2"/>
  <c r="AO519" i="2"/>
  <c r="X519" i="2"/>
  <c r="AS546" i="2"/>
  <c r="AT546" i="2" s="1"/>
  <c r="AU546" i="2" s="1"/>
  <c r="AV546" i="2" s="1"/>
  <c r="AT562" i="2"/>
  <c r="AU562" i="2" s="1"/>
  <c r="AV562" i="2" s="1"/>
  <c r="AW566" i="2"/>
  <c r="AX566" i="2" s="1"/>
  <c r="J572" i="2"/>
  <c r="Z572" i="2"/>
  <c r="K186" i="1" s="1"/>
  <c r="AW628" i="2"/>
  <c r="AX628" i="2" s="1"/>
  <c r="AT628" i="2"/>
  <c r="AU628" i="2" s="1"/>
  <c r="AV628" i="2" s="1"/>
  <c r="X464" i="2"/>
  <c r="X495" i="2"/>
  <c r="AW511" i="2"/>
  <c r="AX511" i="2" s="1"/>
  <c r="AW521" i="2"/>
  <c r="AX521" i="2" s="1"/>
  <c r="AP526" i="2"/>
  <c r="W526" i="2"/>
  <c r="AW565" i="2"/>
  <c r="AX565" i="2" s="1"/>
  <c r="AP480" i="2"/>
  <c r="AP496" i="2"/>
  <c r="AP503" i="2"/>
  <c r="Z506" i="2"/>
  <c r="K250" i="1" s="1"/>
  <c r="AO509" i="2"/>
  <c r="X514" i="2"/>
  <c r="X518" i="2"/>
  <c r="W519" i="2"/>
  <c r="AW523" i="2"/>
  <c r="AX523" i="2" s="1"/>
  <c r="AP524" i="2"/>
  <c r="AO543" i="2"/>
  <c r="X543" i="2"/>
  <c r="W543" i="2"/>
  <c r="AP558" i="2"/>
  <c r="AO558" i="2"/>
  <c r="X558" i="2"/>
  <c r="W558" i="2"/>
  <c r="AW561" i="2"/>
  <c r="AX561" i="2" s="1"/>
  <c r="AT591" i="2"/>
  <c r="AU591" i="2" s="1"/>
  <c r="AV591" i="2" s="1"/>
  <c r="AS575" i="2"/>
  <c r="AT575" i="2" s="1"/>
  <c r="AU575" i="2" s="1"/>
  <c r="AV575" i="2" s="1"/>
  <c r="AW580" i="2"/>
  <c r="AX580" i="2" s="1"/>
  <c r="AT604" i="2"/>
  <c r="AU604" i="2" s="1"/>
  <c r="AV604" i="2" s="1"/>
  <c r="AT609" i="2"/>
  <c r="AU609" i="2" s="1"/>
  <c r="AV609" i="2" s="1"/>
  <c r="Z662" i="2"/>
  <c r="K66" i="1" s="1"/>
  <c r="J662" i="2"/>
  <c r="AO662" i="2" s="1"/>
  <c r="AW552" i="2"/>
  <c r="AX552" i="2" s="1"/>
  <c r="AW568" i="2"/>
  <c r="AX568" i="2" s="1"/>
  <c r="AP572" i="2"/>
  <c r="AS579" i="2"/>
  <c r="AT579" i="2" s="1"/>
  <c r="AU579" i="2" s="1"/>
  <c r="AV579" i="2" s="1"/>
  <c r="AS580" i="2"/>
  <c r="AT580" i="2" s="1"/>
  <c r="AU580" i="2" s="1"/>
  <c r="AV580" i="2" s="1"/>
  <c r="AW581" i="2"/>
  <c r="AX581" i="2" s="1"/>
  <c r="AU646" i="2"/>
  <c r="AV646" i="2" s="1"/>
  <c r="AO540" i="2"/>
  <c r="AS552" i="2"/>
  <c r="AT552" i="2" s="1"/>
  <c r="AU552" i="2" s="1"/>
  <c r="AV552" i="2" s="1"/>
  <c r="AW563" i="2"/>
  <c r="AX563" i="2" s="1"/>
  <c r="AS568" i="2"/>
  <c r="AT568" i="2" s="1"/>
  <c r="AU568" i="2" s="1"/>
  <c r="AV568" i="2" s="1"/>
  <c r="AW577" i="2"/>
  <c r="AX577" i="2" s="1"/>
  <c r="AU581" i="2"/>
  <c r="AV581" i="2" s="1"/>
  <c r="AW582" i="2"/>
  <c r="AX582" i="2" s="1"/>
  <c r="AW589" i="2"/>
  <c r="AX589" i="2" s="1"/>
  <c r="J638" i="2"/>
  <c r="AO638" i="2" s="1"/>
  <c r="Z638" i="2"/>
  <c r="K68" i="1" s="1"/>
  <c r="AW531" i="2"/>
  <c r="AX531" i="2" s="1"/>
  <c r="W533" i="2"/>
  <c r="J552" i="2"/>
  <c r="AP552" i="2" s="1"/>
  <c r="W561" i="2"/>
  <c r="AS563" i="2"/>
  <c r="AT563" i="2" s="1"/>
  <c r="AU563" i="2" s="1"/>
  <c r="AV563" i="2" s="1"/>
  <c r="AW578" i="2"/>
  <c r="AX578" i="2" s="1"/>
  <c r="AT589" i="2"/>
  <c r="AU589" i="2" s="1"/>
  <c r="AV589" i="2" s="1"/>
  <c r="AW603" i="2"/>
  <c r="AX603" i="2" s="1"/>
  <c r="AT636" i="2"/>
  <c r="AU636" i="2" s="1"/>
  <c r="AV636" i="2" s="1"/>
  <c r="AW669" i="2"/>
  <c r="AX669" i="2" s="1"/>
  <c r="X561" i="2"/>
  <c r="J576" i="2"/>
  <c r="AP576" i="2" s="1"/>
  <c r="J581" i="2"/>
  <c r="AP581" i="2" s="1"/>
  <c r="AW595" i="2"/>
  <c r="AX595" i="2" s="1"/>
  <c r="AT608" i="2"/>
  <c r="AU608" i="2" s="1"/>
  <c r="AV608" i="2" s="1"/>
  <c r="AW608" i="2"/>
  <c r="AX608" i="2" s="1"/>
  <c r="AO593" i="2"/>
  <c r="AP616" i="2"/>
  <c r="AO616" i="2"/>
  <c r="X616" i="2"/>
  <c r="W616" i="2"/>
  <c r="Z633" i="2"/>
  <c r="K122" i="1" s="1"/>
  <c r="J633" i="2"/>
  <c r="AP633" i="2" s="1"/>
  <c r="W530" i="2"/>
  <c r="AW545" i="2"/>
  <c r="AX545" i="2" s="1"/>
  <c r="AO548" i="2"/>
  <c r="W551" i="2"/>
  <c r="AW560" i="2"/>
  <c r="AX560" i="2" s="1"/>
  <c r="X562" i="2"/>
  <c r="W562" i="2"/>
  <c r="AS587" i="2"/>
  <c r="AT587" i="2" s="1"/>
  <c r="AU587" i="2" s="1"/>
  <c r="AV587" i="2" s="1"/>
  <c r="AP592" i="2"/>
  <c r="X592" i="2"/>
  <c r="W592" i="2"/>
  <c r="AW594" i="2"/>
  <c r="AX594" i="2" s="1"/>
  <c r="AS607" i="2"/>
  <c r="AT607" i="2" s="1"/>
  <c r="AU607" i="2" s="1"/>
  <c r="AV607" i="2" s="1"/>
  <c r="AT612" i="2"/>
  <c r="AU612" i="2" s="1"/>
  <c r="AV612" i="2" s="1"/>
  <c r="AW631" i="2"/>
  <c r="AX631" i="2" s="1"/>
  <c r="AW539" i="2"/>
  <c r="AX539" i="2" s="1"/>
  <c r="AO561" i="2"/>
  <c r="W566" i="2"/>
  <c r="AW570" i="2"/>
  <c r="AX570" i="2" s="1"/>
  <c r="AS602" i="2"/>
  <c r="AT602" i="2" s="1"/>
  <c r="AU602" i="2" s="1"/>
  <c r="AV602" i="2" s="1"/>
  <c r="AW606" i="2"/>
  <c r="AX606" i="2" s="1"/>
  <c r="AW630" i="2"/>
  <c r="AX630" i="2" s="1"/>
  <c r="Z674" i="2"/>
  <c r="K60" i="1" s="1"/>
  <c r="J674" i="2"/>
  <c r="AP674" i="2" s="1"/>
  <c r="AS693" i="2"/>
  <c r="AT693" i="2" s="1"/>
  <c r="AU693" i="2" s="1"/>
  <c r="AV693" i="2" s="1"/>
  <c r="AO527" i="2"/>
  <c r="AS539" i="2"/>
  <c r="AT539" i="2" s="1"/>
  <c r="AU539" i="2" s="1"/>
  <c r="AV539" i="2" s="1"/>
  <c r="AP540" i="2"/>
  <c r="AS543" i="2"/>
  <c r="AT543" i="2" s="1"/>
  <c r="AU543" i="2" s="1"/>
  <c r="AV543" i="2" s="1"/>
  <c r="AS571" i="2"/>
  <c r="AT571" i="2" s="1"/>
  <c r="AU571" i="2" s="1"/>
  <c r="AV571" i="2" s="1"/>
  <c r="AW572" i="2"/>
  <c r="AX572" i="2" s="1"/>
  <c r="AS586" i="2"/>
  <c r="AT586" i="2" s="1"/>
  <c r="AU586" i="2" s="1"/>
  <c r="AV586" i="2" s="1"/>
  <c r="AS606" i="2"/>
  <c r="AT606" i="2" s="1"/>
  <c r="AU606" i="2" s="1"/>
  <c r="AV606" i="2" s="1"/>
  <c r="AT611" i="2"/>
  <c r="AU611" i="2" s="1"/>
  <c r="AV611" i="2" s="1"/>
  <c r="AW536" i="2"/>
  <c r="AX536" i="2" s="1"/>
  <c r="J546" i="2"/>
  <c r="W567" i="2"/>
  <c r="AO575" i="2"/>
  <c r="AP580" i="2"/>
  <c r="AP595" i="2"/>
  <c r="AO595" i="2"/>
  <c r="J618" i="2"/>
  <c r="Z618" i="2"/>
  <c r="K133" i="1" s="1"/>
  <c r="AW649" i="2"/>
  <c r="AX649" i="2" s="1"/>
  <c r="AO566" i="2"/>
  <c r="AU585" i="2"/>
  <c r="AV585" i="2" s="1"/>
  <c r="AO592" i="2"/>
  <c r="AV593" i="2"/>
  <c r="AW593" i="2" s="1"/>
  <c r="AX593" i="2" s="1"/>
  <c r="AT599" i="2"/>
  <c r="AU599" i="2" s="1"/>
  <c r="AV599" i="2" s="1"/>
  <c r="AW662" i="2"/>
  <c r="AX662" i="2" s="1"/>
  <c r="AS666" i="2"/>
  <c r="AT666" i="2" s="1"/>
  <c r="AU666" i="2" s="1"/>
  <c r="AV666" i="2" s="1"/>
  <c r="AU667" i="2"/>
  <c r="AV667" i="2" s="1"/>
  <c r="AW667" i="2"/>
  <c r="AX667" i="2" s="1"/>
  <c r="X527" i="2"/>
  <c r="W545" i="2"/>
  <c r="AW547" i="2"/>
  <c r="AX547" i="2" s="1"/>
  <c r="AO556" i="2"/>
  <c r="W559" i="2"/>
  <c r="W563" i="2"/>
  <c r="AP566" i="2"/>
  <c r="W575" i="2"/>
  <c r="AO579" i="2"/>
  <c r="X579" i="2"/>
  <c r="W579" i="2"/>
  <c r="AW598" i="2"/>
  <c r="AX598" i="2" s="1"/>
  <c r="AV601" i="2"/>
  <c r="AW601" i="2" s="1"/>
  <c r="AX601" i="2" s="1"/>
  <c r="AP626" i="2"/>
  <c r="AO626" i="2"/>
  <c r="AV638" i="2"/>
  <c r="AW638" i="2" s="1"/>
  <c r="AX638" i="2" s="1"/>
  <c r="AW643" i="2"/>
  <c r="AX643" i="2" s="1"/>
  <c r="Z687" i="2"/>
  <c r="K44" i="1" s="1"/>
  <c r="J687" i="2"/>
  <c r="AP687" i="2" s="1"/>
  <c r="AO535" i="2"/>
  <c r="X538" i="2"/>
  <c r="AS547" i="2"/>
  <c r="AT547" i="2" s="1"/>
  <c r="AU547" i="2" s="1"/>
  <c r="AV547" i="2" s="1"/>
  <c r="AP548" i="2"/>
  <c r="AW550" i="2"/>
  <c r="AX550" i="2" s="1"/>
  <c r="X559" i="2"/>
  <c r="AP564" i="2"/>
  <c r="AO564" i="2"/>
  <c r="AP567" i="2"/>
  <c r="X575" i="2"/>
  <c r="AP596" i="2"/>
  <c r="AO596" i="2"/>
  <c r="X596" i="2"/>
  <c r="W596" i="2"/>
  <c r="AW605" i="2"/>
  <c r="AX605" i="2" s="1"/>
  <c r="AT605" i="2"/>
  <c r="AU605" i="2" s="1"/>
  <c r="AV605" i="2" s="1"/>
  <c r="AT610" i="2"/>
  <c r="AU610" i="2" s="1"/>
  <c r="AV610" i="2" s="1"/>
  <c r="AW610" i="2"/>
  <c r="AX610" i="2" s="1"/>
  <c r="AT634" i="2"/>
  <c r="AU634" i="2" s="1"/>
  <c r="AV634" i="2" s="1"/>
  <c r="AW642" i="2"/>
  <c r="AX642" i="2" s="1"/>
  <c r="AS652" i="2"/>
  <c r="AT652" i="2" s="1"/>
  <c r="AU652" i="2" s="1"/>
  <c r="AV652" i="2" s="1"/>
  <c r="AT618" i="2"/>
  <c r="AU618" i="2" s="1"/>
  <c r="AV618" i="2" s="1"/>
  <c r="AP627" i="2"/>
  <c r="X627" i="2"/>
  <c r="W627" i="2"/>
  <c r="AP628" i="2"/>
  <c r="AO628" i="2"/>
  <c r="X628" i="2"/>
  <c r="W628" i="2"/>
  <c r="AT641" i="2"/>
  <c r="AU641" i="2" s="1"/>
  <c r="AV641" i="2" s="1"/>
  <c r="AW671" i="2"/>
  <c r="AX671" i="2" s="1"/>
  <c r="Z673" i="2"/>
  <c r="K48" i="1" s="1"/>
  <c r="J673" i="2"/>
  <c r="J680" i="2"/>
  <c r="Z680" i="2"/>
  <c r="K54" i="1" s="1"/>
  <c r="AS692" i="2"/>
  <c r="AT692" i="2" s="1"/>
  <c r="AU692" i="2" s="1"/>
  <c r="AV692" i="2" s="1"/>
  <c r="AW692" i="2"/>
  <c r="AX692" i="2" s="1"/>
  <c r="AP614" i="2"/>
  <c r="Z625" i="2"/>
  <c r="K139" i="1" s="1"/>
  <c r="J625" i="2"/>
  <c r="AP625" i="2" s="1"/>
  <c r="AW647" i="2"/>
  <c r="AX647" i="2" s="1"/>
  <c r="Z655" i="2"/>
  <c r="K198" i="1" s="1"/>
  <c r="J655" i="2"/>
  <c r="AP655" i="2" s="1"/>
  <c r="AW659" i="2"/>
  <c r="AX659" i="2" s="1"/>
  <c r="AT659" i="2"/>
  <c r="AU659" i="2" s="1"/>
  <c r="AV659" i="2" s="1"/>
  <c r="AP675" i="2"/>
  <c r="AO675" i="2"/>
  <c r="X675" i="2"/>
  <c r="AO677" i="2"/>
  <c r="AU685" i="2"/>
  <c r="AV685" i="2" s="1"/>
  <c r="W574" i="2"/>
  <c r="W582" i="2"/>
  <c r="W588" i="2"/>
  <c r="J603" i="2"/>
  <c r="AP603" i="2" s="1"/>
  <c r="AT617" i="2"/>
  <c r="AU617" i="2" s="1"/>
  <c r="AV617" i="2" s="1"/>
  <c r="AW623" i="2"/>
  <c r="AX623" i="2" s="1"/>
  <c r="AT629" i="2"/>
  <c r="AU629" i="2" s="1"/>
  <c r="AV629" i="2" s="1"/>
  <c r="AW635" i="2"/>
  <c r="AX635" i="2" s="1"/>
  <c r="AW653" i="2"/>
  <c r="AX653" i="2" s="1"/>
  <c r="AW658" i="2"/>
  <c r="AX658" i="2" s="1"/>
  <c r="AW665" i="2"/>
  <c r="AX665" i="2" s="1"/>
  <c r="AO674" i="2"/>
  <c r="AV678" i="2"/>
  <c r="AW678" i="2" s="1"/>
  <c r="AX678" i="2" s="1"/>
  <c r="AS684" i="2"/>
  <c r="AT684" i="2" s="1"/>
  <c r="AU684" i="2" s="1"/>
  <c r="AV684" i="2" s="1"/>
  <c r="J570" i="2"/>
  <c r="AP570" i="2" s="1"/>
  <c r="J578" i="2"/>
  <c r="AP578" i="2" s="1"/>
  <c r="W585" i="2"/>
  <c r="X588" i="2"/>
  <c r="W597" i="2"/>
  <c r="AP598" i="2"/>
  <c r="X598" i="2"/>
  <c r="W598" i="2"/>
  <c r="AO627" i="2"/>
  <c r="Z642" i="2"/>
  <c r="K99" i="1" s="1"/>
  <c r="J642" i="2"/>
  <c r="AP642" i="2" s="1"/>
  <c r="W675" i="2"/>
  <c r="W682" i="2"/>
  <c r="AP682" i="2"/>
  <c r="AO682" i="2"/>
  <c r="W599" i="2"/>
  <c r="AP599" i="2"/>
  <c r="AP600" i="2"/>
  <c r="AO600" i="2"/>
  <c r="AP613" i="2"/>
  <c r="AP620" i="2"/>
  <c r="AO620" i="2"/>
  <c r="X620" i="2"/>
  <c r="W620" i="2"/>
  <c r="AP632" i="2"/>
  <c r="AO632" i="2"/>
  <c r="X632" i="2"/>
  <c r="AP637" i="2"/>
  <c r="AW640" i="2"/>
  <c r="AX640" i="2" s="1"/>
  <c r="AW676" i="2"/>
  <c r="AX676" i="2" s="1"/>
  <c r="AS677" i="2"/>
  <c r="AT677" i="2" s="1"/>
  <c r="AU677" i="2" s="1"/>
  <c r="AV677" i="2" s="1"/>
  <c r="AW691" i="2"/>
  <c r="AX691" i="2" s="1"/>
  <c r="AO696" i="2"/>
  <c r="Z698" i="2"/>
  <c r="K25" i="1" s="1"/>
  <c r="J698" i="2"/>
  <c r="AP698" i="2" s="1"/>
  <c r="AS670" i="2"/>
  <c r="AT670" i="2" s="1"/>
  <c r="AU670" i="2" s="1"/>
  <c r="AV670" i="2" s="1"/>
  <c r="X682" i="2"/>
  <c r="AT689" i="2"/>
  <c r="AU689" i="2" s="1"/>
  <c r="AV689" i="2" s="1"/>
  <c r="AT621" i="2"/>
  <c r="AU621" i="2" s="1"/>
  <c r="AV621" i="2" s="1"/>
  <c r="Z641" i="2"/>
  <c r="K483" i="1" s="1"/>
  <c r="J641" i="2"/>
  <c r="AP641" i="2" s="1"/>
  <c r="AP643" i="2"/>
  <c r="AO643" i="2"/>
  <c r="X643" i="2"/>
  <c r="AO645" i="2"/>
  <c r="AO605" i="2"/>
  <c r="X605" i="2"/>
  <c r="AP608" i="2"/>
  <c r="AO608" i="2"/>
  <c r="AP612" i="2"/>
  <c r="X612" i="2"/>
  <c r="W612" i="2"/>
  <c r="AP619" i="2"/>
  <c r="X619" i="2"/>
  <c r="W619" i="2"/>
  <c r="AT633" i="2"/>
  <c r="AU633" i="2" s="1"/>
  <c r="AV633" i="2" s="1"/>
  <c r="AW639" i="2"/>
  <c r="AX639" i="2" s="1"/>
  <c r="AO642" i="2"/>
  <c r="AW657" i="2"/>
  <c r="AX657" i="2" s="1"/>
  <c r="AT657" i="2"/>
  <c r="AU657" i="2" s="1"/>
  <c r="AV657" i="2" s="1"/>
  <c r="AS663" i="2"/>
  <c r="AT663" i="2" s="1"/>
  <c r="AU663" i="2" s="1"/>
  <c r="AV663" i="2" s="1"/>
  <c r="AT669" i="2"/>
  <c r="AU669" i="2" s="1"/>
  <c r="AV669" i="2" s="1"/>
  <c r="AP672" i="2"/>
  <c r="X672" i="2"/>
  <c r="W672" i="2"/>
  <c r="W583" i="2"/>
  <c r="AS592" i="2"/>
  <c r="AT592" i="2" s="1"/>
  <c r="AU592" i="2" s="1"/>
  <c r="AV592" i="2" s="1"/>
  <c r="W594" i="2"/>
  <c r="AT596" i="2"/>
  <c r="AU596" i="2" s="1"/>
  <c r="AV596" i="2" s="1"/>
  <c r="AP604" i="2"/>
  <c r="X604" i="2"/>
  <c r="W607" i="2"/>
  <c r="AP607" i="2"/>
  <c r="AP611" i="2"/>
  <c r="X611" i="2"/>
  <c r="W611" i="2"/>
  <c r="AW615" i="2"/>
  <c r="AX615" i="2" s="1"/>
  <c r="Z617" i="2"/>
  <c r="K176" i="1" s="1"/>
  <c r="J617" i="2"/>
  <c r="AP617" i="2" s="1"/>
  <c r="AP624" i="2"/>
  <c r="AO624" i="2"/>
  <c r="X624" i="2"/>
  <c r="AO625" i="2"/>
  <c r="W643" i="2"/>
  <c r="AW674" i="2"/>
  <c r="AX674" i="2" s="1"/>
  <c r="AW675" i="2"/>
  <c r="AX675" i="2" s="1"/>
  <c r="AO679" i="2"/>
  <c r="X679" i="2"/>
  <c r="W679" i="2"/>
  <c r="AP686" i="2"/>
  <c r="X686" i="2"/>
  <c r="W686" i="2"/>
  <c r="AS701" i="2"/>
  <c r="AT701" i="2" s="1"/>
  <c r="AU701" i="2" s="1"/>
  <c r="AV701" i="2" s="1"/>
  <c r="AW717" i="2"/>
  <c r="AX717" i="2" s="1"/>
  <c r="X583" i="2"/>
  <c r="W586" i="2"/>
  <c r="AT620" i="2"/>
  <c r="AU620" i="2" s="1"/>
  <c r="AV620" i="2" s="1"/>
  <c r="AT626" i="2"/>
  <c r="AU626" i="2" s="1"/>
  <c r="AV626" i="2" s="1"/>
  <c r="AP636" i="2"/>
  <c r="AO636" i="2"/>
  <c r="X636" i="2"/>
  <c r="W636" i="2"/>
  <c r="AW644" i="2"/>
  <c r="AX644" i="2" s="1"/>
  <c r="AS645" i="2"/>
  <c r="AT645" i="2" s="1"/>
  <c r="AU645" i="2" s="1"/>
  <c r="AV645" i="2" s="1"/>
  <c r="AO655" i="2"/>
  <c r="W666" i="2"/>
  <c r="AP666" i="2"/>
  <c r="AO666" i="2"/>
  <c r="X666" i="2"/>
  <c r="AS668" i="2"/>
  <c r="AT668" i="2" s="1"/>
  <c r="AU668" i="2" s="1"/>
  <c r="AV668" i="2" s="1"/>
  <c r="AS682" i="2"/>
  <c r="AT682" i="2" s="1"/>
  <c r="AU682" i="2" s="1"/>
  <c r="AV682" i="2" s="1"/>
  <c r="AW687" i="2"/>
  <c r="AX687" i="2" s="1"/>
  <c r="AO694" i="2"/>
  <c r="AO572" i="2"/>
  <c r="W578" i="2"/>
  <c r="AO580" i="2"/>
  <c r="AP589" i="2"/>
  <c r="W590" i="2"/>
  <c r="AW597" i="2"/>
  <c r="AX597" i="2" s="1"/>
  <c r="AS598" i="2"/>
  <c r="AT598" i="2" s="1"/>
  <c r="AU598" i="2" s="1"/>
  <c r="AV598" i="2" s="1"/>
  <c r="X603" i="2"/>
  <c r="W604" i="2"/>
  <c r="Z605" i="2"/>
  <c r="K149" i="1" s="1"/>
  <c r="X607" i="2"/>
  <c r="X608" i="2"/>
  <c r="Z609" i="2"/>
  <c r="Z610" i="2"/>
  <c r="K143" i="1" s="1"/>
  <c r="AO612" i="2"/>
  <c r="AO619" i="2"/>
  <c r="W624" i="2"/>
  <c r="Z630" i="2"/>
  <c r="K131" i="1" s="1"/>
  <c r="AP654" i="2"/>
  <c r="X654" i="2"/>
  <c r="W654" i="2"/>
  <c r="AO661" i="2"/>
  <c r="AU662" i="2"/>
  <c r="AV662" i="2" s="1"/>
  <c r="AO672" i="2"/>
  <c r="AO678" i="2"/>
  <c r="AT687" i="2"/>
  <c r="AU687" i="2" s="1"/>
  <c r="AV687" i="2" s="1"/>
  <c r="AP689" i="2"/>
  <c r="AO689" i="2"/>
  <c r="AO699" i="2"/>
  <c r="Z590" i="2"/>
  <c r="K170" i="1" s="1"/>
  <c r="AP591" i="2"/>
  <c r="AO594" i="2"/>
  <c r="AO602" i="2"/>
  <c r="AO609" i="2"/>
  <c r="AO611" i="2"/>
  <c r="AT613" i="2"/>
  <c r="AU613" i="2" s="1"/>
  <c r="AV613" i="2" s="1"/>
  <c r="AT625" i="2"/>
  <c r="AU625" i="2" s="1"/>
  <c r="AV625" i="2" s="1"/>
  <c r="AP629" i="2"/>
  <c r="AW637" i="2"/>
  <c r="AX637" i="2" s="1"/>
  <c r="AT637" i="2"/>
  <c r="AU637" i="2" s="1"/>
  <c r="AV637" i="2" s="1"/>
  <c r="AW650" i="2"/>
  <c r="AX650" i="2" s="1"/>
  <c r="AS650" i="2"/>
  <c r="AT650" i="2" s="1"/>
  <c r="AU650" i="2" s="1"/>
  <c r="AV650" i="2" s="1"/>
  <c r="AW655" i="2"/>
  <c r="AX655" i="2" s="1"/>
  <c r="AP659" i="2"/>
  <c r="AO659" i="2"/>
  <c r="X659" i="2"/>
  <c r="W659" i="2"/>
  <c r="AP671" i="2"/>
  <c r="AT673" i="2"/>
  <c r="AU673" i="2" s="1"/>
  <c r="AV673" i="2" s="1"/>
  <c r="AO686" i="2"/>
  <c r="AW695" i="2"/>
  <c r="AX695" i="2" s="1"/>
  <c r="AU695" i="2"/>
  <c r="AV695" i="2" s="1"/>
  <c r="AS700" i="2"/>
  <c r="AT700" i="2" s="1"/>
  <c r="AU700" i="2" s="1"/>
  <c r="AV700" i="2" s="1"/>
  <c r="AO586" i="2"/>
  <c r="AP594" i="2"/>
  <c r="AO603" i="2"/>
  <c r="AO604" i="2"/>
  <c r="AP605" i="2"/>
  <c r="AP622" i="2"/>
  <c r="AP635" i="2"/>
  <c r="X635" i="2"/>
  <c r="W635" i="2"/>
  <c r="X647" i="2"/>
  <c r="W647" i="2"/>
  <c r="AT655" i="2"/>
  <c r="AU655" i="2" s="1"/>
  <c r="AV655" i="2" s="1"/>
  <c r="AP665" i="2"/>
  <c r="X665" i="2"/>
  <c r="W665" i="2"/>
  <c r="AW681" i="2"/>
  <c r="AX681" i="2" s="1"/>
  <c r="X613" i="2"/>
  <c r="AP615" i="2"/>
  <c r="X621" i="2"/>
  <c r="AP623" i="2"/>
  <c r="X629" i="2"/>
  <c r="AP631" i="2"/>
  <c r="X637" i="2"/>
  <c r="AP639" i="2"/>
  <c r="X646" i="2"/>
  <c r="AP649" i="2"/>
  <c r="AW651" i="2"/>
  <c r="AX651" i="2" s="1"/>
  <c r="AP656" i="2"/>
  <c r="X657" i="2"/>
  <c r="X664" i="2"/>
  <c r="AO668" i="2"/>
  <c r="X668" i="2"/>
  <c r="X671" i="2"/>
  <c r="X678" i="2"/>
  <c r="AP681" i="2"/>
  <c r="AW683" i="2"/>
  <c r="AX683" i="2" s="1"/>
  <c r="AP688" i="2"/>
  <c r="AW723" i="2"/>
  <c r="AX723" i="2" s="1"/>
  <c r="AW688" i="2"/>
  <c r="AX688" i="2" s="1"/>
  <c r="AO690" i="2"/>
  <c r="W690" i="2"/>
  <c r="AO613" i="2"/>
  <c r="AO621" i="2"/>
  <c r="AO629" i="2"/>
  <c r="AO637" i="2"/>
  <c r="J645" i="2"/>
  <c r="AP645" i="2" s="1"/>
  <c r="J652" i="2"/>
  <c r="AP652" i="2" s="1"/>
  <c r="AS656" i="2"/>
  <c r="AT656" i="2" s="1"/>
  <c r="AU656" i="2" s="1"/>
  <c r="AV656" i="2" s="1"/>
  <c r="AO657" i="2"/>
  <c r="W658" i="2"/>
  <c r="AO664" i="2"/>
  <c r="J677" i="2"/>
  <c r="AP677" i="2" s="1"/>
  <c r="J684" i="2"/>
  <c r="AP684" i="2" s="1"/>
  <c r="AS688" i="2"/>
  <c r="AT688" i="2" s="1"/>
  <c r="AU688" i="2" s="1"/>
  <c r="AV688" i="2" s="1"/>
  <c r="AW694" i="2"/>
  <c r="AX694" i="2" s="1"/>
  <c r="AS694" i="2"/>
  <c r="AT694" i="2" s="1"/>
  <c r="AU694" i="2" s="1"/>
  <c r="AV694" i="2" s="1"/>
  <c r="AO644" i="2"/>
  <c r="X644" i="2"/>
  <c r="AO676" i="2"/>
  <c r="X676" i="2"/>
  <c r="X690" i="2"/>
  <c r="W697" i="2"/>
  <c r="AW722" i="2"/>
  <c r="AX722" i="2" s="1"/>
  <c r="W606" i="2"/>
  <c r="W614" i="2"/>
  <c r="Z619" i="2"/>
  <c r="W622" i="2"/>
  <c r="Z627" i="2"/>
  <c r="W630" i="2"/>
  <c r="Z635" i="2"/>
  <c r="W638" i="2"/>
  <c r="W651" i="2"/>
  <c r="X658" i="2"/>
  <c r="AP668" i="2"/>
  <c r="Z672" i="2"/>
  <c r="K61" i="1" s="1"/>
  <c r="W683" i="2"/>
  <c r="W691" i="2"/>
  <c r="X697" i="2"/>
  <c r="AO698" i="2"/>
  <c r="AW712" i="2"/>
  <c r="AX712" i="2" s="1"/>
  <c r="AW718" i="2"/>
  <c r="AX718" i="2" s="1"/>
  <c r="AS718" i="2"/>
  <c r="AT718" i="2" s="1"/>
  <c r="AU718" i="2" s="1"/>
  <c r="AV718" i="2" s="1"/>
  <c r="X606" i="2"/>
  <c r="X614" i="2"/>
  <c r="X622" i="2"/>
  <c r="X630" i="2"/>
  <c r="X638" i="2"/>
  <c r="W644" i="2"/>
  <c r="X651" i="2"/>
  <c r="AW664" i="2"/>
  <c r="AX664" i="2" s="1"/>
  <c r="W676" i="2"/>
  <c r="X683" i="2"/>
  <c r="W699" i="2"/>
  <c r="AO652" i="2"/>
  <c r="X652" i="2"/>
  <c r="AO658" i="2"/>
  <c r="J671" i="2"/>
  <c r="AO671" i="2" s="1"/>
  <c r="AO684" i="2"/>
  <c r="X684" i="2"/>
  <c r="AW696" i="2"/>
  <c r="AX696" i="2" s="1"/>
  <c r="AS696" i="2"/>
  <c r="AT696" i="2" s="1"/>
  <c r="AU696" i="2" s="1"/>
  <c r="AV696" i="2" s="1"/>
  <c r="AO697" i="2"/>
  <c r="AP702" i="2"/>
  <c r="AP670" i="2"/>
  <c r="AP676" i="2"/>
  <c r="AO683" i="2"/>
  <c r="AO692" i="2"/>
  <c r="X692" i="2"/>
  <c r="W692" i="2"/>
  <c r="J695" i="2"/>
  <c r="AO700" i="2"/>
  <c r="AW705" i="2"/>
  <c r="AX705" i="2" s="1"/>
  <c r="AT616" i="2"/>
  <c r="AU616" i="2" s="1"/>
  <c r="AV616" i="2" s="1"/>
  <c r="AT624" i="2"/>
  <c r="AU624" i="2" s="1"/>
  <c r="AV624" i="2" s="1"/>
  <c r="AT632" i="2"/>
  <c r="AU632" i="2" s="1"/>
  <c r="AV632" i="2" s="1"/>
  <c r="AT640" i="2"/>
  <c r="AU640" i="2" s="1"/>
  <c r="AV640" i="2" s="1"/>
  <c r="AT643" i="2"/>
  <c r="AU643" i="2" s="1"/>
  <c r="AV643" i="2" s="1"/>
  <c r="AS647" i="2"/>
  <c r="AT647" i="2" s="1"/>
  <c r="AU647" i="2" s="1"/>
  <c r="AV647" i="2" s="1"/>
  <c r="W652" i="2"/>
  <c r="AS661" i="2"/>
  <c r="AT661" i="2" s="1"/>
  <c r="AU661" i="2" s="1"/>
  <c r="AV661" i="2" s="1"/>
  <c r="AW672" i="2"/>
  <c r="AX672" i="2" s="1"/>
  <c r="AT675" i="2"/>
  <c r="AU675" i="2" s="1"/>
  <c r="AV675" i="2" s="1"/>
  <c r="AS679" i="2"/>
  <c r="AT679" i="2" s="1"/>
  <c r="AU679" i="2" s="1"/>
  <c r="AV679" i="2" s="1"/>
  <c r="AS690" i="2"/>
  <c r="AT690" i="2" s="1"/>
  <c r="AU690" i="2" s="1"/>
  <c r="AV690" i="2" s="1"/>
  <c r="AO703" i="2"/>
  <c r="AO715" i="2"/>
  <c r="W615" i="2"/>
  <c r="W623" i="2"/>
  <c r="W631" i="2"/>
  <c r="W639" i="2"/>
  <c r="W642" i="2"/>
  <c r="W649" i="2"/>
  <c r="W663" i="2"/>
  <c r="W670" i="2"/>
  <c r="W674" i="2"/>
  <c r="W681" i="2"/>
  <c r="AW697" i="2"/>
  <c r="AX697" i="2" s="1"/>
  <c r="AS697" i="2"/>
  <c r="AT697" i="2" s="1"/>
  <c r="AU697" i="2" s="1"/>
  <c r="AV697" i="2" s="1"/>
  <c r="AW698" i="2"/>
  <c r="AX698" i="2" s="1"/>
  <c r="AO702" i="2"/>
  <c r="AW704" i="2"/>
  <c r="AX704" i="2" s="1"/>
  <c r="J647" i="2"/>
  <c r="AP647" i="2" s="1"/>
  <c r="AO660" i="2"/>
  <c r="X660" i="2"/>
  <c r="X663" i="2"/>
  <c r="X670" i="2"/>
  <c r="J679" i="2"/>
  <c r="AP679" i="2" s="1"/>
  <c r="AP694" i="2"/>
  <c r="AO701" i="2"/>
  <c r="AP646" i="2"/>
  <c r="AW654" i="2"/>
  <c r="AX654" i="2" s="1"/>
  <c r="AP678" i="2"/>
  <c r="AW686" i="2"/>
  <c r="AX686" i="2" s="1"/>
  <c r="Z696" i="2"/>
  <c r="K29" i="1" s="1"/>
  <c r="J696" i="2"/>
  <c r="AP696" i="2" s="1"/>
  <c r="AW702" i="2"/>
  <c r="AX702" i="2" s="1"/>
  <c r="AS702" i="2"/>
  <c r="AT702" i="2" s="1"/>
  <c r="AU702" i="2" s="1"/>
  <c r="AV702" i="2" s="1"/>
  <c r="AW648" i="2"/>
  <c r="AX648" i="2" s="1"/>
  <c r="W660" i="2"/>
  <c r="AW680" i="2"/>
  <c r="AX680" i="2" s="1"/>
  <c r="AO693" i="2"/>
  <c r="AS710" i="2"/>
  <c r="AT710" i="2" s="1"/>
  <c r="AU710" i="2" s="1"/>
  <c r="AV710" i="2" s="1"/>
  <c r="AO723" i="2"/>
  <c r="X723" i="2"/>
  <c r="W702" i="2"/>
  <c r="AO704" i="2"/>
  <c r="AS706" i="2"/>
  <c r="AT706" i="2" s="1"/>
  <c r="AU706" i="2" s="1"/>
  <c r="AV706" i="2" s="1"/>
  <c r="AW708" i="2"/>
  <c r="AX708" i="2" s="1"/>
  <c r="W710" i="2"/>
  <c r="AO712" i="2"/>
  <c r="AS714" i="2"/>
  <c r="AT714" i="2" s="1"/>
  <c r="AU714" i="2" s="1"/>
  <c r="AV714" i="2" s="1"/>
  <c r="AW716" i="2"/>
  <c r="AX716" i="2" s="1"/>
  <c r="W718" i="2"/>
  <c r="AS722" i="2"/>
  <c r="AT722" i="2" s="1"/>
  <c r="AU722" i="2" s="1"/>
  <c r="AV722" i="2" s="1"/>
  <c r="AW703" i="2"/>
  <c r="AX703" i="2" s="1"/>
  <c r="W705" i="2"/>
  <c r="AS709" i="2"/>
  <c r="AT709" i="2" s="1"/>
  <c r="AU709" i="2" s="1"/>
  <c r="AV709" i="2" s="1"/>
  <c r="AW711" i="2"/>
  <c r="AX711" i="2" s="1"/>
  <c r="W713" i="2"/>
  <c r="AS717" i="2"/>
  <c r="AT717" i="2" s="1"/>
  <c r="AU717" i="2" s="1"/>
  <c r="AV717" i="2" s="1"/>
  <c r="AW719" i="2"/>
  <c r="AX719" i="2" s="1"/>
  <c r="W721" i="2"/>
  <c r="X705" i="2"/>
  <c r="X713" i="2"/>
  <c r="X721" i="2"/>
  <c r="AP723" i="2"/>
  <c r="W700" i="2"/>
  <c r="AS704" i="2"/>
  <c r="AT704" i="2" s="1"/>
  <c r="AU704" i="2" s="1"/>
  <c r="AV704" i="2" s="1"/>
  <c r="W708" i="2"/>
  <c r="AO710" i="2"/>
  <c r="AS712" i="2"/>
  <c r="AT712" i="2" s="1"/>
  <c r="AU712" i="2" s="1"/>
  <c r="AV712" i="2" s="1"/>
  <c r="W716" i="2"/>
  <c r="AO718" i="2"/>
  <c r="AS720" i="2"/>
  <c r="AT720" i="2" s="1"/>
  <c r="AU720" i="2" s="1"/>
  <c r="AV720" i="2" s="1"/>
  <c r="X700" i="2"/>
  <c r="X708" i="2"/>
  <c r="J712" i="2"/>
  <c r="AP712" i="2" s="1"/>
  <c r="X716" i="2"/>
  <c r="J720" i="2"/>
  <c r="AP720" i="2" s="1"/>
  <c r="W719" i="2"/>
  <c r="W698" i="2"/>
  <c r="W706" i="2"/>
  <c r="W714" i="2"/>
  <c r="AO716" i="2"/>
  <c r="W722" i="2"/>
  <c r="X722" i="2"/>
  <c r="AS705" i="2"/>
  <c r="AT705" i="2" s="1"/>
  <c r="AU705" i="2" s="1"/>
  <c r="AV705" i="2" s="1"/>
  <c r="AS713" i="2"/>
  <c r="AT713" i="2" s="1"/>
  <c r="AU713" i="2" s="1"/>
  <c r="AV713" i="2" s="1"/>
  <c r="AS721" i="2"/>
  <c r="AT721" i="2" s="1"/>
  <c r="AU721" i="2" s="1"/>
  <c r="AV721" i="2" s="1"/>
  <c r="W704" i="2"/>
  <c r="W712" i="2"/>
  <c r="W720" i="2"/>
  <c r="AO722" i="2"/>
  <c r="I750" i="1"/>
  <c r="K720" i="1"/>
  <c r="H45" i="1"/>
  <c r="K733" i="1"/>
  <c r="K702" i="1"/>
  <c r="K725" i="1"/>
  <c r="K605" i="1"/>
  <c r="K567" i="1"/>
  <c r="K450" i="1"/>
  <c r="K588" i="1"/>
  <c r="K553" i="1"/>
  <c r="K563" i="1"/>
  <c r="K654" i="1"/>
  <c r="K653" i="1"/>
  <c r="K433" i="1"/>
  <c r="K489" i="1"/>
  <c r="K598" i="1"/>
  <c r="K540" i="1"/>
  <c r="K636" i="1"/>
  <c r="K550" i="1"/>
  <c r="K593" i="1"/>
  <c r="G677" i="1"/>
  <c r="K578" i="1"/>
  <c r="K472" i="1"/>
  <c r="K455" i="1"/>
  <c r="G433" i="1"/>
  <c r="K471" i="1"/>
  <c r="K465" i="1"/>
  <c r="J433" i="1"/>
  <c r="K743" i="1"/>
  <c r="K481" i="1"/>
  <c r="K399" i="1"/>
  <c r="K287" i="1"/>
  <c r="K554" i="1"/>
  <c r="K446" i="1"/>
  <c r="K100" i="1"/>
  <c r="K239" i="1"/>
  <c r="K454" i="1"/>
  <c r="K409" i="1"/>
  <c r="K442" i="1"/>
  <c r="K252" i="1"/>
  <c r="K232" i="1"/>
  <c r="K280" i="1"/>
  <c r="K193" i="1"/>
  <c r="K258" i="1"/>
  <c r="K275" i="1"/>
  <c r="K155" i="1"/>
  <c r="K267" i="1"/>
  <c r="K291" i="1"/>
  <c r="K301" i="1"/>
  <c r="K165" i="1"/>
  <c r="K144" i="1"/>
  <c r="K162" i="1"/>
  <c r="K188" i="1"/>
  <c r="K135" i="1"/>
  <c r="K212" i="1"/>
  <c r="K183" i="1"/>
  <c r="K745" i="1"/>
  <c r="K154" i="1"/>
  <c r="K65" i="1"/>
  <c r="K125" i="1"/>
  <c r="K145" i="1"/>
  <c r="K116" i="1"/>
  <c r="K85" i="1"/>
  <c r="K70" i="1"/>
  <c r="K78" i="1"/>
  <c r="K86" i="1"/>
  <c r="K632" i="1"/>
  <c r="K53" i="1"/>
  <c r="K22" i="1"/>
  <c r="K24" i="1"/>
  <c r="L574" i="1"/>
  <c r="R637" i="1"/>
  <c r="J613" i="1"/>
  <c r="H746" i="1"/>
  <c r="L759" i="1"/>
  <c r="G612" i="1"/>
  <c r="G397" i="1"/>
  <c r="G613" i="1"/>
  <c r="G325" i="1"/>
  <c r="G201" i="1"/>
  <c r="H201" i="1"/>
  <c r="I396" i="1"/>
  <c r="H494" i="1"/>
  <c r="F292" i="1"/>
  <c r="I612" i="1"/>
  <c r="I325" i="1"/>
  <c r="L396" i="1"/>
  <c r="L612" i="1"/>
  <c r="I746" i="1"/>
  <c r="H573" i="1"/>
  <c r="H747" i="1"/>
  <c r="L494" i="1"/>
  <c r="G6" i="1"/>
  <c r="G527" i="1"/>
  <c r="G676" i="1"/>
  <c r="H397" i="1"/>
  <c r="L6" i="1"/>
  <c r="H6" i="1"/>
  <c r="J573" i="1"/>
  <c r="I677" i="1"/>
  <c r="J677" i="1"/>
  <c r="J574" i="1"/>
  <c r="F473" i="1"/>
  <c r="I16" i="1"/>
  <c r="G83" i="1"/>
  <c r="G10" i="1"/>
  <c r="L613" i="1"/>
  <c r="G7" i="1"/>
  <c r="I7" i="1"/>
  <c r="L7" i="1"/>
  <c r="F507" i="1"/>
  <c r="F88" i="1"/>
  <c r="I555" i="1"/>
  <c r="G17" i="1"/>
  <c r="H22" i="1"/>
  <c r="I22" i="1"/>
  <c r="J102" i="1"/>
  <c r="A623" i="1"/>
  <c r="G696" i="1"/>
  <c r="H315" i="1"/>
  <c r="J715" i="1"/>
  <c r="D697" i="1"/>
  <c r="E697" i="1"/>
  <c r="M697" i="1"/>
  <c r="N697" i="1"/>
  <c r="O697" i="1"/>
  <c r="P697" i="1"/>
  <c r="Q697" i="1"/>
  <c r="D741" i="1"/>
  <c r="E741" i="1"/>
  <c r="M741" i="1"/>
  <c r="N741" i="1"/>
  <c r="O741" i="1"/>
  <c r="P741" i="1"/>
  <c r="Q741" i="1"/>
  <c r="D707" i="1"/>
  <c r="E707" i="1"/>
  <c r="M707" i="1"/>
  <c r="N707" i="1"/>
  <c r="O707" i="1"/>
  <c r="P707" i="1"/>
  <c r="Q707" i="1"/>
  <c r="D740" i="1"/>
  <c r="E740" i="1"/>
  <c r="M740" i="1"/>
  <c r="N740" i="1"/>
  <c r="O740" i="1"/>
  <c r="P740" i="1"/>
  <c r="Q740" i="1"/>
  <c r="D693" i="1"/>
  <c r="E693" i="1"/>
  <c r="M693" i="1"/>
  <c r="N693" i="1"/>
  <c r="O693" i="1"/>
  <c r="P693" i="1"/>
  <c r="Q693" i="1"/>
  <c r="D742" i="1"/>
  <c r="E742" i="1"/>
  <c r="M742" i="1"/>
  <c r="N742" i="1"/>
  <c r="O742" i="1"/>
  <c r="P742" i="1"/>
  <c r="Q742" i="1"/>
  <c r="D739" i="1"/>
  <c r="E739" i="1"/>
  <c r="M739" i="1"/>
  <c r="N739" i="1"/>
  <c r="O739" i="1"/>
  <c r="P739" i="1"/>
  <c r="Q739" i="1"/>
  <c r="D731" i="1"/>
  <c r="E731" i="1"/>
  <c r="M731" i="1"/>
  <c r="N731" i="1"/>
  <c r="O731" i="1"/>
  <c r="P731" i="1"/>
  <c r="Q731" i="1"/>
  <c r="D102" i="1"/>
  <c r="E102" i="1"/>
  <c r="M102" i="1"/>
  <c r="N102" i="1"/>
  <c r="O102" i="1"/>
  <c r="P102" i="1"/>
  <c r="Q102" i="1"/>
  <c r="D692" i="1"/>
  <c r="E692" i="1"/>
  <c r="M692" i="1"/>
  <c r="N692" i="1"/>
  <c r="O692" i="1"/>
  <c r="P692" i="1"/>
  <c r="Q692" i="1"/>
  <c r="D679" i="1"/>
  <c r="E679" i="1"/>
  <c r="M679" i="1"/>
  <c r="N679" i="1"/>
  <c r="O679" i="1"/>
  <c r="P679" i="1"/>
  <c r="Q679" i="1"/>
  <c r="D717" i="1"/>
  <c r="E717" i="1"/>
  <c r="M717" i="1"/>
  <c r="N717" i="1"/>
  <c r="O717" i="1"/>
  <c r="P717" i="1"/>
  <c r="Q717" i="1"/>
  <c r="D715" i="1"/>
  <c r="E715" i="1"/>
  <c r="M715" i="1"/>
  <c r="N715" i="1"/>
  <c r="O715" i="1"/>
  <c r="P715" i="1"/>
  <c r="Q715" i="1"/>
  <c r="D732" i="1"/>
  <c r="E732" i="1"/>
  <c r="M732" i="1"/>
  <c r="N732" i="1"/>
  <c r="O732" i="1"/>
  <c r="P732" i="1"/>
  <c r="Q732" i="1"/>
  <c r="D716" i="1"/>
  <c r="E716" i="1"/>
  <c r="M716" i="1"/>
  <c r="N716" i="1"/>
  <c r="O716" i="1"/>
  <c r="P716" i="1"/>
  <c r="Q716" i="1"/>
  <c r="D112" i="1"/>
  <c r="E112" i="1"/>
  <c r="M112" i="1"/>
  <c r="N112" i="1"/>
  <c r="O112" i="1"/>
  <c r="P112" i="1"/>
  <c r="Q112" i="1"/>
  <c r="D714" i="1"/>
  <c r="E714" i="1"/>
  <c r="M714" i="1"/>
  <c r="N714" i="1"/>
  <c r="O714" i="1"/>
  <c r="P714" i="1"/>
  <c r="Q714" i="1"/>
  <c r="D315" i="1"/>
  <c r="E315" i="1"/>
  <c r="M315" i="1"/>
  <c r="N315" i="1"/>
  <c r="O315" i="1"/>
  <c r="P315" i="1"/>
  <c r="Q315" i="1"/>
  <c r="D734" i="1"/>
  <c r="E734" i="1"/>
  <c r="M734" i="1"/>
  <c r="N734" i="1"/>
  <c r="O734" i="1"/>
  <c r="P734" i="1"/>
  <c r="Q734" i="1"/>
  <c r="D500" i="1"/>
  <c r="E500" i="1"/>
  <c r="M500" i="1"/>
  <c r="N500" i="1"/>
  <c r="O500" i="1"/>
  <c r="P500" i="1"/>
  <c r="Q500" i="1"/>
  <c r="D685" i="1"/>
  <c r="E685" i="1"/>
  <c r="M685" i="1"/>
  <c r="N685" i="1"/>
  <c r="O685" i="1"/>
  <c r="P685" i="1"/>
  <c r="Q685" i="1"/>
  <c r="D700" i="1"/>
  <c r="E700" i="1"/>
  <c r="M700" i="1"/>
  <c r="N700" i="1"/>
  <c r="O700" i="1"/>
  <c r="P700" i="1"/>
  <c r="Q700" i="1"/>
  <c r="D696" i="1"/>
  <c r="E696" i="1"/>
  <c r="M696" i="1"/>
  <c r="N696" i="1"/>
  <c r="O696" i="1"/>
  <c r="P696" i="1"/>
  <c r="Q696" i="1"/>
  <c r="D686" i="1"/>
  <c r="E686" i="1"/>
  <c r="M686" i="1"/>
  <c r="N686" i="1"/>
  <c r="O686" i="1"/>
  <c r="P686" i="1"/>
  <c r="Q686" i="1"/>
  <c r="D689" i="1"/>
  <c r="E689" i="1"/>
  <c r="M689" i="1"/>
  <c r="N689" i="1"/>
  <c r="O689" i="1"/>
  <c r="P689" i="1"/>
  <c r="Q689" i="1"/>
  <c r="D730" i="1"/>
  <c r="E730" i="1"/>
  <c r="M730" i="1"/>
  <c r="N730" i="1"/>
  <c r="O730" i="1"/>
  <c r="P730" i="1"/>
  <c r="Q730" i="1"/>
  <c r="D727" i="1"/>
  <c r="E727" i="1"/>
  <c r="M727" i="1"/>
  <c r="N727" i="1"/>
  <c r="O727" i="1"/>
  <c r="P727" i="1"/>
  <c r="Q727" i="1"/>
  <c r="D722" i="1"/>
  <c r="E722" i="1"/>
  <c r="M722" i="1"/>
  <c r="N722" i="1"/>
  <c r="O722" i="1"/>
  <c r="P722" i="1"/>
  <c r="Q722" i="1"/>
  <c r="D728" i="1"/>
  <c r="E728" i="1"/>
  <c r="M728" i="1"/>
  <c r="N728" i="1"/>
  <c r="O728" i="1"/>
  <c r="P728" i="1"/>
  <c r="Q728" i="1"/>
  <c r="D111" i="1"/>
  <c r="E111" i="1"/>
  <c r="M111" i="1"/>
  <c r="N111" i="1"/>
  <c r="O111" i="1"/>
  <c r="P111" i="1"/>
  <c r="Q111" i="1"/>
  <c r="D723" i="1"/>
  <c r="E723" i="1"/>
  <c r="M723" i="1"/>
  <c r="N723" i="1"/>
  <c r="O723" i="1"/>
  <c r="P723" i="1"/>
  <c r="Q723" i="1"/>
  <c r="D720" i="1"/>
  <c r="E720" i="1"/>
  <c r="M720" i="1"/>
  <c r="N720" i="1"/>
  <c r="O720" i="1"/>
  <c r="P720" i="1"/>
  <c r="Q720" i="1"/>
  <c r="D726" i="1"/>
  <c r="E726" i="1"/>
  <c r="M726" i="1"/>
  <c r="N726" i="1"/>
  <c r="O726" i="1"/>
  <c r="P726" i="1"/>
  <c r="Q726" i="1"/>
  <c r="D695" i="1"/>
  <c r="E695" i="1"/>
  <c r="M695" i="1"/>
  <c r="N695" i="1"/>
  <c r="O695" i="1"/>
  <c r="P695" i="1"/>
  <c r="Q695" i="1"/>
  <c r="D705" i="1"/>
  <c r="E705" i="1"/>
  <c r="M705" i="1"/>
  <c r="N705" i="1"/>
  <c r="O705" i="1"/>
  <c r="P705" i="1"/>
  <c r="Q705" i="1"/>
  <c r="D713" i="1"/>
  <c r="E713" i="1"/>
  <c r="M713" i="1"/>
  <c r="N713" i="1"/>
  <c r="O713" i="1"/>
  <c r="P713" i="1"/>
  <c r="Q713" i="1"/>
  <c r="D709" i="1"/>
  <c r="E709" i="1"/>
  <c r="M709" i="1"/>
  <c r="N709" i="1"/>
  <c r="O709" i="1"/>
  <c r="P709" i="1"/>
  <c r="Q709" i="1"/>
  <c r="D708" i="1"/>
  <c r="E708" i="1"/>
  <c r="M708" i="1"/>
  <c r="N708" i="1"/>
  <c r="O708" i="1"/>
  <c r="P708" i="1"/>
  <c r="Q708" i="1"/>
  <c r="D711" i="1"/>
  <c r="E711" i="1"/>
  <c r="M711" i="1"/>
  <c r="N711" i="1"/>
  <c r="O711" i="1"/>
  <c r="P711" i="1"/>
  <c r="Q711" i="1"/>
  <c r="D702" i="1"/>
  <c r="E702" i="1"/>
  <c r="M702" i="1"/>
  <c r="N702" i="1"/>
  <c r="O702" i="1"/>
  <c r="P702" i="1"/>
  <c r="Q702" i="1"/>
  <c r="D701" i="1"/>
  <c r="E701" i="1"/>
  <c r="M701" i="1"/>
  <c r="N701" i="1"/>
  <c r="O701" i="1"/>
  <c r="P701" i="1"/>
  <c r="Q701" i="1"/>
  <c r="D470" i="1"/>
  <c r="E470" i="1"/>
  <c r="M470" i="1"/>
  <c r="N470" i="1"/>
  <c r="O470" i="1"/>
  <c r="P470" i="1"/>
  <c r="Q470" i="1"/>
  <c r="D69" i="1"/>
  <c r="E69" i="1"/>
  <c r="M69" i="1"/>
  <c r="N69" i="1"/>
  <c r="O69" i="1"/>
  <c r="P69" i="1"/>
  <c r="Q69" i="1"/>
  <c r="D704" i="1"/>
  <c r="E704" i="1"/>
  <c r="M704" i="1"/>
  <c r="N704" i="1"/>
  <c r="O704" i="1"/>
  <c r="P704" i="1"/>
  <c r="Q704" i="1"/>
  <c r="D698" i="1"/>
  <c r="E698" i="1"/>
  <c r="M698" i="1"/>
  <c r="N698" i="1"/>
  <c r="O698" i="1"/>
  <c r="P698" i="1"/>
  <c r="Q698" i="1"/>
  <c r="D699" i="1"/>
  <c r="E699" i="1"/>
  <c r="M699" i="1"/>
  <c r="N699" i="1"/>
  <c r="O699" i="1"/>
  <c r="P699" i="1"/>
  <c r="Q699" i="1"/>
  <c r="D724" i="1"/>
  <c r="E724" i="1"/>
  <c r="M724" i="1"/>
  <c r="N724" i="1"/>
  <c r="O724" i="1"/>
  <c r="P724" i="1"/>
  <c r="Q724" i="1"/>
  <c r="D725" i="1"/>
  <c r="E725" i="1"/>
  <c r="M725" i="1"/>
  <c r="N725" i="1"/>
  <c r="O725" i="1"/>
  <c r="P725" i="1"/>
  <c r="Q725" i="1"/>
  <c r="D691" i="1"/>
  <c r="E691" i="1"/>
  <c r="M691" i="1"/>
  <c r="N691" i="1"/>
  <c r="O691" i="1"/>
  <c r="P691" i="1"/>
  <c r="Q691" i="1"/>
  <c r="D690" i="1"/>
  <c r="E690" i="1"/>
  <c r="M690" i="1"/>
  <c r="N690" i="1"/>
  <c r="O690" i="1"/>
  <c r="P690" i="1"/>
  <c r="Q690" i="1"/>
  <c r="D687" i="1"/>
  <c r="E687" i="1"/>
  <c r="M687" i="1"/>
  <c r="N687" i="1"/>
  <c r="O687" i="1"/>
  <c r="P687" i="1"/>
  <c r="Q687" i="1"/>
  <c r="D688" i="1"/>
  <c r="E688" i="1"/>
  <c r="M688" i="1"/>
  <c r="N688" i="1"/>
  <c r="O688" i="1"/>
  <c r="P688" i="1"/>
  <c r="Q688" i="1"/>
  <c r="D706" i="1"/>
  <c r="E706" i="1"/>
  <c r="M706" i="1"/>
  <c r="N706" i="1"/>
  <c r="O706" i="1"/>
  <c r="P706" i="1"/>
  <c r="Q706" i="1"/>
  <c r="D682" i="1"/>
  <c r="E682" i="1"/>
  <c r="M682" i="1"/>
  <c r="N682" i="1"/>
  <c r="O682" i="1"/>
  <c r="P682" i="1"/>
  <c r="Q682" i="1"/>
  <c r="D694" i="1"/>
  <c r="E694" i="1"/>
  <c r="M694" i="1"/>
  <c r="N694" i="1"/>
  <c r="O694" i="1"/>
  <c r="P694" i="1"/>
  <c r="Q694" i="1"/>
  <c r="D681" i="1"/>
  <c r="E681" i="1"/>
  <c r="M681" i="1"/>
  <c r="N681" i="1"/>
  <c r="O681" i="1"/>
  <c r="P681" i="1"/>
  <c r="Q681" i="1"/>
  <c r="D738" i="1"/>
  <c r="E738" i="1"/>
  <c r="M738" i="1"/>
  <c r="N738" i="1"/>
  <c r="O738" i="1"/>
  <c r="P738" i="1"/>
  <c r="Q738" i="1"/>
  <c r="D684" i="1"/>
  <c r="E684" i="1"/>
  <c r="M684" i="1"/>
  <c r="N684" i="1"/>
  <c r="O684" i="1"/>
  <c r="P684" i="1"/>
  <c r="Q684" i="1"/>
  <c r="D680" i="1"/>
  <c r="E680" i="1"/>
  <c r="M680" i="1"/>
  <c r="N680" i="1"/>
  <c r="O680" i="1"/>
  <c r="P680" i="1"/>
  <c r="Q680" i="1"/>
  <c r="D673" i="1"/>
  <c r="E673" i="1"/>
  <c r="M673" i="1"/>
  <c r="N673" i="1"/>
  <c r="O673" i="1"/>
  <c r="P673" i="1"/>
  <c r="Q673" i="1"/>
  <c r="D678" i="1"/>
  <c r="E678" i="1"/>
  <c r="M678" i="1"/>
  <c r="N678" i="1"/>
  <c r="O678" i="1"/>
  <c r="P678" i="1"/>
  <c r="Q678" i="1"/>
  <c r="D648" i="1"/>
  <c r="E648" i="1"/>
  <c r="M648" i="1"/>
  <c r="N648" i="1"/>
  <c r="O648" i="1"/>
  <c r="P648" i="1"/>
  <c r="Q648" i="1"/>
  <c r="D674" i="1"/>
  <c r="E674" i="1"/>
  <c r="M674" i="1"/>
  <c r="N674" i="1"/>
  <c r="O674" i="1"/>
  <c r="P674" i="1"/>
  <c r="Q674" i="1"/>
  <c r="D672" i="1"/>
  <c r="E672" i="1"/>
  <c r="M672" i="1"/>
  <c r="N672" i="1"/>
  <c r="O672" i="1"/>
  <c r="P672" i="1"/>
  <c r="Q672" i="1"/>
  <c r="D675" i="1"/>
  <c r="E675" i="1"/>
  <c r="M675" i="1"/>
  <c r="N675" i="1"/>
  <c r="O675" i="1"/>
  <c r="P675" i="1"/>
  <c r="Q675" i="1"/>
  <c r="D710" i="1"/>
  <c r="E710" i="1"/>
  <c r="M710" i="1"/>
  <c r="N710" i="1"/>
  <c r="O710" i="1"/>
  <c r="P710" i="1"/>
  <c r="Q710" i="1"/>
  <c r="D712" i="1"/>
  <c r="E712" i="1"/>
  <c r="M712" i="1"/>
  <c r="N712" i="1"/>
  <c r="O712" i="1"/>
  <c r="P712" i="1"/>
  <c r="Q712" i="1"/>
  <c r="D671" i="1"/>
  <c r="E671" i="1"/>
  <c r="M671" i="1"/>
  <c r="N671" i="1"/>
  <c r="O671" i="1"/>
  <c r="P671" i="1"/>
  <c r="Q671" i="1"/>
  <c r="D683" i="1"/>
  <c r="E683" i="1"/>
  <c r="M683" i="1"/>
  <c r="N683" i="1"/>
  <c r="O683" i="1"/>
  <c r="P683" i="1"/>
  <c r="Q683" i="1"/>
  <c r="D667" i="1"/>
  <c r="E667" i="1"/>
  <c r="M667" i="1"/>
  <c r="N667" i="1"/>
  <c r="O667" i="1"/>
  <c r="P667" i="1"/>
  <c r="Q667" i="1"/>
  <c r="D651" i="1"/>
  <c r="E651" i="1"/>
  <c r="M651" i="1"/>
  <c r="N651" i="1"/>
  <c r="O651" i="1"/>
  <c r="P651" i="1"/>
  <c r="Q651" i="1"/>
  <c r="D646" i="1"/>
  <c r="E646" i="1"/>
  <c r="M646" i="1"/>
  <c r="N646" i="1"/>
  <c r="O646" i="1"/>
  <c r="P646" i="1"/>
  <c r="Q646" i="1"/>
  <c r="D668" i="1"/>
  <c r="E668" i="1"/>
  <c r="M668" i="1"/>
  <c r="N668" i="1"/>
  <c r="O668" i="1"/>
  <c r="P668" i="1"/>
  <c r="Q668" i="1"/>
  <c r="D657" i="1"/>
  <c r="E657" i="1"/>
  <c r="M657" i="1"/>
  <c r="N657" i="1"/>
  <c r="O657" i="1"/>
  <c r="P657" i="1"/>
  <c r="Q657" i="1"/>
  <c r="D655" i="1"/>
  <c r="E655" i="1"/>
  <c r="M655" i="1"/>
  <c r="N655" i="1"/>
  <c r="O655" i="1"/>
  <c r="P655" i="1"/>
  <c r="Q655" i="1"/>
  <c r="D640" i="1"/>
  <c r="E640" i="1"/>
  <c r="M640" i="1"/>
  <c r="N640" i="1"/>
  <c r="O640" i="1"/>
  <c r="P640" i="1"/>
  <c r="Q640" i="1"/>
  <c r="D669" i="1"/>
  <c r="E669" i="1"/>
  <c r="M669" i="1"/>
  <c r="N669" i="1"/>
  <c r="O669" i="1"/>
  <c r="P669" i="1"/>
  <c r="Q669" i="1"/>
  <c r="D656" i="1"/>
  <c r="E656" i="1"/>
  <c r="M656" i="1"/>
  <c r="N656" i="1"/>
  <c r="O656" i="1"/>
  <c r="P656" i="1"/>
  <c r="Q656" i="1"/>
  <c r="D462" i="1"/>
  <c r="E462" i="1"/>
  <c r="M462" i="1"/>
  <c r="N462" i="1"/>
  <c r="O462" i="1"/>
  <c r="P462" i="1"/>
  <c r="Q462" i="1"/>
  <c r="D644" i="1"/>
  <c r="E644" i="1"/>
  <c r="M644" i="1"/>
  <c r="N644" i="1"/>
  <c r="O644" i="1"/>
  <c r="P644" i="1"/>
  <c r="Q644" i="1"/>
  <c r="D641" i="1"/>
  <c r="E641" i="1"/>
  <c r="M641" i="1"/>
  <c r="N641" i="1"/>
  <c r="O641" i="1"/>
  <c r="P641" i="1"/>
  <c r="Q641" i="1"/>
  <c r="D658" i="1"/>
  <c r="E658" i="1"/>
  <c r="M658" i="1"/>
  <c r="N658" i="1"/>
  <c r="O658" i="1"/>
  <c r="P658" i="1"/>
  <c r="Q658" i="1"/>
  <c r="D645" i="1"/>
  <c r="E645" i="1"/>
  <c r="M645" i="1"/>
  <c r="N645" i="1"/>
  <c r="O645" i="1"/>
  <c r="P645" i="1"/>
  <c r="Q645" i="1"/>
  <c r="D110" i="1"/>
  <c r="E110" i="1"/>
  <c r="M110" i="1"/>
  <c r="N110" i="1"/>
  <c r="O110" i="1"/>
  <c r="P110" i="1"/>
  <c r="Q110" i="1"/>
  <c r="D654" i="1"/>
  <c r="E654" i="1"/>
  <c r="M654" i="1"/>
  <c r="N654" i="1"/>
  <c r="O654" i="1"/>
  <c r="P654" i="1"/>
  <c r="Q654" i="1"/>
  <c r="D662" i="1"/>
  <c r="E662" i="1"/>
  <c r="M662" i="1"/>
  <c r="N662" i="1"/>
  <c r="O662" i="1"/>
  <c r="P662" i="1"/>
  <c r="Q662" i="1"/>
  <c r="D661" i="1"/>
  <c r="E661" i="1"/>
  <c r="M661" i="1"/>
  <c r="N661" i="1"/>
  <c r="O661" i="1"/>
  <c r="P661" i="1"/>
  <c r="Q661" i="1"/>
  <c r="D653" i="1"/>
  <c r="E653" i="1"/>
  <c r="M653" i="1"/>
  <c r="N653" i="1"/>
  <c r="O653" i="1"/>
  <c r="P653" i="1"/>
  <c r="Q653" i="1"/>
  <c r="D670" i="1"/>
  <c r="E670" i="1"/>
  <c r="M670" i="1"/>
  <c r="N670" i="1"/>
  <c r="O670" i="1"/>
  <c r="P670" i="1"/>
  <c r="Q670" i="1"/>
  <c r="D663" i="1"/>
  <c r="E663" i="1"/>
  <c r="M663" i="1"/>
  <c r="N663" i="1"/>
  <c r="O663" i="1"/>
  <c r="P663" i="1"/>
  <c r="Q663" i="1"/>
  <c r="D664" i="1"/>
  <c r="E664" i="1"/>
  <c r="M664" i="1"/>
  <c r="N664" i="1"/>
  <c r="O664" i="1"/>
  <c r="P664" i="1"/>
  <c r="Q664" i="1"/>
  <c r="D649" i="1"/>
  <c r="E649" i="1"/>
  <c r="M649" i="1"/>
  <c r="N649" i="1"/>
  <c r="O649" i="1"/>
  <c r="P649" i="1"/>
  <c r="Q649" i="1"/>
  <c r="D109" i="1"/>
  <c r="E109" i="1"/>
  <c r="M109" i="1"/>
  <c r="N109" i="1"/>
  <c r="O109" i="1"/>
  <c r="P109" i="1"/>
  <c r="Q109" i="1"/>
  <c r="D665" i="1"/>
  <c r="E665" i="1"/>
  <c r="M665" i="1"/>
  <c r="N665" i="1"/>
  <c r="O665" i="1"/>
  <c r="P665" i="1"/>
  <c r="Q665" i="1"/>
  <c r="D652" i="1"/>
  <c r="E652" i="1"/>
  <c r="M652" i="1"/>
  <c r="N652" i="1"/>
  <c r="O652" i="1"/>
  <c r="P652" i="1"/>
  <c r="Q652" i="1"/>
  <c r="D666" i="1"/>
  <c r="E666" i="1"/>
  <c r="M666" i="1"/>
  <c r="N666" i="1"/>
  <c r="O666" i="1"/>
  <c r="P666" i="1"/>
  <c r="Q666" i="1"/>
  <c r="D221" i="1"/>
  <c r="E221" i="1"/>
  <c r="M221" i="1"/>
  <c r="N221" i="1"/>
  <c r="O221" i="1"/>
  <c r="P221" i="1"/>
  <c r="Q221" i="1"/>
  <c r="D647" i="1"/>
  <c r="E647" i="1"/>
  <c r="M647" i="1"/>
  <c r="N647" i="1"/>
  <c r="O647" i="1"/>
  <c r="P647" i="1"/>
  <c r="Q647" i="1"/>
  <c r="D650" i="1"/>
  <c r="E650" i="1"/>
  <c r="M650" i="1"/>
  <c r="N650" i="1"/>
  <c r="O650" i="1"/>
  <c r="P650" i="1"/>
  <c r="Q650" i="1"/>
  <c r="D643" i="1"/>
  <c r="E643" i="1"/>
  <c r="M643" i="1"/>
  <c r="N643" i="1"/>
  <c r="O643" i="1"/>
  <c r="P643" i="1"/>
  <c r="Q643" i="1"/>
  <c r="D642" i="1"/>
  <c r="E642" i="1"/>
  <c r="M642" i="1"/>
  <c r="N642" i="1"/>
  <c r="O642" i="1"/>
  <c r="P642" i="1"/>
  <c r="Q642" i="1"/>
  <c r="D164" i="1"/>
  <c r="E164" i="1"/>
  <c r="M164" i="1"/>
  <c r="N164" i="1"/>
  <c r="O164" i="1"/>
  <c r="P164" i="1"/>
  <c r="Q164" i="1"/>
  <c r="D490" i="1"/>
  <c r="E490" i="1"/>
  <c r="M490" i="1"/>
  <c r="N490" i="1"/>
  <c r="O490" i="1"/>
  <c r="P490" i="1"/>
  <c r="Q490" i="1"/>
  <c r="D659" i="1"/>
  <c r="E659" i="1"/>
  <c r="M659" i="1"/>
  <c r="N659" i="1"/>
  <c r="O659" i="1"/>
  <c r="P659" i="1"/>
  <c r="Q659" i="1"/>
  <c r="D639" i="1"/>
  <c r="E639" i="1"/>
  <c r="M639" i="1"/>
  <c r="N639" i="1"/>
  <c r="O639" i="1"/>
  <c r="P639" i="1"/>
  <c r="Q639" i="1"/>
  <c r="D636" i="1"/>
  <c r="E636" i="1"/>
  <c r="M636" i="1"/>
  <c r="N636" i="1"/>
  <c r="O636" i="1"/>
  <c r="P636" i="1"/>
  <c r="Q636" i="1"/>
  <c r="D630" i="1"/>
  <c r="E630" i="1"/>
  <c r="M630" i="1"/>
  <c r="N630" i="1"/>
  <c r="O630" i="1"/>
  <c r="P630" i="1"/>
  <c r="Q630" i="1"/>
  <c r="D634" i="1"/>
  <c r="E634" i="1"/>
  <c r="M634" i="1"/>
  <c r="N634" i="1"/>
  <c r="O634" i="1"/>
  <c r="P634" i="1"/>
  <c r="Q634" i="1"/>
  <c r="D624" i="1"/>
  <c r="E624" i="1"/>
  <c r="M624" i="1"/>
  <c r="N624" i="1"/>
  <c r="O624" i="1"/>
  <c r="P624" i="1"/>
  <c r="Q624" i="1"/>
  <c r="D620" i="1"/>
  <c r="E620" i="1"/>
  <c r="M620" i="1"/>
  <c r="N620" i="1"/>
  <c r="O620" i="1"/>
  <c r="P620" i="1"/>
  <c r="Q620" i="1"/>
  <c r="D621" i="1"/>
  <c r="E621" i="1"/>
  <c r="M621" i="1"/>
  <c r="N621" i="1"/>
  <c r="O621" i="1"/>
  <c r="P621" i="1"/>
  <c r="Q621" i="1"/>
  <c r="D619" i="1"/>
  <c r="E619" i="1"/>
  <c r="M619" i="1"/>
  <c r="N619" i="1"/>
  <c r="O619" i="1"/>
  <c r="P619" i="1"/>
  <c r="Q619" i="1"/>
  <c r="D631" i="1"/>
  <c r="E631" i="1"/>
  <c r="M631" i="1"/>
  <c r="N631" i="1"/>
  <c r="O631" i="1"/>
  <c r="P631" i="1"/>
  <c r="Q631" i="1"/>
  <c r="D605" i="1"/>
  <c r="E605" i="1"/>
  <c r="M605" i="1"/>
  <c r="N605" i="1"/>
  <c r="O605" i="1"/>
  <c r="P605" i="1"/>
  <c r="Q605" i="1"/>
  <c r="D587" i="1"/>
  <c r="E587" i="1"/>
  <c r="M587" i="1"/>
  <c r="N587" i="1"/>
  <c r="O587" i="1"/>
  <c r="P587" i="1"/>
  <c r="Q587" i="1"/>
  <c r="D618" i="1"/>
  <c r="E618" i="1"/>
  <c r="M618" i="1"/>
  <c r="N618" i="1"/>
  <c r="O618" i="1"/>
  <c r="P618" i="1"/>
  <c r="Q618" i="1"/>
  <c r="D583" i="1"/>
  <c r="E583" i="1"/>
  <c r="M583" i="1"/>
  <c r="N583" i="1"/>
  <c r="O583" i="1"/>
  <c r="P583" i="1"/>
  <c r="Q583" i="1"/>
  <c r="D635" i="1"/>
  <c r="E635" i="1"/>
  <c r="M635" i="1"/>
  <c r="N635" i="1"/>
  <c r="O635" i="1"/>
  <c r="P635" i="1"/>
  <c r="Q635" i="1"/>
  <c r="D581" i="1"/>
  <c r="E581" i="1"/>
  <c r="M581" i="1"/>
  <c r="N581" i="1"/>
  <c r="O581" i="1"/>
  <c r="P581" i="1"/>
  <c r="Q581" i="1"/>
  <c r="D626" i="1"/>
  <c r="E626" i="1"/>
  <c r="M626" i="1"/>
  <c r="N626" i="1"/>
  <c r="O626" i="1"/>
  <c r="P626" i="1"/>
  <c r="Q626" i="1"/>
  <c r="D617" i="1"/>
  <c r="E617" i="1"/>
  <c r="M617" i="1"/>
  <c r="N617" i="1"/>
  <c r="O617" i="1"/>
  <c r="P617" i="1"/>
  <c r="Q617" i="1"/>
  <c r="D567" i="1"/>
  <c r="E567" i="1"/>
  <c r="M567" i="1"/>
  <c r="N567" i="1"/>
  <c r="O567" i="1"/>
  <c r="P567" i="1"/>
  <c r="Q567" i="1"/>
  <c r="D596" i="1"/>
  <c r="E596" i="1"/>
  <c r="M596" i="1"/>
  <c r="N596" i="1"/>
  <c r="O596" i="1"/>
  <c r="P596" i="1"/>
  <c r="Q596" i="1"/>
  <c r="D591" i="1"/>
  <c r="E591" i="1"/>
  <c r="M591" i="1"/>
  <c r="N591" i="1"/>
  <c r="O591" i="1"/>
  <c r="P591" i="1"/>
  <c r="Q591" i="1"/>
  <c r="D616" i="1"/>
  <c r="E616" i="1"/>
  <c r="M616" i="1"/>
  <c r="N616" i="1"/>
  <c r="O616" i="1"/>
  <c r="P616" i="1"/>
  <c r="Q616" i="1"/>
  <c r="D615" i="1"/>
  <c r="E615" i="1"/>
  <c r="M615" i="1"/>
  <c r="N615" i="1"/>
  <c r="O615" i="1"/>
  <c r="P615" i="1"/>
  <c r="Q615" i="1"/>
  <c r="D637" i="1"/>
  <c r="E637" i="1"/>
  <c r="M637" i="1"/>
  <c r="N637" i="1"/>
  <c r="O637" i="1"/>
  <c r="P637" i="1"/>
  <c r="Q637" i="1"/>
  <c r="D562" i="1"/>
  <c r="E562" i="1"/>
  <c r="M562" i="1"/>
  <c r="N562" i="1"/>
  <c r="O562" i="1"/>
  <c r="P562" i="1"/>
  <c r="Q562" i="1"/>
  <c r="D590" i="1"/>
  <c r="E590" i="1"/>
  <c r="M590" i="1"/>
  <c r="N590" i="1"/>
  <c r="O590" i="1"/>
  <c r="P590" i="1"/>
  <c r="Q590" i="1"/>
  <c r="D598" i="1"/>
  <c r="E598" i="1"/>
  <c r="M598" i="1"/>
  <c r="N598" i="1"/>
  <c r="O598" i="1"/>
  <c r="P598" i="1"/>
  <c r="Q598" i="1"/>
  <c r="D580" i="1"/>
  <c r="E580" i="1"/>
  <c r="M580" i="1"/>
  <c r="N580" i="1"/>
  <c r="O580" i="1"/>
  <c r="P580" i="1"/>
  <c r="Q580" i="1"/>
  <c r="D604" i="1"/>
  <c r="E604" i="1"/>
  <c r="M604" i="1"/>
  <c r="N604" i="1"/>
  <c r="O604" i="1"/>
  <c r="P604" i="1"/>
  <c r="Q604" i="1"/>
  <c r="D603" i="1"/>
  <c r="E603" i="1"/>
  <c r="M603" i="1"/>
  <c r="N603" i="1"/>
  <c r="O603" i="1"/>
  <c r="P603" i="1"/>
  <c r="Q603" i="1"/>
  <c r="D611" i="1"/>
  <c r="E611" i="1"/>
  <c r="M611" i="1"/>
  <c r="N611" i="1"/>
  <c r="O611" i="1"/>
  <c r="P611" i="1"/>
  <c r="Q611" i="1"/>
  <c r="D638" i="1"/>
  <c r="E638" i="1"/>
  <c r="M638" i="1"/>
  <c r="N638" i="1"/>
  <c r="O638" i="1"/>
  <c r="P638" i="1"/>
  <c r="Q638" i="1"/>
  <c r="D602" i="1"/>
  <c r="E602" i="1"/>
  <c r="M602" i="1"/>
  <c r="N602" i="1"/>
  <c r="O602" i="1"/>
  <c r="P602" i="1"/>
  <c r="Q602" i="1"/>
  <c r="D597" i="1"/>
  <c r="E597" i="1"/>
  <c r="M597" i="1"/>
  <c r="N597" i="1"/>
  <c r="O597" i="1"/>
  <c r="P597" i="1"/>
  <c r="Q597" i="1"/>
  <c r="D588" i="1"/>
  <c r="E588" i="1"/>
  <c r="M588" i="1"/>
  <c r="N588" i="1"/>
  <c r="O588" i="1"/>
  <c r="P588" i="1"/>
  <c r="Q588" i="1"/>
  <c r="D108" i="1"/>
  <c r="E108" i="1"/>
  <c r="M108" i="1"/>
  <c r="N108" i="1"/>
  <c r="O108" i="1"/>
  <c r="P108" i="1"/>
  <c r="Q108" i="1"/>
  <c r="D628" i="1"/>
  <c r="E628" i="1"/>
  <c r="M628" i="1"/>
  <c r="N628" i="1"/>
  <c r="O628" i="1"/>
  <c r="P628" i="1"/>
  <c r="Q628" i="1"/>
  <c r="D585" i="1"/>
  <c r="E585" i="1"/>
  <c r="M585" i="1"/>
  <c r="N585" i="1"/>
  <c r="O585" i="1"/>
  <c r="P585" i="1"/>
  <c r="Q585" i="1"/>
  <c r="D586" i="1"/>
  <c r="E586" i="1"/>
  <c r="M586" i="1"/>
  <c r="N586" i="1"/>
  <c r="O586" i="1"/>
  <c r="P586" i="1"/>
  <c r="Q586" i="1"/>
  <c r="D595" i="1"/>
  <c r="E595" i="1"/>
  <c r="M595" i="1"/>
  <c r="N595" i="1"/>
  <c r="O595" i="1"/>
  <c r="P595" i="1"/>
  <c r="Q595" i="1"/>
  <c r="D560" i="1"/>
  <c r="E560" i="1"/>
  <c r="M560" i="1"/>
  <c r="N560" i="1"/>
  <c r="O560" i="1"/>
  <c r="P560" i="1"/>
  <c r="Q560" i="1"/>
  <c r="D594" i="1"/>
  <c r="E594" i="1"/>
  <c r="M594" i="1"/>
  <c r="N594" i="1"/>
  <c r="O594" i="1"/>
  <c r="P594" i="1"/>
  <c r="Q594" i="1"/>
  <c r="D593" i="1"/>
  <c r="E593" i="1"/>
  <c r="M593" i="1"/>
  <c r="N593" i="1"/>
  <c r="O593" i="1"/>
  <c r="P593" i="1"/>
  <c r="Q593" i="1"/>
  <c r="D468" i="1"/>
  <c r="E468" i="1"/>
  <c r="M468" i="1"/>
  <c r="N468" i="1"/>
  <c r="O468" i="1"/>
  <c r="P468" i="1"/>
  <c r="Q468" i="1"/>
  <c r="D592" i="1"/>
  <c r="E592" i="1"/>
  <c r="M592" i="1"/>
  <c r="N592" i="1"/>
  <c r="O592" i="1"/>
  <c r="P592" i="1"/>
  <c r="Q592" i="1"/>
  <c r="D589" i="1"/>
  <c r="E589" i="1"/>
  <c r="M589" i="1"/>
  <c r="N589" i="1"/>
  <c r="O589" i="1"/>
  <c r="P589" i="1"/>
  <c r="Q589" i="1"/>
  <c r="D606" i="1"/>
  <c r="E606" i="1"/>
  <c r="M606" i="1"/>
  <c r="N606" i="1"/>
  <c r="O606" i="1"/>
  <c r="P606" i="1"/>
  <c r="Q606" i="1"/>
  <c r="D577" i="1"/>
  <c r="E577" i="1"/>
  <c r="M577" i="1"/>
  <c r="N577" i="1"/>
  <c r="O577" i="1"/>
  <c r="P577" i="1"/>
  <c r="Q577" i="1"/>
  <c r="D570" i="1"/>
  <c r="E570" i="1"/>
  <c r="M570" i="1"/>
  <c r="N570" i="1"/>
  <c r="O570" i="1"/>
  <c r="P570" i="1"/>
  <c r="Q570" i="1"/>
  <c r="D614" i="1"/>
  <c r="E614" i="1"/>
  <c r="M614" i="1"/>
  <c r="N614" i="1"/>
  <c r="O614" i="1"/>
  <c r="P614" i="1"/>
  <c r="Q614" i="1"/>
  <c r="D608" i="1"/>
  <c r="E608" i="1"/>
  <c r="M608" i="1"/>
  <c r="N608" i="1"/>
  <c r="O608" i="1"/>
  <c r="P608" i="1"/>
  <c r="Q608" i="1"/>
  <c r="D609" i="1"/>
  <c r="E609" i="1"/>
  <c r="M609" i="1"/>
  <c r="N609" i="1"/>
  <c r="O609" i="1"/>
  <c r="P609" i="1"/>
  <c r="Q609" i="1"/>
  <c r="D629" i="1"/>
  <c r="E629" i="1"/>
  <c r="M629" i="1"/>
  <c r="N629" i="1"/>
  <c r="O629" i="1"/>
  <c r="P629" i="1"/>
  <c r="Q629" i="1"/>
  <c r="D610" i="1"/>
  <c r="E610" i="1"/>
  <c r="M610" i="1"/>
  <c r="N610" i="1"/>
  <c r="O610" i="1"/>
  <c r="P610" i="1"/>
  <c r="Q610" i="1"/>
  <c r="D568" i="1"/>
  <c r="E568" i="1"/>
  <c r="M568" i="1"/>
  <c r="N568" i="1"/>
  <c r="O568" i="1"/>
  <c r="P568" i="1"/>
  <c r="Q568" i="1"/>
  <c r="D600" i="1"/>
  <c r="E600" i="1"/>
  <c r="M600" i="1"/>
  <c r="N600" i="1"/>
  <c r="O600" i="1"/>
  <c r="P600" i="1"/>
  <c r="Q600" i="1"/>
  <c r="D566" i="1"/>
  <c r="E566" i="1"/>
  <c r="M566" i="1"/>
  <c r="N566" i="1"/>
  <c r="O566" i="1"/>
  <c r="P566" i="1"/>
  <c r="Q566" i="1"/>
  <c r="D622" i="1"/>
  <c r="E622" i="1"/>
  <c r="M622" i="1"/>
  <c r="N622" i="1"/>
  <c r="O622" i="1"/>
  <c r="P622" i="1"/>
  <c r="Q622" i="1"/>
  <c r="D578" i="1"/>
  <c r="E578" i="1"/>
  <c r="M578" i="1"/>
  <c r="N578" i="1"/>
  <c r="O578" i="1"/>
  <c r="P578" i="1"/>
  <c r="Q578" i="1"/>
  <c r="D625" i="1"/>
  <c r="E625" i="1"/>
  <c r="M625" i="1"/>
  <c r="N625" i="1"/>
  <c r="O625" i="1"/>
  <c r="P625" i="1"/>
  <c r="Q625" i="1"/>
  <c r="D565" i="1"/>
  <c r="E565" i="1"/>
  <c r="M565" i="1"/>
  <c r="N565" i="1"/>
  <c r="O565" i="1"/>
  <c r="P565" i="1"/>
  <c r="Q565" i="1"/>
  <c r="D601" i="1"/>
  <c r="E601" i="1"/>
  <c r="M601" i="1"/>
  <c r="N601" i="1"/>
  <c r="O601" i="1"/>
  <c r="P601" i="1"/>
  <c r="Q601" i="1"/>
  <c r="D579" i="1"/>
  <c r="E579" i="1"/>
  <c r="M579" i="1"/>
  <c r="N579" i="1"/>
  <c r="O579" i="1"/>
  <c r="P579" i="1"/>
  <c r="Q579" i="1"/>
  <c r="D564" i="1"/>
  <c r="E564" i="1"/>
  <c r="M564" i="1"/>
  <c r="N564" i="1"/>
  <c r="O564" i="1"/>
  <c r="P564" i="1"/>
  <c r="Q564" i="1"/>
  <c r="D569" i="1"/>
  <c r="E569" i="1"/>
  <c r="M569" i="1"/>
  <c r="N569" i="1"/>
  <c r="O569" i="1"/>
  <c r="P569" i="1"/>
  <c r="Q569" i="1"/>
  <c r="D623" i="1"/>
  <c r="E623" i="1"/>
  <c r="M623" i="1"/>
  <c r="N623" i="1"/>
  <c r="O623" i="1"/>
  <c r="P623" i="1"/>
  <c r="Q623" i="1"/>
  <c r="D563" i="1"/>
  <c r="E563" i="1"/>
  <c r="M563" i="1"/>
  <c r="N563" i="1"/>
  <c r="O563" i="1"/>
  <c r="P563" i="1"/>
  <c r="Q563" i="1"/>
  <c r="D561" i="1"/>
  <c r="E561" i="1"/>
  <c r="M561" i="1"/>
  <c r="N561" i="1"/>
  <c r="O561" i="1"/>
  <c r="P561" i="1"/>
  <c r="Q561" i="1"/>
  <c r="D607" i="1"/>
  <c r="E607" i="1"/>
  <c r="M607" i="1"/>
  <c r="N607" i="1"/>
  <c r="O607" i="1"/>
  <c r="P607" i="1"/>
  <c r="Q607" i="1"/>
  <c r="D559" i="1"/>
  <c r="E559" i="1"/>
  <c r="M559" i="1"/>
  <c r="N559" i="1"/>
  <c r="O559" i="1"/>
  <c r="P559" i="1"/>
  <c r="Q559" i="1"/>
  <c r="D633" i="1"/>
  <c r="E633" i="1"/>
  <c r="M633" i="1"/>
  <c r="N633" i="1"/>
  <c r="O633" i="1"/>
  <c r="P633" i="1"/>
  <c r="Q633" i="1"/>
  <c r="D599" i="1"/>
  <c r="E599" i="1"/>
  <c r="M599" i="1"/>
  <c r="N599" i="1"/>
  <c r="O599" i="1"/>
  <c r="P599" i="1"/>
  <c r="Q599" i="1"/>
  <c r="D546" i="1"/>
  <c r="E546" i="1"/>
  <c r="M546" i="1"/>
  <c r="N546" i="1"/>
  <c r="O546" i="1"/>
  <c r="P546" i="1"/>
  <c r="Q546" i="1"/>
  <c r="D551" i="1"/>
  <c r="E551" i="1"/>
  <c r="M551" i="1"/>
  <c r="N551" i="1"/>
  <c r="O551" i="1"/>
  <c r="P551" i="1"/>
  <c r="Q551" i="1"/>
  <c r="D550" i="1"/>
  <c r="E550" i="1"/>
  <c r="M550" i="1"/>
  <c r="N550" i="1"/>
  <c r="O550" i="1"/>
  <c r="P550" i="1"/>
  <c r="Q550" i="1"/>
  <c r="D548" i="1"/>
  <c r="E548" i="1"/>
  <c r="M548" i="1"/>
  <c r="N548" i="1"/>
  <c r="O548" i="1"/>
  <c r="P548" i="1"/>
  <c r="Q548" i="1"/>
  <c r="D545" i="1"/>
  <c r="E545" i="1"/>
  <c r="M545" i="1"/>
  <c r="N545" i="1"/>
  <c r="O545" i="1"/>
  <c r="P545" i="1"/>
  <c r="Q545" i="1"/>
  <c r="D544" i="1"/>
  <c r="E544" i="1"/>
  <c r="M544" i="1"/>
  <c r="N544" i="1"/>
  <c r="O544" i="1"/>
  <c r="P544" i="1"/>
  <c r="Q544" i="1"/>
  <c r="D204" i="1"/>
  <c r="E204" i="1"/>
  <c r="M204" i="1"/>
  <c r="N204" i="1"/>
  <c r="O204" i="1"/>
  <c r="P204" i="1"/>
  <c r="Q204" i="1"/>
  <c r="D558" i="1"/>
  <c r="E558" i="1"/>
  <c r="M558" i="1"/>
  <c r="N558" i="1"/>
  <c r="O558" i="1"/>
  <c r="P558" i="1"/>
  <c r="Q558" i="1"/>
  <c r="D557" i="1"/>
  <c r="E557" i="1"/>
  <c r="M557" i="1"/>
  <c r="N557" i="1"/>
  <c r="O557" i="1"/>
  <c r="P557" i="1"/>
  <c r="Q557" i="1"/>
  <c r="D556" i="1"/>
  <c r="E556" i="1"/>
  <c r="M556" i="1"/>
  <c r="N556" i="1"/>
  <c r="O556" i="1"/>
  <c r="P556" i="1"/>
  <c r="Q556" i="1"/>
  <c r="D553" i="1"/>
  <c r="E553" i="1"/>
  <c r="M553" i="1"/>
  <c r="N553" i="1"/>
  <c r="O553" i="1"/>
  <c r="P553" i="1"/>
  <c r="Q553" i="1"/>
  <c r="D549" i="1"/>
  <c r="E549" i="1"/>
  <c r="M549" i="1"/>
  <c r="N549" i="1"/>
  <c r="O549" i="1"/>
  <c r="P549" i="1"/>
  <c r="Q549" i="1"/>
  <c r="D552" i="1"/>
  <c r="E552" i="1"/>
  <c r="M552" i="1"/>
  <c r="N552" i="1"/>
  <c r="O552" i="1"/>
  <c r="P552" i="1"/>
  <c r="Q552" i="1"/>
  <c r="D542" i="1"/>
  <c r="E542" i="1"/>
  <c r="M542" i="1"/>
  <c r="N542" i="1"/>
  <c r="O542" i="1"/>
  <c r="P542" i="1"/>
  <c r="Q542" i="1"/>
  <c r="D718" i="1"/>
  <c r="E718" i="1"/>
  <c r="M718" i="1"/>
  <c r="N718" i="1"/>
  <c r="O718" i="1"/>
  <c r="P718" i="1"/>
  <c r="Q718" i="1"/>
  <c r="D547" i="1"/>
  <c r="E547" i="1"/>
  <c r="M547" i="1"/>
  <c r="N547" i="1"/>
  <c r="O547" i="1"/>
  <c r="P547" i="1"/>
  <c r="Q547" i="1"/>
  <c r="D539" i="1"/>
  <c r="E539" i="1"/>
  <c r="M539" i="1"/>
  <c r="N539" i="1"/>
  <c r="O539" i="1"/>
  <c r="P539" i="1"/>
  <c r="Q539" i="1"/>
  <c r="D541" i="1"/>
  <c r="E541" i="1"/>
  <c r="M541" i="1"/>
  <c r="N541" i="1"/>
  <c r="O541" i="1"/>
  <c r="P541" i="1"/>
  <c r="Q541" i="1"/>
  <c r="D540" i="1"/>
  <c r="E540" i="1"/>
  <c r="M540" i="1"/>
  <c r="N540" i="1"/>
  <c r="O540" i="1"/>
  <c r="P540" i="1"/>
  <c r="Q540" i="1"/>
  <c r="D538" i="1"/>
  <c r="E538" i="1"/>
  <c r="M538" i="1"/>
  <c r="N538" i="1"/>
  <c r="O538" i="1"/>
  <c r="P538" i="1"/>
  <c r="Q538" i="1"/>
  <c r="D524" i="1"/>
  <c r="E524" i="1"/>
  <c r="M524" i="1"/>
  <c r="N524" i="1"/>
  <c r="O524" i="1"/>
  <c r="P524" i="1"/>
  <c r="Q524" i="1"/>
  <c r="D532" i="1"/>
  <c r="E532" i="1"/>
  <c r="M532" i="1"/>
  <c r="N532" i="1"/>
  <c r="O532" i="1"/>
  <c r="P532" i="1"/>
  <c r="Q532" i="1"/>
  <c r="D576" i="1"/>
  <c r="E576" i="1"/>
  <c r="M576" i="1"/>
  <c r="N576" i="1"/>
  <c r="O576" i="1"/>
  <c r="P576" i="1"/>
  <c r="Q576" i="1"/>
  <c r="D523" i="1"/>
  <c r="E523" i="1"/>
  <c r="M523" i="1"/>
  <c r="N523" i="1"/>
  <c r="O523" i="1"/>
  <c r="P523" i="1"/>
  <c r="Q523" i="1"/>
  <c r="D537" i="1"/>
  <c r="E537" i="1"/>
  <c r="M537" i="1"/>
  <c r="N537" i="1"/>
  <c r="O537" i="1"/>
  <c r="P537" i="1"/>
  <c r="Q537" i="1"/>
  <c r="D535" i="1"/>
  <c r="E535" i="1"/>
  <c r="M535" i="1"/>
  <c r="N535" i="1"/>
  <c r="O535" i="1"/>
  <c r="P535" i="1"/>
  <c r="Q535" i="1"/>
  <c r="D531" i="1"/>
  <c r="E531" i="1"/>
  <c r="M531" i="1"/>
  <c r="N531" i="1"/>
  <c r="O531" i="1"/>
  <c r="P531" i="1"/>
  <c r="Q531" i="1"/>
  <c r="D518" i="1"/>
  <c r="E518" i="1"/>
  <c r="M518" i="1"/>
  <c r="N518" i="1"/>
  <c r="O518" i="1"/>
  <c r="P518" i="1"/>
  <c r="Q518" i="1"/>
  <c r="D534" i="1"/>
  <c r="E534" i="1"/>
  <c r="M534" i="1"/>
  <c r="N534" i="1"/>
  <c r="O534" i="1"/>
  <c r="P534" i="1"/>
  <c r="Q534" i="1"/>
  <c r="D529" i="1"/>
  <c r="E529" i="1"/>
  <c r="M529" i="1"/>
  <c r="N529" i="1"/>
  <c r="O529" i="1"/>
  <c r="P529" i="1"/>
  <c r="Q529" i="1"/>
  <c r="D528" i="1"/>
  <c r="E528" i="1"/>
  <c r="M528" i="1"/>
  <c r="N528" i="1"/>
  <c r="O528" i="1"/>
  <c r="P528" i="1"/>
  <c r="Q528" i="1"/>
  <c r="D106" i="1"/>
  <c r="E106" i="1"/>
  <c r="M106" i="1"/>
  <c r="N106" i="1"/>
  <c r="O106" i="1"/>
  <c r="P106" i="1"/>
  <c r="Q106" i="1"/>
  <c r="D520" i="1"/>
  <c r="E520" i="1"/>
  <c r="M520" i="1"/>
  <c r="N520" i="1"/>
  <c r="O520" i="1"/>
  <c r="P520" i="1"/>
  <c r="Q520" i="1"/>
  <c r="D522" i="1"/>
  <c r="E522" i="1"/>
  <c r="M522" i="1"/>
  <c r="N522" i="1"/>
  <c r="O522" i="1"/>
  <c r="P522" i="1"/>
  <c r="Q522" i="1"/>
  <c r="D519" i="1"/>
  <c r="E519" i="1"/>
  <c r="M519" i="1"/>
  <c r="N519" i="1"/>
  <c r="O519" i="1"/>
  <c r="P519" i="1"/>
  <c r="Q519" i="1"/>
  <c r="D517" i="1"/>
  <c r="E517" i="1"/>
  <c r="M517" i="1"/>
  <c r="N517" i="1"/>
  <c r="O517" i="1"/>
  <c r="P517" i="1"/>
  <c r="Q517" i="1"/>
  <c r="D627" i="1"/>
  <c r="E627" i="1"/>
  <c r="M627" i="1"/>
  <c r="N627" i="1"/>
  <c r="O627" i="1"/>
  <c r="P627" i="1"/>
  <c r="Q627" i="1"/>
  <c r="D515" i="1"/>
  <c r="E515" i="1"/>
  <c r="M515" i="1"/>
  <c r="N515" i="1"/>
  <c r="O515" i="1"/>
  <c r="P515" i="1"/>
  <c r="Q515" i="1"/>
  <c r="D533" i="1"/>
  <c r="E533" i="1"/>
  <c r="M533" i="1"/>
  <c r="N533" i="1"/>
  <c r="O533" i="1"/>
  <c r="P533" i="1"/>
  <c r="Q533" i="1"/>
  <c r="D525" i="1"/>
  <c r="E525" i="1"/>
  <c r="M525" i="1"/>
  <c r="N525" i="1"/>
  <c r="O525" i="1"/>
  <c r="P525" i="1"/>
  <c r="Q525" i="1"/>
  <c r="D521" i="1"/>
  <c r="E521" i="1"/>
  <c r="M521" i="1"/>
  <c r="N521" i="1"/>
  <c r="O521" i="1"/>
  <c r="P521" i="1"/>
  <c r="Q521" i="1"/>
  <c r="D514" i="1"/>
  <c r="E514" i="1"/>
  <c r="M514" i="1"/>
  <c r="N514" i="1"/>
  <c r="O514" i="1"/>
  <c r="P514" i="1"/>
  <c r="Q514" i="1"/>
  <c r="D513" i="1"/>
  <c r="E513" i="1"/>
  <c r="M513" i="1"/>
  <c r="N513" i="1"/>
  <c r="O513" i="1"/>
  <c r="P513" i="1"/>
  <c r="Q513" i="1"/>
  <c r="D512" i="1"/>
  <c r="E512" i="1"/>
  <c r="M512" i="1"/>
  <c r="N512" i="1"/>
  <c r="O512" i="1"/>
  <c r="P512" i="1"/>
  <c r="Q512" i="1"/>
  <c r="D536" i="1"/>
  <c r="E536" i="1"/>
  <c r="M536" i="1"/>
  <c r="N536" i="1"/>
  <c r="O536" i="1"/>
  <c r="P536" i="1"/>
  <c r="Q536" i="1"/>
  <c r="D510" i="1"/>
  <c r="E510" i="1"/>
  <c r="M510" i="1"/>
  <c r="N510" i="1"/>
  <c r="O510" i="1"/>
  <c r="P510" i="1"/>
  <c r="Q510" i="1"/>
  <c r="D509" i="1"/>
  <c r="E509" i="1"/>
  <c r="M509" i="1"/>
  <c r="N509" i="1"/>
  <c r="O509" i="1"/>
  <c r="P509" i="1"/>
  <c r="Q509" i="1"/>
  <c r="D508" i="1"/>
  <c r="E508" i="1"/>
  <c r="M508" i="1"/>
  <c r="N508" i="1"/>
  <c r="O508" i="1"/>
  <c r="P508" i="1"/>
  <c r="Q508" i="1"/>
  <c r="D493" i="1"/>
  <c r="E493" i="1"/>
  <c r="M493" i="1"/>
  <c r="N493" i="1"/>
  <c r="O493" i="1"/>
  <c r="P493" i="1"/>
  <c r="Q493" i="1"/>
  <c r="D554" i="1"/>
  <c r="E554" i="1"/>
  <c r="M554" i="1"/>
  <c r="N554" i="1"/>
  <c r="O554" i="1"/>
  <c r="P554" i="1"/>
  <c r="Q554" i="1"/>
  <c r="D501" i="1"/>
  <c r="E501" i="1"/>
  <c r="M501" i="1"/>
  <c r="N501" i="1"/>
  <c r="O501" i="1"/>
  <c r="P501" i="1"/>
  <c r="Q501" i="1"/>
  <c r="D214" i="1"/>
  <c r="E214" i="1"/>
  <c r="M214" i="1"/>
  <c r="N214" i="1"/>
  <c r="O214" i="1"/>
  <c r="P214" i="1"/>
  <c r="Q214" i="1"/>
  <c r="D489" i="1"/>
  <c r="E489" i="1"/>
  <c r="M489" i="1"/>
  <c r="N489" i="1"/>
  <c r="O489" i="1"/>
  <c r="P489" i="1"/>
  <c r="Q489" i="1"/>
  <c r="D104" i="1"/>
  <c r="E104" i="1"/>
  <c r="M104" i="1"/>
  <c r="N104" i="1"/>
  <c r="O104" i="1"/>
  <c r="P104" i="1"/>
  <c r="Q104" i="1"/>
  <c r="D492" i="1"/>
  <c r="E492" i="1"/>
  <c r="M492" i="1"/>
  <c r="N492" i="1"/>
  <c r="O492" i="1"/>
  <c r="P492" i="1"/>
  <c r="Q492" i="1"/>
  <c r="D491" i="1"/>
  <c r="E491" i="1"/>
  <c r="M491" i="1"/>
  <c r="N491" i="1"/>
  <c r="O491" i="1"/>
  <c r="P491" i="1"/>
  <c r="Q491" i="1"/>
  <c r="D503" i="1"/>
  <c r="E503" i="1"/>
  <c r="M503" i="1"/>
  <c r="N503" i="1"/>
  <c r="O503" i="1"/>
  <c r="P503" i="1"/>
  <c r="Q503" i="1"/>
  <c r="D488" i="1"/>
  <c r="E488" i="1"/>
  <c r="M488" i="1"/>
  <c r="N488" i="1"/>
  <c r="O488" i="1"/>
  <c r="P488" i="1"/>
  <c r="Q488" i="1"/>
  <c r="D486" i="1"/>
  <c r="E486" i="1"/>
  <c r="M486" i="1"/>
  <c r="N486" i="1"/>
  <c r="O486" i="1"/>
  <c r="P486" i="1"/>
  <c r="Q486" i="1"/>
  <c r="D487" i="1"/>
  <c r="E487" i="1"/>
  <c r="M487" i="1"/>
  <c r="N487" i="1"/>
  <c r="O487" i="1"/>
  <c r="P487" i="1"/>
  <c r="Q487" i="1"/>
  <c r="D472" i="1"/>
  <c r="E472" i="1"/>
  <c r="M472" i="1"/>
  <c r="N472" i="1"/>
  <c r="O472" i="1"/>
  <c r="P472" i="1"/>
  <c r="Q472" i="1"/>
  <c r="D466" i="1"/>
  <c r="E466" i="1"/>
  <c r="M466" i="1"/>
  <c r="N466" i="1"/>
  <c r="O466" i="1"/>
  <c r="P466" i="1"/>
  <c r="Q466" i="1"/>
  <c r="D498" i="1"/>
  <c r="E498" i="1"/>
  <c r="M498" i="1"/>
  <c r="N498" i="1"/>
  <c r="O498" i="1"/>
  <c r="P498" i="1"/>
  <c r="Q498" i="1"/>
  <c r="D506" i="1"/>
  <c r="E506" i="1"/>
  <c r="M506" i="1"/>
  <c r="N506" i="1"/>
  <c r="O506" i="1"/>
  <c r="P506" i="1"/>
  <c r="Q506" i="1"/>
  <c r="D464" i="1"/>
  <c r="E464" i="1"/>
  <c r="M464" i="1"/>
  <c r="N464" i="1"/>
  <c r="O464" i="1"/>
  <c r="P464" i="1"/>
  <c r="Q464" i="1"/>
  <c r="D484" i="1"/>
  <c r="E484" i="1"/>
  <c r="M484" i="1"/>
  <c r="N484" i="1"/>
  <c r="O484" i="1"/>
  <c r="P484" i="1"/>
  <c r="Q484" i="1"/>
  <c r="D485" i="1"/>
  <c r="E485" i="1"/>
  <c r="M485" i="1"/>
  <c r="N485" i="1"/>
  <c r="O485" i="1"/>
  <c r="P485" i="1"/>
  <c r="Q485" i="1"/>
  <c r="D482" i="1"/>
  <c r="E482" i="1"/>
  <c r="M482" i="1"/>
  <c r="N482" i="1"/>
  <c r="O482" i="1"/>
  <c r="P482" i="1"/>
  <c r="Q482" i="1"/>
  <c r="D481" i="1"/>
  <c r="E481" i="1"/>
  <c r="M481" i="1"/>
  <c r="N481" i="1"/>
  <c r="O481" i="1"/>
  <c r="P481" i="1"/>
  <c r="Q481" i="1"/>
  <c r="D480" i="1"/>
  <c r="E480" i="1"/>
  <c r="M480" i="1"/>
  <c r="N480" i="1"/>
  <c r="O480" i="1"/>
  <c r="P480" i="1"/>
  <c r="Q480" i="1"/>
  <c r="D478" i="1"/>
  <c r="E478" i="1"/>
  <c r="M478" i="1"/>
  <c r="N478" i="1"/>
  <c r="O478" i="1"/>
  <c r="P478" i="1"/>
  <c r="Q478" i="1"/>
  <c r="D495" i="1"/>
  <c r="E495" i="1"/>
  <c r="M495" i="1"/>
  <c r="N495" i="1"/>
  <c r="O495" i="1"/>
  <c r="P495" i="1"/>
  <c r="Q495" i="1"/>
  <c r="D496" i="1"/>
  <c r="E496" i="1"/>
  <c r="M496" i="1"/>
  <c r="N496" i="1"/>
  <c r="O496" i="1"/>
  <c r="P496" i="1"/>
  <c r="Q496" i="1"/>
  <c r="D584" i="1"/>
  <c r="E584" i="1"/>
  <c r="M584" i="1"/>
  <c r="N584" i="1"/>
  <c r="O584" i="1"/>
  <c r="P584" i="1"/>
  <c r="Q584" i="1"/>
  <c r="D103" i="1"/>
  <c r="E103" i="1"/>
  <c r="M103" i="1"/>
  <c r="N103" i="1"/>
  <c r="O103" i="1"/>
  <c r="P103" i="1"/>
  <c r="Q103" i="1"/>
  <c r="D511" i="1"/>
  <c r="E511" i="1"/>
  <c r="M511" i="1"/>
  <c r="N511" i="1"/>
  <c r="O511" i="1"/>
  <c r="P511" i="1"/>
  <c r="Q511" i="1"/>
  <c r="D743" i="1"/>
  <c r="E743" i="1"/>
  <c r="M743" i="1"/>
  <c r="N743" i="1"/>
  <c r="O743" i="1"/>
  <c r="P743" i="1"/>
  <c r="Q743" i="1"/>
  <c r="D476" i="1"/>
  <c r="E476" i="1"/>
  <c r="M476" i="1"/>
  <c r="N476" i="1"/>
  <c r="O476" i="1"/>
  <c r="P476" i="1"/>
  <c r="Q476" i="1"/>
  <c r="D505" i="1"/>
  <c r="E505" i="1"/>
  <c r="M505" i="1"/>
  <c r="N505" i="1"/>
  <c r="O505" i="1"/>
  <c r="P505" i="1"/>
  <c r="Q505" i="1"/>
  <c r="D502" i="1"/>
  <c r="E502" i="1"/>
  <c r="M502" i="1"/>
  <c r="N502" i="1"/>
  <c r="O502" i="1"/>
  <c r="P502" i="1"/>
  <c r="Q502" i="1"/>
  <c r="D461" i="1"/>
  <c r="E461" i="1"/>
  <c r="M461" i="1"/>
  <c r="N461" i="1"/>
  <c r="O461" i="1"/>
  <c r="P461" i="1"/>
  <c r="Q461" i="1"/>
  <c r="D469" i="1"/>
  <c r="E469" i="1"/>
  <c r="M469" i="1"/>
  <c r="N469" i="1"/>
  <c r="O469" i="1"/>
  <c r="P469" i="1"/>
  <c r="Q469" i="1"/>
  <c r="D497" i="1"/>
  <c r="E497" i="1"/>
  <c r="M497" i="1"/>
  <c r="N497" i="1"/>
  <c r="O497" i="1"/>
  <c r="P497" i="1"/>
  <c r="Q497" i="1"/>
  <c r="D105" i="1"/>
  <c r="E105" i="1"/>
  <c r="M105" i="1"/>
  <c r="N105" i="1"/>
  <c r="O105" i="1"/>
  <c r="P105" i="1"/>
  <c r="Q105" i="1"/>
  <c r="D465" i="1"/>
  <c r="E465" i="1"/>
  <c r="M465" i="1"/>
  <c r="N465" i="1"/>
  <c r="O465" i="1"/>
  <c r="P465" i="1"/>
  <c r="Q465" i="1"/>
  <c r="D479" i="1"/>
  <c r="E479" i="1"/>
  <c r="M479" i="1"/>
  <c r="N479" i="1"/>
  <c r="O479" i="1"/>
  <c r="P479" i="1"/>
  <c r="Q479" i="1"/>
  <c r="D463" i="1"/>
  <c r="E463" i="1"/>
  <c r="M463" i="1"/>
  <c r="N463" i="1"/>
  <c r="O463" i="1"/>
  <c r="P463" i="1"/>
  <c r="Q463" i="1"/>
  <c r="D474" i="1"/>
  <c r="E474" i="1"/>
  <c r="M474" i="1"/>
  <c r="N474" i="1"/>
  <c r="O474" i="1"/>
  <c r="P474" i="1"/>
  <c r="Q474" i="1"/>
  <c r="D477" i="1"/>
  <c r="E477" i="1"/>
  <c r="M477" i="1"/>
  <c r="N477" i="1"/>
  <c r="O477" i="1"/>
  <c r="P477" i="1"/>
  <c r="Q477" i="1"/>
  <c r="D499" i="1"/>
  <c r="E499" i="1"/>
  <c r="M499" i="1"/>
  <c r="N499" i="1"/>
  <c r="O499" i="1"/>
  <c r="P499" i="1"/>
  <c r="Q499" i="1"/>
  <c r="D460" i="1"/>
  <c r="E460" i="1"/>
  <c r="M460" i="1"/>
  <c r="N460" i="1"/>
  <c r="O460" i="1"/>
  <c r="P460" i="1"/>
  <c r="Q460" i="1"/>
  <c r="D473" i="1"/>
  <c r="E473" i="1"/>
  <c r="M473" i="1"/>
  <c r="N473" i="1"/>
  <c r="O473" i="1"/>
  <c r="P473" i="1"/>
  <c r="Q473" i="1"/>
  <c r="D471" i="1"/>
  <c r="E471" i="1"/>
  <c r="M471" i="1"/>
  <c r="N471" i="1"/>
  <c r="O471" i="1"/>
  <c r="P471" i="1"/>
  <c r="Q471" i="1"/>
  <c r="D438" i="1"/>
  <c r="E438" i="1"/>
  <c r="M438" i="1"/>
  <c r="N438" i="1"/>
  <c r="O438" i="1"/>
  <c r="P438" i="1"/>
  <c r="Q438" i="1"/>
  <c r="D459" i="1"/>
  <c r="E459" i="1"/>
  <c r="M459" i="1"/>
  <c r="N459" i="1"/>
  <c r="O459" i="1"/>
  <c r="P459" i="1"/>
  <c r="Q459" i="1"/>
  <c r="D467" i="1"/>
  <c r="E467" i="1"/>
  <c r="M467" i="1"/>
  <c r="N467" i="1"/>
  <c r="O467" i="1"/>
  <c r="P467" i="1"/>
  <c r="Q467" i="1"/>
  <c r="D475" i="1"/>
  <c r="E475" i="1"/>
  <c r="M475" i="1"/>
  <c r="N475" i="1"/>
  <c r="O475" i="1"/>
  <c r="P475" i="1"/>
  <c r="Q475" i="1"/>
  <c r="D456" i="1"/>
  <c r="E456" i="1"/>
  <c r="M456" i="1"/>
  <c r="N456" i="1"/>
  <c r="O456" i="1"/>
  <c r="P456" i="1"/>
  <c r="Q456" i="1"/>
  <c r="D453" i="1"/>
  <c r="E453" i="1"/>
  <c r="M453" i="1"/>
  <c r="N453" i="1"/>
  <c r="O453" i="1"/>
  <c r="P453" i="1"/>
  <c r="Q453" i="1"/>
  <c r="D449" i="1"/>
  <c r="E449" i="1"/>
  <c r="M449" i="1"/>
  <c r="N449" i="1"/>
  <c r="O449" i="1"/>
  <c r="P449" i="1"/>
  <c r="Q449" i="1"/>
  <c r="D458" i="1"/>
  <c r="E458" i="1"/>
  <c r="M458" i="1"/>
  <c r="N458" i="1"/>
  <c r="O458" i="1"/>
  <c r="P458" i="1"/>
  <c r="Q458" i="1"/>
  <c r="D450" i="1"/>
  <c r="E450" i="1"/>
  <c r="M450" i="1"/>
  <c r="N450" i="1"/>
  <c r="O450" i="1"/>
  <c r="P450" i="1"/>
  <c r="Q450" i="1"/>
  <c r="D441" i="1"/>
  <c r="E441" i="1"/>
  <c r="M441" i="1"/>
  <c r="N441" i="1"/>
  <c r="O441" i="1"/>
  <c r="P441" i="1"/>
  <c r="Q441" i="1"/>
  <c r="D457" i="1"/>
  <c r="E457" i="1"/>
  <c r="M457" i="1"/>
  <c r="N457" i="1"/>
  <c r="O457" i="1"/>
  <c r="P457" i="1"/>
  <c r="Q457" i="1"/>
  <c r="D375" i="1"/>
  <c r="E375" i="1"/>
  <c r="M375" i="1"/>
  <c r="N375" i="1"/>
  <c r="O375" i="1"/>
  <c r="P375" i="1"/>
  <c r="Q375" i="1"/>
  <c r="D444" i="1"/>
  <c r="E444" i="1"/>
  <c r="M444" i="1"/>
  <c r="N444" i="1"/>
  <c r="O444" i="1"/>
  <c r="P444" i="1"/>
  <c r="Q444" i="1"/>
  <c r="D443" i="1"/>
  <c r="E443" i="1"/>
  <c r="M443" i="1"/>
  <c r="N443" i="1"/>
  <c r="O443" i="1"/>
  <c r="P443" i="1"/>
  <c r="Q443" i="1"/>
  <c r="D447" i="1"/>
  <c r="E447" i="1"/>
  <c r="M447" i="1"/>
  <c r="N447" i="1"/>
  <c r="O447" i="1"/>
  <c r="P447" i="1"/>
  <c r="Q447" i="1"/>
  <c r="D451" i="1"/>
  <c r="E451" i="1"/>
  <c r="M451" i="1"/>
  <c r="N451" i="1"/>
  <c r="O451" i="1"/>
  <c r="P451" i="1"/>
  <c r="Q451" i="1"/>
  <c r="D445" i="1"/>
  <c r="E445" i="1"/>
  <c r="M445" i="1"/>
  <c r="N445" i="1"/>
  <c r="O445" i="1"/>
  <c r="P445" i="1"/>
  <c r="Q445" i="1"/>
  <c r="D571" i="1"/>
  <c r="E571" i="1"/>
  <c r="M571" i="1"/>
  <c r="N571" i="1"/>
  <c r="O571" i="1"/>
  <c r="P571" i="1"/>
  <c r="Q571" i="1"/>
  <c r="D455" i="1"/>
  <c r="E455" i="1"/>
  <c r="M455" i="1"/>
  <c r="N455" i="1"/>
  <c r="O455" i="1"/>
  <c r="P455" i="1"/>
  <c r="Q455" i="1"/>
  <c r="D439" i="1"/>
  <c r="E439" i="1"/>
  <c r="M439" i="1"/>
  <c r="N439" i="1"/>
  <c r="O439" i="1"/>
  <c r="P439" i="1"/>
  <c r="Q439" i="1"/>
  <c r="D737" i="1"/>
  <c r="E737" i="1"/>
  <c r="M737" i="1"/>
  <c r="N737" i="1"/>
  <c r="O737" i="1"/>
  <c r="P737" i="1"/>
  <c r="Q737" i="1"/>
  <c r="D454" i="1"/>
  <c r="E454" i="1"/>
  <c r="M454" i="1"/>
  <c r="N454" i="1"/>
  <c r="O454" i="1"/>
  <c r="P454" i="1"/>
  <c r="Q454" i="1"/>
  <c r="D101" i="1"/>
  <c r="E101" i="1"/>
  <c r="M101" i="1"/>
  <c r="N101" i="1"/>
  <c r="O101" i="1"/>
  <c r="P101" i="1"/>
  <c r="Q101" i="1"/>
  <c r="D158" i="1"/>
  <c r="E158" i="1"/>
  <c r="M158" i="1"/>
  <c r="N158" i="1"/>
  <c r="O158" i="1"/>
  <c r="P158" i="1"/>
  <c r="Q158" i="1"/>
  <c r="D442" i="1"/>
  <c r="E442" i="1"/>
  <c r="M442" i="1"/>
  <c r="N442" i="1"/>
  <c r="O442" i="1"/>
  <c r="P442" i="1"/>
  <c r="Q442" i="1"/>
  <c r="D452" i="1"/>
  <c r="E452" i="1"/>
  <c r="M452" i="1"/>
  <c r="N452" i="1"/>
  <c r="O452" i="1"/>
  <c r="P452" i="1"/>
  <c r="Q452" i="1"/>
  <c r="D446" i="1"/>
  <c r="E446" i="1"/>
  <c r="M446" i="1"/>
  <c r="N446" i="1"/>
  <c r="O446" i="1"/>
  <c r="P446" i="1"/>
  <c r="Q446" i="1"/>
  <c r="D35" i="1"/>
  <c r="E35" i="1"/>
  <c r="M35" i="1"/>
  <c r="N35" i="1"/>
  <c r="O35" i="1"/>
  <c r="P35" i="1"/>
  <c r="Q35" i="1"/>
  <c r="D420" i="1"/>
  <c r="E420" i="1"/>
  <c r="M420" i="1"/>
  <c r="N420" i="1"/>
  <c r="O420" i="1"/>
  <c r="P420" i="1"/>
  <c r="Q420" i="1"/>
  <c r="D413" i="1"/>
  <c r="E413" i="1"/>
  <c r="M413" i="1"/>
  <c r="N413" i="1"/>
  <c r="O413" i="1"/>
  <c r="P413" i="1"/>
  <c r="Q413" i="1"/>
  <c r="D100" i="1"/>
  <c r="E100" i="1"/>
  <c r="M100" i="1"/>
  <c r="N100" i="1"/>
  <c r="O100" i="1"/>
  <c r="P100" i="1"/>
  <c r="Q100" i="1"/>
  <c r="D432" i="1"/>
  <c r="E432" i="1"/>
  <c r="M432" i="1"/>
  <c r="N432" i="1"/>
  <c r="O432" i="1"/>
  <c r="P432" i="1"/>
  <c r="Q432" i="1"/>
  <c r="D96" i="1"/>
  <c r="E96" i="1"/>
  <c r="M96" i="1"/>
  <c r="N96" i="1"/>
  <c r="O96" i="1"/>
  <c r="P96" i="1"/>
  <c r="Q96" i="1"/>
  <c r="D428" i="1"/>
  <c r="E428" i="1"/>
  <c r="M428" i="1"/>
  <c r="N428" i="1"/>
  <c r="O428" i="1"/>
  <c r="P428" i="1"/>
  <c r="Q428" i="1"/>
  <c r="D426" i="1"/>
  <c r="E426" i="1"/>
  <c r="M426" i="1"/>
  <c r="N426" i="1"/>
  <c r="O426" i="1"/>
  <c r="P426" i="1"/>
  <c r="Q426" i="1"/>
  <c r="D418" i="1"/>
  <c r="E418" i="1"/>
  <c r="M418" i="1"/>
  <c r="N418" i="1"/>
  <c r="O418" i="1"/>
  <c r="P418" i="1"/>
  <c r="Q418" i="1"/>
  <c r="D427" i="1"/>
  <c r="E427" i="1"/>
  <c r="M427" i="1"/>
  <c r="N427" i="1"/>
  <c r="O427" i="1"/>
  <c r="P427" i="1"/>
  <c r="Q427" i="1"/>
  <c r="D424" i="1"/>
  <c r="E424" i="1"/>
  <c r="M424" i="1"/>
  <c r="N424" i="1"/>
  <c r="O424" i="1"/>
  <c r="P424" i="1"/>
  <c r="Q424" i="1"/>
  <c r="D422" i="1"/>
  <c r="E422" i="1"/>
  <c r="M422" i="1"/>
  <c r="N422" i="1"/>
  <c r="O422" i="1"/>
  <c r="P422" i="1"/>
  <c r="Q422" i="1"/>
  <c r="D98" i="1"/>
  <c r="E98" i="1"/>
  <c r="M98" i="1"/>
  <c r="N98" i="1"/>
  <c r="O98" i="1"/>
  <c r="P98" i="1"/>
  <c r="Q98" i="1"/>
  <c r="D407" i="1"/>
  <c r="E407" i="1"/>
  <c r="M407" i="1"/>
  <c r="N407" i="1"/>
  <c r="O407" i="1"/>
  <c r="P407" i="1"/>
  <c r="Q407" i="1"/>
  <c r="D425" i="1"/>
  <c r="E425" i="1"/>
  <c r="M425" i="1"/>
  <c r="N425" i="1"/>
  <c r="O425" i="1"/>
  <c r="P425" i="1"/>
  <c r="Q425" i="1"/>
  <c r="D430" i="1"/>
  <c r="E430" i="1"/>
  <c r="M430" i="1"/>
  <c r="N430" i="1"/>
  <c r="O430" i="1"/>
  <c r="P430" i="1"/>
  <c r="Q430" i="1"/>
  <c r="D411" i="1"/>
  <c r="E411" i="1"/>
  <c r="M411" i="1"/>
  <c r="N411" i="1"/>
  <c r="O411" i="1"/>
  <c r="P411" i="1"/>
  <c r="Q411" i="1"/>
  <c r="D436" i="1"/>
  <c r="E436" i="1"/>
  <c r="M436" i="1"/>
  <c r="N436" i="1"/>
  <c r="O436" i="1"/>
  <c r="P436" i="1"/>
  <c r="Q436" i="1"/>
  <c r="D414" i="1"/>
  <c r="E414" i="1"/>
  <c r="M414" i="1"/>
  <c r="N414" i="1"/>
  <c r="O414" i="1"/>
  <c r="P414" i="1"/>
  <c r="Q414" i="1"/>
  <c r="D421" i="1"/>
  <c r="E421" i="1"/>
  <c r="M421" i="1"/>
  <c r="N421" i="1"/>
  <c r="O421" i="1"/>
  <c r="P421" i="1"/>
  <c r="Q421" i="1"/>
  <c r="D415" i="1"/>
  <c r="E415" i="1"/>
  <c r="M415" i="1"/>
  <c r="N415" i="1"/>
  <c r="O415" i="1"/>
  <c r="P415" i="1"/>
  <c r="Q415" i="1"/>
  <c r="D419" i="1"/>
  <c r="E419" i="1"/>
  <c r="M419" i="1"/>
  <c r="N419" i="1"/>
  <c r="O419" i="1"/>
  <c r="P419" i="1"/>
  <c r="Q419" i="1"/>
  <c r="D416" i="1"/>
  <c r="E416" i="1"/>
  <c r="M416" i="1"/>
  <c r="N416" i="1"/>
  <c r="O416" i="1"/>
  <c r="P416" i="1"/>
  <c r="Q416" i="1"/>
  <c r="D417" i="1"/>
  <c r="E417" i="1"/>
  <c r="M417" i="1"/>
  <c r="N417" i="1"/>
  <c r="O417" i="1"/>
  <c r="P417" i="1"/>
  <c r="Q417" i="1"/>
  <c r="D410" i="1"/>
  <c r="E410" i="1"/>
  <c r="M410" i="1"/>
  <c r="N410" i="1"/>
  <c r="O410" i="1"/>
  <c r="P410" i="1"/>
  <c r="Q410" i="1"/>
  <c r="D437" i="1"/>
  <c r="E437" i="1"/>
  <c r="M437" i="1"/>
  <c r="N437" i="1"/>
  <c r="O437" i="1"/>
  <c r="P437" i="1"/>
  <c r="Q437" i="1"/>
  <c r="D412" i="1"/>
  <c r="E412" i="1"/>
  <c r="M412" i="1"/>
  <c r="N412" i="1"/>
  <c r="O412" i="1"/>
  <c r="P412" i="1"/>
  <c r="Q412" i="1"/>
  <c r="D97" i="1"/>
  <c r="E97" i="1"/>
  <c r="M97" i="1"/>
  <c r="N97" i="1"/>
  <c r="O97" i="1"/>
  <c r="P97" i="1"/>
  <c r="Q97" i="1"/>
  <c r="D735" i="1"/>
  <c r="E735" i="1"/>
  <c r="M735" i="1"/>
  <c r="N735" i="1"/>
  <c r="O735" i="1"/>
  <c r="P735" i="1"/>
  <c r="Q735" i="1"/>
  <c r="D423" i="1"/>
  <c r="E423" i="1"/>
  <c r="M423" i="1"/>
  <c r="N423" i="1"/>
  <c r="O423" i="1"/>
  <c r="P423" i="1"/>
  <c r="Q423" i="1"/>
  <c r="D429" i="1"/>
  <c r="E429" i="1"/>
  <c r="M429" i="1"/>
  <c r="N429" i="1"/>
  <c r="O429" i="1"/>
  <c r="P429" i="1"/>
  <c r="Q429" i="1"/>
  <c r="D409" i="1"/>
  <c r="E409" i="1"/>
  <c r="M409" i="1"/>
  <c r="N409" i="1"/>
  <c r="O409" i="1"/>
  <c r="P409" i="1"/>
  <c r="Q409" i="1"/>
  <c r="D408" i="1"/>
  <c r="E408" i="1"/>
  <c r="M408" i="1"/>
  <c r="N408" i="1"/>
  <c r="O408" i="1"/>
  <c r="P408" i="1"/>
  <c r="Q408" i="1"/>
  <c r="D406" i="1"/>
  <c r="E406" i="1"/>
  <c r="M406" i="1"/>
  <c r="N406" i="1"/>
  <c r="O406" i="1"/>
  <c r="P406" i="1"/>
  <c r="Q406" i="1"/>
  <c r="D434" i="1"/>
  <c r="E434" i="1"/>
  <c r="M434" i="1"/>
  <c r="N434" i="1"/>
  <c r="O434" i="1"/>
  <c r="P434" i="1"/>
  <c r="Q434" i="1"/>
  <c r="D435" i="1"/>
  <c r="E435" i="1"/>
  <c r="M435" i="1"/>
  <c r="N435" i="1"/>
  <c r="O435" i="1"/>
  <c r="P435" i="1"/>
  <c r="Q435" i="1"/>
  <c r="D405" i="1"/>
  <c r="E405" i="1"/>
  <c r="M405" i="1"/>
  <c r="N405" i="1"/>
  <c r="O405" i="1"/>
  <c r="P405" i="1"/>
  <c r="Q405" i="1"/>
  <c r="D399" i="1"/>
  <c r="E399" i="1"/>
  <c r="M399" i="1"/>
  <c r="N399" i="1"/>
  <c r="O399" i="1"/>
  <c r="P399" i="1"/>
  <c r="Q399" i="1"/>
  <c r="D388" i="1"/>
  <c r="E388" i="1"/>
  <c r="M388" i="1"/>
  <c r="N388" i="1"/>
  <c r="O388" i="1"/>
  <c r="P388" i="1"/>
  <c r="Q388" i="1"/>
  <c r="D389" i="1"/>
  <c r="E389" i="1"/>
  <c r="M389" i="1"/>
  <c r="N389" i="1"/>
  <c r="O389" i="1"/>
  <c r="P389" i="1"/>
  <c r="Q389" i="1"/>
  <c r="D398" i="1"/>
  <c r="E398" i="1"/>
  <c r="M398" i="1"/>
  <c r="N398" i="1"/>
  <c r="O398" i="1"/>
  <c r="P398" i="1"/>
  <c r="Q398" i="1"/>
  <c r="D390" i="1"/>
  <c r="E390" i="1"/>
  <c r="M390" i="1"/>
  <c r="N390" i="1"/>
  <c r="O390" i="1"/>
  <c r="P390" i="1"/>
  <c r="Q390" i="1"/>
  <c r="D404" i="1"/>
  <c r="E404" i="1"/>
  <c r="M404" i="1"/>
  <c r="N404" i="1"/>
  <c r="O404" i="1"/>
  <c r="P404" i="1"/>
  <c r="Q404" i="1"/>
  <c r="D403" i="1"/>
  <c r="E403" i="1"/>
  <c r="M403" i="1"/>
  <c r="N403" i="1"/>
  <c r="O403" i="1"/>
  <c r="P403" i="1"/>
  <c r="Q403" i="1"/>
  <c r="D387" i="1"/>
  <c r="E387" i="1"/>
  <c r="M387" i="1"/>
  <c r="N387" i="1"/>
  <c r="O387" i="1"/>
  <c r="P387" i="1"/>
  <c r="Q387" i="1"/>
  <c r="D393" i="1"/>
  <c r="E393" i="1"/>
  <c r="M393" i="1"/>
  <c r="N393" i="1"/>
  <c r="O393" i="1"/>
  <c r="P393" i="1"/>
  <c r="Q393" i="1"/>
  <c r="D400" i="1"/>
  <c r="E400" i="1"/>
  <c r="M400" i="1"/>
  <c r="N400" i="1"/>
  <c r="O400" i="1"/>
  <c r="P400" i="1"/>
  <c r="Q400" i="1"/>
  <c r="D395" i="1"/>
  <c r="E395" i="1"/>
  <c r="M395" i="1"/>
  <c r="N395" i="1"/>
  <c r="O395" i="1"/>
  <c r="P395" i="1"/>
  <c r="Q395" i="1"/>
  <c r="D391" i="1"/>
  <c r="E391" i="1"/>
  <c r="M391" i="1"/>
  <c r="N391" i="1"/>
  <c r="O391" i="1"/>
  <c r="P391" i="1"/>
  <c r="Q391" i="1"/>
  <c r="D386" i="1"/>
  <c r="E386" i="1"/>
  <c r="M386" i="1"/>
  <c r="N386" i="1"/>
  <c r="O386" i="1"/>
  <c r="P386" i="1"/>
  <c r="Q386" i="1"/>
  <c r="D394" i="1"/>
  <c r="E394" i="1"/>
  <c r="M394" i="1"/>
  <c r="N394" i="1"/>
  <c r="O394" i="1"/>
  <c r="P394" i="1"/>
  <c r="Q394" i="1"/>
  <c r="D95" i="1"/>
  <c r="E95" i="1"/>
  <c r="M95" i="1"/>
  <c r="N95" i="1"/>
  <c r="O95" i="1"/>
  <c r="P95" i="1"/>
  <c r="Q95" i="1"/>
  <c r="D402" i="1"/>
  <c r="E402" i="1"/>
  <c r="M402" i="1"/>
  <c r="N402" i="1"/>
  <c r="O402" i="1"/>
  <c r="P402" i="1"/>
  <c r="Q402" i="1"/>
  <c r="D385" i="1"/>
  <c r="E385" i="1"/>
  <c r="M385" i="1"/>
  <c r="N385" i="1"/>
  <c r="O385" i="1"/>
  <c r="P385" i="1"/>
  <c r="Q385" i="1"/>
  <c r="D384" i="1"/>
  <c r="E384" i="1"/>
  <c r="M384" i="1"/>
  <c r="N384" i="1"/>
  <c r="O384" i="1"/>
  <c r="P384" i="1"/>
  <c r="Q384" i="1"/>
  <c r="D401" i="1"/>
  <c r="E401" i="1"/>
  <c r="M401" i="1"/>
  <c r="N401" i="1"/>
  <c r="O401" i="1"/>
  <c r="P401" i="1"/>
  <c r="Q401" i="1"/>
  <c r="D382" i="1"/>
  <c r="E382" i="1"/>
  <c r="M382" i="1"/>
  <c r="N382" i="1"/>
  <c r="O382" i="1"/>
  <c r="P382" i="1"/>
  <c r="Q382" i="1"/>
  <c r="D379" i="1"/>
  <c r="E379" i="1"/>
  <c r="M379" i="1"/>
  <c r="N379" i="1"/>
  <c r="O379" i="1"/>
  <c r="P379" i="1"/>
  <c r="Q379" i="1"/>
  <c r="D380" i="1"/>
  <c r="E380" i="1"/>
  <c r="M380" i="1"/>
  <c r="N380" i="1"/>
  <c r="O380" i="1"/>
  <c r="P380" i="1"/>
  <c r="Q380" i="1"/>
  <c r="D383" i="1"/>
  <c r="E383" i="1"/>
  <c r="M383" i="1"/>
  <c r="N383" i="1"/>
  <c r="O383" i="1"/>
  <c r="P383" i="1"/>
  <c r="Q383" i="1"/>
  <c r="D381" i="1"/>
  <c r="E381" i="1"/>
  <c r="M381" i="1"/>
  <c r="N381" i="1"/>
  <c r="O381" i="1"/>
  <c r="P381" i="1"/>
  <c r="Q381" i="1"/>
  <c r="D377" i="1"/>
  <c r="E377" i="1"/>
  <c r="M377" i="1"/>
  <c r="N377" i="1"/>
  <c r="O377" i="1"/>
  <c r="P377" i="1"/>
  <c r="Q377" i="1"/>
  <c r="D376" i="1"/>
  <c r="E376" i="1"/>
  <c r="M376" i="1"/>
  <c r="N376" i="1"/>
  <c r="O376" i="1"/>
  <c r="P376" i="1"/>
  <c r="Q376" i="1"/>
  <c r="D356" i="1"/>
  <c r="E356" i="1"/>
  <c r="M356" i="1"/>
  <c r="N356" i="1"/>
  <c r="O356" i="1"/>
  <c r="P356" i="1"/>
  <c r="Q356" i="1"/>
  <c r="D371" i="1"/>
  <c r="E371" i="1"/>
  <c r="M371" i="1"/>
  <c r="N371" i="1"/>
  <c r="O371" i="1"/>
  <c r="P371" i="1"/>
  <c r="Q371" i="1"/>
  <c r="D374" i="1"/>
  <c r="E374" i="1"/>
  <c r="M374" i="1"/>
  <c r="N374" i="1"/>
  <c r="O374" i="1"/>
  <c r="P374" i="1"/>
  <c r="Q374" i="1"/>
  <c r="D373" i="1"/>
  <c r="E373" i="1"/>
  <c r="M373" i="1"/>
  <c r="N373" i="1"/>
  <c r="O373" i="1"/>
  <c r="P373" i="1"/>
  <c r="Q373" i="1"/>
  <c r="D370" i="1"/>
  <c r="E370" i="1"/>
  <c r="M370" i="1"/>
  <c r="N370" i="1"/>
  <c r="O370" i="1"/>
  <c r="P370" i="1"/>
  <c r="Q370" i="1"/>
  <c r="D369" i="1"/>
  <c r="E369" i="1"/>
  <c r="M369" i="1"/>
  <c r="N369" i="1"/>
  <c r="O369" i="1"/>
  <c r="P369" i="1"/>
  <c r="Q369" i="1"/>
  <c r="D364" i="1"/>
  <c r="E364" i="1"/>
  <c r="M364" i="1"/>
  <c r="N364" i="1"/>
  <c r="O364" i="1"/>
  <c r="P364" i="1"/>
  <c r="Q364" i="1"/>
  <c r="D367" i="1"/>
  <c r="E367" i="1"/>
  <c r="M367" i="1"/>
  <c r="N367" i="1"/>
  <c r="O367" i="1"/>
  <c r="P367" i="1"/>
  <c r="Q367" i="1"/>
  <c r="D366" i="1"/>
  <c r="E366" i="1"/>
  <c r="M366" i="1"/>
  <c r="N366" i="1"/>
  <c r="O366" i="1"/>
  <c r="P366" i="1"/>
  <c r="Q366" i="1"/>
  <c r="D365" i="1"/>
  <c r="E365" i="1"/>
  <c r="M365" i="1"/>
  <c r="N365" i="1"/>
  <c r="O365" i="1"/>
  <c r="P365" i="1"/>
  <c r="Q365" i="1"/>
  <c r="D107" i="1"/>
  <c r="E107" i="1"/>
  <c r="M107" i="1"/>
  <c r="N107" i="1"/>
  <c r="O107" i="1"/>
  <c r="P107" i="1"/>
  <c r="Q107" i="1"/>
  <c r="D93" i="1"/>
  <c r="E93" i="1"/>
  <c r="M93" i="1"/>
  <c r="N93" i="1"/>
  <c r="O93" i="1"/>
  <c r="P93" i="1"/>
  <c r="Q93" i="1"/>
  <c r="D368" i="1"/>
  <c r="E368" i="1"/>
  <c r="M368" i="1"/>
  <c r="N368" i="1"/>
  <c r="O368" i="1"/>
  <c r="P368" i="1"/>
  <c r="Q368" i="1"/>
  <c r="D372" i="1"/>
  <c r="E372" i="1"/>
  <c r="M372" i="1"/>
  <c r="N372" i="1"/>
  <c r="O372" i="1"/>
  <c r="P372" i="1"/>
  <c r="Q372" i="1"/>
  <c r="D206" i="1"/>
  <c r="E206" i="1"/>
  <c r="M206" i="1"/>
  <c r="N206" i="1"/>
  <c r="O206" i="1"/>
  <c r="P206" i="1"/>
  <c r="Q206" i="1"/>
  <c r="D346" i="1"/>
  <c r="E346" i="1"/>
  <c r="M346" i="1"/>
  <c r="N346" i="1"/>
  <c r="O346" i="1"/>
  <c r="P346" i="1"/>
  <c r="Q346" i="1"/>
  <c r="D357" i="1"/>
  <c r="E357" i="1"/>
  <c r="M357" i="1"/>
  <c r="N357" i="1"/>
  <c r="O357" i="1"/>
  <c r="P357" i="1"/>
  <c r="Q357" i="1"/>
  <c r="D448" i="1"/>
  <c r="E448" i="1"/>
  <c r="M448" i="1"/>
  <c r="N448" i="1"/>
  <c r="O448" i="1"/>
  <c r="P448" i="1"/>
  <c r="Q448" i="1"/>
  <c r="D729" i="1"/>
  <c r="E729" i="1"/>
  <c r="M729" i="1"/>
  <c r="N729" i="1"/>
  <c r="O729" i="1"/>
  <c r="P729" i="1"/>
  <c r="Q729" i="1"/>
  <c r="D361" i="1"/>
  <c r="E361" i="1"/>
  <c r="M361" i="1"/>
  <c r="N361" i="1"/>
  <c r="O361" i="1"/>
  <c r="P361" i="1"/>
  <c r="Q361" i="1"/>
  <c r="D354" i="1"/>
  <c r="E354" i="1"/>
  <c r="M354" i="1"/>
  <c r="N354" i="1"/>
  <c r="O354" i="1"/>
  <c r="P354" i="1"/>
  <c r="Q354" i="1"/>
  <c r="D350" i="1"/>
  <c r="E350" i="1"/>
  <c r="M350" i="1"/>
  <c r="N350" i="1"/>
  <c r="O350" i="1"/>
  <c r="P350" i="1"/>
  <c r="Q350" i="1"/>
  <c r="D353" i="1"/>
  <c r="E353" i="1"/>
  <c r="M353" i="1"/>
  <c r="N353" i="1"/>
  <c r="O353" i="1"/>
  <c r="P353" i="1"/>
  <c r="Q353" i="1"/>
  <c r="D345" i="1"/>
  <c r="E345" i="1"/>
  <c r="M345" i="1"/>
  <c r="N345" i="1"/>
  <c r="O345" i="1"/>
  <c r="P345" i="1"/>
  <c r="Q345" i="1"/>
  <c r="D363" i="1"/>
  <c r="E363" i="1"/>
  <c r="M363" i="1"/>
  <c r="N363" i="1"/>
  <c r="O363" i="1"/>
  <c r="P363" i="1"/>
  <c r="Q363" i="1"/>
  <c r="D351" i="1"/>
  <c r="E351" i="1"/>
  <c r="M351" i="1"/>
  <c r="N351" i="1"/>
  <c r="O351" i="1"/>
  <c r="P351" i="1"/>
  <c r="Q351" i="1"/>
  <c r="D504" i="1"/>
  <c r="E504" i="1"/>
  <c r="M504" i="1"/>
  <c r="N504" i="1"/>
  <c r="O504" i="1"/>
  <c r="P504" i="1"/>
  <c r="Q504" i="1"/>
  <c r="D360" i="1"/>
  <c r="E360" i="1"/>
  <c r="M360" i="1"/>
  <c r="N360" i="1"/>
  <c r="O360" i="1"/>
  <c r="P360" i="1"/>
  <c r="Q360" i="1"/>
  <c r="D530" i="1"/>
  <c r="E530" i="1"/>
  <c r="M530" i="1"/>
  <c r="N530" i="1"/>
  <c r="O530" i="1"/>
  <c r="P530" i="1"/>
  <c r="Q530" i="1"/>
  <c r="D352" i="1"/>
  <c r="E352" i="1"/>
  <c r="M352" i="1"/>
  <c r="N352" i="1"/>
  <c r="O352" i="1"/>
  <c r="P352" i="1"/>
  <c r="Q352" i="1"/>
  <c r="D344" i="1"/>
  <c r="E344" i="1"/>
  <c r="M344" i="1"/>
  <c r="N344" i="1"/>
  <c r="O344" i="1"/>
  <c r="P344" i="1"/>
  <c r="Q344" i="1"/>
  <c r="D349" i="1"/>
  <c r="E349" i="1"/>
  <c r="M349" i="1"/>
  <c r="N349" i="1"/>
  <c r="O349" i="1"/>
  <c r="P349" i="1"/>
  <c r="Q349" i="1"/>
  <c r="D347" i="1"/>
  <c r="E347" i="1"/>
  <c r="M347" i="1"/>
  <c r="N347" i="1"/>
  <c r="O347" i="1"/>
  <c r="P347" i="1"/>
  <c r="Q347" i="1"/>
  <c r="D721" i="1"/>
  <c r="E721" i="1"/>
  <c r="M721" i="1"/>
  <c r="N721" i="1"/>
  <c r="O721" i="1"/>
  <c r="P721" i="1"/>
  <c r="Q721" i="1"/>
  <c r="D343" i="1"/>
  <c r="E343" i="1"/>
  <c r="M343" i="1"/>
  <c r="N343" i="1"/>
  <c r="O343" i="1"/>
  <c r="P343" i="1"/>
  <c r="Q343" i="1"/>
  <c r="D341" i="1"/>
  <c r="E341" i="1"/>
  <c r="M341" i="1"/>
  <c r="N341" i="1"/>
  <c r="O341" i="1"/>
  <c r="P341" i="1"/>
  <c r="Q341" i="1"/>
  <c r="D342" i="1"/>
  <c r="E342" i="1"/>
  <c r="M342" i="1"/>
  <c r="N342" i="1"/>
  <c r="O342" i="1"/>
  <c r="P342" i="1"/>
  <c r="Q342" i="1"/>
  <c r="D359" i="1"/>
  <c r="E359" i="1"/>
  <c r="M359" i="1"/>
  <c r="N359" i="1"/>
  <c r="O359" i="1"/>
  <c r="P359" i="1"/>
  <c r="Q359" i="1"/>
  <c r="D362" i="1"/>
  <c r="E362" i="1"/>
  <c r="M362" i="1"/>
  <c r="N362" i="1"/>
  <c r="O362" i="1"/>
  <c r="P362" i="1"/>
  <c r="Q362" i="1"/>
  <c r="D355" i="1"/>
  <c r="E355" i="1"/>
  <c r="M355" i="1"/>
  <c r="N355" i="1"/>
  <c r="O355" i="1"/>
  <c r="P355" i="1"/>
  <c r="Q355" i="1"/>
  <c r="D358" i="1"/>
  <c r="E358" i="1"/>
  <c r="M358" i="1"/>
  <c r="N358" i="1"/>
  <c r="O358" i="1"/>
  <c r="P358" i="1"/>
  <c r="Q358" i="1"/>
  <c r="D340" i="1"/>
  <c r="E340" i="1"/>
  <c r="M340" i="1"/>
  <c r="N340" i="1"/>
  <c r="O340" i="1"/>
  <c r="P340" i="1"/>
  <c r="Q340" i="1"/>
  <c r="D326" i="1"/>
  <c r="E326" i="1"/>
  <c r="M326" i="1"/>
  <c r="N326" i="1"/>
  <c r="O326" i="1"/>
  <c r="P326" i="1"/>
  <c r="Q326" i="1"/>
  <c r="D303" i="1"/>
  <c r="E303" i="1"/>
  <c r="M303" i="1"/>
  <c r="N303" i="1"/>
  <c r="O303" i="1"/>
  <c r="P303" i="1"/>
  <c r="Q303" i="1"/>
  <c r="D336" i="1"/>
  <c r="E336" i="1"/>
  <c r="M336" i="1"/>
  <c r="N336" i="1"/>
  <c r="O336" i="1"/>
  <c r="P336" i="1"/>
  <c r="Q336" i="1"/>
  <c r="D335" i="1"/>
  <c r="E335" i="1"/>
  <c r="M335" i="1"/>
  <c r="N335" i="1"/>
  <c r="O335" i="1"/>
  <c r="P335" i="1"/>
  <c r="Q335" i="1"/>
  <c r="D334" i="1"/>
  <c r="E334" i="1"/>
  <c r="M334" i="1"/>
  <c r="N334" i="1"/>
  <c r="O334" i="1"/>
  <c r="P334" i="1"/>
  <c r="Q334" i="1"/>
  <c r="D327" i="1"/>
  <c r="E327" i="1"/>
  <c r="M327" i="1"/>
  <c r="N327" i="1"/>
  <c r="O327" i="1"/>
  <c r="P327" i="1"/>
  <c r="Q327" i="1"/>
  <c r="D322" i="1"/>
  <c r="E322" i="1"/>
  <c r="M322" i="1"/>
  <c r="N322" i="1"/>
  <c r="O322" i="1"/>
  <c r="P322" i="1"/>
  <c r="Q322" i="1"/>
  <c r="D323" i="1"/>
  <c r="E323" i="1"/>
  <c r="M323" i="1"/>
  <c r="N323" i="1"/>
  <c r="O323" i="1"/>
  <c r="P323" i="1"/>
  <c r="Q323" i="1"/>
  <c r="D312" i="1"/>
  <c r="E312" i="1"/>
  <c r="M312" i="1"/>
  <c r="N312" i="1"/>
  <c r="O312" i="1"/>
  <c r="P312" i="1"/>
  <c r="Q312" i="1"/>
  <c r="D313" i="1"/>
  <c r="E313" i="1"/>
  <c r="M313" i="1"/>
  <c r="N313" i="1"/>
  <c r="O313" i="1"/>
  <c r="P313" i="1"/>
  <c r="Q313" i="1"/>
  <c r="D320" i="1"/>
  <c r="E320" i="1"/>
  <c r="M320" i="1"/>
  <c r="N320" i="1"/>
  <c r="O320" i="1"/>
  <c r="P320" i="1"/>
  <c r="Q320" i="1"/>
  <c r="D306" i="1"/>
  <c r="E306" i="1"/>
  <c r="M306" i="1"/>
  <c r="N306" i="1"/>
  <c r="O306" i="1"/>
  <c r="P306" i="1"/>
  <c r="Q306" i="1"/>
  <c r="D318" i="1"/>
  <c r="E318" i="1"/>
  <c r="M318" i="1"/>
  <c r="N318" i="1"/>
  <c r="O318" i="1"/>
  <c r="P318" i="1"/>
  <c r="Q318" i="1"/>
  <c r="D296" i="1"/>
  <c r="E296" i="1"/>
  <c r="M296" i="1"/>
  <c r="N296" i="1"/>
  <c r="O296" i="1"/>
  <c r="P296" i="1"/>
  <c r="Q296" i="1"/>
  <c r="D310" i="1"/>
  <c r="E310" i="1"/>
  <c r="M310" i="1"/>
  <c r="N310" i="1"/>
  <c r="O310" i="1"/>
  <c r="P310" i="1"/>
  <c r="Q310" i="1"/>
  <c r="D299" i="1"/>
  <c r="E299" i="1"/>
  <c r="M299" i="1"/>
  <c r="N299" i="1"/>
  <c r="O299" i="1"/>
  <c r="P299" i="1"/>
  <c r="Q299" i="1"/>
  <c r="D314" i="1"/>
  <c r="E314" i="1"/>
  <c r="M314" i="1"/>
  <c r="N314" i="1"/>
  <c r="O314" i="1"/>
  <c r="P314" i="1"/>
  <c r="Q314" i="1"/>
  <c r="D317" i="1"/>
  <c r="E317" i="1"/>
  <c r="M317" i="1"/>
  <c r="N317" i="1"/>
  <c r="O317" i="1"/>
  <c r="P317" i="1"/>
  <c r="Q317" i="1"/>
  <c r="D348" i="1"/>
  <c r="E348" i="1"/>
  <c r="M348" i="1"/>
  <c r="N348" i="1"/>
  <c r="O348" i="1"/>
  <c r="P348" i="1"/>
  <c r="Q348" i="1"/>
  <c r="D309" i="1"/>
  <c r="E309" i="1"/>
  <c r="M309" i="1"/>
  <c r="N309" i="1"/>
  <c r="O309" i="1"/>
  <c r="P309" i="1"/>
  <c r="Q309" i="1"/>
  <c r="D333" i="1"/>
  <c r="E333" i="1"/>
  <c r="M333" i="1"/>
  <c r="N333" i="1"/>
  <c r="O333" i="1"/>
  <c r="P333" i="1"/>
  <c r="Q333" i="1"/>
  <c r="D337" i="1"/>
  <c r="E337" i="1"/>
  <c r="M337" i="1"/>
  <c r="N337" i="1"/>
  <c r="O337" i="1"/>
  <c r="P337" i="1"/>
  <c r="Q337" i="1"/>
  <c r="D308" i="1"/>
  <c r="E308" i="1"/>
  <c r="M308" i="1"/>
  <c r="N308" i="1"/>
  <c r="O308" i="1"/>
  <c r="P308" i="1"/>
  <c r="Q308" i="1"/>
  <c r="D307" i="1"/>
  <c r="E307" i="1"/>
  <c r="M307" i="1"/>
  <c r="N307" i="1"/>
  <c r="O307" i="1"/>
  <c r="P307" i="1"/>
  <c r="Q307" i="1"/>
  <c r="D319" i="1"/>
  <c r="E319" i="1"/>
  <c r="M319" i="1"/>
  <c r="N319" i="1"/>
  <c r="O319" i="1"/>
  <c r="P319" i="1"/>
  <c r="Q319" i="1"/>
  <c r="D169" i="1"/>
  <c r="E169" i="1"/>
  <c r="M169" i="1"/>
  <c r="N169" i="1"/>
  <c r="O169" i="1"/>
  <c r="P169" i="1"/>
  <c r="Q169" i="1"/>
  <c r="D332" i="1"/>
  <c r="E332" i="1"/>
  <c r="M332" i="1"/>
  <c r="N332" i="1"/>
  <c r="O332" i="1"/>
  <c r="P332" i="1"/>
  <c r="Q332" i="1"/>
  <c r="D328" i="1"/>
  <c r="E328" i="1"/>
  <c r="M328" i="1"/>
  <c r="N328" i="1"/>
  <c r="O328" i="1"/>
  <c r="P328" i="1"/>
  <c r="Q328" i="1"/>
  <c r="D330" i="1"/>
  <c r="E330" i="1"/>
  <c r="M330" i="1"/>
  <c r="N330" i="1"/>
  <c r="O330" i="1"/>
  <c r="P330" i="1"/>
  <c r="Q330" i="1"/>
  <c r="D744" i="1"/>
  <c r="E744" i="1"/>
  <c r="M744" i="1"/>
  <c r="N744" i="1"/>
  <c r="O744" i="1"/>
  <c r="P744" i="1"/>
  <c r="Q744" i="1"/>
  <c r="D338" i="1"/>
  <c r="E338" i="1"/>
  <c r="M338" i="1"/>
  <c r="N338" i="1"/>
  <c r="O338" i="1"/>
  <c r="P338" i="1"/>
  <c r="Q338" i="1"/>
  <c r="D331" i="1"/>
  <c r="E331" i="1"/>
  <c r="M331" i="1"/>
  <c r="N331" i="1"/>
  <c r="O331" i="1"/>
  <c r="P331" i="1"/>
  <c r="Q331" i="1"/>
  <c r="D297" i="1"/>
  <c r="E297" i="1"/>
  <c r="M297" i="1"/>
  <c r="N297" i="1"/>
  <c r="O297" i="1"/>
  <c r="P297" i="1"/>
  <c r="Q297" i="1"/>
  <c r="D719" i="1"/>
  <c r="E719" i="1"/>
  <c r="M719" i="1"/>
  <c r="N719" i="1"/>
  <c r="O719" i="1"/>
  <c r="P719" i="1"/>
  <c r="Q719" i="1"/>
  <c r="D300" i="1"/>
  <c r="E300" i="1"/>
  <c r="M300" i="1"/>
  <c r="N300" i="1"/>
  <c r="O300" i="1"/>
  <c r="P300" i="1"/>
  <c r="Q300" i="1"/>
  <c r="D294" i="1"/>
  <c r="E294" i="1"/>
  <c r="M294" i="1"/>
  <c r="N294" i="1"/>
  <c r="O294" i="1"/>
  <c r="P294" i="1"/>
  <c r="Q294" i="1"/>
  <c r="D304" i="1"/>
  <c r="E304" i="1"/>
  <c r="M304" i="1"/>
  <c r="N304" i="1"/>
  <c r="O304" i="1"/>
  <c r="P304" i="1"/>
  <c r="Q304" i="1"/>
  <c r="D292" i="1"/>
  <c r="E292" i="1"/>
  <c r="M292" i="1"/>
  <c r="N292" i="1"/>
  <c r="O292" i="1"/>
  <c r="P292" i="1"/>
  <c r="Q292" i="1"/>
  <c r="D316" i="1"/>
  <c r="E316" i="1"/>
  <c r="M316" i="1"/>
  <c r="N316" i="1"/>
  <c r="O316" i="1"/>
  <c r="P316" i="1"/>
  <c r="Q316" i="1"/>
  <c r="D298" i="1"/>
  <c r="E298" i="1"/>
  <c r="M298" i="1"/>
  <c r="N298" i="1"/>
  <c r="O298" i="1"/>
  <c r="P298" i="1"/>
  <c r="Q298" i="1"/>
  <c r="D311" i="1"/>
  <c r="E311" i="1"/>
  <c r="M311" i="1"/>
  <c r="N311" i="1"/>
  <c r="O311" i="1"/>
  <c r="P311" i="1"/>
  <c r="Q311" i="1"/>
  <c r="D329" i="1"/>
  <c r="E329" i="1"/>
  <c r="M329" i="1"/>
  <c r="N329" i="1"/>
  <c r="O329" i="1"/>
  <c r="P329" i="1"/>
  <c r="Q329" i="1"/>
  <c r="D295" i="1"/>
  <c r="E295" i="1"/>
  <c r="M295" i="1"/>
  <c r="N295" i="1"/>
  <c r="O295" i="1"/>
  <c r="P295" i="1"/>
  <c r="Q295" i="1"/>
  <c r="D291" i="1"/>
  <c r="E291" i="1"/>
  <c r="M291" i="1"/>
  <c r="N291" i="1"/>
  <c r="O291" i="1"/>
  <c r="P291" i="1"/>
  <c r="Q291" i="1"/>
  <c r="D301" i="1"/>
  <c r="E301" i="1"/>
  <c r="M301" i="1"/>
  <c r="N301" i="1"/>
  <c r="O301" i="1"/>
  <c r="P301" i="1"/>
  <c r="Q301" i="1"/>
  <c r="D290" i="1"/>
  <c r="E290" i="1"/>
  <c r="M290" i="1"/>
  <c r="N290" i="1"/>
  <c r="O290" i="1"/>
  <c r="P290" i="1"/>
  <c r="Q290" i="1"/>
  <c r="D302" i="1"/>
  <c r="E302" i="1"/>
  <c r="M302" i="1"/>
  <c r="N302" i="1"/>
  <c r="O302" i="1"/>
  <c r="P302" i="1"/>
  <c r="Q302" i="1"/>
  <c r="D305" i="1"/>
  <c r="E305" i="1"/>
  <c r="M305" i="1"/>
  <c r="N305" i="1"/>
  <c r="O305" i="1"/>
  <c r="P305" i="1"/>
  <c r="Q305" i="1"/>
  <c r="D293" i="1"/>
  <c r="E293" i="1"/>
  <c r="M293" i="1"/>
  <c r="N293" i="1"/>
  <c r="O293" i="1"/>
  <c r="P293" i="1"/>
  <c r="Q293" i="1"/>
  <c r="D339" i="1"/>
  <c r="E339" i="1"/>
  <c r="M339" i="1"/>
  <c r="N339" i="1"/>
  <c r="O339" i="1"/>
  <c r="P339" i="1"/>
  <c r="Q339" i="1"/>
  <c r="D324" i="1"/>
  <c r="E324" i="1"/>
  <c r="M324" i="1"/>
  <c r="N324" i="1"/>
  <c r="O324" i="1"/>
  <c r="P324" i="1"/>
  <c r="Q324" i="1"/>
  <c r="D287" i="1"/>
  <c r="E287" i="1"/>
  <c r="M287" i="1"/>
  <c r="N287" i="1"/>
  <c r="O287" i="1"/>
  <c r="P287" i="1"/>
  <c r="Q287" i="1"/>
  <c r="D289" i="1"/>
  <c r="E289" i="1"/>
  <c r="M289" i="1"/>
  <c r="N289" i="1"/>
  <c r="O289" i="1"/>
  <c r="P289" i="1"/>
  <c r="Q289" i="1"/>
  <c r="D288" i="1"/>
  <c r="E288" i="1"/>
  <c r="M288" i="1"/>
  <c r="N288" i="1"/>
  <c r="O288" i="1"/>
  <c r="P288" i="1"/>
  <c r="Q288" i="1"/>
  <c r="D282" i="1"/>
  <c r="E282" i="1"/>
  <c r="M282" i="1"/>
  <c r="N282" i="1"/>
  <c r="O282" i="1"/>
  <c r="P282" i="1"/>
  <c r="Q282" i="1"/>
  <c r="D284" i="1"/>
  <c r="E284" i="1"/>
  <c r="M284" i="1"/>
  <c r="N284" i="1"/>
  <c r="O284" i="1"/>
  <c r="P284" i="1"/>
  <c r="Q284" i="1"/>
  <c r="D279" i="1"/>
  <c r="E279" i="1"/>
  <c r="M279" i="1"/>
  <c r="N279" i="1"/>
  <c r="O279" i="1"/>
  <c r="P279" i="1"/>
  <c r="Q279" i="1"/>
  <c r="D286" i="1"/>
  <c r="E286" i="1"/>
  <c r="M286" i="1"/>
  <c r="N286" i="1"/>
  <c r="O286" i="1"/>
  <c r="P286" i="1"/>
  <c r="Q286" i="1"/>
  <c r="D285" i="1"/>
  <c r="E285" i="1"/>
  <c r="M285" i="1"/>
  <c r="N285" i="1"/>
  <c r="O285" i="1"/>
  <c r="P285" i="1"/>
  <c r="Q285" i="1"/>
  <c r="D267" i="1"/>
  <c r="E267" i="1"/>
  <c r="M267" i="1"/>
  <c r="N267" i="1"/>
  <c r="O267" i="1"/>
  <c r="P267" i="1"/>
  <c r="Q267" i="1"/>
  <c r="D270" i="1"/>
  <c r="E270" i="1"/>
  <c r="M270" i="1"/>
  <c r="N270" i="1"/>
  <c r="O270" i="1"/>
  <c r="P270" i="1"/>
  <c r="Q270" i="1"/>
  <c r="D271" i="1"/>
  <c r="E271" i="1"/>
  <c r="M271" i="1"/>
  <c r="N271" i="1"/>
  <c r="O271" i="1"/>
  <c r="P271" i="1"/>
  <c r="Q271" i="1"/>
  <c r="D274" i="1"/>
  <c r="E274" i="1"/>
  <c r="M274" i="1"/>
  <c r="N274" i="1"/>
  <c r="O274" i="1"/>
  <c r="P274" i="1"/>
  <c r="Q274" i="1"/>
  <c r="D264" i="1"/>
  <c r="E264" i="1"/>
  <c r="M264" i="1"/>
  <c r="N264" i="1"/>
  <c r="O264" i="1"/>
  <c r="P264" i="1"/>
  <c r="Q264" i="1"/>
  <c r="D283" i="1"/>
  <c r="E283" i="1"/>
  <c r="M283" i="1"/>
  <c r="N283" i="1"/>
  <c r="O283" i="1"/>
  <c r="P283" i="1"/>
  <c r="Q283" i="1"/>
  <c r="D268" i="1"/>
  <c r="E268" i="1"/>
  <c r="M268" i="1"/>
  <c r="N268" i="1"/>
  <c r="O268" i="1"/>
  <c r="P268" i="1"/>
  <c r="Q268" i="1"/>
  <c r="D265" i="1"/>
  <c r="E265" i="1"/>
  <c r="M265" i="1"/>
  <c r="N265" i="1"/>
  <c r="O265" i="1"/>
  <c r="P265" i="1"/>
  <c r="Q265" i="1"/>
  <c r="D275" i="1"/>
  <c r="E275" i="1"/>
  <c r="M275" i="1"/>
  <c r="N275" i="1"/>
  <c r="O275" i="1"/>
  <c r="P275" i="1"/>
  <c r="Q275" i="1"/>
  <c r="D269" i="1"/>
  <c r="E269" i="1"/>
  <c r="M269" i="1"/>
  <c r="N269" i="1"/>
  <c r="O269" i="1"/>
  <c r="P269" i="1"/>
  <c r="Q269" i="1"/>
  <c r="D277" i="1"/>
  <c r="E277" i="1"/>
  <c r="M277" i="1"/>
  <c r="N277" i="1"/>
  <c r="O277" i="1"/>
  <c r="P277" i="1"/>
  <c r="Q277" i="1"/>
  <c r="D281" i="1"/>
  <c r="E281" i="1"/>
  <c r="M281" i="1"/>
  <c r="N281" i="1"/>
  <c r="O281" i="1"/>
  <c r="P281" i="1"/>
  <c r="Q281" i="1"/>
  <c r="D262" i="1"/>
  <c r="E262" i="1"/>
  <c r="M262" i="1"/>
  <c r="N262" i="1"/>
  <c r="O262" i="1"/>
  <c r="P262" i="1"/>
  <c r="Q262" i="1"/>
  <c r="D278" i="1"/>
  <c r="E278" i="1"/>
  <c r="M278" i="1"/>
  <c r="N278" i="1"/>
  <c r="O278" i="1"/>
  <c r="P278" i="1"/>
  <c r="Q278" i="1"/>
  <c r="D526" i="1"/>
  <c r="E526" i="1"/>
  <c r="M526" i="1"/>
  <c r="N526" i="1"/>
  <c r="O526" i="1"/>
  <c r="P526" i="1"/>
  <c r="Q526" i="1"/>
  <c r="D263" i="1"/>
  <c r="E263" i="1"/>
  <c r="M263" i="1"/>
  <c r="N263" i="1"/>
  <c r="O263" i="1"/>
  <c r="P263" i="1"/>
  <c r="Q263" i="1"/>
  <c r="D280" i="1"/>
  <c r="E280" i="1"/>
  <c r="M280" i="1"/>
  <c r="N280" i="1"/>
  <c r="O280" i="1"/>
  <c r="P280" i="1"/>
  <c r="Q280" i="1"/>
  <c r="D266" i="1"/>
  <c r="E266" i="1"/>
  <c r="M266" i="1"/>
  <c r="N266" i="1"/>
  <c r="O266" i="1"/>
  <c r="P266" i="1"/>
  <c r="Q266" i="1"/>
  <c r="D392" i="1"/>
  <c r="E392" i="1"/>
  <c r="M392" i="1"/>
  <c r="N392" i="1"/>
  <c r="O392" i="1"/>
  <c r="P392" i="1"/>
  <c r="Q392" i="1"/>
  <c r="D276" i="1"/>
  <c r="E276" i="1"/>
  <c r="M276" i="1"/>
  <c r="N276" i="1"/>
  <c r="O276" i="1"/>
  <c r="P276" i="1"/>
  <c r="Q276" i="1"/>
  <c r="D256" i="1"/>
  <c r="E256" i="1"/>
  <c r="M256" i="1"/>
  <c r="N256" i="1"/>
  <c r="O256" i="1"/>
  <c r="P256" i="1"/>
  <c r="Q256" i="1"/>
  <c r="D257" i="1"/>
  <c r="E257" i="1"/>
  <c r="M257" i="1"/>
  <c r="N257" i="1"/>
  <c r="O257" i="1"/>
  <c r="P257" i="1"/>
  <c r="Q257" i="1"/>
  <c r="D261" i="1"/>
  <c r="E261" i="1"/>
  <c r="M261" i="1"/>
  <c r="N261" i="1"/>
  <c r="O261" i="1"/>
  <c r="P261" i="1"/>
  <c r="Q261" i="1"/>
  <c r="D259" i="1"/>
  <c r="E259" i="1"/>
  <c r="M259" i="1"/>
  <c r="N259" i="1"/>
  <c r="O259" i="1"/>
  <c r="P259" i="1"/>
  <c r="Q259" i="1"/>
  <c r="D258" i="1"/>
  <c r="E258" i="1"/>
  <c r="M258" i="1"/>
  <c r="N258" i="1"/>
  <c r="O258" i="1"/>
  <c r="P258" i="1"/>
  <c r="Q258" i="1"/>
  <c r="D260" i="1"/>
  <c r="E260" i="1"/>
  <c r="M260" i="1"/>
  <c r="N260" i="1"/>
  <c r="O260" i="1"/>
  <c r="P260" i="1"/>
  <c r="Q260" i="1"/>
  <c r="D255" i="1"/>
  <c r="E255" i="1"/>
  <c r="M255" i="1"/>
  <c r="N255" i="1"/>
  <c r="O255" i="1"/>
  <c r="P255" i="1"/>
  <c r="Q255" i="1"/>
  <c r="D273" i="1"/>
  <c r="E273" i="1"/>
  <c r="M273" i="1"/>
  <c r="N273" i="1"/>
  <c r="O273" i="1"/>
  <c r="P273" i="1"/>
  <c r="Q273" i="1"/>
  <c r="D272" i="1"/>
  <c r="E272" i="1"/>
  <c r="M272" i="1"/>
  <c r="N272" i="1"/>
  <c r="O272" i="1"/>
  <c r="P272" i="1"/>
  <c r="Q272" i="1"/>
  <c r="D200" i="1"/>
  <c r="E200" i="1"/>
  <c r="M200" i="1"/>
  <c r="N200" i="1"/>
  <c r="O200" i="1"/>
  <c r="P200" i="1"/>
  <c r="Q200" i="1"/>
  <c r="D245" i="1"/>
  <c r="E245" i="1"/>
  <c r="M245" i="1"/>
  <c r="N245" i="1"/>
  <c r="O245" i="1"/>
  <c r="P245" i="1"/>
  <c r="Q245" i="1"/>
  <c r="D241" i="1"/>
  <c r="E241" i="1"/>
  <c r="M241" i="1"/>
  <c r="N241" i="1"/>
  <c r="O241" i="1"/>
  <c r="P241" i="1"/>
  <c r="Q241" i="1"/>
  <c r="D252" i="1"/>
  <c r="E252" i="1"/>
  <c r="M252" i="1"/>
  <c r="N252" i="1"/>
  <c r="O252" i="1"/>
  <c r="P252" i="1"/>
  <c r="Q252" i="1"/>
  <c r="D251" i="1"/>
  <c r="E251" i="1"/>
  <c r="M251" i="1"/>
  <c r="N251" i="1"/>
  <c r="O251" i="1"/>
  <c r="P251" i="1"/>
  <c r="Q251" i="1"/>
  <c r="D253" i="1"/>
  <c r="E253" i="1"/>
  <c r="M253" i="1"/>
  <c r="N253" i="1"/>
  <c r="O253" i="1"/>
  <c r="P253" i="1"/>
  <c r="Q253" i="1"/>
  <c r="D248" i="1"/>
  <c r="E248" i="1"/>
  <c r="M248" i="1"/>
  <c r="N248" i="1"/>
  <c r="O248" i="1"/>
  <c r="P248" i="1"/>
  <c r="Q248" i="1"/>
  <c r="D49" i="1"/>
  <c r="E49" i="1"/>
  <c r="M49" i="1"/>
  <c r="N49" i="1"/>
  <c r="O49" i="1"/>
  <c r="P49" i="1"/>
  <c r="Q49" i="1"/>
  <c r="D249" i="1"/>
  <c r="E249" i="1"/>
  <c r="M249" i="1"/>
  <c r="N249" i="1"/>
  <c r="O249" i="1"/>
  <c r="P249" i="1"/>
  <c r="Q249" i="1"/>
  <c r="D246" i="1"/>
  <c r="E246" i="1"/>
  <c r="M246" i="1"/>
  <c r="N246" i="1"/>
  <c r="O246" i="1"/>
  <c r="P246" i="1"/>
  <c r="Q246" i="1"/>
  <c r="D250" i="1"/>
  <c r="E250" i="1"/>
  <c r="M250" i="1"/>
  <c r="N250" i="1"/>
  <c r="O250" i="1"/>
  <c r="P250" i="1"/>
  <c r="Q250" i="1"/>
  <c r="D244" i="1"/>
  <c r="E244" i="1"/>
  <c r="M244" i="1"/>
  <c r="N244" i="1"/>
  <c r="O244" i="1"/>
  <c r="P244" i="1"/>
  <c r="Q244" i="1"/>
  <c r="D243" i="1"/>
  <c r="E243" i="1"/>
  <c r="M243" i="1"/>
  <c r="N243" i="1"/>
  <c r="O243" i="1"/>
  <c r="P243" i="1"/>
  <c r="Q243" i="1"/>
  <c r="D247" i="1"/>
  <c r="E247" i="1"/>
  <c r="M247" i="1"/>
  <c r="N247" i="1"/>
  <c r="O247" i="1"/>
  <c r="P247" i="1"/>
  <c r="Q247" i="1"/>
  <c r="D242" i="1"/>
  <c r="E242" i="1"/>
  <c r="M242" i="1"/>
  <c r="N242" i="1"/>
  <c r="O242" i="1"/>
  <c r="P242" i="1"/>
  <c r="Q242" i="1"/>
  <c r="D254" i="1"/>
  <c r="E254" i="1"/>
  <c r="M254" i="1"/>
  <c r="N254" i="1"/>
  <c r="O254" i="1"/>
  <c r="P254" i="1"/>
  <c r="Q254" i="1"/>
  <c r="D660" i="1"/>
  <c r="E660" i="1"/>
  <c r="M660" i="1"/>
  <c r="N660" i="1"/>
  <c r="O660" i="1"/>
  <c r="P660" i="1"/>
  <c r="Q660" i="1"/>
  <c r="D235" i="1"/>
  <c r="E235" i="1"/>
  <c r="M235" i="1"/>
  <c r="N235" i="1"/>
  <c r="O235" i="1"/>
  <c r="P235" i="1"/>
  <c r="Q235" i="1"/>
  <c r="D212" i="1"/>
  <c r="E212" i="1"/>
  <c r="M212" i="1"/>
  <c r="N212" i="1"/>
  <c r="O212" i="1"/>
  <c r="P212" i="1"/>
  <c r="Q212" i="1"/>
  <c r="D238" i="1"/>
  <c r="E238" i="1"/>
  <c r="M238" i="1"/>
  <c r="N238" i="1"/>
  <c r="O238" i="1"/>
  <c r="P238" i="1"/>
  <c r="Q238" i="1"/>
  <c r="D236" i="1"/>
  <c r="E236" i="1"/>
  <c r="M236" i="1"/>
  <c r="N236" i="1"/>
  <c r="O236" i="1"/>
  <c r="P236" i="1"/>
  <c r="Q236" i="1"/>
  <c r="D209" i="1"/>
  <c r="E209" i="1"/>
  <c r="M209" i="1"/>
  <c r="N209" i="1"/>
  <c r="O209" i="1"/>
  <c r="P209" i="1"/>
  <c r="Q209" i="1"/>
  <c r="D232" i="1"/>
  <c r="E232" i="1"/>
  <c r="M232" i="1"/>
  <c r="N232" i="1"/>
  <c r="O232" i="1"/>
  <c r="P232" i="1"/>
  <c r="Q232" i="1"/>
  <c r="D230" i="1"/>
  <c r="E230" i="1"/>
  <c r="M230" i="1"/>
  <c r="N230" i="1"/>
  <c r="O230" i="1"/>
  <c r="P230" i="1"/>
  <c r="Q230" i="1"/>
  <c r="D217" i="1"/>
  <c r="E217" i="1"/>
  <c r="M217" i="1"/>
  <c r="N217" i="1"/>
  <c r="O217" i="1"/>
  <c r="P217" i="1"/>
  <c r="Q217" i="1"/>
  <c r="D229" i="1"/>
  <c r="E229" i="1"/>
  <c r="M229" i="1"/>
  <c r="N229" i="1"/>
  <c r="O229" i="1"/>
  <c r="P229" i="1"/>
  <c r="Q229" i="1"/>
  <c r="D215" i="1"/>
  <c r="E215" i="1"/>
  <c r="M215" i="1"/>
  <c r="N215" i="1"/>
  <c r="O215" i="1"/>
  <c r="P215" i="1"/>
  <c r="Q215" i="1"/>
  <c r="D234" i="1"/>
  <c r="E234" i="1"/>
  <c r="M234" i="1"/>
  <c r="N234" i="1"/>
  <c r="O234" i="1"/>
  <c r="P234" i="1"/>
  <c r="Q234" i="1"/>
  <c r="D91" i="1"/>
  <c r="E91" i="1"/>
  <c r="M91" i="1"/>
  <c r="N91" i="1"/>
  <c r="O91" i="1"/>
  <c r="P91" i="1"/>
  <c r="Q91" i="1"/>
  <c r="D239" i="1"/>
  <c r="E239" i="1"/>
  <c r="M239" i="1"/>
  <c r="N239" i="1"/>
  <c r="O239" i="1"/>
  <c r="P239" i="1"/>
  <c r="Q239" i="1"/>
  <c r="D223" i="1"/>
  <c r="E223" i="1"/>
  <c r="M223" i="1"/>
  <c r="N223" i="1"/>
  <c r="O223" i="1"/>
  <c r="P223" i="1"/>
  <c r="Q223" i="1"/>
  <c r="D213" i="1"/>
  <c r="E213" i="1"/>
  <c r="M213" i="1"/>
  <c r="N213" i="1"/>
  <c r="O213" i="1"/>
  <c r="P213" i="1"/>
  <c r="Q213" i="1"/>
  <c r="D543" i="1"/>
  <c r="E543" i="1"/>
  <c r="M543" i="1"/>
  <c r="N543" i="1"/>
  <c r="O543" i="1"/>
  <c r="P543" i="1"/>
  <c r="Q543" i="1"/>
  <c r="D228" i="1"/>
  <c r="E228" i="1"/>
  <c r="M228" i="1"/>
  <c r="N228" i="1"/>
  <c r="O228" i="1"/>
  <c r="P228" i="1"/>
  <c r="Q228" i="1"/>
  <c r="D225" i="1"/>
  <c r="E225" i="1"/>
  <c r="M225" i="1"/>
  <c r="N225" i="1"/>
  <c r="O225" i="1"/>
  <c r="P225" i="1"/>
  <c r="Q225" i="1"/>
  <c r="D92" i="1"/>
  <c r="E92" i="1"/>
  <c r="M92" i="1"/>
  <c r="N92" i="1"/>
  <c r="O92" i="1"/>
  <c r="P92" i="1"/>
  <c r="Q92" i="1"/>
  <c r="D224" i="1"/>
  <c r="E224" i="1"/>
  <c r="M224" i="1"/>
  <c r="N224" i="1"/>
  <c r="O224" i="1"/>
  <c r="P224" i="1"/>
  <c r="Q224" i="1"/>
  <c r="D237" i="1"/>
  <c r="E237" i="1"/>
  <c r="M237" i="1"/>
  <c r="N237" i="1"/>
  <c r="O237" i="1"/>
  <c r="P237" i="1"/>
  <c r="Q237" i="1"/>
  <c r="D226" i="1"/>
  <c r="E226" i="1"/>
  <c r="M226" i="1"/>
  <c r="N226" i="1"/>
  <c r="O226" i="1"/>
  <c r="P226" i="1"/>
  <c r="Q226" i="1"/>
  <c r="D222" i="1"/>
  <c r="E222" i="1"/>
  <c r="M222" i="1"/>
  <c r="N222" i="1"/>
  <c r="O222" i="1"/>
  <c r="P222" i="1"/>
  <c r="Q222" i="1"/>
  <c r="D220" i="1"/>
  <c r="E220" i="1"/>
  <c r="M220" i="1"/>
  <c r="N220" i="1"/>
  <c r="O220" i="1"/>
  <c r="P220" i="1"/>
  <c r="Q220" i="1"/>
  <c r="D219" i="1"/>
  <c r="E219" i="1"/>
  <c r="M219" i="1"/>
  <c r="N219" i="1"/>
  <c r="O219" i="1"/>
  <c r="P219" i="1"/>
  <c r="Q219" i="1"/>
  <c r="D218" i="1"/>
  <c r="E218" i="1"/>
  <c r="M218" i="1"/>
  <c r="N218" i="1"/>
  <c r="O218" i="1"/>
  <c r="P218" i="1"/>
  <c r="Q218" i="1"/>
  <c r="D233" i="1"/>
  <c r="E233" i="1"/>
  <c r="M233" i="1"/>
  <c r="N233" i="1"/>
  <c r="O233" i="1"/>
  <c r="P233" i="1"/>
  <c r="Q233" i="1"/>
  <c r="D231" i="1"/>
  <c r="E231" i="1"/>
  <c r="M231" i="1"/>
  <c r="N231" i="1"/>
  <c r="O231" i="1"/>
  <c r="P231" i="1"/>
  <c r="Q231" i="1"/>
  <c r="D321" i="1"/>
  <c r="E321" i="1"/>
  <c r="M321" i="1"/>
  <c r="N321" i="1"/>
  <c r="O321" i="1"/>
  <c r="P321" i="1"/>
  <c r="Q321" i="1"/>
  <c r="D216" i="1"/>
  <c r="E216" i="1"/>
  <c r="M216" i="1"/>
  <c r="N216" i="1"/>
  <c r="O216" i="1"/>
  <c r="P216" i="1"/>
  <c r="Q216" i="1"/>
  <c r="D240" i="1"/>
  <c r="E240" i="1"/>
  <c r="M240" i="1"/>
  <c r="N240" i="1"/>
  <c r="O240" i="1"/>
  <c r="P240" i="1"/>
  <c r="Q240" i="1"/>
  <c r="D211" i="1"/>
  <c r="E211" i="1"/>
  <c r="M211" i="1"/>
  <c r="N211" i="1"/>
  <c r="O211" i="1"/>
  <c r="P211" i="1"/>
  <c r="Q211" i="1"/>
  <c r="D210" i="1"/>
  <c r="E210" i="1"/>
  <c r="M210" i="1"/>
  <c r="N210" i="1"/>
  <c r="O210" i="1"/>
  <c r="P210" i="1"/>
  <c r="Q210" i="1"/>
  <c r="D227" i="1"/>
  <c r="E227" i="1"/>
  <c r="M227" i="1"/>
  <c r="N227" i="1"/>
  <c r="O227" i="1"/>
  <c r="P227" i="1"/>
  <c r="Q227" i="1"/>
  <c r="D205" i="1"/>
  <c r="E205" i="1"/>
  <c r="M205" i="1"/>
  <c r="N205" i="1"/>
  <c r="O205" i="1"/>
  <c r="P205" i="1"/>
  <c r="Q205" i="1"/>
  <c r="D208" i="1"/>
  <c r="E208" i="1"/>
  <c r="M208" i="1"/>
  <c r="N208" i="1"/>
  <c r="O208" i="1"/>
  <c r="P208" i="1"/>
  <c r="Q208" i="1"/>
  <c r="D207" i="1"/>
  <c r="E207" i="1"/>
  <c r="M207" i="1"/>
  <c r="N207" i="1"/>
  <c r="O207" i="1"/>
  <c r="P207" i="1"/>
  <c r="Q207" i="1"/>
  <c r="D190" i="1"/>
  <c r="E190" i="1"/>
  <c r="M190" i="1"/>
  <c r="N190" i="1"/>
  <c r="O190" i="1"/>
  <c r="P190" i="1"/>
  <c r="Q190" i="1"/>
  <c r="D178" i="1"/>
  <c r="E178" i="1"/>
  <c r="M178" i="1"/>
  <c r="N178" i="1"/>
  <c r="O178" i="1"/>
  <c r="P178" i="1"/>
  <c r="Q178" i="1"/>
  <c r="D187" i="1"/>
  <c r="E187" i="1"/>
  <c r="M187" i="1"/>
  <c r="N187" i="1"/>
  <c r="O187" i="1"/>
  <c r="P187" i="1"/>
  <c r="Q187" i="1"/>
  <c r="D193" i="1"/>
  <c r="E193" i="1"/>
  <c r="M193" i="1"/>
  <c r="N193" i="1"/>
  <c r="O193" i="1"/>
  <c r="P193" i="1"/>
  <c r="Q193" i="1"/>
  <c r="D440" i="1"/>
  <c r="E440" i="1"/>
  <c r="M440" i="1"/>
  <c r="N440" i="1"/>
  <c r="O440" i="1"/>
  <c r="P440" i="1"/>
  <c r="Q440" i="1"/>
  <c r="D189" i="1"/>
  <c r="E189" i="1"/>
  <c r="M189" i="1"/>
  <c r="N189" i="1"/>
  <c r="O189" i="1"/>
  <c r="P189" i="1"/>
  <c r="Q189" i="1"/>
  <c r="D197" i="1"/>
  <c r="E197" i="1"/>
  <c r="M197" i="1"/>
  <c r="N197" i="1"/>
  <c r="O197" i="1"/>
  <c r="P197" i="1"/>
  <c r="Q197" i="1"/>
  <c r="D196" i="1"/>
  <c r="E196" i="1"/>
  <c r="M196" i="1"/>
  <c r="N196" i="1"/>
  <c r="O196" i="1"/>
  <c r="P196" i="1"/>
  <c r="Q196" i="1"/>
  <c r="D188" i="1"/>
  <c r="E188" i="1"/>
  <c r="M188" i="1"/>
  <c r="N188" i="1"/>
  <c r="O188" i="1"/>
  <c r="P188" i="1"/>
  <c r="Q188" i="1"/>
  <c r="D180" i="1"/>
  <c r="E180" i="1"/>
  <c r="M180" i="1"/>
  <c r="N180" i="1"/>
  <c r="O180" i="1"/>
  <c r="P180" i="1"/>
  <c r="Q180" i="1"/>
  <c r="D184" i="1"/>
  <c r="E184" i="1"/>
  <c r="M184" i="1"/>
  <c r="N184" i="1"/>
  <c r="O184" i="1"/>
  <c r="P184" i="1"/>
  <c r="Q184" i="1"/>
  <c r="D203" i="1"/>
  <c r="E203" i="1"/>
  <c r="M203" i="1"/>
  <c r="N203" i="1"/>
  <c r="O203" i="1"/>
  <c r="P203" i="1"/>
  <c r="Q203" i="1"/>
  <c r="D185" i="1"/>
  <c r="E185" i="1"/>
  <c r="M185" i="1"/>
  <c r="N185" i="1"/>
  <c r="O185" i="1"/>
  <c r="P185" i="1"/>
  <c r="Q185" i="1"/>
  <c r="D202" i="1"/>
  <c r="E202" i="1"/>
  <c r="M202" i="1"/>
  <c r="N202" i="1"/>
  <c r="O202" i="1"/>
  <c r="P202" i="1"/>
  <c r="Q202" i="1"/>
  <c r="D191" i="1"/>
  <c r="E191" i="1"/>
  <c r="M191" i="1"/>
  <c r="N191" i="1"/>
  <c r="O191" i="1"/>
  <c r="P191" i="1"/>
  <c r="Q191" i="1"/>
  <c r="D194" i="1"/>
  <c r="E194" i="1"/>
  <c r="M194" i="1"/>
  <c r="N194" i="1"/>
  <c r="O194" i="1"/>
  <c r="P194" i="1"/>
  <c r="Q194" i="1"/>
  <c r="D183" i="1"/>
  <c r="E183" i="1"/>
  <c r="M183" i="1"/>
  <c r="N183" i="1"/>
  <c r="O183" i="1"/>
  <c r="P183" i="1"/>
  <c r="Q183" i="1"/>
  <c r="D182" i="1"/>
  <c r="E182" i="1"/>
  <c r="M182" i="1"/>
  <c r="N182" i="1"/>
  <c r="O182" i="1"/>
  <c r="P182" i="1"/>
  <c r="Q182" i="1"/>
  <c r="D179" i="1"/>
  <c r="E179" i="1"/>
  <c r="M179" i="1"/>
  <c r="N179" i="1"/>
  <c r="O179" i="1"/>
  <c r="P179" i="1"/>
  <c r="Q179" i="1"/>
  <c r="D199" i="1"/>
  <c r="E199" i="1"/>
  <c r="M199" i="1"/>
  <c r="N199" i="1"/>
  <c r="O199" i="1"/>
  <c r="P199" i="1"/>
  <c r="Q199" i="1"/>
  <c r="D195" i="1"/>
  <c r="E195" i="1"/>
  <c r="M195" i="1"/>
  <c r="N195" i="1"/>
  <c r="O195" i="1"/>
  <c r="P195" i="1"/>
  <c r="Q195" i="1"/>
  <c r="D192" i="1"/>
  <c r="E192" i="1"/>
  <c r="M192" i="1"/>
  <c r="N192" i="1"/>
  <c r="O192" i="1"/>
  <c r="P192" i="1"/>
  <c r="Q192" i="1"/>
  <c r="D186" i="1"/>
  <c r="E186" i="1"/>
  <c r="M186" i="1"/>
  <c r="N186" i="1"/>
  <c r="O186" i="1"/>
  <c r="P186" i="1"/>
  <c r="Q186" i="1"/>
  <c r="D181" i="1"/>
  <c r="E181" i="1"/>
  <c r="M181" i="1"/>
  <c r="N181" i="1"/>
  <c r="O181" i="1"/>
  <c r="P181" i="1"/>
  <c r="Q181" i="1"/>
  <c r="D154" i="1"/>
  <c r="E154" i="1"/>
  <c r="M154" i="1"/>
  <c r="N154" i="1"/>
  <c r="O154" i="1"/>
  <c r="P154" i="1"/>
  <c r="Q154" i="1"/>
  <c r="D174" i="1"/>
  <c r="E174" i="1"/>
  <c r="M174" i="1"/>
  <c r="N174" i="1"/>
  <c r="O174" i="1"/>
  <c r="P174" i="1"/>
  <c r="Q174" i="1"/>
  <c r="D175" i="1"/>
  <c r="E175" i="1"/>
  <c r="M175" i="1"/>
  <c r="N175" i="1"/>
  <c r="O175" i="1"/>
  <c r="P175" i="1"/>
  <c r="Q175" i="1"/>
  <c r="D173" i="1"/>
  <c r="E173" i="1"/>
  <c r="M173" i="1"/>
  <c r="N173" i="1"/>
  <c r="O173" i="1"/>
  <c r="P173" i="1"/>
  <c r="Q173" i="1"/>
  <c r="D147" i="1"/>
  <c r="E147" i="1"/>
  <c r="M147" i="1"/>
  <c r="N147" i="1"/>
  <c r="O147" i="1"/>
  <c r="P147" i="1"/>
  <c r="Q147" i="1"/>
  <c r="D137" i="1"/>
  <c r="E137" i="1"/>
  <c r="M137" i="1"/>
  <c r="N137" i="1"/>
  <c r="O137" i="1"/>
  <c r="P137" i="1"/>
  <c r="Q137" i="1"/>
  <c r="D167" i="1"/>
  <c r="E167" i="1"/>
  <c r="M167" i="1"/>
  <c r="N167" i="1"/>
  <c r="O167" i="1"/>
  <c r="P167" i="1"/>
  <c r="Q167" i="1"/>
  <c r="D134" i="1"/>
  <c r="E134" i="1"/>
  <c r="M134" i="1"/>
  <c r="N134" i="1"/>
  <c r="O134" i="1"/>
  <c r="P134" i="1"/>
  <c r="Q134" i="1"/>
  <c r="D165" i="1"/>
  <c r="E165" i="1"/>
  <c r="M165" i="1"/>
  <c r="N165" i="1"/>
  <c r="O165" i="1"/>
  <c r="P165" i="1"/>
  <c r="Q165" i="1"/>
  <c r="D171" i="1"/>
  <c r="E171" i="1"/>
  <c r="M171" i="1"/>
  <c r="N171" i="1"/>
  <c r="O171" i="1"/>
  <c r="P171" i="1"/>
  <c r="Q171" i="1"/>
  <c r="D132" i="1"/>
  <c r="E132" i="1"/>
  <c r="M132" i="1"/>
  <c r="N132" i="1"/>
  <c r="O132" i="1"/>
  <c r="P132" i="1"/>
  <c r="Q132" i="1"/>
  <c r="D151" i="1"/>
  <c r="E151" i="1"/>
  <c r="M151" i="1"/>
  <c r="N151" i="1"/>
  <c r="O151" i="1"/>
  <c r="P151" i="1"/>
  <c r="Q151" i="1"/>
  <c r="D166" i="1"/>
  <c r="E166" i="1"/>
  <c r="M166" i="1"/>
  <c r="N166" i="1"/>
  <c r="O166" i="1"/>
  <c r="P166" i="1"/>
  <c r="Q166" i="1"/>
  <c r="D161" i="1"/>
  <c r="E161" i="1"/>
  <c r="M161" i="1"/>
  <c r="N161" i="1"/>
  <c r="O161" i="1"/>
  <c r="P161" i="1"/>
  <c r="Q161" i="1"/>
  <c r="D138" i="1"/>
  <c r="E138" i="1"/>
  <c r="M138" i="1"/>
  <c r="N138" i="1"/>
  <c r="O138" i="1"/>
  <c r="P138" i="1"/>
  <c r="Q138" i="1"/>
  <c r="D89" i="1"/>
  <c r="E89" i="1"/>
  <c r="M89" i="1"/>
  <c r="N89" i="1"/>
  <c r="O89" i="1"/>
  <c r="P89" i="1"/>
  <c r="Q89" i="1"/>
  <c r="D170" i="1"/>
  <c r="E170" i="1"/>
  <c r="M170" i="1"/>
  <c r="N170" i="1"/>
  <c r="O170" i="1"/>
  <c r="P170" i="1"/>
  <c r="Q170" i="1"/>
  <c r="D162" i="1"/>
  <c r="E162" i="1"/>
  <c r="M162" i="1"/>
  <c r="N162" i="1"/>
  <c r="O162" i="1"/>
  <c r="P162" i="1"/>
  <c r="Q162" i="1"/>
  <c r="D159" i="1"/>
  <c r="E159" i="1"/>
  <c r="M159" i="1"/>
  <c r="N159" i="1"/>
  <c r="O159" i="1"/>
  <c r="P159" i="1"/>
  <c r="Q159" i="1"/>
  <c r="D150" i="1"/>
  <c r="E150" i="1"/>
  <c r="M150" i="1"/>
  <c r="N150" i="1"/>
  <c r="O150" i="1"/>
  <c r="P150" i="1"/>
  <c r="Q150" i="1"/>
  <c r="D94" i="1"/>
  <c r="E94" i="1"/>
  <c r="M94" i="1"/>
  <c r="N94" i="1"/>
  <c r="O94" i="1"/>
  <c r="P94" i="1"/>
  <c r="Q94" i="1"/>
  <c r="D703" i="1"/>
  <c r="E703" i="1"/>
  <c r="M703" i="1"/>
  <c r="N703" i="1"/>
  <c r="O703" i="1"/>
  <c r="P703" i="1"/>
  <c r="Q703" i="1"/>
  <c r="D156" i="1"/>
  <c r="E156" i="1"/>
  <c r="M156" i="1"/>
  <c r="N156" i="1"/>
  <c r="O156" i="1"/>
  <c r="P156" i="1"/>
  <c r="Q156" i="1"/>
  <c r="D163" i="1"/>
  <c r="E163" i="1"/>
  <c r="M163" i="1"/>
  <c r="N163" i="1"/>
  <c r="O163" i="1"/>
  <c r="P163" i="1"/>
  <c r="Q163" i="1"/>
  <c r="D148" i="1"/>
  <c r="E148" i="1"/>
  <c r="M148" i="1"/>
  <c r="N148" i="1"/>
  <c r="O148" i="1"/>
  <c r="P148" i="1"/>
  <c r="Q148" i="1"/>
  <c r="D90" i="1"/>
  <c r="E90" i="1"/>
  <c r="M90" i="1"/>
  <c r="N90" i="1"/>
  <c r="O90" i="1"/>
  <c r="P90" i="1"/>
  <c r="Q90" i="1"/>
  <c r="D128" i="1"/>
  <c r="E128" i="1"/>
  <c r="M128" i="1"/>
  <c r="N128" i="1"/>
  <c r="O128" i="1"/>
  <c r="P128" i="1"/>
  <c r="Q128" i="1"/>
  <c r="D155" i="1"/>
  <c r="E155" i="1"/>
  <c r="M155" i="1"/>
  <c r="N155" i="1"/>
  <c r="O155" i="1"/>
  <c r="P155" i="1"/>
  <c r="Q155" i="1"/>
  <c r="D172" i="1"/>
  <c r="E172" i="1"/>
  <c r="M172" i="1"/>
  <c r="N172" i="1"/>
  <c r="O172" i="1"/>
  <c r="P172" i="1"/>
  <c r="Q172" i="1"/>
  <c r="D125" i="1"/>
  <c r="E125" i="1"/>
  <c r="M125" i="1"/>
  <c r="N125" i="1"/>
  <c r="O125" i="1"/>
  <c r="P125" i="1"/>
  <c r="Q125" i="1"/>
  <c r="D88" i="1"/>
  <c r="E88" i="1"/>
  <c r="M88" i="1"/>
  <c r="N88" i="1"/>
  <c r="O88" i="1"/>
  <c r="P88" i="1"/>
  <c r="Q88" i="1"/>
  <c r="D149" i="1"/>
  <c r="E149" i="1"/>
  <c r="M149" i="1"/>
  <c r="N149" i="1"/>
  <c r="O149" i="1"/>
  <c r="P149" i="1"/>
  <c r="Q149" i="1"/>
  <c r="D153" i="1"/>
  <c r="E153" i="1"/>
  <c r="M153" i="1"/>
  <c r="N153" i="1"/>
  <c r="O153" i="1"/>
  <c r="P153" i="1"/>
  <c r="Q153" i="1"/>
  <c r="D152" i="1"/>
  <c r="E152" i="1"/>
  <c r="M152" i="1"/>
  <c r="N152" i="1"/>
  <c r="O152" i="1"/>
  <c r="P152" i="1"/>
  <c r="Q152" i="1"/>
  <c r="D177" i="1"/>
  <c r="E177" i="1"/>
  <c r="M177" i="1"/>
  <c r="N177" i="1"/>
  <c r="O177" i="1"/>
  <c r="P177" i="1"/>
  <c r="Q177" i="1"/>
  <c r="D144" i="1"/>
  <c r="E144" i="1"/>
  <c r="M144" i="1"/>
  <c r="N144" i="1"/>
  <c r="O144" i="1"/>
  <c r="P144" i="1"/>
  <c r="Q144" i="1"/>
  <c r="D143" i="1"/>
  <c r="E143" i="1"/>
  <c r="M143" i="1"/>
  <c r="N143" i="1"/>
  <c r="O143" i="1"/>
  <c r="P143" i="1"/>
  <c r="Q143" i="1"/>
  <c r="D745" i="1"/>
  <c r="E745" i="1"/>
  <c r="M745" i="1"/>
  <c r="N745" i="1"/>
  <c r="O745" i="1"/>
  <c r="P745" i="1"/>
  <c r="Q745" i="1"/>
  <c r="D431" i="1"/>
  <c r="E431" i="1"/>
  <c r="M431" i="1"/>
  <c r="N431" i="1"/>
  <c r="O431" i="1"/>
  <c r="P431" i="1"/>
  <c r="Q431" i="1"/>
  <c r="D146" i="1"/>
  <c r="E146" i="1"/>
  <c r="M146" i="1"/>
  <c r="N146" i="1"/>
  <c r="O146" i="1"/>
  <c r="P146" i="1"/>
  <c r="Q146" i="1"/>
  <c r="D160" i="1"/>
  <c r="E160" i="1"/>
  <c r="M160" i="1"/>
  <c r="N160" i="1"/>
  <c r="O160" i="1"/>
  <c r="P160" i="1"/>
  <c r="Q160" i="1"/>
  <c r="D142" i="1"/>
  <c r="E142" i="1"/>
  <c r="M142" i="1"/>
  <c r="N142" i="1"/>
  <c r="O142" i="1"/>
  <c r="P142" i="1"/>
  <c r="Q142" i="1"/>
  <c r="D141" i="1"/>
  <c r="E141" i="1"/>
  <c r="M141" i="1"/>
  <c r="N141" i="1"/>
  <c r="O141" i="1"/>
  <c r="P141" i="1"/>
  <c r="Q141" i="1"/>
  <c r="D176" i="1"/>
  <c r="E176" i="1"/>
  <c r="M176" i="1"/>
  <c r="N176" i="1"/>
  <c r="O176" i="1"/>
  <c r="P176" i="1"/>
  <c r="Q176" i="1"/>
  <c r="D133" i="1"/>
  <c r="E133" i="1"/>
  <c r="M133" i="1"/>
  <c r="N133" i="1"/>
  <c r="O133" i="1"/>
  <c r="P133" i="1"/>
  <c r="Q133" i="1"/>
  <c r="D135" i="1"/>
  <c r="E135" i="1"/>
  <c r="M135" i="1"/>
  <c r="N135" i="1"/>
  <c r="O135" i="1"/>
  <c r="P135" i="1"/>
  <c r="Q135" i="1"/>
  <c r="D130" i="1"/>
  <c r="E130" i="1"/>
  <c r="M130" i="1"/>
  <c r="N130" i="1"/>
  <c r="O130" i="1"/>
  <c r="P130" i="1"/>
  <c r="Q130" i="1"/>
  <c r="D136" i="1"/>
  <c r="E136" i="1"/>
  <c r="M136" i="1"/>
  <c r="N136" i="1"/>
  <c r="O136" i="1"/>
  <c r="P136" i="1"/>
  <c r="Q136" i="1"/>
  <c r="D575" i="1"/>
  <c r="E575" i="1"/>
  <c r="M575" i="1"/>
  <c r="N575" i="1"/>
  <c r="O575" i="1"/>
  <c r="P575" i="1"/>
  <c r="Q575" i="1"/>
  <c r="D127" i="1"/>
  <c r="E127" i="1"/>
  <c r="M127" i="1"/>
  <c r="N127" i="1"/>
  <c r="O127" i="1"/>
  <c r="P127" i="1"/>
  <c r="Q127" i="1"/>
  <c r="D126" i="1"/>
  <c r="E126" i="1"/>
  <c r="M126" i="1"/>
  <c r="N126" i="1"/>
  <c r="O126" i="1"/>
  <c r="P126" i="1"/>
  <c r="Q126" i="1"/>
  <c r="D139" i="1"/>
  <c r="E139" i="1"/>
  <c r="M139" i="1"/>
  <c r="N139" i="1"/>
  <c r="O139" i="1"/>
  <c r="P139" i="1"/>
  <c r="Q139" i="1"/>
  <c r="D157" i="1"/>
  <c r="E157" i="1"/>
  <c r="M157" i="1"/>
  <c r="N157" i="1"/>
  <c r="O157" i="1"/>
  <c r="P157" i="1"/>
  <c r="Q157" i="1"/>
  <c r="D145" i="1"/>
  <c r="E145" i="1"/>
  <c r="M145" i="1"/>
  <c r="N145" i="1"/>
  <c r="O145" i="1"/>
  <c r="P145" i="1"/>
  <c r="Q145" i="1"/>
  <c r="D140" i="1"/>
  <c r="E140" i="1"/>
  <c r="M140" i="1"/>
  <c r="N140" i="1"/>
  <c r="O140" i="1"/>
  <c r="P140" i="1"/>
  <c r="Q140" i="1"/>
  <c r="D168" i="1"/>
  <c r="E168" i="1"/>
  <c r="M168" i="1"/>
  <c r="N168" i="1"/>
  <c r="O168" i="1"/>
  <c r="P168" i="1"/>
  <c r="Q168" i="1"/>
  <c r="D131" i="1"/>
  <c r="E131" i="1"/>
  <c r="M131" i="1"/>
  <c r="N131" i="1"/>
  <c r="O131" i="1"/>
  <c r="P131" i="1"/>
  <c r="Q131" i="1"/>
  <c r="D129" i="1"/>
  <c r="E129" i="1"/>
  <c r="M129" i="1"/>
  <c r="N129" i="1"/>
  <c r="O129" i="1"/>
  <c r="P129" i="1"/>
  <c r="Q129" i="1"/>
  <c r="D124" i="1"/>
  <c r="E124" i="1"/>
  <c r="M124" i="1"/>
  <c r="N124" i="1"/>
  <c r="O124" i="1"/>
  <c r="P124" i="1"/>
  <c r="Q124" i="1"/>
  <c r="D122" i="1"/>
  <c r="E122" i="1"/>
  <c r="M122" i="1"/>
  <c r="N122" i="1"/>
  <c r="O122" i="1"/>
  <c r="P122" i="1"/>
  <c r="Q122" i="1"/>
  <c r="D72" i="1"/>
  <c r="E72" i="1"/>
  <c r="M72" i="1"/>
  <c r="N72" i="1"/>
  <c r="O72" i="1"/>
  <c r="P72" i="1"/>
  <c r="Q72" i="1"/>
  <c r="D85" i="1"/>
  <c r="E85" i="1"/>
  <c r="M85" i="1"/>
  <c r="N85" i="1"/>
  <c r="O85" i="1"/>
  <c r="P85" i="1"/>
  <c r="Q85" i="1"/>
  <c r="D119" i="1"/>
  <c r="E119" i="1"/>
  <c r="M119" i="1"/>
  <c r="N119" i="1"/>
  <c r="O119" i="1"/>
  <c r="P119" i="1"/>
  <c r="Q119" i="1"/>
  <c r="D120" i="1"/>
  <c r="E120" i="1"/>
  <c r="M120" i="1"/>
  <c r="N120" i="1"/>
  <c r="O120" i="1"/>
  <c r="P120" i="1"/>
  <c r="Q120" i="1"/>
  <c r="D68" i="1"/>
  <c r="E68" i="1"/>
  <c r="M68" i="1"/>
  <c r="N68" i="1"/>
  <c r="O68" i="1"/>
  <c r="P68" i="1"/>
  <c r="Q68" i="1"/>
  <c r="D113" i="1"/>
  <c r="E113" i="1"/>
  <c r="M113" i="1"/>
  <c r="N113" i="1"/>
  <c r="O113" i="1"/>
  <c r="P113" i="1"/>
  <c r="Q113" i="1"/>
  <c r="D121" i="1"/>
  <c r="E121" i="1"/>
  <c r="M121" i="1"/>
  <c r="N121" i="1"/>
  <c r="O121" i="1"/>
  <c r="P121" i="1"/>
  <c r="Q121" i="1"/>
  <c r="D483" i="1"/>
  <c r="E483" i="1"/>
  <c r="M483" i="1"/>
  <c r="N483" i="1"/>
  <c r="O483" i="1"/>
  <c r="P483" i="1"/>
  <c r="Q483" i="1"/>
  <c r="D99" i="1"/>
  <c r="E99" i="1"/>
  <c r="M99" i="1"/>
  <c r="N99" i="1"/>
  <c r="O99" i="1"/>
  <c r="P99" i="1"/>
  <c r="Q99" i="1"/>
  <c r="D78" i="1"/>
  <c r="E78" i="1"/>
  <c r="M78" i="1"/>
  <c r="N78" i="1"/>
  <c r="O78" i="1"/>
  <c r="P78" i="1"/>
  <c r="Q78" i="1"/>
  <c r="D87" i="1"/>
  <c r="E87" i="1"/>
  <c r="M87" i="1"/>
  <c r="N87" i="1"/>
  <c r="O87" i="1"/>
  <c r="P87" i="1"/>
  <c r="Q87" i="1"/>
  <c r="D80" i="1"/>
  <c r="E80" i="1"/>
  <c r="M80" i="1"/>
  <c r="N80" i="1"/>
  <c r="O80" i="1"/>
  <c r="P80" i="1"/>
  <c r="Q80" i="1"/>
  <c r="D76" i="1"/>
  <c r="E76" i="1"/>
  <c r="M76" i="1"/>
  <c r="N76" i="1"/>
  <c r="O76" i="1"/>
  <c r="P76" i="1"/>
  <c r="Q76" i="1"/>
  <c r="D118" i="1"/>
  <c r="E118" i="1"/>
  <c r="M118" i="1"/>
  <c r="N118" i="1"/>
  <c r="O118" i="1"/>
  <c r="P118" i="1"/>
  <c r="Q118" i="1"/>
  <c r="D74" i="1"/>
  <c r="E74" i="1"/>
  <c r="M74" i="1"/>
  <c r="N74" i="1"/>
  <c r="O74" i="1"/>
  <c r="P74" i="1"/>
  <c r="Q74" i="1"/>
  <c r="D114" i="1"/>
  <c r="E114" i="1"/>
  <c r="M114" i="1"/>
  <c r="N114" i="1"/>
  <c r="O114" i="1"/>
  <c r="P114" i="1"/>
  <c r="Q114" i="1"/>
  <c r="D75" i="1"/>
  <c r="E75" i="1"/>
  <c r="M75" i="1"/>
  <c r="N75" i="1"/>
  <c r="O75" i="1"/>
  <c r="P75" i="1"/>
  <c r="Q75" i="1"/>
  <c r="D79" i="1"/>
  <c r="E79" i="1"/>
  <c r="M79" i="1"/>
  <c r="N79" i="1"/>
  <c r="O79" i="1"/>
  <c r="P79" i="1"/>
  <c r="Q79" i="1"/>
  <c r="D70" i="1"/>
  <c r="E70" i="1"/>
  <c r="M70" i="1"/>
  <c r="N70" i="1"/>
  <c r="O70" i="1"/>
  <c r="P70" i="1"/>
  <c r="Q70" i="1"/>
  <c r="D117" i="1"/>
  <c r="E117" i="1"/>
  <c r="M117" i="1"/>
  <c r="N117" i="1"/>
  <c r="O117" i="1"/>
  <c r="P117" i="1"/>
  <c r="Q117" i="1"/>
  <c r="D123" i="1"/>
  <c r="E123" i="1"/>
  <c r="M123" i="1"/>
  <c r="N123" i="1"/>
  <c r="O123" i="1"/>
  <c r="P123" i="1"/>
  <c r="Q123" i="1"/>
  <c r="D198" i="1"/>
  <c r="E198" i="1"/>
  <c r="M198" i="1"/>
  <c r="N198" i="1"/>
  <c r="O198" i="1"/>
  <c r="P198" i="1"/>
  <c r="Q198" i="1"/>
  <c r="D67" i="1"/>
  <c r="E67" i="1"/>
  <c r="M67" i="1"/>
  <c r="N67" i="1"/>
  <c r="O67" i="1"/>
  <c r="P67" i="1"/>
  <c r="Q67" i="1"/>
  <c r="D84" i="1"/>
  <c r="E84" i="1"/>
  <c r="M84" i="1"/>
  <c r="N84" i="1"/>
  <c r="O84" i="1"/>
  <c r="P84" i="1"/>
  <c r="Q84" i="1"/>
  <c r="D77" i="1"/>
  <c r="E77" i="1"/>
  <c r="M77" i="1"/>
  <c r="N77" i="1"/>
  <c r="O77" i="1"/>
  <c r="P77" i="1"/>
  <c r="Q77" i="1"/>
  <c r="D73" i="1"/>
  <c r="E73" i="1"/>
  <c r="M73" i="1"/>
  <c r="N73" i="1"/>
  <c r="O73" i="1"/>
  <c r="P73" i="1"/>
  <c r="Q73" i="1"/>
  <c r="D65" i="1"/>
  <c r="E65" i="1"/>
  <c r="M65" i="1"/>
  <c r="N65" i="1"/>
  <c r="O65" i="1"/>
  <c r="P65" i="1"/>
  <c r="Q65" i="1"/>
  <c r="D86" i="1"/>
  <c r="E86" i="1"/>
  <c r="M86" i="1"/>
  <c r="N86" i="1"/>
  <c r="O86" i="1"/>
  <c r="P86" i="1"/>
  <c r="Q86" i="1"/>
  <c r="D66" i="1"/>
  <c r="E66" i="1"/>
  <c r="M66" i="1"/>
  <c r="N66" i="1"/>
  <c r="O66" i="1"/>
  <c r="P66" i="1"/>
  <c r="Q66" i="1"/>
  <c r="D116" i="1"/>
  <c r="E116" i="1"/>
  <c r="M116" i="1"/>
  <c r="N116" i="1"/>
  <c r="O116" i="1"/>
  <c r="P116" i="1"/>
  <c r="Q116" i="1"/>
  <c r="D115" i="1"/>
  <c r="E115" i="1"/>
  <c r="M115" i="1"/>
  <c r="N115" i="1"/>
  <c r="O115" i="1"/>
  <c r="P115" i="1"/>
  <c r="Q115" i="1"/>
  <c r="D71" i="1"/>
  <c r="E71" i="1"/>
  <c r="M71" i="1"/>
  <c r="N71" i="1"/>
  <c r="O71" i="1"/>
  <c r="P71" i="1"/>
  <c r="Q71" i="1"/>
  <c r="D632" i="1"/>
  <c r="E632" i="1"/>
  <c r="M632" i="1"/>
  <c r="N632" i="1"/>
  <c r="O632" i="1"/>
  <c r="P632" i="1"/>
  <c r="Q632" i="1"/>
  <c r="D57" i="1"/>
  <c r="E57" i="1"/>
  <c r="M57" i="1"/>
  <c r="N57" i="1"/>
  <c r="O57" i="1"/>
  <c r="P57" i="1"/>
  <c r="Q57" i="1"/>
  <c r="D56" i="1"/>
  <c r="E56" i="1"/>
  <c r="M56" i="1"/>
  <c r="N56" i="1"/>
  <c r="O56" i="1"/>
  <c r="P56" i="1"/>
  <c r="Q56" i="1"/>
  <c r="D55" i="1"/>
  <c r="E55" i="1"/>
  <c r="M55" i="1"/>
  <c r="N55" i="1"/>
  <c r="O55" i="1"/>
  <c r="P55" i="1"/>
  <c r="Q55" i="1"/>
  <c r="D63" i="1"/>
  <c r="E63" i="1"/>
  <c r="M63" i="1"/>
  <c r="N63" i="1"/>
  <c r="O63" i="1"/>
  <c r="P63" i="1"/>
  <c r="Q63" i="1"/>
  <c r="D62" i="1"/>
  <c r="E62" i="1"/>
  <c r="M62" i="1"/>
  <c r="N62" i="1"/>
  <c r="O62" i="1"/>
  <c r="P62" i="1"/>
  <c r="Q62" i="1"/>
  <c r="D61" i="1"/>
  <c r="E61" i="1"/>
  <c r="M61" i="1"/>
  <c r="N61" i="1"/>
  <c r="O61" i="1"/>
  <c r="P61" i="1"/>
  <c r="Q61" i="1"/>
  <c r="D48" i="1"/>
  <c r="E48" i="1"/>
  <c r="M48" i="1"/>
  <c r="N48" i="1"/>
  <c r="O48" i="1"/>
  <c r="P48" i="1"/>
  <c r="Q48" i="1"/>
  <c r="D60" i="1"/>
  <c r="E60" i="1"/>
  <c r="M60" i="1"/>
  <c r="N60" i="1"/>
  <c r="O60" i="1"/>
  <c r="P60" i="1"/>
  <c r="Q60" i="1"/>
  <c r="D59" i="1"/>
  <c r="E59" i="1"/>
  <c r="M59" i="1"/>
  <c r="N59" i="1"/>
  <c r="O59" i="1"/>
  <c r="P59" i="1"/>
  <c r="Q59" i="1"/>
  <c r="D53" i="1"/>
  <c r="E53" i="1"/>
  <c r="M53" i="1"/>
  <c r="N53" i="1"/>
  <c r="O53" i="1"/>
  <c r="P53" i="1"/>
  <c r="Q53" i="1"/>
  <c r="D47" i="1"/>
  <c r="E47" i="1"/>
  <c r="M47" i="1"/>
  <c r="N47" i="1"/>
  <c r="O47" i="1"/>
  <c r="P47" i="1"/>
  <c r="Q47" i="1"/>
  <c r="D58" i="1"/>
  <c r="E58" i="1"/>
  <c r="M58" i="1"/>
  <c r="N58" i="1"/>
  <c r="O58" i="1"/>
  <c r="P58" i="1"/>
  <c r="Q58" i="1"/>
  <c r="D51" i="1"/>
  <c r="E51" i="1"/>
  <c r="M51" i="1"/>
  <c r="N51" i="1"/>
  <c r="O51" i="1"/>
  <c r="P51" i="1"/>
  <c r="Q51" i="1"/>
  <c r="D54" i="1"/>
  <c r="E54" i="1"/>
  <c r="M54" i="1"/>
  <c r="N54" i="1"/>
  <c r="O54" i="1"/>
  <c r="P54" i="1"/>
  <c r="Q54" i="1"/>
  <c r="D64" i="1"/>
  <c r="E64" i="1"/>
  <c r="M64" i="1"/>
  <c r="N64" i="1"/>
  <c r="O64" i="1"/>
  <c r="P64" i="1"/>
  <c r="Q64" i="1"/>
  <c r="D52" i="1"/>
  <c r="E52" i="1"/>
  <c r="M52" i="1"/>
  <c r="N52" i="1"/>
  <c r="O52" i="1"/>
  <c r="P52" i="1"/>
  <c r="Q52" i="1"/>
  <c r="D46" i="1"/>
  <c r="E46" i="1"/>
  <c r="M46" i="1"/>
  <c r="N46" i="1"/>
  <c r="O46" i="1"/>
  <c r="P46" i="1"/>
  <c r="Q46" i="1"/>
  <c r="D50" i="1"/>
  <c r="E50" i="1"/>
  <c r="M50" i="1"/>
  <c r="N50" i="1"/>
  <c r="O50" i="1"/>
  <c r="P50" i="1"/>
  <c r="Q50" i="1"/>
  <c r="D40" i="1"/>
  <c r="E40" i="1"/>
  <c r="M40" i="1"/>
  <c r="N40" i="1"/>
  <c r="O40" i="1"/>
  <c r="P40" i="1"/>
  <c r="Q40" i="1"/>
  <c r="D43" i="1"/>
  <c r="E43" i="1"/>
  <c r="M43" i="1"/>
  <c r="N43" i="1"/>
  <c r="O43" i="1"/>
  <c r="P43" i="1"/>
  <c r="Q43" i="1"/>
  <c r="D44" i="1"/>
  <c r="E44" i="1"/>
  <c r="M44" i="1"/>
  <c r="N44" i="1"/>
  <c r="O44" i="1"/>
  <c r="P44" i="1"/>
  <c r="Q44" i="1"/>
  <c r="D38" i="1"/>
  <c r="E38" i="1"/>
  <c r="M38" i="1"/>
  <c r="N38" i="1"/>
  <c r="O38" i="1"/>
  <c r="P38" i="1"/>
  <c r="Q38" i="1"/>
  <c r="D39" i="1"/>
  <c r="E39" i="1"/>
  <c r="M39" i="1"/>
  <c r="N39" i="1"/>
  <c r="O39" i="1"/>
  <c r="P39" i="1"/>
  <c r="Q39" i="1"/>
  <c r="D42" i="1"/>
  <c r="E42" i="1"/>
  <c r="M42" i="1"/>
  <c r="N42" i="1"/>
  <c r="O42" i="1"/>
  <c r="P42" i="1"/>
  <c r="Q42" i="1"/>
  <c r="D41" i="1"/>
  <c r="E41" i="1"/>
  <c r="M41" i="1"/>
  <c r="N41" i="1"/>
  <c r="O41" i="1"/>
  <c r="P41" i="1"/>
  <c r="Q41" i="1"/>
  <c r="D20" i="1"/>
  <c r="E20" i="1"/>
  <c r="M20" i="1"/>
  <c r="N20" i="1"/>
  <c r="O20" i="1"/>
  <c r="P20" i="1"/>
  <c r="Q20" i="1"/>
  <c r="D31" i="1"/>
  <c r="E31" i="1"/>
  <c r="M31" i="1"/>
  <c r="N31" i="1"/>
  <c r="O31" i="1"/>
  <c r="P31" i="1"/>
  <c r="Q31" i="1"/>
  <c r="D30" i="1"/>
  <c r="E30" i="1"/>
  <c r="M30" i="1"/>
  <c r="N30" i="1"/>
  <c r="O30" i="1"/>
  <c r="P30" i="1"/>
  <c r="Q30" i="1"/>
  <c r="D34" i="1"/>
  <c r="E34" i="1"/>
  <c r="M34" i="1"/>
  <c r="N34" i="1"/>
  <c r="O34" i="1"/>
  <c r="P34" i="1"/>
  <c r="Q34" i="1"/>
  <c r="D29" i="1"/>
  <c r="E29" i="1"/>
  <c r="M29" i="1"/>
  <c r="N29" i="1"/>
  <c r="O29" i="1"/>
  <c r="P29" i="1"/>
  <c r="Q29" i="1"/>
  <c r="D33" i="1"/>
  <c r="E33" i="1"/>
  <c r="M33" i="1"/>
  <c r="N33" i="1"/>
  <c r="O33" i="1"/>
  <c r="P33" i="1"/>
  <c r="Q33" i="1"/>
  <c r="D25" i="1"/>
  <c r="E25" i="1"/>
  <c r="M25" i="1"/>
  <c r="N25" i="1"/>
  <c r="O25" i="1"/>
  <c r="P25" i="1"/>
  <c r="Q25" i="1"/>
  <c r="D13" i="1"/>
  <c r="E13" i="1"/>
  <c r="M13" i="1"/>
  <c r="N13" i="1"/>
  <c r="O13" i="1"/>
  <c r="P13" i="1"/>
  <c r="Q13" i="1"/>
  <c r="D24" i="1"/>
  <c r="E24" i="1"/>
  <c r="M24" i="1"/>
  <c r="N24" i="1"/>
  <c r="O24" i="1"/>
  <c r="P24" i="1"/>
  <c r="Q24" i="1"/>
  <c r="D18" i="1"/>
  <c r="E18" i="1"/>
  <c r="M18" i="1"/>
  <c r="N18" i="1"/>
  <c r="O18" i="1"/>
  <c r="P18" i="1"/>
  <c r="Q18" i="1"/>
  <c r="D15" i="1"/>
  <c r="E15" i="1"/>
  <c r="M15" i="1"/>
  <c r="N15" i="1"/>
  <c r="O15" i="1"/>
  <c r="P15" i="1"/>
  <c r="Q15" i="1"/>
  <c r="D19" i="1"/>
  <c r="E19" i="1"/>
  <c r="M19" i="1"/>
  <c r="N19" i="1"/>
  <c r="O19" i="1"/>
  <c r="P19" i="1"/>
  <c r="Q19" i="1"/>
  <c r="D378" i="1"/>
  <c r="E378" i="1"/>
  <c r="M378" i="1"/>
  <c r="N378" i="1"/>
  <c r="O378" i="1"/>
  <c r="P378" i="1"/>
  <c r="Q378" i="1"/>
  <c r="D28" i="1"/>
  <c r="E28" i="1"/>
  <c r="M28" i="1"/>
  <c r="N28" i="1"/>
  <c r="O28" i="1"/>
  <c r="P28" i="1"/>
  <c r="Q28" i="1"/>
  <c r="D82" i="1"/>
  <c r="E82" i="1"/>
  <c r="M82" i="1"/>
  <c r="N82" i="1"/>
  <c r="O82" i="1"/>
  <c r="P82" i="1"/>
  <c r="Q82" i="1"/>
  <c r="D736" i="1"/>
  <c r="E736" i="1"/>
  <c r="M736" i="1"/>
  <c r="N736" i="1"/>
  <c r="O736" i="1"/>
  <c r="P736" i="1"/>
  <c r="Q736" i="1"/>
  <c r="D32" i="1"/>
  <c r="E32" i="1"/>
  <c r="M32" i="1"/>
  <c r="N32" i="1"/>
  <c r="O32" i="1"/>
  <c r="P32" i="1"/>
  <c r="Q32" i="1"/>
  <c r="D12" i="1"/>
  <c r="E12" i="1"/>
  <c r="M12" i="1"/>
  <c r="N12" i="1"/>
  <c r="O12" i="1"/>
  <c r="P12" i="1"/>
  <c r="Q12" i="1"/>
  <c r="D37" i="1"/>
  <c r="E37" i="1"/>
  <c r="M37" i="1"/>
  <c r="N37" i="1"/>
  <c r="O37" i="1"/>
  <c r="P37" i="1"/>
  <c r="Q37" i="1"/>
  <c r="D36" i="1"/>
  <c r="E36" i="1"/>
  <c r="M36" i="1"/>
  <c r="N36" i="1"/>
  <c r="O36" i="1"/>
  <c r="P36" i="1"/>
  <c r="Q36" i="1"/>
  <c r="D23" i="1"/>
  <c r="E23" i="1"/>
  <c r="M23" i="1"/>
  <c r="N23" i="1"/>
  <c r="O23" i="1"/>
  <c r="P23" i="1"/>
  <c r="Q23" i="1"/>
  <c r="D11" i="1"/>
  <c r="E11" i="1"/>
  <c r="M11" i="1"/>
  <c r="N11" i="1"/>
  <c r="O11" i="1"/>
  <c r="P11" i="1"/>
  <c r="Q11" i="1"/>
  <c r="D17" i="1"/>
  <c r="E17" i="1"/>
  <c r="M17" i="1"/>
  <c r="N17" i="1"/>
  <c r="O17" i="1"/>
  <c r="P17" i="1"/>
  <c r="Q17" i="1"/>
  <c r="D27" i="1"/>
  <c r="E27" i="1"/>
  <c r="M27" i="1"/>
  <c r="N27" i="1"/>
  <c r="O27" i="1"/>
  <c r="P27" i="1"/>
  <c r="Q27" i="1"/>
  <c r="D21" i="1"/>
  <c r="E21" i="1"/>
  <c r="M21" i="1"/>
  <c r="N21" i="1"/>
  <c r="O21" i="1"/>
  <c r="P21" i="1"/>
  <c r="Q21" i="1"/>
  <c r="D22" i="1"/>
  <c r="E22" i="1"/>
  <c r="M22" i="1"/>
  <c r="N22" i="1"/>
  <c r="O22" i="1"/>
  <c r="P22" i="1"/>
  <c r="Q22" i="1"/>
  <c r="D14" i="1"/>
  <c r="E14" i="1"/>
  <c r="M14" i="1"/>
  <c r="N14" i="1"/>
  <c r="O14" i="1"/>
  <c r="P14" i="1"/>
  <c r="Q14" i="1"/>
  <c r="D516" i="1"/>
  <c r="E516" i="1"/>
  <c r="M516" i="1"/>
  <c r="N516" i="1"/>
  <c r="O516" i="1"/>
  <c r="P516" i="1"/>
  <c r="Q516" i="1"/>
  <c r="D26" i="1"/>
  <c r="E26" i="1"/>
  <c r="M26" i="1"/>
  <c r="N26" i="1"/>
  <c r="O26" i="1"/>
  <c r="P26" i="1"/>
  <c r="Q26" i="1"/>
  <c r="D16" i="1"/>
  <c r="E16" i="1"/>
  <c r="M16" i="1"/>
  <c r="N16" i="1"/>
  <c r="O16" i="1"/>
  <c r="P16" i="1"/>
  <c r="Q16" i="1"/>
  <c r="D83" i="1"/>
  <c r="E83" i="1"/>
  <c r="M83" i="1"/>
  <c r="N83" i="1"/>
  <c r="O83" i="1"/>
  <c r="P83" i="1"/>
  <c r="Q83" i="1"/>
  <c r="D10" i="1"/>
  <c r="E10" i="1"/>
  <c r="M10" i="1"/>
  <c r="N10" i="1"/>
  <c r="O10" i="1"/>
  <c r="P10" i="1"/>
  <c r="Q10" i="1"/>
  <c r="D507" i="1"/>
  <c r="E507" i="1"/>
  <c r="M507" i="1"/>
  <c r="N507" i="1"/>
  <c r="O507" i="1"/>
  <c r="P507" i="1"/>
  <c r="Q507" i="1"/>
  <c r="D555" i="1"/>
  <c r="E555" i="1"/>
  <c r="M555" i="1"/>
  <c r="N555" i="1"/>
  <c r="O555" i="1"/>
  <c r="P555" i="1"/>
  <c r="Q555" i="1"/>
  <c r="D9" i="1"/>
  <c r="E9" i="1"/>
  <c r="M9" i="1"/>
  <c r="N9" i="1"/>
  <c r="O9" i="1"/>
  <c r="P9" i="1"/>
  <c r="Q9" i="1"/>
  <c r="D81" i="1"/>
  <c r="E81" i="1"/>
  <c r="M81" i="1"/>
  <c r="N81" i="1"/>
  <c r="O81" i="1"/>
  <c r="P81" i="1"/>
  <c r="Q81" i="1"/>
  <c r="D8" i="1"/>
  <c r="E8" i="1"/>
  <c r="M8" i="1"/>
  <c r="N8" i="1"/>
  <c r="O8" i="1"/>
  <c r="P8" i="1"/>
  <c r="Q8" i="1"/>
  <c r="D7" i="1"/>
  <c r="E7" i="1"/>
  <c r="M7" i="1"/>
  <c r="N7" i="1"/>
  <c r="O7" i="1"/>
  <c r="P7" i="1"/>
  <c r="Q7" i="1"/>
  <c r="D6" i="1"/>
  <c r="E6" i="1"/>
  <c r="M6" i="1"/>
  <c r="N6" i="1"/>
  <c r="O6" i="1"/>
  <c r="P6" i="1"/>
  <c r="Q6" i="1"/>
  <c r="D747" i="1"/>
  <c r="E747" i="1"/>
  <c r="M747" i="1"/>
  <c r="N747" i="1"/>
  <c r="O747" i="1"/>
  <c r="P747" i="1"/>
  <c r="Q747" i="1"/>
  <c r="D676" i="1"/>
  <c r="E676" i="1"/>
  <c r="M676" i="1"/>
  <c r="N676" i="1"/>
  <c r="O676" i="1"/>
  <c r="P676" i="1"/>
  <c r="Q676" i="1"/>
  <c r="D612" i="1"/>
  <c r="E612" i="1"/>
  <c r="M612" i="1"/>
  <c r="N612" i="1"/>
  <c r="O612" i="1"/>
  <c r="P612" i="1"/>
  <c r="Q612" i="1"/>
  <c r="D572" i="1"/>
  <c r="E572" i="1"/>
  <c r="M572" i="1"/>
  <c r="N572" i="1"/>
  <c r="O572" i="1"/>
  <c r="P572" i="1"/>
  <c r="Q572" i="1"/>
  <c r="D613" i="1"/>
  <c r="E613" i="1"/>
  <c r="M613" i="1"/>
  <c r="N613" i="1"/>
  <c r="O613" i="1"/>
  <c r="P613" i="1"/>
  <c r="Q613" i="1"/>
  <c r="D746" i="1"/>
  <c r="E746" i="1"/>
  <c r="M746" i="1"/>
  <c r="N746" i="1"/>
  <c r="O746" i="1"/>
  <c r="P746" i="1"/>
  <c r="Q746" i="1"/>
  <c r="D677" i="1"/>
  <c r="E677" i="1"/>
  <c r="M677" i="1"/>
  <c r="N677" i="1"/>
  <c r="O677" i="1"/>
  <c r="P677" i="1"/>
  <c r="Q677" i="1"/>
  <c r="D582" i="1"/>
  <c r="E582" i="1"/>
  <c r="M582" i="1"/>
  <c r="N582" i="1"/>
  <c r="O582" i="1"/>
  <c r="P582" i="1"/>
  <c r="Q582" i="1"/>
  <c r="D574" i="1"/>
  <c r="E574" i="1"/>
  <c r="M574" i="1"/>
  <c r="N574" i="1"/>
  <c r="O574" i="1"/>
  <c r="P574" i="1"/>
  <c r="Q574" i="1"/>
  <c r="D573" i="1"/>
  <c r="E573" i="1"/>
  <c r="M573" i="1"/>
  <c r="N573" i="1"/>
  <c r="O573" i="1"/>
  <c r="P573" i="1"/>
  <c r="Q573" i="1"/>
  <c r="D527" i="1"/>
  <c r="E527" i="1"/>
  <c r="M527" i="1"/>
  <c r="N527" i="1"/>
  <c r="O527" i="1"/>
  <c r="P527" i="1"/>
  <c r="Q527" i="1"/>
  <c r="D494" i="1"/>
  <c r="E494" i="1"/>
  <c r="M494" i="1"/>
  <c r="N494" i="1"/>
  <c r="O494" i="1"/>
  <c r="P494" i="1"/>
  <c r="Q494" i="1"/>
  <c r="D433" i="1"/>
  <c r="E433" i="1"/>
  <c r="M433" i="1"/>
  <c r="N433" i="1"/>
  <c r="O433" i="1"/>
  <c r="P433" i="1"/>
  <c r="Q433" i="1"/>
  <c r="D397" i="1"/>
  <c r="E397" i="1"/>
  <c r="M397" i="1"/>
  <c r="N397" i="1"/>
  <c r="O397" i="1"/>
  <c r="P397" i="1"/>
  <c r="Q397" i="1"/>
  <c r="D396" i="1"/>
  <c r="E396" i="1"/>
  <c r="M396" i="1"/>
  <c r="N396" i="1"/>
  <c r="O396" i="1"/>
  <c r="P396" i="1"/>
  <c r="Q396" i="1"/>
  <c r="D325" i="1"/>
  <c r="E325" i="1"/>
  <c r="M325" i="1"/>
  <c r="N325" i="1"/>
  <c r="O325" i="1"/>
  <c r="P325" i="1"/>
  <c r="Q325" i="1"/>
  <c r="D201" i="1"/>
  <c r="E201" i="1"/>
  <c r="M201" i="1"/>
  <c r="N201" i="1"/>
  <c r="O201" i="1"/>
  <c r="P201" i="1"/>
  <c r="Q201" i="1"/>
  <c r="D45" i="1"/>
  <c r="E45" i="1"/>
  <c r="M45" i="1"/>
  <c r="N45" i="1"/>
  <c r="O45" i="1"/>
  <c r="P45" i="1"/>
  <c r="Q45" i="1"/>
  <c r="D759" i="1"/>
  <c r="E759" i="1"/>
  <c r="M759" i="1"/>
  <c r="N759" i="1"/>
  <c r="O759" i="1"/>
  <c r="P759" i="1"/>
  <c r="Q759" i="1"/>
  <c r="D750" i="1"/>
  <c r="E750" i="1"/>
  <c r="M750" i="1"/>
  <c r="N750" i="1"/>
  <c r="O750" i="1"/>
  <c r="P750" i="1"/>
  <c r="Q750" i="1"/>
  <c r="D763" i="1"/>
  <c r="E763" i="1"/>
  <c r="M763" i="1"/>
  <c r="N763" i="1"/>
  <c r="O763" i="1"/>
  <c r="P763" i="1"/>
  <c r="Q763" i="1"/>
  <c r="D764" i="1"/>
  <c r="E764" i="1"/>
  <c r="M764" i="1"/>
  <c r="N764" i="1"/>
  <c r="O764" i="1"/>
  <c r="P764" i="1"/>
  <c r="Q764" i="1"/>
  <c r="D760" i="1"/>
  <c r="E760" i="1"/>
  <c r="M760" i="1"/>
  <c r="N760" i="1"/>
  <c r="O760" i="1"/>
  <c r="P760" i="1"/>
  <c r="Q760" i="1"/>
  <c r="D766" i="1"/>
  <c r="E766" i="1"/>
  <c r="M766" i="1"/>
  <c r="N766" i="1"/>
  <c r="O766" i="1"/>
  <c r="P766" i="1"/>
  <c r="Q766" i="1"/>
  <c r="D767" i="1"/>
  <c r="E767" i="1"/>
  <c r="M767" i="1"/>
  <c r="N767" i="1"/>
  <c r="O767" i="1"/>
  <c r="P767" i="1"/>
  <c r="Q767" i="1"/>
  <c r="D761" i="1"/>
  <c r="E761" i="1"/>
  <c r="M761" i="1"/>
  <c r="N761" i="1"/>
  <c r="O761" i="1"/>
  <c r="P761" i="1"/>
  <c r="Q761" i="1"/>
  <c r="D768" i="1"/>
  <c r="E768" i="1"/>
  <c r="M768" i="1"/>
  <c r="N768" i="1"/>
  <c r="O768" i="1"/>
  <c r="P768" i="1"/>
  <c r="Q768" i="1"/>
  <c r="D769" i="1"/>
  <c r="E769" i="1"/>
  <c r="M769" i="1"/>
  <c r="N769" i="1"/>
  <c r="O769" i="1"/>
  <c r="P769" i="1"/>
  <c r="Q769" i="1"/>
  <c r="D770" i="1"/>
  <c r="E770" i="1"/>
  <c r="M770" i="1"/>
  <c r="N770" i="1"/>
  <c r="O770" i="1"/>
  <c r="P770" i="1"/>
  <c r="Q770" i="1"/>
  <c r="D771" i="1"/>
  <c r="E771" i="1"/>
  <c r="M771" i="1"/>
  <c r="N771" i="1"/>
  <c r="O771" i="1"/>
  <c r="P771" i="1"/>
  <c r="Q771" i="1"/>
  <c r="D772" i="1"/>
  <c r="E772" i="1"/>
  <c r="M772" i="1"/>
  <c r="N772" i="1"/>
  <c r="O772" i="1"/>
  <c r="P772" i="1"/>
  <c r="Q772" i="1"/>
  <c r="D758" i="1"/>
  <c r="E758" i="1"/>
  <c r="M758" i="1"/>
  <c r="N758" i="1"/>
  <c r="O758" i="1"/>
  <c r="P758" i="1"/>
  <c r="Q758" i="1"/>
  <c r="D773" i="1"/>
  <c r="E773" i="1"/>
  <c r="M773" i="1"/>
  <c r="N773" i="1"/>
  <c r="O773" i="1"/>
  <c r="P773" i="1"/>
  <c r="Q773" i="1"/>
  <c r="D774" i="1"/>
  <c r="E774" i="1"/>
  <c r="M774" i="1"/>
  <c r="N774" i="1"/>
  <c r="O774" i="1"/>
  <c r="P774" i="1"/>
  <c r="Q774" i="1"/>
  <c r="D775" i="1"/>
  <c r="E775" i="1"/>
  <c r="M775" i="1"/>
  <c r="N775" i="1"/>
  <c r="O775" i="1"/>
  <c r="P775" i="1"/>
  <c r="Q775" i="1"/>
  <c r="D749" i="1"/>
  <c r="E749" i="1"/>
  <c r="M749" i="1"/>
  <c r="N749" i="1"/>
  <c r="O749" i="1"/>
  <c r="P749" i="1"/>
  <c r="Q749" i="1"/>
  <c r="D776" i="1"/>
  <c r="E776" i="1"/>
  <c r="M776" i="1"/>
  <c r="N776" i="1"/>
  <c r="O776" i="1"/>
  <c r="P776" i="1"/>
  <c r="Q776" i="1"/>
  <c r="D777" i="1"/>
  <c r="E777" i="1"/>
  <c r="M777" i="1"/>
  <c r="N777" i="1"/>
  <c r="O777" i="1"/>
  <c r="P777" i="1"/>
  <c r="Q777" i="1"/>
  <c r="D778" i="1"/>
  <c r="E778" i="1"/>
  <c r="M778" i="1"/>
  <c r="N778" i="1"/>
  <c r="O778" i="1"/>
  <c r="P778" i="1"/>
  <c r="Q778" i="1"/>
  <c r="D779" i="1"/>
  <c r="E779" i="1"/>
  <c r="M779" i="1"/>
  <c r="N779" i="1"/>
  <c r="O779" i="1"/>
  <c r="P779" i="1"/>
  <c r="Q779" i="1"/>
  <c r="D780" i="1"/>
  <c r="E780" i="1"/>
  <c r="M780" i="1"/>
  <c r="N780" i="1"/>
  <c r="O780" i="1"/>
  <c r="P780" i="1"/>
  <c r="Q780" i="1"/>
  <c r="D752" i="1"/>
  <c r="E752" i="1"/>
  <c r="M752" i="1"/>
  <c r="N752" i="1"/>
  <c r="O752" i="1"/>
  <c r="P752" i="1"/>
  <c r="Q752" i="1"/>
  <c r="D781" i="1"/>
  <c r="E781" i="1"/>
  <c r="M781" i="1"/>
  <c r="N781" i="1"/>
  <c r="O781" i="1"/>
  <c r="P781" i="1"/>
  <c r="Q781" i="1"/>
  <c r="D782" i="1"/>
  <c r="E782" i="1"/>
  <c r="M782" i="1"/>
  <c r="N782" i="1"/>
  <c r="O782" i="1"/>
  <c r="P782" i="1"/>
  <c r="Q782" i="1"/>
  <c r="D754" i="1"/>
  <c r="E754" i="1"/>
  <c r="M754" i="1"/>
  <c r="N754" i="1"/>
  <c r="O754" i="1"/>
  <c r="P754" i="1"/>
  <c r="Q754" i="1"/>
  <c r="D783" i="1"/>
  <c r="E783" i="1"/>
  <c r="M783" i="1"/>
  <c r="N783" i="1"/>
  <c r="O783" i="1"/>
  <c r="P783" i="1"/>
  <c r="Q783" i="1"/>
  <c r="D751" i="1"/>
  <c r="E751" i="1"/>
  <c r="M751" i="1"/>
  <c r="N751" i="1"/>
  <c r="O751" i="1"/>
  <c r="P751" i="1"/>
  <c r="Q751" i="1"/>
  <c r="D784" i="1"/>
  <c r="E784" i="1"/>
  <c r="M784" i="1"/>
  <c r="N784" i="1"/>
  <c r="O784" i="1"/>
  <c r="P784" i="1"/>
  <c r="Q784" i="1"/>
  <c r="D785" i="1"/>
  <c r="E785" i="1"/>
  <c r="M785" i="1"/>
  <c r="N785" i="1"/>
  <c r="O785" i="1"/>
  <c r="P785" i="1"/>
  <c r="Q785" i="1"/>
  <c r="D786" i="1"/>
  <c r="E786" i="1"/>
  <c r="M786" i="1"/>
  <c r="N786" i="1"/>
  <c r="O786" i="1"/>
  <c r="P786" i="1"/>
  <c r="Q786" i="1"/>
  <c r="D787" i="1"/>
  <c r="E787" i="1"/>
  <c r="M787" i="1"/>
  <c r="N787" i="1"/>
  <c r="O787" i="1"/>
  <c r="P787" i="1"/>
  <c r="Q787" i="1"/>
  <c r="D788" i="1"/>
  <c r="E788" i="1"/>
  <c r="M788" i="1"/>
  <c r="N788" i="1"/>
  <c r="O788" i="1"/>
  <c r="P788" i="1"/>
  <c r="Q788" i="1"/>
  <c r="D789" i="1"/>
  <c r="E789" i="1"/>
  <c r="M789" i="1"/>
  <c r="N789" i="1"/>
  <c r="O789" i="1"/>
  <c r="P789" i="1"/>
  <c r="Q789" i="1"/>
  <c r="D790" i="1"/>
  <c r="E790" i="1"/>
  <c r="M790" i="1"/>
  <c r="N790" i="1"/>
  <c r="O790" i="1"/>
  <c r="P790" i="1"/>
  <c r="Q790" i="1"/>
  <c r="D791" i="1"/>
  <c r="E791" i="1"/>
  <c r="M791" i="1"/>
  <c r="N791" i="1"/>
  <c r="O791" i="1"/>
  <c r="P791" i="1"/>
  <c r="Q791" i="1"/>
  <c r="D756" i="1"/>
  <c r="E756" i="1"/>
  <c r="M756" i="1"/>
  <c r="N756" i="1"/>
  <c r="O756" i="1"/>
  <c r="P756" i="1"/>
  <c r="Q756" i="1"/>
  <c r="D792" i="1"/>
  <c r="E792" i="1"/>
  <c r="M792" i="1"/>
  <c r="N792" i="1"/>
  <c r="O792" i="1"/>
  <c r="P792" i="1"/>
  <c r="Q792" i="1"/>
  <c r="D793" i="1"/>
  <c r="E793" i="1"/>
  <c r="M793" i="1"/>
  <c r="N793" i="1"/>
  <c r="O793" i="1"/>
  <c r="P793" i="1"/>
  <c r="Q793" i="1"/>
  <c r="D794" i="1"/>
  <c r="E794" i="1"/>
  <c r="M794" i="1"/>
  <c r="N794" i="1"/>
  <c r="O794" i="1"/>
  <c r="P794" i="1"/>
  <c r="Q794" i="1"/>
  <c r="D795" i="1"/>
  <c r="E795" i="1"/>
  <c r="M795" i="1"/>
  <c r="N795" i="1"/>
  <c r="O795" i="1"/>
  <c r="P795" i="1"/>
  <c r="Q795" i="1"/>
  <c r="D796" i="1"/>
  <c r="E796" i="1"/>
  <c r="M796" i="1"/>
  <c r="N796" i="1"/>
  <c r="O796" i="1"/>
  <c r="P796" i="1"/>
  <c r="Q796" i="1"/>
  <c r="D799" i="1"/>
  <c r="E799" i="1"/>
  <c r="M799" i="1"/>
  <c r="N799" i="1"/>
  <c r="O799" i="1"/>
  <c r="P799" i="1"/>
  <c r="Q799" i="1"/>
  <c r="D755" i="1"/>
  <c r="E755" i="1"/>
  <c r="M755" i="1"/>
  <c r="N755" i="1"/>
  <c r="O755" i="1"/>
  <c r="P755" i="1"/>
  <c r="Q755" i="1"/>
  <c r="D797" i="1"/>
  <c r="E797" i="1"/>
  <c r="M797" i="1"/>
  <c r="N797" i="1"/>
  <c r="O797" i="1"/>
  <c r="P797" i="1"/>
  <c r="Q797" i="1"/>
  <c r="D798" i="1"/>
  <c r="E798" i="1"/>
  <c r="M798" i="1"/>
  <c r="N798" i="1"/>
  <c r="O798" i="1"/>
  <c r="P798" i="1"/>
  <c r="Q798" i="1"/>
  <c r="D753" i="1"/>
  <c r="E753" i="1"/>
  <c r="M753" i="1"/>
  <c r="N753" i="1"/>
  <c r="O753" i="1"/>
  <c r="P753" i="1"/>
  <c r="Q753" i="1"/>
  <c r="D800" i="1"/>
  <c r="E800" i="1"/>
  <c r="M800" i="1"/>
  <c r="N800" i="1"/>
  <c r="O800" i="1"/>
  <c r="P800" i="1"/>
  <c r="Q800" i="1"/>
  <c r="D801" i="1"/>
  <c r="E801" i="1"/>
  <c r="M801" i="1"/>
  <c r="N801" i="1"/>
  <c r="O801" i="1"/>
  <c r="P801" i="1"/>
  <c r="Q801" i="1"/>
  <c r="D802" i="1"/>
  <c r="E802" i="1"/>
  <c r="M802" i="1"/>
  <c r="N802" i="1"/>
  <c r="O802" i="1"/>
  <c r="P802" i="1"/>
  <c r="Q802" i="1"/>
  <c r="D803" i="1"/>
  <c r="E803" i="1"/>
  <c r="M803" i="1"/>
  <c r="N803" i="1"/>
  <c r="O803" i="1"/>
  <c r="P803" i="1"/>
  <c r="Q803" i="1"/>
  <c r="D804" i="1"/>
  <c r="E804" i="1"/>
  <c r="M804" i="1"/>
  <c r="N804" i="1"/>
  <c r="O804" i="1"/>
  <c r="P804" i="1"/>
  <c r="Q804" i="1"/>
  <c r="D805" i="1"/>
  <c r="E805" i="1"/>
  <c r="M805" i="1"/>
  <c r="N805" i="1"/>
  <c r="O805" i="1"/>
  <c r="P805" i="1"/>
  <c r="Q805" i="1"/>
  <c r="D806" i="1"/>
  <c r="E806" i="1"/>
  <c r="M806" i="1"/>
  <c r="N806" i="1"/>
  <c r="O806" i="1"/>
  <c r="P806" i="1"/>
  <c r="Q806" i="1"/>
  <c r="D757" i="1"/>
  <c r="E757" i="1"/>
  <c r="M757" i="1"/>
  <c r="N757" i="1"/>
  <c r="O757" i="1"/>
  <c r="P757" i="1"/>
  <c r="Q757" i="1"/>
  <c r="D807" i="1"/>
  <c r="E807" i="1"/>
  <c r="M807" i="1"/>
  <c r="N807" i="1"/>
  <c r="O807" i="1"/>
  <c r="P807" i="1"/>
  <c r="Q807" i="1"/>
  <c r="D808" i="1"/>
  <c r="E808" i="1"/>
  <c r="M808" i="1"/>
  <c r="N808" i="1"/>
  <c r="O808" i="1"/>
  <c r="P808" i="1"/>
  <c r="Q808" i="1"/>
  <c r="D809" i="1"/>
  <c r="E809" i="1"/>
  <c r="M809" i="1"/>
  <c r="N809" i="1"/>
  <c r="O809" i="1"/>
  <c r="P809" i="1"/>
  <c r="Q809" i="1"/>
  <c r="D810" i="1"/>
  <c r="E810" i="1"/>
  <c r="M810" i="1"/>
  <c r="N810" i="1"/>
  <c r="O810" i="1"/>
  <c r="P810" i="1"/>
  <c r="Q810" i="1"/>
  <c r="D811" i="1"/>
  <c r="E811" i="1"/>
  <c r="M811" i="1"/>
  <c r="N811" i="1"/>
  <c r="O811" i="1"/>
  <c r="P811" i="1"/>
  <c r="Q811" i="1"/>
  <c r="D812" i="1"/>
  <c r="E812" i="1"/>
  <c r="M812" i="1"/>
  <c r="N812" i="1"/>
  <c r="O812" i="1"/>
  <c r="P812" i="1"/>
  <c r="Q812" i="1"/>
  <c r="D813" i="1"/>
  <c r="E813" i="1"/>
  <c r="M813" i="1"/>
  <c r="N813" i="1"/>
  <c r="O813" i="1"/>
  <c r="P813" i="1"/>
  <c r="Q813" i="1"/>
  <c r="D814" i="1"/>
  <c r="E814" i="1"/>
  <c r="M814" i="1"/>
  <c r="N814" i="1"/>
  <c r="O814" i="1"/>
  <c r="P814" i="1"/>
  <c r="Q814" i="1"/>
  <c r="D815" i="1"/>
  <c r="E815" i="1"/>
  <c r="M815" i="1"/>
  <c r="N815" i="1"/>
  <c r="O815" i="1"/>
  <c r="P815" i="1"/>
  <c r="Q815" i="1"/>
  <c r="D816" i="1"/>
  <c r="E816" i="1"/>
  <c r="M816" i="1"/>
  <c r="N816" i="1"/>
  <c r="O816" i="1"/>
  <c r="P816" i="1"/>
  <c r="Q816" i="1"/>
  <c r="D817" i="1"/>
  <c r="E817" i="1"/>
  <c r="M817" i="1"/>
  <c r="N817" i="1"/>
  <c r="O817" i="1"/>
  <c r="P817" i="1"/>
  <c r="Q817" i="1"/>
  <c r="D818" i="1"/>
  <c r="E818" i="1"/>
  <c r="M818" i="1"/>
  <c r="N818" i="1"/>
  <c r="O818" i="1"/>
  <c r="P818" i="1"/>
  <c r="Q818" i="1"/>
  <c r="D819" i="1"/>
  <c r="E819" i="1"/>
  <c r="M819" i="1"/>
  <c r="N819" i="1"/>
  <c r="O819" i="1"/>
  <c r="P819" i="1"/>
  <c r="Q819" i="1"/>
  <c r="D820" i="1"/>
  <c r="E820" i="1"/>
  <c r="M820" i="1"/>
  <c r="N820" i="1"/>
  <c r="O820" i="1"/>
  <c r="P820" i="1"/>
  <c r="Q820" i="1"/>
  <c r="D821" i="1"/>
  <c r="E821" i="1"/>
  <c r="M821" i="1"/>
  <c r="N821" i="1"/>
  <c r="O821" i="1"/>
  <c r="P821" i="1"/>
  <c r="Q821" i="1"/>
  <c r="D822" i="1"/>
  <c r="E822" i="1"/>
  <c r="M822" i="1"/>
  <c r="N822" i="1"/>
  <c r="O822" i="1"/>
  <c r="P822" i="1"/>
  <c r="Q822" i="1"/>
  <c r="D823" i="1"/>
  <c r="E823" i="1"/>
  <c r="M823" i="1"/>
  <c r="N823" i="1"/>
  <c r="O823" i="1"/>
  <c r="P823" i="1"/>
  <c r="Q823" i="1"/>
  <c r="D824" i="1"/>
  <c r="E824" i="1"/>
  <c r="M824" i="1"/>
  <c r="N824" i="1"/>
  <c r="O824" i="1"/>
  <c r="P824" i="1"/>
  <c r="Q824" i="1"/>
  <c r="D825" i="1"/>
  <c r="E825" i="1"/>
  <c r="M825" i="1"/>
  <c r="N825" i="1"/>
  <c r="O825" i="1"/>
  <c r="P825" i="1"/>
  <c r="Q825" i="1"/>
  <c r="D826" i="1"/>
  <c r="E826" i="1"/>
  <c r="M826" i="1"/>
  <c r="N826" i="1"/>
  <c r="O826" i="1"/>
  <c r="P826" i="1"/>
  <c r="Q826" i="1"/>
  <c r="D827" i="1"/>
  <c r="E827" i="1"/>
  <c r="M827" i="1"/>
  <c r="N827" i="1"/>
  <c r="O827" i="1"/>
  <c r="P827" i="1"/>
  <c r="Q827" i="1"/>
  <c r="D828" i="1"/>
  <c r="E828" i="1"/>
  <c r="M828" i="1"/>
  <c r="N828" i="1"/>
  <c r="O828" i="1"/>
  <c r="P828" i="1"/>
  <c r="Q828" i="1"/>
  <c r="D829" i="1"/>
  <c r="E829" i="1"/>
  <c r="M829" i="1"/>
  <c r="N829" i="1"/>
  <c r="O829" i="1"/>
  <c r="P829" i="1"/>
  <c r="Q829" i="1"/>
  <c r="D830" i="1"/>
  <c r="E830" i="1"/>
  <c r="M830" i="1"/>
  <c r="N830" i="1"/>
  <c r="O830" i="1"/>
  <c r="P830" i="1"/>
  <c r="Q830" i="1"/>
  <c r="D831" i="1"/>
  <c r="E831" i="1"/>
  <c r="M831" i="1"/>
  <c r="N831" i="1"/>
  <c r="O831" i="1"/>
  <c r="P831" i="1"/>
  <c r="Q831" i="1"/>
  <c r="D832" i="1"/>
  <c r="E832" i="1"/>
  <c r="M832" i="1"/>
  <c r="N832" i="1"/>
  <c r="O832" i="1"/>
  <c r="P832" i="1"/>
  <c r="Q832" i="1"/>
  <c r="D833" i="1"/>
  <c r="E833" i="1"/>
  <c r="M833" i="1"/>
  <c r="N833" i="1"/>
  <c r="O833" i="1"/>
  <c r="P833" i="1"/>
  <c r="Q833" i="1"/>
  <c r="D834" i="1"/>
  <c r="E834" i="1"/>
  <c r="M834" i="1"/>
  <c r="N834" i="1"/>
  <c r="O834" i="1"/>
  <c r="P834" i="1"/>
  <c r="Q834" i="1"/>
  <c r="D762" i="1"/>
  <c r="E762" i="1"/>
  <c r="M762" i="1"/>
  <c r="N762" i="1"/>
  <c r="O762" i="1"/>
  <c r="P762" i="1"/>
  <c r="Q762" i="1"/>
  <c r="D835" i="1"/>
  <c r="E835" i="1"/>
  <c r="M835" i="1"/>
  <c r="N835" i="1"/>
  <c r="O835" i="1"/>
  <c r="P835" i="1"/>
  <c r="Q835" i="1"/>
  <c r="D836" i="1"/>
  <c r="E836" i="1"/>
  <c r="M836" i="1"/>
  <c r="N836" i="1"/>
  <c r="O836" i="1"/>
  <c r="P836" i="1"/>
  <c r="Q836" i="1"/>
  <c r="D837" i="1"/>
  <c r="E837" i="1"/>
  <c r="M837" i="1"/>
  <c r="N837" i="1"/>
  <c r="O837" i="1"/>
  <c r="P837" i="1"/>
  <c r="Q837" i="1"/>
  <c r="D838" i="1"/>
  <c r="E838" i="1"/>
  <c r="M838" i="1"/>
  <c r="N838" i="1"/>
  <c r="O838" i="1"/>
  <c r="P838" i="1"/>
  <c r="Q838" i="1"/>
  <c r="D839" i="1"/>
  <c r="E839" i="1"/>
  <c r="M839" i="1"/>
  <c r="N839" i="1"/>
  <c r="O839" i="1"/>
  <c r="P839" i="1"/>
  <c r="Q839" i="1"/>
  <c r="D840" i="1"/>
  <c r="E840" i="1"/>
  <c r="M840" i="1"/>
  <c r="N840" i="1"/>
  <c r="O840" i="1"/>
  <c r="P840" i="1"/>
  <c r="Q840" i="1"/>
  <c r="D841" i="1"/>
  <c r="E841" i="1"/>
  <c r="M841" i="1"/>
  <c r="N841" i="1"/>
  <c r="O841" i="1"/>
  <c r="P841" i="1"/>
  <c r="Q841" i="1"/>
  <c r="D842" i="1"/>
  <c r="E842" i="1"/>
  <c r="M842" i="1"/>
  <c r="N842" i="1"/>
  <c r="O842" i="1"/>
  <c r="P842" i="1"/>
  <c r="Q842" i="1"/>
  <c r="D843" i="1"/>
  <c r="E843" i="1"/>
  <c r="M843" i="1"/>
  <c r="N843" i="1"/>
  <c r="O843" i="1"/>
  <c r="P843" i="1"/>
  <c r="Q843" i="1"/>
  <c r="D844" i="1"/>
  <c r="E844" i="1"/>
  <c r="M844" i="1"/>
  <c r="N844" i="1"/>
  <c r="O844" i="1"/>
  <c r="P844" i="1"/>
  <c r="Q844" i="1"/>
  <c r="D845" i="1"/>
  <c r="E845" i="1"/>
  <c r="M845" i="1"/>
  <c r="N845" i="1"/>
  <c r="O845" i="1"/>
  <c r="P845" i="1"/>
  <c r="Q845" i="1"/>
  <c r="D846" i="1"/>
  <c r="E846" i="1"/>
  <c r="M846" i="1"/>
  <c r="N846" i="1"/>
  <c r="O846" i="1"/>
  <c r="P846" i="1"/>
  <c r="Q846" i="1"/>
  <c r="D847" i="1"/>
  <c r="E847" i="1"/>
  <c r="M847" i="1"/>
  <c r="N847" i="1"/>
  <c r="O847" i="1"/>
  <c r="P847" i="1"/>
  <c r="Q847" i="1"/>
  <c r="D848" i="1"/>
  <c r="E848" i="1"/>
  <c r="M848" i="1"/>
  <c r="N848" i="1"/>
  <c r="O848" i="1"/>
  <c r="P848" i="1"/>
  <c r="Q848" i="1"/>
  <c r="D849" i="1"/>
  <c r="E849" i="1"/>
  <c r="M849" i="1"/>
  <c r="N849" i="1"/>
  <c r="O849" i="1"/>
  <c r="P849" i="1"/>
  <c r="Q849" i="1"/>
  <c r="D850" i="1"/>
  <c r="E850" i="1"/>
  <c r="M850" i="1"/>
  <c r="N850" i="1"/>
  <c r="O850" i="1"/>
  <c r="P850" i="1"/>
  <c r="Q850" i="1"/>
  <c r="D851" i="1"/>
  <c r="E851" i="1"/>
  <c r="M851" i="1"/>
  <c r="N851" i="1"/>
  <c r="O851" i="1"/>
  <c r="P851" i="1"/>
  <c r="Q851" i="1"/>
  <c r="D852" i="1"/>
  <c r="E852" i="1"/>
  <c r="M852" i="1"/>
  <c r="N852" i="1"/>
  <c r="O852" i="1"/>
  <c r="P852" i="1"/>
  <c r="Q852" i="1"/>
  <c r="D748" i="1"/>
  <c r="E748" i="1"/>
  <c r="M748" i="1"/>
  <c r="N748" i="1"/>
  <c r="O748" i="1"/>
  <c r="P748" i="1"/>
  <c r="Q748" i="1"/>
  <c r="D853" i="1"/>
  <c r="E853" i="1"/>
  <c r="M853" i="1"/>
  <c r="N853" i="1"/>
  <c r="O853" i="1"/>
  <c r="P853" i="1"/>
  <c r="Q853" i="1"/>
  <c r="D854" i="1"/>
  <c r="E854" i="1"/>
  <c r="M854" i="1"/>
  <c r="N854" i="1"/>
  <c r="O854" i="1"/>
  <c r="P854" i="1"/>
  <c r="Q854" i="1"/>
  <c r="D855" i="1"/>
  <c r="E855" i="1"/>
  <c r="M855" i="1"/>
  <c r="N855" i="1"/>
  <c r="O855" i="1"/>
  <c r="P855" i="1"/>
  <c r="Q855" i="1"/>
  <c r="D856" i="1"/>
  <c r="E856" i="1"/>
  <c r="M856" i="1"/>
  <c r="N856" i="1"/>
  <c r="O856" i="1"/>
  <c r="P856" i="1"/>
  <c r="Q856" i="1"/>
  <c r="D857" i="1"/>
  <c r="E857" i="1"/>
  <c r="M857" i="1"/>
  <c r="N857" i="1"/>
  <c r="O857" i="1"/>
  <c r="P857" i="1"/>
  <c r="Q857" i="1"/>
  <c r="D858" i="1"/>
  <c r="E858" i="1"/>
  <c r="M858" i="1"/>
  <c r="N858" i="1"/>
  <c r="O858" i="1"/>
  <c r="P858" i="1"/>
  <c r="Q858" i="1"/>
  <c r="D859" i="1"/>
  <c r="E859" i="1"/>
  <c r="M859" i="1"/>
  <c r="N859" i="1"/>
  <c r="O859" i="1"/>
  <c r="P859" i="1"/>
  <c r="Q859" i="1"/>
  <c r="D860" i="1"/>
  <c r="E860" i="1"/>
  <c r="M860" i="1"/>
  <c r="N860" i="1"/>
  <c r="O860" i="1"/>
  <c r="P860" i="1"/>
  <c r="Q860" i="1"/>
  <c r="D861" i="1"/>
  <c r="E861" i="1"/>
  <c r="M861" i="1"/>
  <c r="N861" i="1"/>
  <c r="O861" i="1"/>
  <c r="P861" i="1"/>
  <c r="Q861" i="1"/>
  <c r="D862" i="1"/>
  <c r="E862" i="1"/>
  <c r="M862" i="1"/>
  <c r="N862" i="1"/>
  <c r="O862" i="1"/>
  <c r="P862" i="1"/>
  <c r="Q862" i="1"/>
  <c r="D863" i="1"/>
  <c r="E863" i="1"/>
  <c r="M863" i="1"/>
  <c r="N863" i="1"/>
  <c r="O863" i="1"/>
  <c r="P863" i="1"/>
  <c r="Q863" i="1"/>
  <c r="D864" i="1"/>
  <c r="E864" i="1"/>
  <c r="M864" i="1"/>
  <c r="N864" i="1"/>
  <c r="O864" i="1"/>
  <c r="P864" i="1"/>
  <c r="Q864" i="1"/>
  <c r="D865" i="1"/>
  <c r="E865" i="1"/>
  <c r="M865" i="1"/>
  <c r="N865" i="1"/>
  <c r="O865" i="1"/>
  <c r="P865" i="1"/>
  <c r="Q865" i="1"/>
  <c r="D866" i="1"/>
  <c r="E866" i="1"/>
  <c r="M866" i="1"/>
  <c r="N866" i="1"/>
  <c r="O866" i="1"/>
  <c r="P866" i="1"/>
  <c r="Q866" i="1"/>
  <c r="D867" i="1"/>
  <c r="E867" i="1"/>
  <c r="M867" i="1"/>
  <c r="N867" i="1"/>
  <c r="O867" i="1"/>
  <c r="P867" i="1"/>
  <c r="Q867" i="1"/>
  <c r="D868" i="1"/>
  <c r="E868" i="1"/>
  <c r="M868" i="1"/>
  <c r="N868" i="1"/>
  <c r="O868" i="1"/>
  <c r="P868" i="1"/>
  <c r="Q868" i="1"/>
  <c r="D869" i="1"/>
  <c r="E869" i="1"/>
  <c r="M869" i="1"/>
  <c r="N869" i="1"/>
  <c r="O869" i="1"/>
  <c r="P869" i="1"/>
  <c r="Q869" i="1"/>
  <c r="D870" i="1"/>
  <c r="E870" i="1"/>
  <c r="M870" i="1"/>
  <c r="N870" i="1"/>
  <c r="O870" i="1"/>
  <c r="P870" i="1"/>
  <c r="Q870" i="1"/>
  <c r="D871" i="1"/>
  <c r="E871" i="1"/>
  <c r="M871" i="1"/>
  <c r="N871" i="1"/>
  <c r="O871" i="1"/>
  <c r="P871" i="1"/>
  <c r="Q871" i="1"/>
  <c r="D872" i="1"/>
  <c r="E872" i="1"/>
  <c r="M872" i="1"/>
  <c r="N872" i="1"/>
  <c r="O872" i="1"/>
  <c r="P872" i="1"/>
  <c r="Q872" i="1"/>
  <c r="D873" i="1"/>
  <c r="E873" i="1"/>
  <c r="M873" i="1"/>
  <c r="N873" i="1"/>
  <c r="O873" i="1"/>
  <c r="P873" i="1"/>
  <c r="Q873" i="1"/>
  <c r="D874" i="1"/>
  <c r="E874" i="1"/>
  <c r="M874" i="1"/>
  <c r="N874" i="1"/>
  <c r="O874" i="1"/>
  <c r="P874" i="1"/>
  <c r="Q874" i="1"/>
  <c r="D875" i="1"/>
  <c r="E875" i="1"/>
  <c r="M875" i="1"/>
  <c r="N875" i="1"/>
  <c r="O875" i="1"/>
  <c r="P875" i="1"/>
  <c r="Q875" i="1"/>
  <c r="D876" i="1"/>
  <c r="E876" i="1"/>
  <c r="M876" i="1"/>
  <c r="N876" i="1"/>
  <c r="O876" i="1"/>
  <c r="P876" i="1"/>
  <c r="Q876" i="1"/>
  <c r="D877" i="1"/>
  <c r="E877" i="1"/>
  <c r="M877" i="1"/>
  <c r="N877" i="1"/>
  <c r="O877" i="1"/>
  <c r="P877" i="1"/>
  <c r="Q877" i="1"/>
  <c r="D765" i="1"/>
  <c r="E765" i="1"/>
  <c r="M765" i="1"/>
  <c r="N765" i="1"/>
  <c r="O765" i="1"/>
  <c r="P765" i="1"/>
  <c r="Q765" i="1"/>
  <c r="D878" i="1"/>
  <c r="E878" i="1"/>
  <c r="M878" i="1"/>
  <c r="N878" i="1"/>
  <c r="O878" i="1"/>
  <c r="P878" i="1"/>
  <c r="Q878" i="1"/>
  <c r="D879" i="1"/>
  <c r="E879" i="1"/>
  <c r="M879" i="1"/>
  <c r="N879" i="1"/>
  <c r="O879" i="1"/>
  <c r="P879" i="1"/>
  <c r="Q879" i="1"/>
  <c r="D880" i="1"/>
  <c r="E880" i="1"/>
  <c r="M880" i="1"/>
  <c r="N880" i="1"/>
  <c r="O880" i="1"/>
  <c r="P880" i="1"/>
  <c r="Q880" i="1"/>
  <c r="D881" i="1"/>
  <c r="E881" i="1"/>
  <c r="M881" i="1"/>
  <c r="N881" i="1"/>
  <c r="O881" i="1"/>
  <c r="P881" i="1"/>
  <c r="Q881" i="1"/>
  <c r="D882" i="1"/>
  <c r="E882" i="1"/>
  <c r="M882" i="1"/>
  <c r="N882" i="1"/>
  <c r="O882" i="1"/>
  <c r="P882" i="1"/>
  <c r="Q882" i="1"/>
  <c r="D883" i="1"/>
  <c r="E883" i="1"/>
  <c r="M883" i="1"/>
  <c r="N883" i="1"/>
  <c r="O883" i="1"/>
  <c r="P883" i="1"/>
  <c r="Q883" i="1"/>
  <c r="D884" i="1"/>
  <c r="E884" i="1"/>
  <c r="M884" i="1"/>
  <c r="N884" i="1"/>
  <c r="O884" i="1"/>
  <c r="P884" i="1"/>
  <c r="Q884" i="1"/>
  <c r="D885" i="1"/>
  <c r="E885" i="1"/>
  <c r="M885" i="1"/>
  <c r="N885" i="1"/>
  <c r="O885" i="1"/>
  <c r="P885" i="1"/>
  <c r="Q885" i="1"/>
  <c r="D886" i="1"/>
  <c r="E886" i="1"/>
  <c r="M886" i="1"/>
  <c r="N886" i="1"/>
  <c r="O886" i="1"/>
  <c r="P886" i="1"/>
  <c r="Q886" i="1"/>
  <c r="D887" i="1"/>
  <c r="E887" i="1"/>
  <c r="M887" i="1"/>
  <c r="N887" i="1"/>
  <c r="O887" i="1"/>
  <c r="P887" i="1"/>
  <c r="Q887" i="1"/>
  <c r="D888" i="1"/>
  <c r="E888" i="1"/>
  <c r="M888" i="1"/>
  <c r="N888" i="1"/>
  <c r="O888" i="1"/>
  <c r="P888" i="1"/>
  <c r="Q888" i="1"/>
  <c r="D889" i="1"/>
  <c r="E889" i="1"/>
  <c r="M889" i="1"/>
  <c r="N889" i="1"/>
  <c r="O889" i="1"/>
  <c r="P889" i="1"/>
  <c r="Q889" i="1"/>
  <c r="D890" i="1"/>
  <c r="E890" i="1"/>
  <c r="M890" i="1"/>
  <c r="N890" i="1"/>
  <c r="O890" i="1"/>
  <c r="P890" i="1"/>
  <c r="Q890" i="1"/>
  <c r="D891" i="1"/>
  <c r="E891" i="1"/>
  <c r="M891" i="1"/>
  <c r="N891" i="1"/>
  <c r="O891" i="1"/>
  <c r="P891" i="1"/>
  <c r="Q891" i="1"/>
  <c r="D892" i="1"/>
  <c r="E892" i="1"/>
  <c r="M892" i="1"/>
  <c r="N892" i="1"/>
  <c r="O892" i="1"/>
  <c r="P892" i="1"/>
  <c r="Q892" i="1"/>
  <c r="D893" i="1"/>
  <c r="E893" i="1"/>
  <c r="M893" i="1"/>
  <c r="N893" i="1"/>
  <c r="O893" i="1"/>
  <c r="P893" i="1"/>
  <c r="Q893" i="1"/>
  <c r="D894" i="1"/>
  <c r="E894" i="1"/>
  <c r="M894" i="1"/>
  <c r="N894" i="1"/>
  <c r="O894" i="1"/>
  <c r="P894" i="1"/>
  <c r="Q894" i="1"/>
  <c r="D895" i="1"/>
  <c r="E895" i="1"/>
  <c r="M895" i="1"/>
  <c r="N895" i="1"/>
  <c r="O895" i="1"/>
  <c r="P895" i="1"/>
  <c r="Q895" i="1"/>
  <c r="D896" i="1"/>
  <c r="E896" i="1"/>
  <c r="M896" i="1"/>
  <c r="N896" i="1"/>
  <c r="O896" i="1"/>
  <c r="P896" i="1"/>
  <c r="Q896" i="1"/>
  <c r="D897" i="1"/>
  <c r="E897" i="1"/>
  <c r="M897" i="1"/>
  <c r="N897" i="1"/>
  <c r="O897" i="1"/>
  <c r="P897" i="1"/>
  <c r="Q897" i="1"/>
  <c r="D898" i="1"/>
  <c r="E898" i="1"/>
  <c r="M898" i="1"/>
  <c r="N898" i="1"/>
  <c r="O898" i="1"/>
  <c r="P898" i="1"/>
  <c r="Q898" i="1"/>
  <c r="D899" i="1"/>
  <c r="E899" i="1"/>
  <c r="M899" i="1"/>
  <c r="N899" i="1"/>
  <c r="O899" i="1"/>
  <c r="P899" i="1"/>
  <c r="Q899" i="1"/>
  <c r="A792" i="1"/>
  <c r="B792" i="1"/>
  <c r="C792" i="1"/>
  <c r="A793" i="1"/>
  <c r="B793" i="1"/>
  <c r="C793" i="1"/>
  <c r="A794" i="1"/>
  <c r="B794" i="1"/>
  <c r="C794" i="1"/>
  <c r="A795" i="1"/>
  <c r="B795" i="1"/>
  <c r="C795" i="1"/>
  <c r="A796" i="1"/>
  <c r="B796" i="1"/>
  <c r="C796" i="1"/>
  <c r="A799" i="1"/>
  <c r="B799" i="1"/>
  <c r="C799" i="1"/>
  <c r="A755" i="1"/>
  <c r="B755" i="1"/>
  <c r="C755" i="1"/>
  <c r="A797" i="1"/>
  <c r="B797" i="1"/>
  <c r="C797" i="1"/>
  <c r="A798" i="1"/>
  <c r="B798" i="1"/>
  <c r="C798" i="1"/>
  <c r="A753" i="1"/>
  <c r="B753" i="1"/>
  <c r="C753" i="1"/>
  <c r="A800" i="1"/>
  <c r="B800" i="1"/>
  <c r="C800" i="1"/>
  <c r="A801" i="1"/>
  <c r="B801" i="1"/>
  <c r="C801" i="1"/>
  <c r="A802" i="1"/>
  <c r="B802" i="1"/>
  <c r="C802" i="1"/>
  <c r="A803" i="1"/>
  <c r="B803" i="1"/>
  <c r="C803" i="1"/>
  <c r="A804" i="1"/>
  <c r="B804" i="1"/>
  <c r="C804" i="1"/>
  <c r="A805" i="1"/>
  <c r="B805" i="1"/>
  <c r="C805" i="1"/>
  <c r="A806" i="1"/>
  <c r="B806" i="1"/>
  <c r="C806" i="1"/>
  <c r="A757" i="1"/>
  <c r="B757" i="1"/>
  <c r="C757" i="1"/>
  <c r="A807" i="1"/>
  <c r="B807" i="1"/>
  <c r="C807" i="1"/>
  <c r="A808" i="1"/>
  <c r="B808" i="1"/>
  <c r="C808" i="1"/>
  <c r="A809" i="1"/>
  <c r="B809" i="1"/>
  <c r="C809" i="1"/>
  <c r="A810" i="1"/>
  <c r="B810" i="1"/>
  <c r="C810" i="1"/>
  <c r="A811" i="1"/>
  <c r="B811" i="1"/>
  <c r="C811" i="1"/>
  <c r="A812" i="1"/>
  <c r="B812" i="1"/>
  <c r="C812" i="1"/>
  <c r="A813" i="1"/>
  <c r="B813" i="1"/>
  <c r="C813" i="1"/>
  <c r="A814" i="1"/>
  <c r="B814" i="1"/>
  <c r="C814" i="1"/>
  <c r="A815" i="1"/>
  <c r="B815" i="1"/>
  <c r="C815" i="1"/>
  <c r="A816" i="1"/>
  <c r="B816" i="1"/>
  <c r="C816" i="1"/>
  <c r="A817" i="1"/>
  <c r="B817" i="1"/>
  <c r="C817" i="1"/>
  <c r="A818" i="1"/>
  <c r="B818" i="1"/>
  <c r="C818" i="1"/>
  <c r="A819" i="1"/>
  <c r="B819" i="1"/>
  <c r="C819" i="1"/>
  <c r="A820" i="1"/>
  <c r="B820" i="1"/>
  <c r="C820" i="1"/>
  <c r="A821" i="1"/>
  <c r="B821" i="1"/>
  <c r="C821" i="1"/>
  <c r="A822" i="1"/>
  <c r="B822" i="1"/>
  <c r="C822" i="1"/>
  <c r="A823" i="1"/>
  <c r="B823" i="1"/>
  <c r="C823" i="1"/>
  <c r="A824" i="1"/>
  <c r="B824" i="1"/>
  <c r="C824" i="1"/>
  <c r="A825" i="1"/>
  <c r="B825" i="1"/>
  <c r="C825" i="1"/>
  <c r="A826" i="1"/>
  <c r="B826" i="1"/>
  <c r="C826" i="1"/>
  <c r="A827" i="1"/>
  <c r="B827" i="1"/>
  <c r="C827" i="1"/>
  <c r="A828" i="1"/>
  <c r="B828" i="1"/>
  <c r="C828" i="1"/>
  <c r="A829" i="1"/>
  <c r="B829" i="1"/>
  <c r="C829" i="1"/>
  <c r="A830" i="1"/>
  <c r="B830" i="1"/>
  <c r="C830" i="1"/>
  <c r="A831" i="1"/>
  <c r="B831" i="1"/>
  <c r="C831" i="1"/>
  <c r="A832" i="1"/>
  <c r="B832" i="1"/>
  <c r="C832" i="1"/>
  <c r="A833" i="1"/>
  <c r="B833" i="1"/>
  <c r="C833" i="1"/>
  <c r="A834" i="1"/>
  <c r="B834" i="1"/>
  <c r="C834" i="1"/>
  <c r="A762" i="1"/>
  <c r="B762" i="1"/>
  <c r="C762" i="1"/>
  <c r="A835" i="1"/>
  <c r="B835" i="1"/>
  <c r="C835" i="1"/>
  <c r="A836" i="1"/>
  <c r="B836" i="1"/>
  <c r="C836" i="1"/>
  <c r="A837" i="1"/>
  <c r="B837" i="1"/>
  <c r="C837" i="1"/>
  <c r="A838" i="1"/>
  <c r="B838" i="1"/>
  <c r="C838" i="1"/>
  <c r="A839" i="1"/>
  <c r="B839" i="1"/>
  <c r="C839" i="1"/>
  <c r="A840" i="1"/>
  <c r="B840" i="1"/>
  <c r="C840" i="1"/>
  <c r="A841" i="1"/>
  <c r="B841" i="1"/>
  <c r="C841" i="1"/>
  <c r="A842" i="1"/>
  <c r="B842" i="1"/>
  <c r="C842" i="1"/>
  <c r="A843" i="1"/>
  <c r="B843" i="1"/>
  <c r="C843" i="1"/>
  <c r="A844" i="1"/>
  <c r="B844" i="1"/>
  <c r="C844" i="1"/>
  <c r="A845" i="1"/>
  <c r="B845" i="1"/>
  <c r="C845" i="1"/>
  <c r="A846" i="1"/>
  <c r="B846" i="1"/>
  <c r="C846" i="1"/>
  <c r="A847" i="1"/>
  <c r="B847" i="1"/>
  <c r="C847" i="1"/>
  <c r="A848" i="1"/>
  <c r="B848" i="1"/>
  <c r="C848" i="1"/>
  <c r="A849" i="1"/>
  <c r="B849" i="1"/>
  <c r="C849" i="1"/>
  <c r="A850" i="1"/>
  <c r="B850" i="1"/>
  <c r="C850" i="1"/>
  <c r="A851" i="1"/>
  <c r="B851" i="1"/>
  <c r="C851" i="1"/>
  <c r="A852" i="1"/>
  <c r="B852" i="1"/>
  <c r="C852" i="1"/>
  <c r="A748" i="1"/>
  <c r="B748" i="1"/>
  <c r="C748" i="1"/>
  <c r="A853" i="1"/>
  <c r="B853" i="1"/>
  <c r="C853" i="1"/>
  <c r="A854" i="1"/>
  <c r="B854" i="1"/>
  <c r="C854" i="1"/>
  <c r="A855" i="1"/>
  <c r="B855" i="1"/>
  <c r="C855" i="1"/>
  <c r="A856" i="1"/>
  <c r="B856" i="1"/>
  <c r="C856" i="1"/>
  <c r="A857" i="1"/>
  <c r="B857" i="1"/>
  <c r="C857" i="1"/>
  <c r="A858" i="1"/>
  <c r="B858" i="1"/>
  <c r="C858" i="1"/>
  <c r="A859" i="1"/>
  <c r="B859" i="1"/>
  <c r="C859" i="1"/>
  <c r="A860" i="1"/>
  <c r="B860" i="1"/>
  <c r="C860" i="1"/>
  <c r="A861" i="1"/>
  <c r="B861" i="1"/>
  <c r="C861" i="1"/>
  <c r="A862" i="1"/>
  <c r="B862" i="1"/>
  <c r="C862" i="1"/>
  <c r="A863" i="1"/>
  <c r="B863" i="1"/>
  <c r="C863" i="1"/>
  <c r="A864" i="1"/>
  <c r="B864" i="1"/>
  <c r="C864" i="1"/>
  <c r="A865" i="1"/>
  <c r="B865" i="1"/>
  <c r="C865" i="1"/>
  <c r="A866" i="1"/>
  <c r="B866" i="1"/>
  <c r="C866" i="1"/>
  <c r="A867" i="1"/>
  <c r="B867" i="1"/>
  <c r="C867" i="1"/>
  <c r="A868" i="1"/>
  <c r="B868" i="1"/>
  <c r="C868" i="1"/>
  <c r="A869" i="1"/>
  <c r="B869" i="1"/>
  <c r="C869" i="1"/>
  <c r="A870" i="1"/>
  <c r="B870" i="1"/>
  <c r="C870" i="1"/>
  <c r="A871" i="1"/>
  <c r="B871" i="1"/>
  <c r="C871" i="1"/>
  <c r="A872" i="1"/>
  <c r="B872" i="1"/>
  <c r="C872" i="1"/>
  <c r="A873" i="1"/>
  <c r="B873" i="1"/>
  <c r="C873" i="1"/>
  <c r="A874" i="1"/>
  <c r="B874" i="1"/>
  <c r="C874" i="1"/>
  <c r="A875" i="1"/>
  <c r="B875" i="1"/>
  <c r="C875" i="1"/>
  <c r="A876" i="1"/>
  <c r="B876" i="1"/>
  <c r="C876" i="1"/>
  <c r="A877" i="1"/>
  <c r="B877" i="1"/>
  <c r="C877" i="1"/>
  <c r="A765" i="1"/>
  <c r="B765" i="1"/>
  <c r="C765" i="1"/>
  <c r="A878" i="1"/>
  <c r="B878" i="1"/>
  <c r="C878" i="1"/>
  <c r="A879" i="1"/>
  <c r="B879" i="1"/>
  <c r="C879" i="1"/>
  <c r="A880" i="1"/>
  <c r="B880" i="1"/>
  <c r="C880" i="1"/>
  <c r="A881" i="1"/>
  <c r="B881" i="1"/>
  <c r="C881" i="1"/>
  <c r="A882" i="1"/>
  <c r="B882" i="1"/>
  <c r="C882" i="1"/>
  <c r="A883" i="1"/>
  <c r="B883" i="1"/>
  <c r="C883" i="1"/>
  <c r="A884" i="1"/>
  <c r="B884" i="1"/>
  <c r="C884" i="1"/>
  <c r="A885" i="1"/>
  <c r="B885" i="1"/>
  <c r="C885" i="1"/>
  <c r="A886" i="1"/>
  <c r="B886" i="1"/>
  <c r="C886" i="1"/>
  <c r="A887" i="1"/>
  <c r="B887" i="1"/>
  <c r="C887" i="1"/>
  <c r="A888" i="1"/>
  <c r="B888" i="1"/>
  <c r="C888" i="1"/>
  <c r="A889" i="1"/>
  <c r="B889" i="1"/>
  <c r="C889" i="1"/>
  <c r="A890" i="1"/>
  <c r="B890" i="1"/>
  <c r="C890" i="1"/>
  <c r="A891" i="1"/>
  <c r="B891" i="1"/>
  <c r="C891" i="1"/>
  <c r="A892" i="1"/>
  <c r="B892" i="1"/>
  <c r="C892" i="1"/>
  <c r="A893" i="1"/>
  <c r="B893" i="1"/>
  <c r="C893" i="1"/>
  <c r="A894" i="1"/>
  <c r="B894" i="1"/>
  <c r="C894" i="1"/>
  <c r="A895" i="1"/>
  <c r="B895" i="1"/>
  <c r="C895" i="1"/>
  <c r="A896" i="1"/>
  <c r="B896" i="1"/>
  <c r="C896" i="1"/>
  <c r="A897" i="1"/>
  <c r="B897" i="1"/>
  <c r="C897" i="1"/>
  <c r="A898" i="1"/>
  <c r="B898" i="1"/>
  <c r="C898" i="1"/>
  <c r="A899" i="1"/>
  <c r="B899" i="1"/>
  <c r="C899" i="1"/>
  <c r="Q733" i="1"/>
  <c r="P733" i="1"/>
  <c r="M733" i="1"/>
  <c r="O733" i="1"/>
  <c r="N733" i="1"/>
  <c r="E733" i="1"/>
  <c r="D733" i="1"/>
  <c r="L899" i="1"/>
  <c r="J899" i="1"/>
  <c r="R899" i="1"/>
  <c r="H899" i="1"/>
  <c r="G899" i="1"/>
  <c r="F899" i="1"/>
  <c r="L898" i="1"/>
  <c r="J898" i="1"/>
  <c r="I898" i="1"/>
  <c r="H898" i="1"/>
  <c r="G898" i="1"/>
  <c r="J897" i="1"/>
  <c r="R897" i="1"/>
  <c r="H897" i="1"/>
  <c r="G897" i="1"/>
  <c r="F897" i="1"/>
  <c r="L896" i="1"/>
  <c r="J896" i="1"/>
  <c r="I896" i="1"/>
  <c r="H896" i="1"/>
  <c r="G896" i="1"/>
  <c r="R896" i="1"/>
  <c r="L895" i="1"/>
  <c r="I895" i="1"/>
  <c r="H895" i="1"/>
  <c r="G895" i="1"/>
  <c r="J894" i="1"/>
  <c r="I894" i="1"/>
  <c r="H894" i="1"/>
  <c r="G894" i="1"/>
  <c r="F894" i="1"/>
  <c r="I893" i="1"/>
  <c r="H893" i="1"/>
  <c r="G893" i="1"/>
  <c r="L892" i="1"/>
  <c r="J892" i="1"/>
  <c r="H892" i="1"/>
  <c r="G892" i="1"/>
  <c r="R892" i="1"/>
  <c r="J891" i="1"/>
  <c r="I891" i="1"/>
  <c r="H891" i="1"/>
  <c r="G891" i="1"/>
  <c r="L890" i="1"/>
  <c r="J890" i="1"/>
  <c r="I890" i="1"/>
  <c r="H890" i="1"/>
  <c r="G890" i="1"/>
  <c r="I889" i="1"/>
  <c r="H889" i="1"/>
  <c r="G889" i="1"/>
  <c r="L888" i="1"/>
  <c r="J888" i="1"/>
  <c r="I888" i="1"/>
  <c r="H888" i="1"/>
  <c r="G888" i="1"/>
  <c r="I887" i="1"/>
  <c r="H887" i="1"/>
  <c r="G887" i="1"/>
  <c r="L886" i="1"/>
  <c r="J886" i="1"/>
  <c r="I886" i="1"/>
  <c r="H886" i="1"/>
  <c r="G886" i="1"/>
  <c r="J885" i="1"/>
  <c r="H885" i="1"/>
  <c r="G885" i="1"/>
  <c r="L884" i="1"/>
  <c r="J884" i="1"/>
  <c r="H884" i="1"/>
  <c r="G884" i="1"/>
  <c r="I883" i="1"/>
  <c r="H883" i="1"/>
  <c r="G883" i="1"/>
  <c r="L882" i="1"/>
  <c r="J882" i="1"/>
  <c r="I882" i="1"/>
  <c r="H882" i="1"/>
  <c r="G882" i="1"/>
  <c r="J881" i="1"/>
  <c r="I881" i="1"/>
  <c r="H881" i="1"/>
  <c r="G881" i="1"/>
  <c r="L880" i="1"/>
  <c r="J880" i="1"/>
  <c r="I880" i="1"/>
  <c r="H880" i="1"/>
  <c r="G880" i="1"/>
  <c r="J879" i="1"/>
  <c r="H879" i="1"/>
  <c r="G879" i="1"/>
  <c r="L878" i="1"/>
  <c r="J878" i="1"/>
  <c r="H878" i="1"/>
  <c r="G878" i="1"/>
  <c r="I765" i="1"/>
  <c r="H765" i="1"/>
  <c r="G765" i="1"/>
  <c r="L877" i="1"/>
  <c r="J877" i="1"/>
  <c r="R877" i="1"/>
  <c r="H877" i="1"/>
  <c r="G877" i="1"/>
  <c r="L876" i="1"/>
  <c r="I876" i="1"/>
  <c r="H876" i="1"/>
  <c r="G876" i="1"/>
  <c r="L875" i="1"/>
  <c r="J875" i="1"/>
  <c r="H875" i="1"/>
  <c r="G875" i="1"/>
  <c r="F875" i="1"/>
  <c r="H874" i="1"/>
  <c r="G874" i="1"/>
  <c r="L873" i="1"/>
  <c r="H873" i="1"/>
  <c r="G873" i="1"/>
  <c r="H872" i="1"/>
  <c r="G872" i="1"/>
  <c r="L871" i="1"/>
  <c r="J871" i="1"/>
  <c r="I871" i="1"/>
  <c r="H871" i="1"/>
  <c r="G871" i="1"/>
  <c r="H870" i="1"/>
  <c r="G870" i="1"/>
  <c r="F870" i="1"/>
  <c r="I869" i="1"/>
  <c r="H869" i="1"/>
  <c r="G869" i="1"/>
  <c r="J868" i="1"/>
  <c r="I868" i="1"/>
  <c r="H868" i="1"/>
  <c r="G868" i="1"/>
  <c r="I867" i="1"/>
  <c r="H867" i="1"/>
  <c r="G867" i="1"/>
  <c r="I866" i="1"/>
  <c r="H866" i="1"/>
  <c r="G866" i="1"/>
  <c r="L865" i="1"/>
  <c r="R865" i="1"/>
  <c r="H865" i="1"/>
  <c r="G865" i="1"/>
  <c r="I864" i="1"/>
  <c r="H864" i="1"/>
  <c r="G864" i="1"/>
  <c r="L863" i="1"/>
  <c r="J863" i="1"/>
  <c r="I863" i="1"/>
  <c r="H863" i="1"/>
  <c r="G863" i="1"/>
  <c r="I862" i="1"/>
  <c r="H862" i="1"/>
  <c r="G862" i="1"/>
  <c r="L861" i="1"/>
  <c r="I861" i="1"/>
  <c r="H861" i="1"/>
  <c r="G861" i="1"/>
  <c r="I860" i="1"/>
  <c r="H860" i="1"/>
  <c r="G860" i="1"/>
  <c r="L859" i="1"/>
  <c r="J859" i="1"/>
  <c r="H859" i="1"/>
  <c r="G859" i="1"/>
  <c r="H858" i="1"/>
  <c r="G858" i="1"/>
  <c r="L857" i="1"/>
  <c r="I857" i="1"/>
  <c r="H857" i="1"/>
  <c r="G857" i="1"/>
  <c r="I856" i="1"/>
  <c r="H856" i="1"/>
  <c r="G856" i="1"/>
  <c r="L855" i="1"/>
  <c r="J855" i="1"/>
  <c r="I855" i="1"/>
  <c r="H855" i="1"/>
  <c r="G855" i="1"/>
  <c r="L854" i="1"/>
  <c r="J854" i="1"/>
  <c r="H854" i="1"/>
  <c r="G854" i="1"/>
  <c r="L853" i="1"/>
  <c r="J853" i="1"/>
  <c r="I853" i="1"/>
  <c r="H853" i="1"/>
  <c r="G853" i="1"/>
  <c r="L748" i="1"/>
  <c r="J748" i="1"/>
  <c r="I748" i="1"/>
  <c r="H748" i="1"/>
  <c r="G748" i="1"/>
  <c r="L852" i="1"/>
  <c r="J852" i="1"/>
  <c r="H852" i="1"/>
  <c r="G852" i="1"/>
  <c r="L851" i="1"/>
  <c r="J851" i="1"/>
  <c r="H851" i="1"/>
  <c r="G851" i="1"/>
  <c r="F851" i="1"/>
  <c r="L850" i="1"/>
  <c r="J850" i="1"/>
  <c r="H850" i="1"/>
  <c r="G850" i="1"/>
  <c r="I849" i="1"/>
  <c r="H849" i="1"/>
  <c r="G849" i="1"/>
  <c r="L848" i="1"/>
  <c r="J848" i="1"/>
  <c r="I848" i="1"/>
  <c r="H848" i="1"/>
  <c r="G848" i="1"/>
  <c r="I847" i="1"/>
  <c r="H847" i="1"/>
  <c r="G847" i="1"/>
  <c r="L846" i="1"/>
  <c r="J846" i="1"/>
  <c r="I846" i="1"/>
  <c r="H846" i="1"/>
  <c r="G846" i="1"/>
  <c r="I845" i="1"/>
  <c r="H845" i="1"/>
  <c r="G845" i="1"/>
  <c r="L844" i="1"/>
  <c r="J844" i="1"/>
  <c r="I844" i="1"/>
  <c r="H844" i="1"/>
  <c r="G844" i="1"/>
  <c r="L843" i="1"/>
  <c r="J843" i="1"/>
  <c r="H843" i="1"/>
  <c r="G843" i="1"/>
  <c r="L842" i="1"/>
  <c r="J842" i="1"/>
  <c r="I842" i="1"/>
  <c r="H842" i="1"/>
  <c r="G842" i="1"/>
  <c r="I841" i="1"/>
  <c r="H841" i="1"/>
  <c r="G841" i="1"/>
  <c r="L840" i="1"/>
  <c r="J840" i="1"/>
  <c r="H840" i="1"/>
  <c r="G840" i="1"/>
  <c r="F840" i="1"/>
  <c r="L839" i="1"/>
  <c r="J839" i="1"/>
  <c r="H839" i="1"/>
  <c r="G839" i="1"/>
  <c r="L838" i="1"/>
  <c r="J838" i="1"/>
  <c r="I838" i="1"/>
  <c r="H838" i="1"/>
  <c r="G838" i="1"/>
  <c r="I837" i="1"/>
  <c r="H837" i="1"/>
  <c r="G837" i="1"/>
  <c r="L836" i="1"/>
  <c r="J836" i="1"/>
  <c r="I836" i="1"/>
  <c r="H836" i="1"/>
  <c r="G836" i="1"/>
  <c r="L835" i="1"/>
  <c r="J835" i="1"/>
  <c r="H835" i="1"/>
  <c r="G835" i="1"/>
  <c r="L762" i="1"/>
  <c r="J762" i="1"/>
  <c r="I762" i="1"/>
  <c r="H762" i="1"/>
  <c r="G762" i="1"/>
  <c r="I834" i="1"/>
  <c r="H834" i="1"/>
  <c r="G834" i="1"/>
  <c r="L833" i="1"/>
  <c r="J833" i="1"/>
  <c r="I833" i="1"/>
  <c r="H833" i="1"/>
  <c r="G833" i="1"/>
  <c r="R832" i="1"/>
  <c r="L832" i="1"/>
  <c r="J832" i="1"/>
  <c r="H832" i="1"/>
  <c r="G832" i="1"/>
  <c r="F832" i="1"/>
  <c r="L831" i="1"/>
  <c r="J831" i="1"/>
  <c r="H831" i="1"/>
  <c r="G831" i="1"/>
  <c r="F831" i="1"/>
  <c r="L830" i="1"/>
  <c r="I830" i="1"/>
  <c r="H830" i="1"/>
  <c r="G830" i="1"/>
  <c r="L829" i="1"/>
  <c r="J829" i="1"/>
  <c r="I829" i="1"/>
  <c r="H829" i="1"/>
  <c r="G829" i="1"/>
  <c r="L828" i="1"/>
  <c r="J828" i="1"/>
  <c r="I828" i="1"/>
  <c r="H828" i="1"/>
  <c r="G828" i="1"/>
  <c r="L827" i="1"/>
  <c r="J827" i="1"/>
  <c r="H827" i="1"/>
  <c r="G827" i="1"/>
  <c r="L826" i="1"/>
  <c r="J826" i="1"/>
  <c r="H826" i="1"/>
  <c r="G826" i="1"/>
  <c r="R825" i="1"/>
  <c r="L825" i="1"/>
  <c r="J825" i="1"/>
  <c r="I825" i="1"/>
  <c r="H825" i="1"/>
  <c r="G825" i="1"/>
  <c r="L824" i="1"/>
  <c r="J824" i="1"/>
  <c r="I824" i="1"/>
  <c r="H824" i="1"/>
  <c r="G824" i="1"/>
  <c r="L823" i="1"/>
  <c r="J823" i="1"/>
  <c r="I823" i="1"/>
  <c r="H823" i="1"/>
  <c r="G823" i="1"/>
  <c r="L822" i="1"/>
  <c r="J822" i="1"/>
  <c r="I822" i="1"/>
  <c r="H822" i="1"/>
  <c r="G822" i="1"/>
  <c r="L821" i="1"/>
  <c r="J821" i="1"/>
  <c r="I821" i="1"/>
  <c r="H821" i="1"/>
  <c r="G821" i="1"/>
  <c r="L820" i="1"/>
  <c r="J820" i="1"/>
  <c r="I820" i="1"/>
  <c r="H820" i="1"/>
  <c r="G820" i="1"/>
  <c r="L819" i="1"/>
  <c r="J819" i="1"/>
  <c r="I819" i="1"/>
  <c r="H819" i="1"/>
  <c r="G819" i="1"/>
  <c r="L818" i="1"/>
  <c r="J818" i="1"/>
  <c r="I818" i="1"/>
  <c r="H818" i="1"/>
  <c r="G818" i="1"/>
  <c r="L817" i="1"/>
  <c r="J817" i="1"/>
  <c r="I817" i="1"/>
  <c r="H817" i="1"/>
  <c r="G817" i="1"/>
  <c r="L816" i="1"/>
  <c r="J816" i="1"/>
  <c r="I816" i="1"/>
  <c r="H816" i="1"/>
  <c r="G816" i="1"/>
  <c r="L815" i="1"/>
  <c r="J815" i="1"/>
  <c r="I815" i="1"/>
  <c r="H815" i="1"/>
  <c r="G815" i="1"/>
  <c r="L814" i="1"/>
  <c r="J814" i="1"/>
  <c r="I814" i="1"/>
  <c r="H814" i="1"/>
  <c r="G814" i="1"/>
  <c r="L813" i="1"/>
  <c r="J813" i="1"/>
  <c r="I813" i="1"/>
  <c r="H813" i="1"/>
  <c r="G813" i="1"/>
  <c r="L812" i="1"/>
  <c r="J812" i="1"/>
  <c r="H812" i="1"/>
  <c r="G812" i="1"/>
  <c r="L811" i="1"/>
  <c r="J811" i="1"/>
  <c r="I811" i="1"/>
  <c r="H811" i="1"/>
  <c r="G811" i="1"/>
  <c r="L810" i="1"/>
  <c r="J810" i="1"/>
  <c r="H810" i="1"/>
  <c r="G810" i="1"/>
  <c r="L809" i="1"/>
  <c r="J809" i="1"/>
  <c r="I809" i="1"/>
  <c r="H809" i="1"/>
  <c r="G809" i="1"/>
  <c r="L808" i="1"/>
  <c r="J808" i="1"/>
  <c r="I808" i="1"/>
  <c r="H808" i="1"/>
  <c r="G808" i="1"/>
  <c r="L807" i="1"/>
  <c r="J807" i="1"/>
  <c r="I807" i="1"/>
  <c r="H807" i="1"/>
  <c r="G807" i="1"/>
  <c r="L757" i="1"/>
  <c r="J757" i="1"/>
  <c r="I757" i="1"/>
  <c r="H757" i="1"/>
  <c r="G757" i="1"/>
  <c r="L806" i="1"/>
  <c r="J806" i="1"/>
  <c r="I806" i="1"/>
  <c r="H806" i="1"/>
  <c r="G806" i="1"/>
  <c r="L805" i="1"/>
  <c r="J805" i="1"/>
  <c r="I805" i="1"/>
  <c r="H805" i="1"/>
  <c r="G805" i="1"/>
  <c r="L804" i="1"/>
  <c r="J804" i="1"/>
  <c r="I804" i="1"/>
  <c r="H804" i="1"/>
  <c r="G804" i="1"/>
  <c r="L803" i="1"/>
  <c r="J803" i="1"/>
  <c r="I803" i="1"/>
  <c r="H803" i="1"/>
  <c r="G803" i="1"/>
  <c r="L802" i="1"/>
  <c r="J802" i="1"/>
  <c r="I802" i="1"/>
  <c r="H802" i="1"/>
  <c r="G802" i="1"/>
  <c r="L801" i="1"/>
  <c r="J801" i="1"/>
  <c r="I801" i="1"/>
  <c r="H801" i="1"/>
  <c r="G801" i="1"/>
  <c r="L800" i="1"/>
  <c r="J800" i="1"/>
  <c r="I800" i="1"/>
  <c r="H800" i="1"/>
  <c r="G800" i="1"/>
  <c r="L753" i="1"/>
  <c r="J753" i="1"/>
  <c r="I753" i="1"/>
  <c r="H753" i="1"/>
  <c r="G753" i="1"/>
  <c r="L798" i="1"/>
  <c r="J798" i="1"/>
  <c r="I798" i="1"/>
  <c r="H798" i="1"/>
  <c r="G798" i="1"/>
  <c r="L797" i="1"/>
  <c r="J797" i="1"/>
  <c r="H797" i="1"/>
  <c r="G797" i="1"/>
  <c r="L755" i="1"/>
  <c r="J755" i="1"/>
  <c r="I755" i="1"/>
  <c r="H755" i="1"/>
  <c r="G755" i="1"/>
  <c r="L799" i="1"/>
  <c r="J799" i="1"/>
  <c r="I799" i="1"/>
  <c r="H799" i="1"/>
  <c r="G799" i="1"/>
  <c r="L796" i="1"/>
  <c r="J796" i="1"/>
  <c r="I796" i="1"/>
  <c r="H796" i="1"/>
  <c r="G796" i="1"/>
  <c r="L795" i="1"/>
  <c r="J795" i="1"/>
  <c r="I795" i="1"/>
  <c r="H795" i="1"/>
  <c r="G795" i="1"/>
  <c r="F795" i="1"/>
  <c r="L794" i="1"/>
  <c r="J794" i="1"/>
  <c r="I794" i="1"/>
  <c r="H794" i="1"/>
  <c r="G794" i="1"/>
  <c r="L793" i="1"/>
  <c r="J793" i="1"/>
  <c r="I793" i="1"/>
  <c r="H793" i="1"/>
  <c r="G793" i="1"/>
  <c r="R792" i="1"/>
  <c r="L792" i="1"/>
  <c r="J792" i="1"/>
  <c r="I792" i="1"/>
  <c r="H792" i="1"/>
  <c r="G792" i="1"/>
  <c r="L756" i="1"/>
  <c r="J756" i="1"/>
  <c r="H756" i="1"/>
  <c r="G756" i="1"/>
  <c r="F756" i="1"/>
  <c r="L791" i="1"/>
  <c r="J791" i="1"/>
  <c r="I791" i="1"/>
  <c r="H791" i="1"/>
  <c r="G791" i="1"/>
  <c r="F791" i="1"/>
  <c r="L790" i="1"/>
  <c r="J790" i="1"/>
  <c r="I790" i="1"/>
  <c r="H790" i="1"/>
  <c r="G790" i="1"/>
  <c r="I789" i="1"/>
  <c r="G789" i="1"/>
  <c r="J788" i="1"/>
  <c r="H788" i="1"/>
  <c r="G788" i="1"/>
  <c r="J787" i="1"/>
  <c r="H787" i="1"/>
  <c r="J786" i="1"/>
  <c r="H786" i="1"/>
  <c r="L754" i="1"/>
  <c r="J754" i="1"/>
  <c r="I754" i="1"/>
  <c r="H754" i="1"/>
  <c r="G754" i="1"/>
  <c r="G782" i="1"/>
  <c r="L781" i="1"/>
  <c r="J781" i="1"/>
  <c r="I781" i="1"/>
  <c r="H781" i="1"/>
  <c r="G781" i="1"/>
  <c r="G752" i="1"/>
  <c r="L780" i="1"/>
  <c r="J780" i="1"/>
  <c r="H780" i="1"/>
  <c r="G780" i="1"/>
  <c r="H779" i="1"/>
  <c r="G779" i="1"/>
  <c r="I774" i="1"/>
  <c r="H774" i="1"/>
  <c r="G774" i="1"/>
  <c r="L773" i="1"/>
  <c r="J773" i="1"/>
  <c r="I773" i="1"/>
  <c r="H773" i="1"/>
  <c r="G773" i="1"/>
  <c r="I758" i="1"/>
  <c r="H758" i="1"/>
  <c r="G758" i="1"/>
  <c r="L772" i="1"/>
  <c r="J772" i="1"/>
  <c r="I772" i="1"/>
  <c r="H772" i="1"/>
  <c r="G772" i="1"/>
  <c r="I771" i="1"/>
  <c r="H771" i="1"/>
  <c r="G771" i="1"/>
  <c r="L770" i="1"/>
  <c r="J770" i="1"/>
  <c r="I770" i="1"/>
  <c r="H770" i="1"/>
  <c r="G770" i="1"/>
  <c r="I769" i="1"/>
  <c r="H769" i="1"/>
  <c r="G769" i="1"/>
  <c r="L768" i="1"/>
  <c r="J768" i="1"/>
  <c r="I768" i="1"/>
  <c r="H768" i="1"/>
  <c r="G768" i="1"/>
  <c r="I761" i="1"/>
  <c r="H761" i="1"/>
  <c r="G761" i="1"/>
  <c r="L767" i="1"/>
  <c r="J767" i="1"/>
  <c r="I767" i="1"/>
  <c r="H767" i="1"/>
  <c r="G767" i="1"/>
  <c r="I766" i="1"/>
  <c r="H766" i="1"/>
  <c r="G766" i="1"/>
  <c r="L760" i="1"/>
  <c r="J760" i="1"/>
  <c r="I760" i="1"/>
  <c r="H760" i="1"/>
  <c r="G760" i="1"/>
  <c r="L764" i="1"/>
  <c r="I764" i="1"/>
  <c r="H764" i="1"/>
  <c r="G764" i="1"/>
  <c r="F764" i="1"/>
  <c r="L763" i="1"/>
  <c r="J763" i="1"/>
  <c r="I763" i="1"/>
  <c r="H763" i="1"/>
  <c r="G763" i="1"/>
  <c r="H750" i="1"/>
  <c r="G750" i="1"/>
  <c r="J759" i="1"/>
  <c r="H759" i="1"/>
  <c r="G759" i="1"/>
  <c r="L45" i="1"/>
  <c r="I45" i="1"/>
  <c r="G45" i="1"/>
  <c r="L201" i="1"/>
  <c r="J201" i="1"/>
  <c r="I201" i="1"/>
  <c r="H325" i="1"/>
  <c r="J396" i="1"/>
  <c r="H396" i="1"/>
  <c r="G396" i="1"/>
  <c r="L397" i="1"/>
  <c r="I397" i="1"/>
  <c r="L433" i="1"/>
  <c r="H433" i="1"/>
  <c r="J494" i="1"/>
  <c r="I494" i="1"/>
  <c r="G494" i="1"/>
  <c r="L527" i="1"/>
  <c r="J527" i="1"/>
  <c r="I527" i="1"/>
  <c r="H527" i="1"/>
  <c r="L573" i="1"/>
  <c r="I573" i="1"/>
  <c r="G573" i="1"/>
  <c r="I574" i="1"/>
  <c r="H574" i="1"/>
  <c r="G574" i="1"/>
  <c r="L582" i="1"/>
  <c r="J582" i="1"/>
  <c r="I582" i="1"/>
  <c r="H582" i="1"/>
  <c r="G582" i="1"/>
  <c r="L677" i="1"/>
  <c r="H677" i="1"/>
  <c r="L746" i="1"/>
  <c r="J746" i="1"/>
  <c r="G746" i="1"/>
  <c r="I613" i="1"/>
  <c r="H613" i="1"/>
  <c r="L572" i="1"/>
  <c r="J572" i="1"/>
  <c r="I572" i="1"/>
  <c r="H572" i="1"/>
  <c r="G572" i="1"/>
  <c r="J612" i="1"/>
  <c r="H612" i="1"/>
  <c r="L676" i="1"/>
  <c r="J676" i="1"/>
  <c r="H676" i="1"/>
  <c r="L747" i="1"/>
  <c r="J747" i="1"/>
  <c r="I747" i="1"/>
  <c r="G747" i="1"/>
  <c r="J6" i="1"/>
  <c r="I6" i="1"/>
  <c r="J7" i="1"/>
  <c r="H7" i="1"/>
  <c r="L8" i="1"/>
  <c r="J8" i="1"/>
  <c r="I8" i="1"/>
  <c r="H8" i="1"/>
  <c r="G8" i="1"/>
  <c r="L81" i="1"/>
  <c r="J81" i="1"/>
  <c r="I81" i="1"/>
  <c r="H81" i="1"/>
  <c r="G81" i="1"/>
  <c r="L9" i="1"/>
  <c r="J9" i="1"/>
  <c r="I9" i="1"/>
  <c r="H9" i="1"/>
  <c r="G9" i="1"/>
  <c r="L555" i="1"/>
  <c r="J555" i="1"/>
  <c r="H555" i="1"/>
  <c r="G555" i="1"/>
  <c r="L507" i="1"/>
  <c r="J507" i="1"/>
  <c r="I507" i="1"/>
  <c r="H507" i="1"/>
  <c r="G507" i="1"/>
  <c r="L10" i="1"/>
  <c r="I10" i="1"/>
  <c r="H10" i="1"/>
  <c r="L83" i="1"/>
  <c r="J83" i="1"/>
  <c r="I83" i="1"/>
  <c r="H83" i="1"/>
  <c r="L16" i="1"/>
  <c r="J16" i="1"/>
  <c r="H16" i="1"/>
  <c r="G16" i="1"/>
  <c r="L26" i="1"/>
  <c r="J26" i="1"/>
  <c r="I26" i="1"/>
  <c r="H26" i="1"/>
  <c r="G26" i="1"/>
  <c r="L516" i="1"/>
  <c r="I516" i="1"/>
  <c r="H516" i="1"/>
  <c r="G516" i="1"/>
  <c r="L14" i="1"/>
  <c r="J14" i="1"/>
  <c r="I14" i="1"/>
  <c r="H14" i="1"/>
  <c r="G14" i="1"/>
  <c r="L22" i="1"/>
  <c r="J22" i="1"/>
  <c r="G22" i="1"/>
  <c r="L21" i="1"/>
  <c r="J21" i="1"/>
  <c r="I21" i="1"/>
  <c r="H21" i="1"/>
  <c r="G21" i="1"/>
  <c r="L27" i="1"/>
  <c r="I27" i="1"/>
  <c r="H27" i="1"/>
  <c r="G27" i="1"/>
  <c r="L17" i="1"/>
  <c r="J17" i="1"/>
  <c r="I17" i="1"/>
  <c r="H17" i="1"/>
  <c r="L11" i="1"/>
  <c r="J11" i="1"/>
  <c r="I11" i="1"/>
  <c r="H11" i="1"/>
  <c r="G11" i="1"/>
  <c r="L23" i="1"/>
  <c r="J23" i="1"/>
  <c r="I23" i="1"/>
  <c r="H23" i="1"/>
  <c r="G23" i="1"/>
  <c r="L36" i="1"/>
  <c r="I36" i="1"/>
  <c r="H36" i="1"/>
  <c r="G36" i="1"/>
  <c r="L37" i="1"/>
  <c r="J37" i="1"/>
  <c r="I37" i="1"/>
  <c r="H37" i="1"/>
  <c r="G37" i="1"/>
  <c r="L12" i="1"/>
  <c r="J12" i="1"/>
  <c r="I12" i="1"/>
  <c r="H12" i="1"/>
  <c r="G12" i="1"/>
  <c r="L32" i="1"/>
  <c r="J32" i="1"/>
  <c r="I32" i="1"/>
  <c r="H32" i="1"/>
  <c r="G32" i="1"/>
  <c r="L736" i="1"/>
  <c r="I736" i="1"/>
  <c r="H736" i="1"/>
  <c r="G736" i="1"/>
  <c r="L82" i="1"/>
  <c r="J82" i="1"/>
  <c r="I82" i="1"/>
  <c r="H82" i="1"/>
  <c r="G82" i="1"/>
  <c r="L28" i="1"/>
  <c r="J28" i="1"/>
  <c r="I28" i="1"/>
  <c r="H28" i="1"/>
  <c r="G28" i="1"/>
  <c r="L378" i="1"/>
  <c r="J378" i="1"/>
  <c r="I378" i="1"/>
  <c r="H378" i="1"/>
  <c r="G378" i="1"/>
  <c r="L19" i="1"/>
  <c r="H19" i="1"/>
  <c r="G19" i="1"/>
  <c r="L15" i="1"/>
  <c r="J15" i="1"/>
  <c r="I15" i="1"/>
  <c r="H15" i="1"/>
  <c r="G15" i="1"/>
  <c r="L18" i="1"/>
  <c r="J18" i="1"/>
  <c r="I18" i="1"/>
  <c r="H18" i="1"/>
  <c r="G18" i="1"/>
  <c r="L24" i="1"/>
  <c r="J24" i="1"/>
  <c r="I24" i="1"/>
  <c r="H24" i="1"/>
  <c r="G24" i="1"/>
  <c r="I13" i="1"/>
  <c r="H13" i="1"/>
  <c r="G13" i="1"/>
  <c r="L25" i="1"/>
  <c r="J25" i="1"/>
  <c r="I25" i="1"/>
  <c r="H25" i="1"/>
  <c r="G25" i="1"/>
  <c r="L33" i="1"/>
  <c r="J33" i="1"/>
  <c r="I33" i="1"/>
  <c r="H33" i="1"/>
  <c r="G33" i="1"/>
  <c r="L29" i="1"/>
  <c r="J29" i="1"/>
  <c r="I29" i="1"/>
  <c r="H29" i="1"/>
  <c r="G29" i="1"/>
  <c r="L34" i="1"/>
  <c r="I34" i="1"/>
  <c r="H34" i="1"/>
  <c r="G34" i="1"/>
  <c r="L30" i="1"/>
  <c r="J30" i="1"/>
  <c r="I30" i="1"/>
  <c r="H30" i="1"/>
  <c r="G30" i="1"/>
  <c r="L31" i="1"/>
  <c r="J31" i="1"/>
  <c r="I31" i="1"/>
  <c r="H31" i="1"/>
  <c r="G31" i="1"/>
  <c r="L20" i="1"/>
  <c r="J20" i="1"/>
  <c r="I20" i="1"/>
  <c r="H20" i="1"/>
  <c r="G20" i="1"/>
  <c r="L41" i="1"/>
  <c r="I41" i="1"/>
  <c r="H41" i="1"/>
  <c r="G41" i="1"/>
  <c r="L42" i="1"/>
  <c r="J42" i="1"/>
  <c r="I42" i="1"/>
  <c r="H42" i="1"/>
  <c r="G42" i="1"/>
  <c r="L39" i="1"/>
  <c r="J39" i="1"/>
  <c r="I39" i="1"/>
  <c r="H39" i="1"/>
  <c r="G39" i="1"/>
  <c r="L38" i="1"/>
  <c r="J38" i="1"/>
  <c r="I38" i="1"/>
  <c r="H38" i="1"/>
  <c r="G38" i="1"/>
  <c r="L44" i="1"/>
  <c r="I44" i="1"/>
  <c r="H44" i="1"/>
  <c r="G44" i="1"/>
  <c r="L43" i="1"/>
  <c r="J43" i="1"/>
  <c r="I43" i="1"/>
  <c r="H43" i="1"/>
  <c r="G43" i="1"/>
  <c r="L40" i="1"/>
  <c r="J40" i="1"/>
  <c r="I40" i="1"/>
  <c r="H40" i="1"/>
  <c r="G40" i="1"/>
  <c r="L50" i="1"/>
  <c r="J50" i="1"/>
  <c r="I50" i="1"/>
  <c r="H50" i="1"/>
  <c r="G50" i="1"/>
  <c r="F50" i="1"/>
  <c r="I46" i="1"/>
  <c r="H46" i="1"/>
  <c r="G46" i="1"/>
  <c r="L52" i="1"/>
  <c r="I52" i="1"/>
  <c r="H52" i="1"/>
  <c r="G52" i="1"/>
  <c r="L64" i="1"/>
  <c r="J64" i="1"/>
  <c r="I64" i="1"/>
  <c r="H64" i="1"/>
  <c r="G64" i="1"/>
  <c r="L54" i="1"/>
  <c r="J54" i="1"/>
  <c r="H54" i="1"/>
  <c r="G54" i="1"/>
  <c r="L51" i="1"/>
  <c r="J51" i="1"/>
  <c r="I51" i="1"/>
  <c r="H51" i="1"/>
  <c r="G51" i="1"/>
  <c r="F51" i="1"/>
  <c r="J58" i="1"/>
  <c r="I58" i="1"/>
  <c r="H58" i="1"/>
  <c r="G58" i="1"/>
  <c r="L47" i="1"/>
  <c r="J47" i="1"/>
  <c r="I47" i="1"/>
  <c r="H47" i="1"/>
  <c r="G47" i="1"/>
  <c r="L53" i="1"/>
  <c r="J53" i="1"/>
  <c r="H53" i="1"/>
  <c r="G53" i="1"/>
  <c r="F53" i="1"/>
  <c r="L59" i="1"/>
  <c r="J59" i="1"/>
  <c r="I59" i="1"/>
  <c r="H59" i="1"/>
  <c r="G59" i="1"/>
  <c r="J60" i="1"/>
  <c r="I60" i="1"/>
  <c r="H60" i="1"/>
  <c r="G60" i="1"/>
  <c r="L48" i="1"/>
  <c r="J48" i="1"/>
  <c r="I48" i="1"/>
  <c r="H48" i="1"/>
  <c r="G48" i="1"/>
  <c r="I61" i="1"/>
  <c r="H61" i="1"/>
  <c r="G61" i="1"/>
  <c r="L62" i="1"/>
  <c r="J62" i="1"/>
  <c r="H62" i="1"/>
  <c r="G62" i="1"/>
  <c r="F62" i="1"/>
  <c r="I63" i="1"/>
  <c r="H63" i="1"/>
  <c r="G63" i="1"/>
  <c r="L55" i="1"/>
  <c r="J55" i="1"/>
  <c r="I55" i="1"/>
  <c r="H55" i="1"/>
  <c r="G55" i="1"/>
  <c r="L56" i="1"/>
  <c r="I56" i="1"/>
  <c r="H56" i="1"/>
  <c r="G56" i="1"/>
  <c r="L57" i="1"/>
  <c r="J57" i="1"/>
  <c r="I57" i="1"/>
  <c r="H57" i="1"/>
  <c r="G57" i="1"/>
  <c r="I632" i="1"/>
  <c r="H632" i="1"/>
  <c r="G632" i="1"/>
  <c r="L71" i="1"/>
  <c r="J71" i="1"/>
  <c r="I71" i="1"/>
  <c r="H71" i="1"/>
  <c r="G71" i="1"/>
  <c r="H115" i="1"/>
  <c r="G115" i="1"/>
  <c r="L116" i="1"/>
  <c r="J116" i="1"/>
  <c r="I116" i="1"/>
  <c r="H116" i="1"/>
  <c r="G116" i="1"/>
  <c r="I66" i="1"/>
  <c r="H66" i="1"/>
  <c r="G66" i="1"/>
  <c r="L86" i="1"/>
  <c r="J86" i="1"/>
  <c r="I86" i="1"/>
  <c r="H86" i="1"/>
  <c r="G86" i="1"/>
  <c r="I65" i="1"/>
  <c r="H65" i="1"/>
  <c r="G65" i="1"/>
  <c r="L73" i="1"/>
  <c r="J73" i="1"/>
  <c r="I73" i="1"/>
  <c r="H73" i="1"/>
  <c r="G73" i="1"/>
  <c r="I77" i="1"/>
  <c r="H77" i="1"/>
  <c r="G77" i="1"/>
  <c r="L84" i="1"/>
  <c r="J84" i="1"/>
  <c r="I84" i="1"/>
  <c r="H84" i="1"/>
  <c r="G84" i="1"/>
  <c r="I67" i="1"/>
  <c r="H67" i="1"/>
  <c r="G67" i="1"/>
  <c r="L198" i="1"/>
  <c r="J198" i="1"/>
  <c r="I198" i="1"/>
  <c r="H198" i="1"/>
  <c r="G198" i="1"/>
  <c r="L123" i="1"/>
  <c r="I123" i="1"/>
  <c r="H123" i="1"/>
  <c r="G123" i="1"/>
  <c r="J117" i="1"/>
  <c r="I117" i="1"/>
  <c r="H117" i="1"/>
  <c r="G117" i="1"/>
  <c r="L70" i="1"/>
  <c r="J70" i="1"/>
  <c r="H70" i="1"/>
  <c r="G70" i="1"/>
  <c r="L79" i="1"/>
  <c r="J79" i="1"/>
  <c r="I79" i="1"/>
  <c r="H79" i="1"/>
  <c r="G79" i="1"/>
  <c r="I75" i="1"/>
  <c r="H75" i="1"/>
  <c r="G75" i="1"/>
  <c r="L114" i="1"/>
  <c r="J114" i="1"/>
  <c r="I114" i="1"/>
  <c r="H114" i="1"/>
  <c r="G114" i="1"/>
  <c r="L74" i="1"/>
  <c r="J74" i="1"/>
  <c r="H74" i="1"/>
  <c r="G74" i="1"/>
  <c r="F74" i="1"/>
  <c r="L118" i="1"/>
  <c r="J118" i="1"/>
  <c r="I118" i="1"/>
  <c r="H118" i="1"/>
  <c r="G118" i="1"/>
  <c r="I76" i="1"/>
  <c r="H76" i="1"/>
  <c r="G76" i="1"/>
  <c r="L80" i="1"/>
  <c r="J80" i="1"/>
  <c r="I80" i="1"/>
  <c r="H80" i="1"/>
  <c r="G80" i="1"/>
  <c r="L87" i="1"/>
  <c r="J87" i="1"/>
  <c r="H87" i="1"/>
  <c r="G87" i="1"/>
  <c r="L78" i="1"/>
  <c r="J78" i="1"/>
  <c r="I78" i="1"/>
  <c r="H78" i="1"/>
  <c r="G78" i="1"/>
  <c r="I99" i="1"/>
  <c r="H99" i="1"/>
  <c r="G99" i="1"/>
  <c r="J483" i="1"/>
  <c r="I483" i="1"/>
  <c r="H483" i="1"/>
  <c r="G483" i="1"/>
  <c r="L121" i="1"/>
  <c r="J121" i="1"/>
  <c r="H121" i="1"/>
  <c r="G121" i="1"/>
  <c r="L113" i="1"/>
  <c r="J113" i="1"/>
  <c r="H113" i="1"/>
  <c r="G113" i="1"/>
  <c r="I68" i="1"/>
  <c r="H68" i="1"/>
  <c r="G68" i="1"/>
  <c r="L120" i="1"/>
  <c r="J120" i="1"/>
  <c r="H120" i="1"/>
  <c r="G120" i="1"/>
  <c r="L119" i="1"/>
  <c r="J119" i="1"/>
  <c r="H119" i="1"/>
  <c r="G119" i="1"/>
  <c r="L85" i="1"/>
  <c r="J85" i="1"/>
  <c r="H85" i="1"/>
  <c r="G85" i="1"/>
  <c r="L72" i="1"/>
  <c r="I72" i="1"/>
  <c r="H72" i="1"/>
  <c r="G72" i="1"/>
  <c r="L122" i="1"/>
  <c r="J122" i="1"/>
  <c r="H122" i="1"/>
  <c r="G122" i="1"/>
  <c r="F122" i="1"/>
  <c r="L124" i="1"/>
  <c r="J124" i="1"/>
  <c r="H124" i="1"/>
  <c r="G124" i="1"/>
  <c r="L129" i="1"/>
  <c r="J129" i="1"/>
  <c r="H129" i="1"/>
  <c r="G129" i="1"/>
  <c r="L131" i="1"/>
  <c r="I131" i="1"/>
  <c r="H131" i="1"/>
  <c r="G131" i="1"/>
  <c r="L168" i="1"/>
  <c r="J168" i="1"/>
  <c r="H168" i="1"/>
  <c r="G168" i="1"/>
  <c r="L140" i="1"/>
  <c r="J140" i="1"/>
  <c r="I140" i="1"/>
  <c r="H140" i="1"/>
  <c r="G140" i="1"/>
  <c r="L145" i="1"/>
  <c r="J145" i="1"/>
  <c r="H145" i="1"/>
  <c r="G145" i="1"/>
  <c r="L157" i="1"/>
  <c r="I157" i="1"/>
  <c r="H157" i="1"/>
  <c r="G157" i="1"/>
  <c r="L139" i="1"/>
  <c r="J139" i="1"/>
  <c r="I139" i="1"/>
  <c r="H139" i="1"/>
  <c r="G139" i="1"/>
  <c r="L126" i="1"/>
  <c r="J126" i="1"/>
  <c r="H126" i="1"/>
  <c r="G126" i="1"/>
  <c r="L127" i="1"/>
  <c r="J127" i="1"/>
  <c r="I127" i="1"/>
  <c r="H127" i="1"/>
  <c r="G127" i="1"/>
  <c r="L575" i="1"/>
  <c r="J575" i="1"/>
  <c r="I575" i="1"/>
  <c r="H575" i="1"/>
  <c r="G575" i="1"/>
  <c r="L136" i="1"/>
  <c r="J136" i="1"/>
  <c r="H136" i="1"/>
  <c r="G136" i="1"/>
  <c r="L130" i="1"/>
  <c r="J130" i="1"/>
  <c r="H130" i="1"/>
  <c r="G130" i="1"/>
  <c r="L135" i="1"/>
  <c r="J135" i="1"/>
  <c r="I135" i="1"/>
  <c r="H135" i="1"/>
  <c r="G135" i="1"/>
  <c r="L133" i="1"/>
  <c r="J133" i="1"/>
  <c r="H133" i="1"/>
  <c r="G133" i="1"/>
  <c r="L176" i="1"/>
  <c r="J176" i="1"/>
  <c r="I176" i="1"/>
  <c r="H176" i="1"/>
  <c r="G176" i="1"/>
  <c r="L141" i="1"/>
  <c r="J141" i="1"/>
  <c r="H141" i="1"/>
  <c r="G141" i="1"/>
  <c r="L142" i="1"/>
  <c r="J142" i="1"/>
  <c r="H142" i="1"/>
  <c r="G142" i="1"/>
  <c r="L160" i="1"/>
  <c r="J160" i="1"/>
  <c r="I160" i="1"/>
  <c r="H160" i="1"/>
  <c r="G160" i="1"/>
  <c r="L146" i="1"/>
  <c r="J146" i="1"/>
  <c r="H146" i="1"/>
  <c r="G146" i="1"/>
  <c r="L431" i="1"/>
  <c r="J431" i="1"/>
  <c r="I431" i="1"/>
  <c r="H431" i="1"/>
  <c r="G431" i="1"/>
  <c r="L745" i="1"/>
  <c r="I745" i="1"/>
  <c r="H745" i="1"/>
  <c r="G745" i="1"/>
  <c r="L143" i="1"/>
  <c r="J143" i="1"/>
  <c r="I143" i="1"/>
  <c r="H143" i="1"/>
  <c r="G143" i="1"/>
  <c r="L144" i="1"/>
  <c r="J144" i="1"/>
  <c r="H144" i="1"/>
  <c r="G144" i="1"/>
  <c r="L177" i="1"/>
  <c r="J177" i="1"/>
  <c r="I177" i="1"/>
  <c r="H177" i="1"/>
  <c r="G177" i="1"/>
  <c r="L152" i="1"/>
  <c r="I152" i="1"/>
  <c r="H152" i="1"/>
  <c r="G152" i="1"/>
  <c r="L153" i="1"/>
  <c r="J153" i="1"/>
  <c r="I153" i="1"/>
  <c r="H153" i="1"/>
  <c r="G153" i="1"/>
  <c r="L149" i="1"/>
  <c r="J149" i="1"/>
  <c r="I149" i="1"/>
  <c r="H149" i="1"/>
  <c r="G149" i="1"/>
  <c r="L88" i="1"/>
  <c r="J88" i="1"/>
  <c r="I88" i="1"/>
  <c r="H88" i="1"/>
  <c r="G88" i="1"/>
  <c r="L125" i="1"/>
  <c r="J125" i="1"/>
  <c r="H125" i="1"/>
  <c r="G125" i="1"/>
  <c r="L172" i="1"/>
  <c r="J172" i="1"/>
  <c r="I172" i="1"/>
  <c r="H172" i="1"/>
  <c r="G172" i="1"/>
  <c r="L155" i="1"/>
  <c r="J155" i="1"/>
  <c r="I155" i="1"/>
  <c r="H155" i="1"/>
  <c r="G155" i="1"/>
  <c r="L128" i="1"/>
  <c r="J128" i="1"/>
  <c r="I128" i="1"/>
  <c r="H128" i="1"/>
  <c r="G128" i="1"/>
  <c r="L90" i="1"/>
  <c r="J90" i="1"/>
  <c r="I90" i="1"/>
  <c r="H90" i="1"/>
  <c r="G90" i="1"/>
  <c r="L148" i="1"/>
  <c r="J148" i="1"/>
  <c r="I148" i="1"/>
  <c r="H148" i="1"/>
  <c r="G148" i="1"/>
  <c r="L163" i="1"/>
  <c r="J163" i="1"/>
  <c r="I163" i="1"/>
  <c r="H163" i="1"/>
  <c r="G163" i="1"/>
  <c r="J156" i="1"/>
  <c r="I156" i="1"/>
  <c r="H156" i="1"/>
  <c r="G156" i="1"/>
  <c r="L703" i="1"/>
  <c r="J703" i="1"/>
  <c r="I703" i="1"/>
  <c r="H703" i="1"/>
  <c r="G703" i="1"/>
  <c r="L94" i="1"/>
  <c r="J94" i="1"/>
  <c r="I94" i="1"/>
  <c r="H94" i="1"/>
  <c r="G94" i="1"/>
  <c r="L150" i="1"/>
  <c r="J150" i="1"/>
  <c r="I150" i="1"/>
  <c r="H150" i="1"/>
  <c r="G150" i="1"/>
  <c r="J159" i="1"/>
  <c r="I159" i="1"/>
  <c r="H159" i="1"/>
  <c r="G159" i="1"/>
  <c r="L162" i="1"/>
  <c r="J162" i="1"/>
  <c r="I162" i="1"/>
  <c r="H162" i="1"/>
  <c r="G162" i="1"/>
  <c r="L170" i="1"/>
  <c r="J170" i="1"/>
  <c r="I170" i="1"/>
  <c r="H170" i="1"/>
  <c r="G170" i="1"/>
  <c r="L89" i="1"/>
  <c r="J89" i="1"/>
  <c r="I89" i="1"/>
  <c r="H89" i="1"/>
  <c r="G89" i="1"/>
  <c r="J138" i="1"/>
  <c r="I138" i="1"/>
  <c r="H138" i="1"/>
  <c r="G138" i="1"/>
  <c r="L161" i="1"/>
  <c r="J161" i="1"/>
  <c r="I161" i="1"/>
  <c r="H161" i="1"/>
  <c r="G161" i="1"/>
  <c r="L166" i="1"/>
  <c r="J166" i="1"/>
  <c r="I166" i="1"/>
  <c r="H166" i="1"/>
  <c r="G166" i="1"/>
  <c r="L151" i="1"/>
  <c r="J151" i="1"/>
  <c r="I151" i="1"/>
  <c r="H151" i="1"/>
  <c r="G151" i="1"/>
  <c r="L132" i="1"/>
  <c r="J132" i="1"/>
  <c r="I132" i="1"/>
  <c r="H132" i="1"/>
  <c r="G132" i="1"/>
  <c r="L171" i="1"/>
  <c r="J171" i="1"/>
  <c r="I171" i="1"/>
  <c r="H171" i="1"/>
  <c r="G171" i="1"/>
  <c r="L165" i="1"/>
  <c r="J165" i="1"/>
  <c r="I165" i="1"/>
  <c r="H165" i="1"/>
  <c r="G165" i="1"/>
  <c r="L134" i="1"/>
  <c r="J134" i="1"/>
  <c r="I134" i="1"/>
  <c r="H134" i="1"/>
  <c r="G134" i="1"/>
  <c r="L167" i="1"/>
  <c r="J167" i="1"/>
  <c r="H167" i="1"/>
  <c r="G167" i="1"/>
  <c r="L137" i="1"/>
  <c r="J137" i="1"/>
  <c r="I137" i="1"/>
  <c r="H137" i="1"/>
  <c r="G137" i="1"/>
  <c r="L147" i="1"/>
  <c r="J147" i="1"/>
  <c r="H147" i="1"/>
  <c r="G147" i="1"/>
  <c r="L173" i="1"/>
  <c r="J173" i="1"/>
  <c r="H173" i="1"/>
  <c r="G173" i="1"/>
  <c r="L175" i="1"/>
  <c r="I175" i="1"/>
  <c r="H175" i="1"/>
  <c r="G175" i="1"/>
  <c r="L174" i="1"/>
  <c r="J174" i="1"/>
  <c r="I174" i="1"/>
  <c r="H174" i="1"/>
  <c r="G174" i="1"/>
  <c r="F174" i="1"/>
  <c r="L154" i="1"/>
  <c r="J154" i="1"/>
  <c r="I154" i="1"/>
  <c r="H154" i="1"/>
  <c r="G154" i="1"/>
  <c r="L181" i="1"/>
  <c r="J181" i="1"/>
  <c r="H181" i="1"/>
  <c r="G181" i="1"/>
  <c r="L186" i="1"/>
  <c r="I186" i="1"/>
  <c r="H186" i="1"/>
  <c r="G186" i="1"/>
  <c r="L192" i="1"/>
  <c r="J192" i="1"/>
  <c r="I192" i="1"/>
  <c r="H192" i="1"/>
  <c r="G192" i="1"/>
  <c r="L195" i="1"/>
  <c r="J195" i="1"/>
  <c r="I195" i="1"/>
  <c r="H195" i="1"/>
  <c r="G195" i="1"/>
  <c r="L199" i="1"/>
  <c r="J199" i="1"/>
  <c r="I199" i="1"/>
  <c r="H199" i="1"/>
  <c r="G199" i="1"/>
  <c r="L179" i="1"/>
  <c r="J179" i="1"/>
  <c r="H179" i="1"/>
  <c r="G179" i="1"/>
  <c r="F179" i="1"/>
  <c r="L182" i="1"/>
  <c r="J182" i="1"/>
  <c r="I182" i="1"/>
  <c r="H182" i="1"/>
  <c r="G182" i="1"/>
  <c r="L183" i="1"/>
  <c r="J183" i="1"/>
  <c r="I183" i="1"/>
  <c r="H183" i="1"/>
  <c r="G183" i="1"/>
  <c r="L194" i="1"/>
  <c r="J194" i="1"/>
  <c r="I194" i="1"/>
  <c r="H194" i="1"/>
  <c r="G194" i="1"/>
  <c r="L191" i="1"/>
  <c r="J191" i="1"/>
  <c r="H191" i="1"/>
  <c r="G191" i="1"/>
  <c r="L202" i="1"/>
  <c r="J202" i="1"/>
  <c r="I202" i="1"/>
  <c r="H202" i="1"/>
  <c r="G202" i="1"/>
  <c r="L185" i="1"/>
  <c r="J185" i="1"/>
  <c r="I185" i="1"/>
  <c r="H185" i="1"/>
  <c r="G185" i="1"/>
  <c r="L203" i="1"/>
  <c r="J203" i="1"/>
  <c r="I203" i="1"/>
  <c r="H203" i="1"/>
  <c r="G203" i="1"/>
  <c r="F203" i="1"/>
  <c r="H184" i="1"/>
  <c r="G184" i="1"/>
  <c r="L180" i="1"/>
  <c r="J180" i="1"/>
  <c r="I180" i="1"/>
  <c r="H180" i="1"/>
  <c r="G180" i="1"/>
  <c r="L188" i="1"/>
  <c r="J188" i="1"/>
  <c r="H188" i="1"/>
  <c r="G188" i="1"/>
  <c r="F188" i="1"/>
  <c r="L196" i="1"/>
  <c r="J196" i="1"/>
  <c r="I196" i="1"/>
  <c r="H196" i="1"/>
  <c r="G196" i="1"/>
  <c r="F196" i="1"/>
  <c r="I197" i="1"/>
  <c r="H197" i="1"/>
  <c r="G197" i="1"/>
  <c r="L189" i="1"/>
  <c r="J189" i="1"/>
  <c r="I189" i="1"/>
  <c r="H189" i="1"/>
  <c r="G189" i="1"/>
  <c r="F189" i="1"/>
  <c r="L440" i="1"/>
  <c r="J440" i="1"/>
  <c r="I440" i="1"/>
  <c r="H440" i="1"/>
  <c r="G440" i="1"/>
  <c r="L193" i="1"/>
  <c r="J193" i="1"/>
  <c r="I193" i="1"/>
  <c r="H193" i="1"/>
  <c r="G193" i="1"/>
  <c r="I187" i="1"/>
  <c r="H187" i="1"/>
  <c r="G187" i="1"/>
  <c r="L178" i="1"/>
  <c r="J178" i="1"/>
  <c r="I178" i="1"/>
  <c r="H178" i="1"/>
  <c r="G178" i="1"/>
  <c r="I190" i="1"/>
  <c r="H190" i="1"/>
  <c r="G190" i="1"/>
  <c r="L207" i="1"/>
  <c r="J207" i="1"/>
  <c r="H207" i="1"/>
  <c r="G207" i="1"/>
  <c r="L208" i="1"/>
  <c r="J208" i="1"/>
  <c r="H208" i="1"/>
  <c r="G208" i="1"/>
  <c r="L205" i="1"/>
  <c r="J205" i="1"/>
  <c r="I205" i="1"/>
  <c r="H205" i="1"/>
  <c r="G205" i="1"/>
  <c r="L227" i="1"/>
  <c r="I227" i="1"/>
  <c r="H227" i="1"/>
  <c r="G227" i="1"/>
  <c r="L210" i="1"/>
  <c r="J210" i="1"/>
  <c r="I210" i="1"/>
  <c r="H210" i="1"/>
  <c r="G210" i="1"/>
  <c r="L211" i="1"/>
  <c r="J211" i="1"/>
  <c r="H211" i="1"/>
  <c r="G211" i="1"/>
  <c r="L240" i="1"/>
  <c r="J240" i="1"/>
  <c r="I240" i="1"/>
  <c r="H240" i="1"/>
  <c r="G240" i="1"/>
  <c r="F240" i="1"/>
  <c r="I216" i="1"/>
  <c r="H216" i="1"/>
  <c r="G216" i="1"/>
  <c r="L321" i="1"/>
  <c r="I321" i="1"/>
  <c r="H321" i="1"/>
  <c r="G321" i="1"/>
  <c r="L231" i="1"/>
  <c r="J231" i="1"/>
  <c r="H231" i="1"/>
  <c r="G231" i="1"/>
  <c r="L233" i="1"/>
  <c r="J233" i="1"/>
  <c r="I233" i="1"/>
  <c r="H233" i="1"/>
  <c r="G233" i="1"/>
  <c r="I218" i="1"/>
  <c r="H218" i="1"/>
  <c r="G218" i="1"/>
  <c r="L219" i="1"/>
  <c r="J219" i="1"/>
  <c r="I219" i="1"/>
  <c r="H219" i="1"/>
  <c r="G219" i="1"/>
  <c r="L220" i="1"/>
  <c r="J220" i="1"/>
  <c r="H220" i="1"/>
  <c r="G220" i="1"/>
  <c r="L222" i="1"/>
  <c r="J222" i="1"/>
  <c r="I222" i="1"/>
  <c r="H222" i="1"/>
  <c r="G222" i="1"/>
  <c r="I226" i="1"/>
  <c r="H226" i="1"/>
  <c r="G226" i="1"/>
  <c r="L237" i="1"/>
  <c r="J237" i="1"/>
  <c r="I237" i="1"/>
  <c r="H237" i="1"/>
  <c r="G237" i="1"/>
  <c r="L224" i="1"/>
  <c r="J224" i="1"/>
  <c r="H224" i="1"/>
  <c r="G224" i="1"/>
  <c r="L92" i="1"/>
  <c r="J92" i="1"/>
  <c r="I92" i="1"/>
  <c r="H92" i="1"/>
  <c r="G92" i="1"/>
  <c r="F92" i="1"/>
  <c r="I225" i="1"/>
  <c r="H225" i="1"/>
  <c r="G225" i="1"/>
  <c r="J228" i="1"/>
  <c r="I228" i="1"/>
  <c r="H228" i="1"/>
  <c r="G228" i="1"/>
  <c r="L543" i="1"/>
  <c r="J543" i="1"/>
  <c r="H543" i="1"/>
  <c r="G543" i="1"/>
  <c r="L213" i="1"/>
  <c r="J213" i="1"/>
  <c r="I213" i="1"/>
  <c r="H213" i="1"/>
  <c r="G213" i="1"/>
  <c r="F213" i="1"/>
  <c r="H223" i="1"/>
  <c r="G223" i="1"/>
  <c r="L239" i="1"/>
  <c r="J239" i="1"/>
  <c r="H239" i="1"/>
  <c r="G239" i="1"/>
  <c r="L91" i="1"/>
  <c r="J91" i="1"/>
  <c r="H91" i="1"/>
  <c r="G91" i="1"/>
  <c r="L234" i="1"/>
  <c r="J234" i="1"/>
  <c r="I234" i="1"/>
  <c r="H234" i="1"/>
  <c r="G234" i="1"/>
  <c r="F234" i="1"/>
  <c r="I215" i="1"/>
  <c r="H215" i="1"/>
  <c r="G215" i="1"/>
  <c r="L229" i="1"/>
  <c r="J229" i="1"/>
  <c r="I229" i="1"/>
  <c r="H229" i="1"/>
  <c r="G229" i="1"/>
  <c r="L217" i="1"/>
  <c r="J217" i="1"/>
  <c r="H217" i="1"/>
  <c r="G217" i="1"/>
  <c r="L230" i="1"/>
  <c r="J230" i="1"/>
  <c r="I230" i="1"/>
  <c r="H230" i="1"/>
  <c r="G230" i="1"/>
  <c r="F230" i="1"/>
  <c r="I232" i="1"/>
  <c r="H232" i="1"/>
  <c r="G232" i="1"/>
  <c r="L209" i="1"/>
  <c r="J209" i="1"/>
  <c r="H209" i="1"/>
  <c r="G209" i="1"/>
  <c r="L236" i="1"/>
  <c r="J236" i="1"/>
  <c r="H236" i="1"/>
  <c r="G236" i="1"/>
  <c r="L238" i="1"/>
  <c r="J238" i="1"/>
  <c r="I238" i="1"/>
  <c r="H238" i="1"/>
  <c r="G238" i="1"/>
  <c r="L212" i="1"/>
  <c r="H212" i="1"/>
  <c r="G212" i="1"/>
  <c r="F212" i="1"/>
  <c r="L235" i="1"/>
  <c r="J235" i="1"/>
  <c r="H235" i="1"/>
  <c r="G235" i="1"/>
  <c r="L660" i="1"/>
  <c r="J660" i="1"/>
  <c r="H660" i="1"/>
  <c r="G660" i="1"/>
  <c r="L254" i="1"/>
  <c r="J254" i="1"/>
  <c r="I254" i="1"/>
  <c r="H254" i="1"/>
  <c r="G254" i="1"/>
  <c r="H242" i="1"/>
  <c r="G242" i="1"/>
  <c r="L247" i="1"/>
  <c r="J247" i="1"/>
  <c r="I247" i="1"/>
  <c r="H247" i="1"/>
  <c r="G247" i="1"/>
  <c r="L243" i="1"/>
  <c r="J243" i="1"/>
  <c r="I243" i="1"/>
  <c r="H243" i="1"/>
  <c r="G243" i="1"/>
  <c r="L244" i="1"/>
  <c r="J244" i="1"/>
  <c r="I244" i="1"/>
  <c r="H244" i="1"/>
  <c r="G244" i="1"/>
  <c r="F244" i="1"/>
  <c r="H250" i="1"/>
  <c r="G250" i="1"/>
  <c r="L246" i="1"/>
  <c r="J246" i="1"/>
  <c r="H246" i="1"/>
  <c r="G246" i="1"/>
  <c r="L249" i="1"/>
  <c r="J249" i="1"/>
  <c r="H249" i="1"/>
  <c r="G249" i="1"/>
  <c r="L49" i="1"/>
  <c r="J49" i="1"/>
  <c r="I49" i="1"/>
  <c r="H49" i="1"/>
  <c r="G49" i="1"/>
  <c r="I248" i="1"/>
  <c r="H248" i="1"/>
  <c r="G248" i="1"/>
  <c r="L253" i="1"/>
  <c r="I253" i="1"/>
  <c r="H253" i="1"/>
  <c r="G253" i="1"/>
  <c r="L251" i="1"/>
  <c r="J251" i="1"/>
  <c r="H251" i="1"/>
  <c r="G251" i="1"/>
  <c r="L252" i="1"/>
  <c r="J252" i="1"/>
  <c r="I252" i="1"/>
  <c r="H252" i="1"/>
  <c r="G252" i="1"/>
  <c r="L241" i="1"/>
  <c r="I241" i="1"/>
  <c r="H241" i="1"/>
  <c r="G241" i="1"/>
  <c r="L245" i="1"/>
  <c r="J245" i="1"/>
  <c r="H245" i="1"/>
  <c r="G245" i="1"/>
  <c r="L200" i="1"/>
  <c r="J200" i="1"/>
  <c r="I200" i="1"/>
  <c r="H200" i="1"/>
  <c r="G200" i="1"/>
  <c r="L272" i="1"/>
  <c r="J272" i="1"/>
  <c r="I272" i="1"/>
  <c r="H272" i="1"/>
  <c r="G272" i="1"/>
  <c r="I273" i="1"/>
  <c r="H273" i="1"/>
  <c r="G273" i="1"/>
  <c r="L255" i="1"/>
  <c r="J255" i="1"/>
  <c r="H255" i="1"/>
  <c r="G255" i="1"/>
  <c r="L260" i="1"/>
  <c r="J260" i="1"/>
  <c r="I260" i="1"/>
  <c r="H260" i="1"/>
  <c r="G260" i="1"/>
  <c r="L258" i="1"/>
  <c r="J258" i="1"/>
  <c r="I258" i="1"/>
  <c r="H258" i="1"/>
  <c r="G258" i="1"/>
  <c r="H259" i="1"/>
  <c r="G259" i="1"/>
  <c r="L261" i="1"/>
  <c r="J261" i="1"/>
  <c r="I261" i="1"/>
  <c r="H261" i="1"/>
  <c r="G261" i="1"/>
  <c r="L257" i="1"/>
  <c r="J257" i="1"/>
  <c r="I257" i="1"/>
  <c r="H257" i="1"/>
  <c r="G257" i="1"/>
  <c r="L256" i="1"/>
  <c r="J256" i="1"/>
  <c r="I256" i="1"/>
  <c r="H256" i="1"/>
  <c r="G256" i="1"/>
  <c r="I276" i="1"/>
  <c r="H276" i="1"/>
  <c r="G276" i="1"/>
  <c r="L392" i="1"/>
  <c r="J392" i="1"/>
  <c r="H392" i="1"/>
  <c r="G392" i="1"/>
  <c r="L266" i="1"/>
  <c r="J266" i="1"/>
  <c r="I266" i="1"/>
  <c r="H266" i="1"/>
  <c r="G266" i="1"/>
  <c r="L280" i="1"/>
  <c r="J280" i="1"/>
  <c r="I280" i="1"/>
  <c r="H280" i="1"/>
  <c r="G280" i="1"/>
  <c r="F280" i="1"/>
  <c r="I263" i="1"/>
  <c r="H263" i="1"/>
  <c r="G263" i="1"/>
  <c r="I526" i="1"/>
  <c r="H526" i="1"/>
  <c r="G526" i="1"/>
  <c r="L278" i="1"/>
  <c r="J278" i="1"/>
  <c r="I278" i="1"/>
  <c r="H278" i="1"/>
  <c r="G278" i="1"/>
  <c r="L262" i="1"/>
  <c r="J262" i="1"/>
  <c r="I262" i="1"/>
  <c r="H262" i="1"/>
  <c r="G262" i="1"/>
  <c r="I281" i="1"/>
  <c r="H281" i="1"/>
  <c r="G281" i="1"/>
  <c r="J277" i="1"/>
  <c r="I277" i="1"/>
  <c r="H277" i="1"/>
  <c r="G277" i="1"/>
  <c r="L269" i="1"/>
  <c r="J269" i="1"/>
  <c r="H269" i="1"/>
  <c r="G269" i="1"/>
  <c r="L275" i="1"/>
  <c r="J275" i="1"/>
  <c r="I275" i="1"/>
  <c r="H275" i="1"/>
  <c r="G275" i="1"/>
  <c r="I265" i="1"/>
  <c r="H265" i="1"/>
  <c r="G265" i="1"/>
  <c r="L268" i="1"/>
  <c r="J268" i="1"/>
  <c r="H268" i="1"/>
  <c r="G268" i="1"/>
  <c r="L283" i="1"/>
  <c r="J283" i="1"/>
  <c r="H283" i="1"/>
  <c r="G283" i="1"/>
  <c r="L264" i="1"/>
  <c r="J264" i="1"/>
  <c r="I264" i="1"/>
  <c r="H264" i="1"/>
  <c r="G264" i="1"/>
  <c r="F264" i="1"/>
  <c r="L274" i="1"/>
  <c r="H274" i="1"/>
  <c r="G274" i="1"/>
  <c r="F274" i="1"/>
  <c r="L271" i="1"/>
  <c r="J271" i="1"/>
  <c r="I271" i="1"/>
  <c r="H271" i="1"/>
  <c r="G271" i="1"/>
  <c r="L270" i="1"/>
  <c r="J270" i="1"/>
  <c r="H270" i="1"/>
  <c r="G270" i="1"/>
  <c r="L267" i="1"/>
  <c r="J267" i="1"/>
  <c r="I267" i="1"/>
  <c r="H267" i="1"/>
  <c r="G267" i="1"/>
  <c r="F267" i="1"/>
  <c r="J285" i="1"/>
  <c r="I285" i="1"/>
  <c r="H285" i="1"/>
  <c r="G285" i="1"/>
  <c r="I286" i="1"/>
  <c r="H286" i="1"/>
  <c r="G286" i="1"/>
  <c r="F286" i="1"/>
  <c r="L279" i="1"/>
  <c r="J279" i="1"/>
  <c r="I279" i="1"/>
  <c r="H279" i="1"/>
  <c r="G279" i="1"/>
  <c r="L284" i="1"/>
  <c r="J284" i="1"/>
  <c r="I284" i="1"/>
  <c r="H284" i="1"/>
  <c r="G284" i="1"/>
  <c r="J282" i="1"/>
  <c r="I282" i="1"/>
  <c r="H282" i="1"/>
  <c r="G282" i="1"/>
  <c r="L288" i="1"/>
  <c r="I288" i="1"/>
  <c r="H288" i="1"/>
  <c r="G288" i="1"/>
  <c r="L289" i="1"/>
  <c r="J289" i="1"/>
  <c r="I289" i="1"/>
  <c r="H289" i="1"/>
  <c r="G289" i="1"/>
  <c r="L287" i="1"/>
  <c r="J287" i="1"/>
  <c r="I287" i="1"/>
  <c r="H287" i="1"/>
  <c r="G287" i="1"/>
  <c r="L324" i="1"/>
  <c r="I324" i="1"/>
  <c r="H324" i="1"/>
  <c r="G324" i="1"/>
  <c r="L339" i="1"/>
  <c r="I339" i="1"/>
  <c r="H339" i="1"/>
  <c r="G339" i="1"/>
  <c r="L293" i="1"/>
  <c r="J293" i="1"/>
  <c r="I293" i="1"/>
  <c r="H293" i="1"/>
  <c r="G293" i="1"/>
  <c r="L305" i="1"/>
  <c r="J305" i="1"/>
  <c r="I305" i="1"/>
  <c r="H305" i="1"/>
  <c r="G305" i="1"/>
  <c r="L302" i="1"/>
  <c r="J302" i="1"/>
  <c r="H302" i="1"/>
  <c r="G302" i="1"/>
  <c r="L290" i="1"/>
  <c r="J290" i="1"/>
  <c r="H290" i="1"/>
  <c r="G290" i="1"/>
  <c r="L301" i="1"/>
  <c r="J301" i="1"/>
  <c r="I301" i="1"/>
  <c r="H301" i="1"/>
  <c r="G301" i="1"/>
  <c r="L291" i="1"/>
  <c r="J291" i="1"/>
  <c r="I291" i="1"/>
  <c r="H291" i="1"/>
  <c r="G291" i="1"/>
  <c r="L295" i="1"/>
  <c r="J295" i="1"/>
  <c r="H295" i="1"/>
  <c r="G295" i="1"/>
  <c r="F295" i="1"/>
  <c r="L329" i="1"/>
  <c r="J329" i="1"/>
  <c r="H329" i="1"/>
  <c r="G329" i="1"/>
  <c r="L311" i="1"/>
  <c r="H311" i="1"/>
  <c r="G311" i="1"/>
  <c r="L298" i="1"/>
  <c r="J298" i="1"/>
  <c r="H298" i="1"/>
  <c r="G298" i="1"/>
  <c r="L316" i="1"/>
  <c r="J316" i="1"/>
  <c r="H316" i="1"/>
  <c r="G316" i="1"/>
  <c r="L292" i="1"/>
  <c r="J292" i="1"/>
  <c r="I292" i="1"/>
  <c r="H292" i="1"/>
  <c r="G292" i="1"/>
  <c r="L304" i="1"/>
  <c r="I304" i="1"/>
  <c r="H304" i="1"/>
  <c r="G304" i="1"/>
  <c r="L294" i="1"/>
  <c r="J294" i="1"/>
  <c r="H294" i="1"/>
  <c r="G294" i="1"/>
  <c r="L300" i="1"/>
  <c r="J300" i="1"/>
  <c r="H300" i="1"/>
  <c r="G300" i="1"/>
  <c r="L719" i="1"/>
  <c r="J719" i="1"/>
  <c r="I719" i="1"/>
  <c r="H719" i="1"/>
  <c r="G719" i="1"/>
  <c r="L297" i="1"/>
  <c r="I297" i="1"/>
  <c r="H297" i="1"/>
  <c r="G297" i="1"/>
  <c r="L331" i="1"/>
  <c r="J331" i="1"/>
  <c r="I331" i="1"/>
  <c r="H331" i="1"/>
  <c r="G331" i="1"/>
  <c r="L338" i="1"/>
  <c r="J338" i="1"/>
  <c r="I338" i="1"/>
  <c r="H338" i="1"/>
  <c r="G338" i="1"/>
  <c r="L744" i="1"/>
  <c r="J744" i="1"/>
  <c r="I744" i="1"/>
  <c r="H744" i="1"/>
  <c r="G744" i="1"/>
  <c r="F744" i="1"/>
  <c r="L330" i="1"/>
  <c r="J330" i="1"/>
  <c r="I330" i="1"/>
  <c r="H330" i="1"/>
  <c r="G330" i="1"/>
  <c r="L328" i="1"/>
  <c r="J328" i="1"/>
  <c r="I328" i="1"/>
  <c r="H328" i="1"/>
  <c r="G328" i="1"/>
  <c r="L332" i="1"/>
  <c r="J332" i="1"/>
  <c r="I332" i="1"/>
  <c r="H332" i="1"/>
  <c r="G332" i="1"/>
  <c r="L169" i="1"/>
  <c r="J169" i="1"/>
  <c r="I169" i="1"/>
  <c r="H169" i="1"/>
  <c r="G169" i="1"/>
  <c r="F169" i="1"/>
  <c r="L319" i="1"/>
  <c r="J319" i="1"/>
  <c r="I319" i="1"/>
  <c r="H319" i="1"/>
  <c r="G319" i="1"/>
  <c r="L307" i="1"/>
  <c r="J307" i="1"/>
  <c r="I307" i="1"/>
  <c r="H307" i="1"/>
  <c r="G307" i="1"/>
  <c r="L308" i="1"/>
  <c r="J308" i="1"/>
  <c r="I308" i="1"/>
  <c r="H308" i="1"/>
  <c r="G308" i="1"/>
  <c r="L337" i="1"/>
  <c r="J337" i="1"/>
  <c r="I337" i="1"/>
  <c r="H337" i="1"/>
  <c r="G337" i="1"/>
  <c r="L333" i="1"/>
  <c r="J333" i="1"/>
  <c r="I333" i="1"/>
  <c r="H333" i="1"/>
  <c r="G333" i="1"/>
  <c r="L309" i="1"/>
  <c r="J309" i="1"/>
  <c r="I309" i="1"/>
  <c r="H309" i="1"/>
  <c r="G309" i="1"/>
  <c r="L348" i="1"/>
  <c r="J348" i="1"/>
  <c r="I348" i="1"/>
  <c r="H348" i="1"/>
  <c r="G348" i="1"/>
  <c r="L317" i="1"/>
  <c r="J317" i="1"/>
  <c r="H317" i="1"/>
  <c r="G317" i="1"/>
  <c r="F317" i="1"/>
  <c r="L314" i="1"/>
  <c r="J314" i="1"/>
  <c r="H314" i="1"/>
  <c r="G314" i="1"/>
  <c r="L299" i="1"/>
  <c r="J299" i="1"/>
  <c r="H299" i="1"/>
  <c r="G299" i="1"/>
  <c r="L310" i="1"/>
  <c r="J310" i="1"/>
  <c r="I310" i="1"/>
  <c r="H310" i="1"/>
  <c r="G310" i="1"/>
  <c r="L296" i="1"/>
  <c r="J296" i="1"/>
  <c r="I296" i="1"/>
  <c r="H296" i="1"/>
  <c r="G296" i="1"/>
  <c r="L318" i="1"/>
  <c r="J318" i="1"/>
  <c r="I318" i="1"/>
  <c r="H318" i="1"/>
  <c r="G318" i="1"/>
  <c r="L306" i="1"/>
  <c r="J306" i="1"/>
  <c r="H306" i="1"/>
  <c r="G306" i="1"/>
  <c r="L320" i="1"/>
  <c r="J320" i="1"/>
  <c r="H320" i="1"/>
  <c r="G320" i="1"/>
  <c r="L313" i="1"/>
  <c r="J313" i="1"/>
  <c r="I313" i="1"/>
  <c r="H313" i="1"/>
  <c r="G313" i="1"/>
  <c r="L312" i="1"/>
  <c r="J312" i="1"/>
  <c r="I312" i="1"/>
  <c r="H312" i="1"/>
  <c r="G312" i="1"/>
  <c r="L323" i="1"/>
  <c r="J323" i="1"/>
  <c r="H323" i="1"/>
  <c r="G323" i="1"/>
  <c r="L322" i="1"/>
  <c r="J322" i="1"/>
  <c r="I322" i="1"/>
  <c r="H322" i="1"/>
  <c r="G322" i="1"/>
  <c r="L327" i="1"/>
  <c r="J327" i="1"/>
  <c r="I327" i="1"/>
  <c r="H327" i="1"/>
  <c r="G327" i="1"/>
  <c r="F327" i="1"/>
  <c r="L334" i="1"/>
  <c r="J334" i="1"/>
  <c r="H334" i="1"/>
  <c r="G334" i="1"/>
  <c r="L335" i="1"/>
  <c r="J335" i="1"/>
  <c r="H335" i="1"/>
  <c r="G335" i="1"/>
  <c r="L336" i="1"/>
  <c r="J336" i="1"/>
  <c r="I336" i="1"/>
  <c r="H336" i="1"/>
  <c r="G336" i="1"/>
  <c r="L303" i="1"/>
  <c r="J303" i="1"/>
  <c r="I303" i="1"/>
  <c r="H303" i="1"/>
  <c r="G303" i="1"/>
  <c r="L326" i="1"/>
  <c r="J326" i="1"/>
  <c r="H326" i="1"/>
  <c r="G326" i="1"/>
  <c r="L340" i="1"/>
  <c r="I340" i="1"/>
  <c r="H340" i="1"/>
  <c r="G340" i="1"/>
  <c r="L358" i="1"/>
  <c r="J358" i="1"/>
  <c r="I358" i="1"/>
  <c r="H358" i="1"/>
  <c r="G358" i="1"/>
  <c r="L355" i="1"/>
  <c r="J355" i="1"/>
  <c r="I355" i="1"/>
  <c r="H355" i="1"/>
  <c r="G355" i="1"/>
  <c r="F355" i="1"/>
  <c r="L362" i="1"/>
  <c r="I362" i="1"/>
  <c r="H362" i="1"/>
  <c r="G362" i="1"/>
  <c r="L359" i="1"/>
  <c r="J359" i="1"/>
  <c r="I359" i="1"/>
  <c r="H359" i="1"/>
  <c r="G359" i="1"/>
  <c r="L342" i="1"/>
  <c r="J342" i="1"/>
  <c r="I342" i="1"/>
  <c r="H342" i="1"/>
  <c r="G342" i="1"/>
  <c r="L341" i="1"/>
  <c r="J341" i="1"/>
  <c r="I341" i="1"/>
  <c r="H341" i="1"/>
  <c r="G341" i="1"/>
  <c r="L343" i="1"/>
  <c r="J343" i="1"/>
  <c r="I343" i="1"/>
  <c r="H343" i="1"/>
  <c r="G343" i="1"/>
  <c r="L721" i="1"/>
  <c r="J721" i="1"/>
  <c r="I721" i="1"/>
  <c r="H721" i="1"/>
  <c r="G721" i="1"/>
  <c r="L347" i="1"/>
  <c r="J347" i="1"/>
  <c r="I347" i="1"/>
  <c r="H347" i="1"/>
  <c r="G347" i="1"/>
  <c r="L349" i="1"/>
  <c r="J349" i="1"/>
  <c r="I349" i="1"/>
  <c r="H349" i="1"/>
  <c r="G349" i="1"/>
  <c r="F349" i="1"/>
  <c r="L344" i="1"/>
  <c r="J344" i="1"/>
  <c r="I344" i="1"/>
  <c r="H344" i="1"/>
  <c r="G344" i="1"/>
  <c r="L352" i="1"/>
  <c r="J352" i="1"/>
  <c r="I352" i="1"/>
  <c r="H352" i="1"/>
  <c r="G352" i="1"/>
  <c r="L530" i="1"/>
  <c r="J530" i="1"/>
  <c r="I530" i="1"/>
  <c r="H530" i="1"/>
  <c r="G530" i="1"/>
  <c r="L360" i="1"/>
  <c r="J360" i="1"/>
  <c r="H360" i="1"/>
  <c r="G360" i="1"/>
  <c r="F360" i="1"/>
  <c r="L504" i="1"/>
  <c r="J504" i="1"/>
  <c r="I504" i="1"/>
  <c r="H504" i="1"/>
  <c r="G504" i="1"/>
  <c r="L351" i="1"/>
  <c r="J351" i="1"/>
  <c r="I351" i="1"/>
  <c r="H351" i="1"/>
  <c r="G351" i="1"/>
  <c r="L363" i="1"/>
  <c r="J363" i="1"/>
  <c r="I363" i="1"/>
  <c r="H363" i="1"/>
  <c r="G363" i="1"/>
  <c r="L345" i="1"/>
  <c r="J345" i="1"/>
  <c r="I345" i="1"/>
  <c r="H345" i="1"/>
  <c r="G345" i="1"/>
  <c r="L353" i="1"/>
  <c r="J353" i="1"/>
  <c r="I353" i="1"/>
  <c r="H353" i="1"/>
  <c r="G353" i="1"/>
  <c r="L350" i="1"/>
  <c r="J350" i="1"/>
  <c r="I350" i="1"/>
  <c r="H350" i="1"/>
  <c r="G350" i="1"/>
  <c r="L354" i="1"/>
  <c r="J354" i="1"/>
  <c r="I354" i="1"/>
  <c r="H354" i="1"/>
  <c r="G354" i="1"/>
  <c r="L361" i="1"/>
  <c r="J361" i="1"/>
  <c r="H361" i="1"/>
  <c r="G361" i="1"/>
  <c r="F361" i="1"/>
  <c r="L729" i="1"/>
  <c r="J729" i="1"/>
  <c r="I729" i="1"/>
  <c r="H729" i="1"/>
  <c r="G729" i="1"/>
  <c r="L448" i="1"/>
  <c r="J448" i="1"/>
  <c r="H448" i="1"/>
  <c r="G448" i="1"/>
  <c r="L357" i="1"/>
  <c r="J357" i="1"/>
  <c r="I357" i="1"/>
  <c r="H357" i="1"/>
  <c r="G357" i="1"/>
  <c r="F357" i="1"/>
  <c r="L346" i="1"/>
  <c r="J346" i="1"/>
  <c r="I346" i="1"/>
  <c r="H346" i="1"/>
  <c r="G346" i="1"/>
  <c r="L206" i="1"/>
  <c r="J206" i="1"/>
  <c r="H206" i="1"/>
  <c r="G206" i="1"/>
  <c r="L372" i="1"/>
  <c r="J372" i="1"/>
  <c r="I372" i="1"/>
  <c r="H372" i="1"/>
  <c r="G372" i="1"/>
  <c r="L368" i="1"/>
  <c r="J368" i="1"/>
  <c r="H368" i="1"/>
  <c r="G368" i="1"/>
  <c r="L93" i="1"/>
  <c r="J93" i="1"/>
  <c r="I93" i="1"/>
  <c r="H93" i="1"/>
  <c r="G93" i="1"/>
  <c r="J107" i="1"/>
  <c r="H107" i="1"/>
  <c r="G107" i="1"/>
  <c r="L365" i="1"/>
  <c r="J365" i="1"/>
  <c r="H365" i="1"/>
  <c r="G365" i="1"/>
  <c r="L366" i="1"/>
  <c r="J366" i="1"/>
  <c r="I366" i="1"/>
  <c r="H366" i="1"/>
  <c r="G366" i="1"/>
  <c r="L367" i="1"/>
  <c r="J367" i="1"/>
  <c r="I367" i="1"/>
  <c r="H367" i="1"/>
  <c r="G367" i="1"/>
  <c r="F367" i="1"/>
  <c r="L364" i="1"/>
  <c r="I364" i="1"/>
  <c r="H364" i="1"/>
  <c r="G364" i="1"/>
  <c r="L369" i="1"/>
  <c r="J369" i="1"/>
  <c r="H369" i="1"/>
  <c r="G369" i="1"/>
  <c r="L370" i="1"/>
  <c r="J370" i="1"/>
  <c r="I370" i="1"/>
  <c r="H370" i="1"/>
  <c r="G370" i="1"/>
  <c r="L373" i="1"/>
  <c r="J373" i="1"/>
  <c r="I373" i="1"/>
  <c r="H373" i="1"/>
  <c r="G373" i="1"/>
  <c r="L374" i="1"/>
  <c r="J374" i="1"/>
  <c r="H374" i="1"/>
  <c r="G374" i="1"/>
  <c r="L371" i="1"/>
  <c r="H371" i="1"/>
  <c r="G371" i="1"/>
  <c r="L356" i="1"/>
  <c r="J356" i="1"/>
  <c r="I356" i="1"/>
  <c r="H356" i="1"/>
  <c r="G356" i="1"/>
  <c r="L376" i="1"/>
  <c r="J376" i="1"/>
  <c r="H376" i="1"/>
  <c r="G376" i="1"/>
  <c r="L377" i="1"/>
  <c r="J377" i="1"/>
  <c r="H377" i="1"/>
  <c r="G377" i="1"/>
  <c r="L381" i="1"/>
  <c r="J381" i="1"/>
  <c r="I381" i="1"/>
  <c r="H381" i="1"/>
  <c r="G381" i="1"/>
  <c r="L383" i="1"/>
  <c r="J383" i="1"/>
  <c r="I383" i="1"/>
  <c r="H383" i="1"/>
  <c r="G383" i="1"/>
  <c r="L380" i="1"/>
  <c r="J380" i="1"/>
  <c r="H380" i="1"/>
  <c r="G380" i="1"/>
  <c r="L379" i="1"/>
  <c r="J379" i="1"/>
  <c r="H379" i="1"/>
  <c r="G379" i="1"/>
  <c r="L382" i="1"/>
  <c r="J382" i="1"/>
  <c r="I382" i="1"/>
  <c r="H382" i="1"/>
  <c r="G382" i="1"/>
  <c r="L401" i="1"/>
  <c r="I401" i="1"/>
  <c r="H401" i="1"/>
  <c r="G401" i="1"/>
  <c r="L384" i="1"/>
  <c r="J384" i="1"/>
  <c r="H384" i="1"/>
  <c r="G384" i="1"/>
  <c r="L385" i="1"/>
  <c r="H385" i="1"/>
  <c r="G385" i="1"/>
  <c r="I402" i="1"/>
  <c r="H402" i="1"/>
  <c r="G402" i="1"/>
  <c r="L95" i="1"/>
  <c r="J95" i="1"/>
  <c r="I95" i="1"/>
  <c r="H95" i="1"/>
  <c r="G95" i="1"/>
  <c r="L394" i="1"/>
  <c r="J394" i="1"/>
  <c r="H394" i="1"/>
  <c r="G394" i="1"/>
  <c r="L386" i="1"/>
  <c r="I386" i="1"/>
  <c r="H386" i="1"/>
  <c r="G386" i="1"/>
  <c r="H391" i="1"/>
  <c r="G391" i="1"/>
  <c r="L395" i="1"/>
  <c r="J395" i="1"/>
  <c r="H395" i="1"/>
  <c r="G395" i="1"/>
  <c r="L400" i="1"/>
  <c r="J400" i="1"/>
  <c r="H400" i="1"/>
  <c r="G400" i="1"/>
  <c r="L393" i="1"/>
  <c r="I393" i="1"/>
  <c r="H393" i="1"/>
  <c r="G393" i="1"/>
  <c r="I387" i="1"/>
  <c r="H387" i="1"/>
  <c r="G387" i="1"/>
  <c r="L403" i="1"/>
  <c r="J403" i="1"/>
  <c r="I403" i="1"/>
  <c r="H403" i="1"/>
  <c r="G403" i="1"/>
  <c r="L404" i="1"/>
  <c r="J404" i="1"/>
  <c r="H404" i="1"/>
  <c r="G404" i="1"/>
  <c r="L390" i="1"/>
  <c r="J390" i="1"/>
  <c r="I390" i="1"/>
  <c r="H390" i="1"/>
  <c r="G390" i="1"/>
  <c r="I398" i="1"/>
  <c r="H398" i="1"/>
  <c r="G398" i="1"/>
  <c r="L389" i="1"/>
  <c r="J389" i="1"/>
  <c r="H389" i="1"/>
  <c r="G389" i="1"/>
  <c r="L388" i="1"/>
  <c r="J388" i="1"/>
  <c r="H388" i="1"/>
  <c r="G388" i="1"/>
  <c r="L399" i="1"/>
  <c r="J399" i="1"/>
  <c r="H399" i="1"/>
  <c r="G399" i="1"/>
  <c r="H405" i="1"/>
  <c r="G405" i="1"/>
  <c r="L435" i="1"/>
  <c r="J435" i="1"/>
  <c r="I435" i="1"/>
  <c r="H435" i="1"/>
  <c r="G435" i="1"/>
  <c r="L434" i="1"/>
  <c r="J434" i="1"/>
  <c r="H434" i="1"/>
  <c r="G434" i="1"/>
  <c r="L406" i="1"/>
  <c r="J406" i="1"/>
  <c r="H406" i="1"/>
  <c r="G406" i="1"/>
  <c r="I408" i="1"/>
  <c r="H408" i="1"/>
  <c r="G408" i="1"/>
  <c r="L409" i="1"/>
  <c r="J409" i="1"/>
  <c r="I409" i="1"/>
  <c r="H409" i="1"/>
  <c r="G409" i="1"/>
  <c r="L429" i="1"/>
  <c r="J429" i="1"/>
  <c r="H429" i="1"/>
  <c r="G429" i="1"/>
  <c r="L423" i="1"/>
  <c r="J423" i="1"/>
  <c r="I423" i="1"/>
  <c r="H423" i="1"/>
  <c r="G423" i="1"/>
  <c r="I735" i="1"/>
  <c r="H735" i="1"/>
  <c r="G735" i="1"/>
  <c r="L97" i="1"/>
  <c r="J97" i="1"/>
  <c r="I97" i="1"/>
  <c r="H97" i="1"/>
  <c r="G97" i="1"/>
  <c r="L412" i="1"/>
  <c r="J412" i="1"/>
  <c r="H412" i="1"/>
  <c r="G412" i="1"/>
  <c r="L437" i="1"/>
  <c r="J437" i="1"/>
  <c r="I437" i="1"/>
  <c r="H437" i="1"/>
  <c r="G437" i="1"/>
  <c r="H410" i="1"/>
  <c r="G410" i="1"/>
  <c r="L417" i="1"/>
  <c r="J417" i="1"/>
  <c r="I417" i="1"/>
  <c r="H417" i="1"/>
  <c r="G417" i="1"/>
  <c r="L416" i="1"/>
  <c r="J416" i="1"/>
  <c r="H416" i="1"/>
  <c r="G416" i="1"/>
  <c r="L419" i="1"/>
  <c r="H419" i="1"/>
  <c r="G419" i="1"/>
  <c r="I415" i="1"/>
  <c r="H415" i="1"/>
  <c r="G415" i="1"/>
  <c r="L421" i="1"/>
  <c r="J421" i="1"/>
  <c r="I421" i="1"/>
  <c r="H421" i="1"/>
  <c r="G421" i="1"/>
  <c r="L414" i="1"/>
  <c r="J414" i="1"/>
  <c r="H414" i="1"/>
  <c r="G414" i="1"/>
  <c r="L436" i="1"/>
  <c r="J436" i="1"/>
  <c r="I436" i="1"/>
  <c r="H436" i="1"/>
  <c r="G436" i="1"/>
  <c r="L411" i="1"/>
  <c r="H411" i="1"/>
  <c r="G411" i="1"/>
  <c r="L430" i="1"/>
  <c r="J430" i="1"/>
  <c r="I430" i="1"/>
  <c r="H430" i="1"/>
  <c r="G430" i="1"/>
  <c r="L425" i="1"/>
  <c r="J425" i="1"/>
  <c r="H425" i="1"/>
  <c r="G425" i="1"/>
  <c r="L407" i="1"/>
  <c r="J407" i="1"/>
  <c r="I407" i="1"/>
  <c r="H407" i="1"/>
  <c r="G407" i="1"/>
  <c r="L98" i="1"/>
  <c r="H98" i="1"/>
  <c r="G98" i="1"/>
  <c r="F98" i="1"/>
  <c r="L422" i="1"/>
  <c r="J422" i="1"/>
  <c r="I422" i="1"/>
  <c r="H422" i="1"/>
  <c r="G422" i="1"/>
  <c r="L424" i="1"/>
  <c r="J424" i="1"/>
  <c r="H424" i="1"/>
  <c r="G424" i="1"/>
  <c r="L427" i="1"/>
  <c r="J427" i="1"/>
  <c r="H427" i="1"/>
  <c r="G427" i="1"/>
  <c r="I418" i="1"/>
  <c r="H418" i="1"/>
  <c r="G418" i="1"/>
  <c r="L426" i="1"/>
  <c r="J426" i="1"/>
  <c r="I426" i="1"/>
  <c r="H426" i="1"/>
  <c r="G426" i="1"/>
  <c r="L428" i="1"/>
  <c r="J428" i="1"/>
  <c r="H428" i="1"/>
  <c r="G428" i="1"/>
  <c r="L96" i="1"/>
  <c r="J96" i="1"/>
  <c r="I96" i="1"/>
  <c r="H96" i="1"/>
  <c r="G96" i="1"/>
  <c r="I432" i="1"/>
  <c r="H432" i="1"/>
  <c r="G432" i="1"/>
  <c r="L100" i="1"/>
  <c r="J100" i="1"/>
  <c r="I100" i="1"/>
  <c r="H100" i="1"/>
  <c r="G100" i="1"/>
  <c r="L413" i="1"/>
  <c r="J413" i="1"/>
  <c r="H413" i="1"/>
  <c r="G413" i="1"/>
  <c r="L420" i="1"/>
  <c r="J420" i="1"/>
  <c r="I420" i="1"/>
  <c r="H420" i="1"/>
  <c r="G420" i="1"/>
  <c r="H35" i="1"/>
  <c r="G35" i="1"/>
  <c r="L446" i="1"/>
  <c r="J446" i="1"/>
  <c r="I446" i="1"/>
  <c r="H446" i="1"/>
  <c r="G446" i="1"/>
  <c r="L452" i="1"/>
  <c r="J452" i="1"/>
  <c r="H452" i="1"/>
  <c r="G452" i="1"/>
  <c r="L442" i="1"/>
  <c r="J442" i="1"/>
  <c r="I442" i="1"/>
  <c r="H442" i="1"/>
  <c r="G442" i="1"/>
  <c r="I158" i="1"/>
  <c r="H158" i="1"/>
  <c r="G158" i="1"/>
  <c r="L101" i="1"/>
  <c r="J101" i="1"/>
  <c r="I101" i="1"/>
  <c r="H101" i="1"/>
  <c r="G101" i="1"/>
  <c r="L454" i="1"/>
  <c r="J454" i="1"/>
  <c r="H454" i="1"/>
  <c r="G454" i="1"/>
  <c r="L737" i="1"/>
  <c r="J737" i="1"/>
  <c r="H737" i="1"/>
  <c r="G737" i="1"/>
  <c r="F737" i="1"/>
  <c r="I439" i="1"/>
  <c r="H439" i="1"/>
  <c r="G439" i="1"/>
  <c r="L455" i="1"/>
  <c r="J455" i="1"/>
  <c r="I455" i="1"/>
  <c r="H455" i="1"/>
  <c r="G455" i="1"/>
  <c r="L571" i="1"/>
  <c r="J571" i="1"/>
  <c r="H571" i="1"/>
  <c r="G571" i="1"/>
  <c r="L445" i="1"/>
  <c r="J445" i="1"/>
  <c r="I445" i="1"/>
  <c r="H445" i="1"/>
  <c r="G445" i="1"/>
  <c r="I451" i="1"/>
  <c r="H451" i="1"/>
  <c r="G451" i="1"/>
  <c r="L447" i="1"/>
  <c r="J447" i="1"/>
  <c r="I447" i="1"/>
  <c r="H447" i="1"/>
  <c r="G447" i="1"/>
  <c r="L443" i="1"/>
  <c r="J443" i="1"/>
  <c r="H443" i="1"/>
  <c r="G443" i="1"/>
  <c r="L444" i="1"/>
  <c r="H444" i="1"/>
  <c r="G444" i="1"/>
  <c r="I375" i="1"/>
  <c r="H375" i="1"/>
  <c r="G375" i="1"/>
  <c r="L457" i="1"/>
  <c r="J457" i="1"/>
  <c r="I457" i="1"/>
  <c r="H457" i="1"/>
  <c r="G457" i="1"/>
  <c r="L441" i="1"/>
  <c r="J441" i="1"/>
  <c r="H441" i="1"/>
  <c r="G441" i="1"/>
  <c r="L450" i="1"/>
  <c r="J450" i="1"/>
  <c r="I450" i="1"/>
  <c r="H450" i="1"/>
  <c r="G450" i="1"/>
  <c r="L458" i="1"/>
  <c r="I458" i="1"/>
  <c r="H458" i="1"/>
  <c r="G458" i="1"/>
  <c r="F458" i="1"/>
  <c r="L449" i="1"/>
  <c r="J449" i="1"/>
  <c r="I449" i="1"/>
  <c r="H449" i="1"/>
  <c r="G449" i="1"/>
  <c r="L453" i="1"/>
  <c r="J453" i="1"/>
  <c r="H453" i="1"/>
  <c r="G453" i="1"/>
  <c r="L456" i="1"/>
  <c r="J456" i="1"/>
  <c r="H456" i="1"/>
  <c r="G456" i="1"/>
  <c r="L475" i="1"/>
  <c r="I475" i="1"/>
  <c r="H475" i="1"/>
  <c r="G475" i="1"/>
  <c r="L467" i="1"/>
  <c r="J467" i="1"/>
  <c r="I467" i="1"/>
  <c r="H467" i="1"/>
  <c r="G467" i="1"/>
  <c r="F467" i="1"/>
  <c r="L459" i="1"/>
  <c r="J459" i="1"/>
  <c r="H459" i="1"/>
  <c r="G459" i="1"/>
  <c r="L438" i="1"/>
  <c r="J438" i="1"/>
  <c r="H438" i="1"/>
  <c r="G438" i="1"/>
  <c r="L471" i="1"/>
  <c r="H471" i="1"/>
  <c r="G471" i="1"/>
  <c r="L473" i="1"/>
  <c r="J473" i="1"/>
  <c r="H473" i="1"/>
  <c r="G473" i="1"/>
  <c r="L460" i="1"/>
  <c r="J460" i="1"/>
  <c r="I460" i="1"/>
  <c r="H460" i="1"/>
  <c r="G460" i="1"/>
  <c r="L499" i="1"/>
  <c r="J499" i="1"/>
  <c r="H499" i="1"/>
  <c r="G499" i="1"/>
  <c r="F499" i="1"/>
  <c r="L477" i="1"/>
  <c r="I477" i="1"/>
  <c r="H477" i="1"/>
  <c r="G477" i="1"/>
  <c r="F477" i="1"/>
  <c r="L474" i="1"/>
  <c r="J474" i="1"/>
  <c r="H474" i="1"/>
  <c r="G474" i="1"/>
  <c r="L463" i="1"/>
  <c r="J463" i="1"/>
  <c r="H463" i="1"/>
  <c r="G463" i="1"/>
  <c r="F463" i="1"/>
  <c r="L479" i="1"/>
  <c r="J479" i="1"/>
  <c r="I479" i="1"/>
  <c r="H479" i="1"/>
  <c r="G479" i="1"/>
  <c r="I465" i="1"/>
  <c r="H465" i="1"/>
  <c r="G465" i="1"/>
  <c r="L105" i="1"/>
  <c r="J105" i="1"/>
  <c r="H105" i="1"/>
  <c r="G105" i="1"/>
  <c r="L497" i="1"/>
  <c r="J497" i="1"/>
  <c r="H497" i="1"/>
  <c r="G497" i="1"/>
  <c r="L469" i="1"/>
  <c r="H469" i="1"/>
  <c r="G469" i="1"/>
  <c r="L461" i="1"/>
  <c r="H461" i="1"/>
  <c r="G461" i="1"/>
  <c r="L502" i="1"/>
  <c r="J502" i="1"/>
  <c r="I502" i="1"/>
  <c r="H502" i="1"/>
  <c r="G502" i="1"/>
  <c r="L505" i="1"/>
  <c r="J505" i="1"/>
  <c r="I505" i="1"/>
  <c r="H505" i="1"/>
  <c r="G505" i="1"/>
  <c r="I476" i="1"/>
  <c r="H476" i="1"/>
  <c r="G476" i="1"/>
  <c r="L743" i="1"/>
  <c r="J743" i="1"/>
  <c r="I743" i="1"/>
  <c r="H743" i="1"/>
  <c r="G743" i="1"/>
  <c r="L511" i="1"/>
  <c r="J511" i="1"/>
  <c r="H511" i="1"/>
  <c r="G511" i="1"/>
  <c r="L103" i="1"/>
  <c r="J103" i="1"/>
  <c r="I103" i="1"/>
  <c r="H103" i="1"/>
  <c r="G103" i="1"/>
  <c r="I584" i="1"/>
  <c r="H584" i="1"/>
  <c r="G584" i="1"/>
  <c r="L496" i="1"/>
  <c r="J496" i="1"/>
  <c r="I496" i="1"/>
  <c r="H496" i="1"/>
  <c r="G496" i="1"/>
  <c r="L495" i="1"/>
  <c r="J495" i="1"/>
  <c r="H495" i="1"/>
  <c r="G495" i="1"/>
  <c r="L478" i="1"/>
  <c r="J478" i="1"/>
  <c r="I478" i="1"/>
  <c r="H478" i="1"/>
  <c r="G478" i="1"/>
  <c r="I480" i="1"/>
  <c r="H480" i="1"/>
  <c r="G480" i="1"/>
  <c r="L481" i="1"/>
  <c r="J481" i="1"/>
  <c r="I481" i="1"/>
  <c r="H481" i="1"/>
  <c r="G481" i="1"/>
  <c r="L482" i="1"/>
  <c r="J482" i="1"/>
  <c r="H482" i="1"/>
  <c r="G482" i="1"/>
  <c r="L485" i="1"/>
  <c r="J485" i="1"/>
  <c r="I485" i="1"/>
  <c r="H485" i="1"/>
  <c r="G485" i="1"/>
  <c r="I484" i="1"/>
  <c r="H484" i="1"/>
  <c r="G484" i="1"/>
  <c r="L464" i="1"/>
  <c r="J464" i="1"/>
  <c r="I464" i="1"/>
  <c r="H464" i="1"/>
  <c r="G464" i="1"/>
  <c r="L506" i="1"/>
  <c r="J506" i="1"/>
  <c r="H506" i="1"/>
  <c r="G506" i="1"/>
  <c r="L498" i="1"/>
  <c r="J498" i="1"/>
  <c r="I498" i="1"/>
  <c r="H498" i="1"/>
  <c r="G498" i="1"/>
  <c r="I466" i="1"/>
  <c r="H466" i="1"/>
  <c r="G466" i="1"/>
  <c r="L472" i="1"/>
  <c r="J472" i="1"/>
  <c r="H472" i="1"/>
  <c r="G472" i="1"/>
  <c r="L487" i="1"/>
  <c r="J487" i="1"/>
  <c r="H487" i="1"/>
  <c r="G487" i="1"/>
  <c r="L486" i="1"/>
  <c r="J486" i="1"/>
  <c r="I486" i="1"/>
  <c r="H486" i="1"/>
  <c r="G486" i="1"/>
  <c r="I488" i="1"/>
  <c r="H488" i="1"/>
  <c r="G488" i="1"/>
  <c r="L503" i="1"/>
  <c r="J503" i="1"/>
  <c r="H503" i="1"/>
  <c r="G503" i="1"/>
  <c r="L491" i="1"/>
  <c r="J491" i="1"/>
  <c r="H491" i="1"/>
  <c r="G491" i="1"/>
  <c r="L492" i="1"/>
  <c r="J492" i="1"/>
  <c r="I492" i="1"/>
  <c r="H492" i="1"/>
  <c r="G492" i="1"/>
  <c r="I104" i="1"/>
  <c r="H104" i="1"/>
  <c r="G104" i="1"/>
  <c r="L489" i="1"/>
  <c r="J489" i="1"/>
  <c r="I489" i="1"/>
  <c r="H489" i="1"/>
  <c r="G489" i="1"/>
  <c r="L214" i="1"/>
  <c r="J214" i="1"/>
  <c r="H214" i="1"/>
  <c r="G214" i="1"/>
  <c r="L501" i="1"/>
  <c r="J501" i="1"/>
  <c r="H501" i="1"/>
  <c r="G501" i="1"/>
  <c r="L554" i="1"/>
  <c r="I554" i="1"/>
  <c r="H554" i="1"/>
  <c r="G554" i="1"/>
  <c r="L493" i="1"/>
  <c r="J493" i="1"/>
  <c r="I493" i="1"/>
  <c r="H493" i="1"/>
  <c r="G493" i="1"/>
  <c r="L508" i="1"/>
  <c r="J508" i="1"/>
  <c r="H508" i="1"/>
  <c r="G508" i="1"/>
  <c r="L509" i="1"/>
  <c r="J509" i="1"/>
  <c r="I509" i="1"/>
  <c r="H509" i="1"/>
  <c r="G509" i="1"/>
  <c r="I510" i="1"/>
  <c r="H510" i="1"/>
  <c r="G510" i="1"/>
  <c r="L536" i="1"/>
  <c r="J536" i="1"/>
  <c r="I536" i="1"/>
  <c r="H536" i="1"/>
  <c r="G536" i="1"/>
  <c r="L512" i="1"/>
  <c r="J512" i="1"/>
  <c r="H512" i="1"/>
  <c r="G512" i="1"/>
  <c r="L513" i="1"/>
  <c r="J513" i="1"/>
  <c r="I513" i="1"/>
  <c r="H513" i="1"/>
  <c r="G513" i="1"/>
  <c r="I514" i="1"/>
  <c r="H514" i="1"/>
  <c r="G514" i="1"/>
  <c r="L521" i="1"/>
  <c r="J521" i="1"/>
  <c r="H521" i="1"/>
  <c r="G521" i="1"/>
  <c r="L525" i="1"/>
  <c r="J525" i="1"/>
  <c r="H525" i="1"/>
  <c r="G525" i="1"/>
  <c r="L533" i="1"/>
  <c r="J533" i="1"/>
  <c r="I533" i="1"/>
  <c r="H533" i="1"/>
  <c r="G533" i="1"/>
  <c r="I515" i="1"/>
  <c r="H515" i="1"/>
  <c r="G515" i="1"/>
  <c r="L627" i="1"/>
  <c r="J627" i="1"/>
  <c r="I627" i="1"/>
  <c r="H627" i="1"/>
  <c r="G627" i="1"/>
  <c r="L517" i="1"/>
  <c r="J517" i="1"/>
  <c r="H517" i="1"/>
  <c r="G517" i="1"/>
  <c r="L519" i="1"/>
  <c r="J519" i="1"/>
  <c r="I519" i="1"/>
  <c r="H519" i="1"/>
  <c r="G519" i="1"/>
  <c r="I522" i="1"/>
  <c r="H522" i="1"/>
  <c r="G522" i="1"/>
  <c r="L520" i="1"/>
  <c r="J520" i="1"/>
  <c r="I520" i="1"/>
  <c r="H520" i="1"/>
  <c r="G520" i="1"/>
  <c r="L106" i="1"/>
  <c r="J106" i="1"/>
  <c r="H106" i="1"/>
  <c r="G106" i="1"/>
  <c r="L528" i="1"/>
  <c r="J528" i="1"/>
  <c r="I528" i="1"/>
  <c r="H528" i="1"/>
  <c r="G528" i="1"/>
  <c r="I529" i="1"/>
  <c r="H529" i="1"/>
  <c r="G529" i="1"/>
  <c r="L534" i="1"/>
  <c r="J534" i="1"/>
  <c r="I534" i="1"/>
  <c r="H534" i="1"/>
  <c r="G534" i="1"/>
  <c r="L518" i="1"/>
  <c r="J518" i="1"/>
  <c r="H518" i="1"/>
  <c r="G518" i="1"/>
  <c r="F518" i="1"/>
  <c r="L531" i="1"/>
  <c r="J531" i="1"/>
  <c r="I531" i="1"/>
  <c r="H531" i="1"/>
  <c r="G531" i="1"/>
  <c r="I535" i="1"/>
  <c r="H535" i="1"/>
  <c r="G535" i="1"/>
  <c r="L537" i="1"/>
  <c r="J537" i="1"/>
  <c r="I537" i="1"/>
  <c r="H537" i="1"/>
  <c r="G537" i="1"/>
  <c r="L523" i="1"/>
  <c r="J523" i="1"/>
  <c r="H523" i="1"/>
  <c r="G523" i="1"/>
  <c r="L576" i="1"/>
  <c r="J576" i="1"/>
  <c r="I576" i="1"/>
  <c r="H576" i="1"/>
  <c r="G576" i="1"/>
  <c r="I532" i="1"/>
  <c r="H532" i="1"/>
  <c r="G532" i="1"/>
  <c r="L524" i="1"/>
  <c r="J524" i="1"/>
  <c r="I524" i="1"/>
  <c r="H524" i="1"/>
  <c r="G524" i="1"/>
  <c r="L538" i="1"/>
  <c r="J538" i="1"/>
  <c r="H538" i="1"/>
  <c r="G538" i="1"/>
  <c r="L540" i="1"/>
  <c r="J540" i="1"/>
  <c r="I540" i="1"/>
  <c r="H540" i="1"/>
  <c r="G540" i="1"/>
  <c r="I541" i="1"/>
  <c r="H541" i="1"/>
  <c r="G541" i="1"/>
  <c r="L539" i="1"/>
  <c r="J539" i="1"/>
  <c r="I539" i="1"/>
  <c r="H539" i="1"/>
  <c r="G539" i="1"/>
  <c r="L547" i="1"/>
  <c r="J547" i="1"/>
  <c r="H547" i="1"/>
  <c r="G547" i="1"/>
  <c r="L718" i="1"/>
  <c r="J718" i="1"/>
  <c r="I718" i="1"/>
  <c r="H718" i="1"/>
  <c r="G718" i="1"/>
  <c r="I542" i="1"/>
  <c r="H542" i="1"/>
  <c r="G542" i="1"/>
  <c r="L552" i="1"/>
  <c r="J552" i="1"/>
  <c r="I552" i="1"/>
  <c r="H552" i="1"/>
  <c r="G552" i="1"/>
  <c r="L549" i="1"/>
  <c r="J549" i="1"/>
  <c r="H549" i="1"/>
  <c r="G549" i="1"/>
  <c r="L553" i="1"/>
  <c r="J553" i="1"/>
  <c r="I553" i="1"/>
  <c r="H553" i="1"/>
  <c r="G553" i="1"/>
  <c r="I556" i="1"/>
  <c r="H556" i="1"/>
  <c r="G556" i="1"/>
  <c r="L557" i="1"/>
  <c r="J557" i="1"/>
  <c r="I557" i="1"/>
  <c r="H557" i="1"/>
  <c r="G557" i="1"/>
  <c r="L558" i="1"/>
  <c r="J558" i="1"/>
  <c r="H558" i="1"/>
  <c r="G558" i="1"/>
  <c r="L204" i="1"/>
  <c r="J204" i="1"/>
  <c r="I204" i="1"/>
  <c r="H204" i="1"/>
  <c r="G204" i="1"/>
  <c r="L544" i="1"/>
  <c r="I544" i="1"/>
  <c r="H544" i="1"/>
  <c r="G544" i="1"/>
  <c r="L545" i="1"/>
  <c r="J545" i="1"/>
  <c r="H545" i="1"/>
  <c r="G545" i="1"/>
  <c r="L548" i="1"/>
  <c r="J548" i="1"/>
  <c r="H548" i="1"/>
  <c r="G548" i="1"/>
  <c r="L550" i="1"/>
  <c r="J550" i="1"/>
  <c r="I550" i="1"/>
  <c r="H550" i="1"/>
  <c r="G550" i="1"/>
  <c r="I551" i="1"/>
  <c r="H551" i="1"/>
  <c r="G551" i="1"/>
  <c r="L546" i="1"/>
  <c r="J546" i="1"/>
  <c r="I546" i="1"/>
  <c r="H546" i="1"/>
  <c r="G546" i="1"/>
  <c r="L599" i="1"/>
  <c r="J599" i="1"/>
  <c r="H599" i="1"/>
  <c r="G599" i="1"/>
  <c r="L633" i="1"/>
  <c r="J633" i="1"/>
  <c r="I633" i="1"/>
  <c r="H633" i="1"/>
  <c r="G633" i="1"/>
  <c r="L559" i="1"/>
  <c r="H559" i="1"/>
  <c r="G559" i="1"/>
  <c r="L607" i="1"/>
  <c r="J607" i="1"/>
  <c r="I607" i="1"/>
  <c r="H607" i="1"/>
  <c r="G607" i="1"/>
  <c r="L561" i="1"/>
  <c r="J561" i="1"/>
  <c r="H561" i="1"/>
  <c r="G561" i="1"/>
  <c r="L563" i="1"/>
  <c r="J563" i="1"/>
  <c r="I563" i="1"/>
  <c r="H563" i="1"/>
  <c r="G563" i="1"/>
  <c r="I623" i="1"/>
  <c r="H623" i="1"/>
  <c r="G623" i="1"/>
  <c r="L569" i="1"/>
  <c r="J569" i="1"/>
  <c r="H569" i="1"/>
  <c r="G569" i="1"/>
  <c r="L564" i="1"/>
  <c r="J564" i="1"/>
  <c r="H564" i="1"/>
  <c r="G564" i="1"/>
  <c r="L579" i="1"/>
  <c r="J579" i="1"/>
  <c r="I579" i="1"/>
  <c r="H579" i="1"/>
  <c r="G579" i="1"/>
  <c r="I601" i="1"/>
  <c r="H601" i="1"/>
  <c r="G601" i="1"/>
  <c r="L565" i="1"/>
  <c r="J565" i="1"/>
  <c r="I565" i="1"/>
  <c r="H565" i="1"/>
  <c r="G565" i="1"/>
  <c r="L625" i="1"/>
  <c r="J625" i="1"/>
  <c r="H625" i="1"/>
  <c r="G625" i="1"/>
  <c r="L578" i="1"/>
  <c r="J578" i="1"/>
  <c r="H578" i="1"/>
  <c r="G578" i="1"/>
  <c r="I622" i="1"/>
  <c r="H622" i="1"/>
  <c r="G622" i="1"/>
  <c r="L566" i="1"/>
  <c r="J566" i="1"/>
  <c r="I566" i="1"/>
  <c r="H566" i="1"/>
  <c r="G566" i="1"/>
  <c r="L600" i="1"/>
  <c r="J600" i="1"/>
  <c r="H600" i="1"/>
  <c r="G600" i="1"/>
  <c r="L568" i="1"/>
  <c r="J568" i="1"/>
  <c r="H568" i="1"/>
  <c r="G568" i="1"/>
  <c r="I610" i="1"/>
  <c r="H610" i="1"/>
  <c r="G610" i="1"/>
  <c r="L629" i="1"/>
  <c r="J629" i="1"/>
  <c r="I629" i="1"/>
  <c r="H629" i="1"/>
  <c r="G629" i="1"/>
  <c r="L609" i="1"/>
  <c r="J609" i="1"/>
  <c r="H609" i="1"/>
  <c r="G609" i="1"/>
  <c r="L608" i="1"/>
  <c r="J608" i="1"/>
  <c r="I608" i="1"/>
  <c r="H608" i="1"/>
  <c r="G608" i="1"/>
  <c r="I614" i="1"/>
  <c r="H614" i="1"/>
  <c r="G614" i="1"/>
  <c r="L570" i="1"/>
  <c r="J570" i="1"/>
  <c r="I570" i="1"/>
  <c r="H570" i="1"/>
  <c r="G570" i="1"/>
  <c r="L577" i="1"/>
  <c r="J577" i="1"/>
  <c r="H577" i="1"/>
  <c r="G577" i="1"/>
  <c r="L606" i="1"/>
  <c r="J606" i="1"/>
  <c r="H606" i="1"/>
  <c r="G606" i="1"/>
  <c r="I589" i="1"/>
  <c r="H589" i="1"/>
  <c r="G589" i="1"/>
  <c r="L592" i="1"/>
  <c r="J592" i="1"/>
  <c r="H592" i="1"/>
  <c r="G592" i="1"/>
  <c r="L468" i="1"/>
  <c r="J468" i="1"/>
  <c r="H468" i="1"/>
  <c r="G468" i="1"/>
  <c r="L593" i="1"/>
  <c r="J593" i="1"/>
  <c r="H593" i="1"/>
  <c r="G593" i="1"/>
  <c r="I594" i="1"/>
  <c r="H594" i="1"/>
  <c r="G594" i="1"/>
  <c r="L560" i="1"/>
  <c r="J560" i="1"/>
  <c r="I560" i="1"/>
  <c r="H560" i="1"/>
  <c r="G560" i="1"/>
  <c r="L595" i="1"/>
  <c r="J595" i="1"/>
  <c r="H595" i="1"/>
  <c r="G595" i="1"/>
  <c r="L586" i="1"/>
  <c r="J586" i="1"/>
  <c r="I586" i="1"/>
  <c r="H586" i="1"/>
  <c r="G586" i="1"/>
  <c r="I585" i="1"/>
  <c r="H585" i="1"/>
  <c r="G585" i="1"/>
  <c r="L628" i="1"/>
  <c r="J628" i="1"/>
  <c r="I628" i="1"/>
  <c r="H628" i="1"/>
  <c r="G628" i="1"/>
  <c r="L108" i="1"/>
  <c r="J108" i="1"/>
  <c r="H108" i="1"/>
  <c r="G108" i="1"/>
  <c r="L588" i="1"/>
  <c r="J588" i="1"/>
  <c r="I588" i="1"/>
  <c r="H588" i="1"/>
  <c r="G588" i="1"/>
  <c r="I597" i="1"/>
  <c r="H597" i="1"/>
  <c r="G597" i="1"/>
  <c r="L602" i="1"/>
  <c r="J602" i="1"/>
  <c r="I602" i="1"/>
  <c r="H602" i="1"/>
  <c r="G602" i="1"/>
  <c r="L638" i="1"/>
  <c r="J638" i="1"/>
  <c r="H638" i="1"/>
  <c r="G638" i="1"/>
  <c r="L611" i="1"/>
  <c r="J611" i="1"/>
  <c r="I611" i="1"/>
  <c r="H611" i="1"/>
  <c r="G611" i="1"/>
  <c r="I603" i="1"/>
  <c r="H603" i="1"/>
  <c r="G603" i="1"/>
  <c r="L604" i="1"/>
  <c r="J604" i="1"/>
  <c r="I604" i="1"/>
  <c r="H604" i="1"/>
  <c r="G604" i="1"/>
  <c r="L580" i="1"/>
  <c r="J580" i="1"/>
  <c r="H580" i="1"/>
  <c r="G580" i="1"/>
  <c r="L598" i="1"/>
  <c r="J598" i="1"/>
  <c r="I598" i="1"/>
  <c r="H598" i="1"/>
  <c r="G598" i="1"/>
  <c r="I590" i="1"/>
  <c r="H590" i="1"/>
  <c r="G590" i="1"/>
  <c r="L562" i="1"/>
  <c r="I562" i="1"/>
  <c r="H562" i="1"/>
  <c r="G562" i="1"/>
  <c r="L637" i="1"/>
  <c r="J637" i="1"/>
  <c r="H637" i="1"/>
  <c r="G637" i="1"/>
  <c r="L615" i="1"/>
  <c r="J615" i="1"/>
  <c r="I615" i="1"/>
  <c r="H615" i="1"/>
  <c r="G615" i="1"/>
  <c r="I616" i="1"/>
  <c r="H616" i="1"/>
  <c r="G616" i="1"/>
  <c r="L591" i="1"/>
  <c r="J591" i="1"/>
  <c r="I591" i="1"/>
  <c r="H591" i="1"/>
  <c r="G591" i="1"/>
  <c r="L596" i="1"/>
  <c r="J596" i="1"/>
  <c r="H596" i="1"/>
  <c r="G596" i="1"/>
  <c r="L567" i="1"/>
  <c r="J567" i="1"/>
  <c r="H567" i="1"/>
  <c r="G567" i="1"/>
  <c r="I617" i="1"/>
  <c r="H617" i="1"/>
  <c r="G617" i="1"/>
  <c r="L626" i="1"/>
  <c r="J626" i="1"/>
  <c r="I626" i="1"/>
  <c r="H626" i="1"/>
  <c r="G626" i="1"/>
  <c r="L581" i="1"/>
  <c r="J581" i="1"/>
  <c r="H581" i="1"/>
  <c r="G581" i="1"/>
  <c r="L635" i="1"/>
  <c r="J635" i="1"/>
  <c r="I635" i="1"/>
  <c r="H635" i="1"/>
  <c r="G635" i="1"/>
  <c r="I583" i="1"/>
  <c r="H583" i="1"/>
  <c r="G583" i="1"/>
  <c r="L618" i="1"/>
  <c r="J618" i="1"/>
  <c r="H618" i="1"/>
  <c r="G618" i="1"/>
  <c r="L587" i="1"/>
  <c r="J587" i="1"/>
  <c r="H587" i="1"/>
  <c r="G587" i="1"/>
  <c r="L605" i="1"/>
  <c r="J605" i="1"/>
  <c r="I605" i="1"/>
  <c r="H605" i="1"/>
  <c r="G605" i="1"/>
  <c r="I631" i="1"/>
  <c r="H631" i="1"/>
  <c r="G631" i="1"/>
  <c r="L619" i="1"/>
  <c r="J619" i="1"/>
  <c r="I619" i="1"/>
  <c r="H619" i="1"/>
  <c r="G619" i="1"/>
  <c r="L621" i="1"/>
  <c r="J621" i="1"/>
  <c r="H621" i="1"/>
  <c r="G621" i="1"/>
  <c r="L620" i="1"/>
  <c r="J620" i="1"/>
  <c r="H620" i="1"/>
  <c r="G620" i="1"/>
  <c r="I624" i="1"/>
  <c r="H624" i="1"/>
  <c r="G624" i="1"/>
  <c r="L634" i="1"/>
  <c r="J634" i="1"/>
  <c r="I634" i="1"/>
  <c r="H634" i="1"/>
  <c r="G634" i="1"/>
  <c r="L630" i="1"/>
  <c r="J630" i="1"/>
  <c r="H630" i="1"/>
  <c r="G630" i="1"/>
  <c r="L636" i="1"/>
  <c r="J636" i="1"/>
  <c r="I636" i="1"/>
  <c r="H636" i="1"/>
  <c r="G636" i="1"/>
  <c r="I639" i="1"/>
  <c r="H639" i="1"/>
  <c r="G639" i="1"/>
  <c r="L659" i="1"/>
  <c r="J659" i="1"/>
  <c r="I659" i="1"/>
  <c r="H659" i="1"/>
  <c r="G659" i="1"/>
  <c r="L490" i="1"/>
  <c r="J490" i="1"/>
  <c r="H490" i="1"/>
  <c r="G490" i="1"/>
  <c r="L164" i="1"/>
  <c r="J164" i="1"/>
  <c r="I164" i="1"/>
  <c r="H164" i="1"/>
  <c r="G164" i="1"/>
  <c r="I642" i="1"/>
  <c r="H642" i="1"/>
  <c r="G642" i="1"/>
  <c r="L643" i="1"/>
  <c r="J643" i="1"/>
  <c r="H643" i="1"/>
  <c r="G643" i="1"/>
  <c r="L650" i="1"/>
  <c r="J650" i="1"/>
  <c r="H650" i="1"/>
  <c r="G650" i="1"/>
  <c r="L647" i="1"/>
  <c r="J647" i="1"/>
  <c r="I647" i="1"/>
  <c r="H647" i="1"/>
  <c r="G647" i="1"/>
  <c r="F647" i="1"/>
  <c r="I221" i="1"/>
  <c r="H221" i="1"/>
  <c r="G221" i="1"/>
  <c r="L666" i="1"/>
  <c r="I666" i="1"/>
  <c r="H666" i="1"/>
  <c r="G666" i="1"/>
  <c r="L652" i="1"/>
  <c r="J652" i="1"/>
  <c r="H652" i="1"/>
  <c r="G652" i="1"/>
  <c r="L665" i="1"/>
  <c r="J665" i="1"/>
  <c r="I665" i="1"/>
  <c r="H665" i="1"/>
  <c r="G665" i="1"/>
  <c r="F665" i="1"/>
  <c r="I109" i="1"/>
  <c r="H109" i="1"/>
  <c r="G109" i="1"/>
  <c r="L649" i="1"/>
  <c r="J649" i="1"/>
  <c r="I649" i="1"/>
  <c r="H649" i="1"/>
  <c r="G649" i="1"/>
  <c r="L664" i="1"/>
  <c r="J664" i="1"/>
  <c r="I664" i="1"/>
  <c r="H664" i="1"/>
  <c r="G664" i="1"/>
  <c r="L663" i="1"/>
  <c r="J663" i="1"/>
  <c r="I663" i="1"/>
  <c r="H663" i="1"/>
  <c r="G663" i="1"/>
  <c r="L670" i="1"/>
  <c r="I670" i="1"/>
  <c r="H670" i="1"/>
  <c r="G670" i="1"/>
  <c r="L653" i="1"/>
  <c r="J653" i="1"/>
  <c r="I653" i="1"/>
  <c r="H653" i="1"/>
  <c r="G653" i="1"/>
  <c r="F653" i="1"/>
  <c r="L661" i="1"/>
  <c r="J661" i="1"/>
  <c r="H661" i="1"/>
  <c r="G661" i="1"/>
  <c r="F661" i="1"/>
  <c r="L662" i="1"/>
  <c r="J662" i="1"/>
  <c r="I662" i="1"/>
  <c r="H662" i="1"/>
  <c r="G662" i="1"/>
  <c r="F662" i="1"/>
  <c r="L654" i="1"/>
  <c r="I654" i="1"/>
  <c r="H654" i="1"/>
  <c r="G654" i="1"/>
  <c r="F654" i="1"/>
  <c r="L110" i="1"/>
  <c r="J110" i="1"/>
  <c r="I110" i="1"/>
  <c r="H110" i="1"/>
  <c r="G110" i="1"/>
  <c r="L645" i="1"/>
  <c r="J645" i="1"/>
  <c r="H645" i="1"/>
  <c r="G645" i="1"/>
  <c r="L658" i="1"/>
  <c r="J658" i="1"/>
  <c r="H658" i="1"/>
  <c r="G658" i="1"/>
  <c r="F658" i="1"/>
  <c r="L641" i="1"/>
  <c r="I641" i="1"/>
  <c r="H641" i="1"/>
  <c r="G641" i="1"/>
  <c r="F641" i="1"/>
  <c r="L644" i="1"/>
  <c r="J644" i="1"/>
  <c r="I644" i="1"/>
  <c r="H644" i="1"/>
  <c r="G644" i="1"/>
  <c r="F644" i="1"/>
  <c r="L462" i="1"/>
  <c r="J462" i="1"/>
  <c r="H462" i="1"/>
  <c r="G462" i="1"/>
  <c r="L656" i="1"/>
  <c r="J656" i="1"/>
  <c r="H656" i="1"/>
  <c r="G656" i="1"/>
  <c r="L669" i="1"/>
  <c r="H669" i="1"/>
  <c r="G669" i="1"/>
  <c r="F669" i="1"/>
  <c r="L640" i="1"/>
  <c r="J640" i="1"/>
  <c r="I640" i="1"/>
  <c r="H640" i="1"/>
  <c r="G640" i="1"/>
  <c r="F640" i="1"/>
  <c r="L655" i="1"/>
  <c r="I655" i="1"/>
  <c r="H655" i="1"/>
  <c r="G655" i="1"/>
  <c r="F655" i="1"/>
  <c r="L657" i="1"/>
  <c r="J657" i="1"/>
  <c r="H657" i="1"/>
  <c r="G657" i="1"/>
  <c r="F657" i="1"/>
  <c r="L668" i="1"/>
  <c r="J668" i="1"/>
  <c r="H668" i="1"/>
  <c r="G668" i="1"/>
  <c r="F668" i="1"/>
  <c r="L646" i="1"/>
  <c r="J646" i="1"/>
  <c r="I646" i="1"/>
  <c r="H646" i="1"/>
  <c r="G646" i="1"/>
  <c r="I651" i="1"/>
  <c r="H651" i="1"/>
  <c r="G651" i="1"/>
  <c r="L667" i="1"/>
  <c r="J667" i="1"/>
  <c r="H667" i="1"/>
  <c r="G667" i="1"/>
  <c r="F667" i="1"/>
  <c r="L683" i="1"/>
  <c r="J683" i="1"/>
  <c r="I683" i="1"/>
  <c r="H683" i="1"/>
  <c r="G683" i="1"/>
  <c r="L671" i="1"/>
  <c r="J671" i="1"/>
  <c r="I671" i="1"/>
  <c r="H671" i="1"/>
  <c r="G671" i="1"/>
  <c r="F671" i="1"/>
  <c r="L712" i="1"/>
  <c r="I712" i="1"/>
  <c r="H712" i="1"/>
  <c r="G712" i="1"/>
  <c r="L710" i="1"/>
  <c r="J710" i="1"/>
  <c r="H710" i="1"/>
  <c r="G710" i="1"/>
  <c r="F710" i="1"/>
  <c r="L675" i="1"/>
  <c r="J675" i="1"/>
  <c r="I675" i="1"/>
  <c r="H675" i="1"/>
  <c r="G675" i="1"/>
  <c r="L672" i="1"/>
  <c r="J672" i="1"/>
  <c r="H672" i="1"/>
  <c r="G672" i="1"/>
  <c r="F672" i="1"/>
  <c r="L674" i="1"/>
  <c r="I674" i="1"/>
  <c r="H674" i="1"/>
  <c r="G674" i="1"/>
  <c r="L648" i="1"/>
  <c r="J648" i="1"/>
  <c r="H648" i="1"/>
  <c r="G648" i="1"/>
  <c r="L678" i="1"/>
  <c r="J678" i="1"/>
  <c r="I678" i="1"/>
  <c r="H678" i="1"/>
  <c r="G678" i="1"/>
  <c r="L673" i="1"/>
  <c r="J673" i="1"/>
  <c r="I673" i="1"/>
  <c r="H673" i="1"/>
  <c r="G673" i="1"/>
  <c r="L680" i="1"/>
  <c r="I680" i="1"/>
  <c r="H680" i="1"/>
  <c r="G680" i="1"/>
  <c r="L684" i="1"/>
  <c r="J684" i="1"/>
  <c r="H684" i="1"/>
  <c r="G684" i="1"/>
  <c r="L738" i="1"/>
  <c r="J738" i="1"/>
  <c r="H738" i="1"/>
  <c r="G738" i="1"/>
  <c r="L681" i="1"/>
  <c r="J681" i="1"/>
  <c r="H681" i="1"/>
  <c r="G681" i="1"/>
  <c r="F681" i="1"/>
  <c r="L694" i="1"/>
  <c r="I694" i="1"/>
  <c r="H694" i="1"/>
  <c r="G694" i="1"/>
  <c r="L682" i="1"/>
  <c r="J682" i="1"/>
  <c r="I682" i="1"/>
  <c r="H682" i="1"/>
  <c r="G682" i="1"/>
  <c r="L706" i="1"/>
  <c r="J706" i="1"/>
  <c r="I706" i="1"/>
  <c r="H706" i="1"/>
  <c r="G706" i="1"/>
  <c r="L688" i="1"/>
  <c r="J688" i="1"/>
  <c r="H688" i="1"/>
  <c r="G688" i="1"/>
  <c r="L687" i="1"/>
  <c r="H687" i="1"/>
  <c r="G687" i="1"/>
  <c r="L690" i="1"/>
  <c r="J690" i="1"/>
  <c r="I690" i="1"/>
  <c r="H690" i="1"/>
  <c r="G690" i="1"/>
  <c r="L691" i="1"/>
  <c r="J691" i="1"/>
  <c r="I691" i="1"/>
  <c r="H691" i="1"/>
  <c r="G691" i="1"/>
  <c r="L725" i="1"/>
  <c r="J725" i="1"/>
  <c r="H725" i="1"/>
  <c r="G725" i="1"/>
  <c r="F725" i="1"/>
  <c r="L724" i="1"/>
  <c r="J724" i="1"/>
  <c r="I724" i="1"/>
  <c r="H724" i="1"/>
  <c r="G724" i="1"/>
  <c r="L699" i="1"/>
  <c r="J699" i="1"/>
  <c r="I699" i="1"/>
  <c r="H699" i="1"/>
  <c r="G699" i="1"/>
  <c r="L698" i="1"/>
  <c r="J698" i="1"/>
  <c r="I698" i="1"/>
  <c r="H698" i="1"/>
  <c r="G698" i="1"/>
  <c r="L704" i="1"/>
  <c r="J704" i="1"/>
  <c r="I704" i="1"/>
  <c r="H704" i="1"/>
  <c r="G704" i="1"/>
  <c r="L69" i="1"/>
  <c r="J69" i="1"/>
  <c r="H69" i="1"/>
  <c r="G69" i="1"/>
  <c r="L470" i="1"/>
  <c r="J470" i="1"/>
  <c r="I470" i="1"/>
  <c r="H470" i="1"/>
  <c r="G470" i="1"/>
  <c r="L701" i="1"/>
  <c r="J701" i="1"/>
  <c r="I701" i="1"/>
  <c r="H701" i="1"/>
  <c r="G701" i="1"/>
  <c r="L702" i="1"/>
  <c r="J702" i="1"/>
  <c r="I702" i="1"/>
  <c r="H702" i="1"/>
  <c r="G702" i="1"/>
  <c r="L711" i="1"/>
  <c r="J711" i="1"/>
  <c r="I711" i="1"/>
  <c r="H711" i="1"/>
  <c r="G711" i="1"/>
  <c r="L708" i="1"/>
  <c r="J708" i="1"/>
  <c r="I708" i="1"/>
  <c r="H708" i="1"/>
  <c r="G708" i="1"/>
  <c r="L709" i="1"/>
  <c r="J709" i="1"/>
  <c r="I709" i="1"/>
  <c r="H709" i="1"/>
  <c r="G709" i="1"/>
  <c r="L713" i="1"/>
  <c r="J713" i="1"/>
  <c r="I713" i="1"/>
  <c r="H713" i="1"/>
  <c r="G713" i="1"/>
  <c r="L705" i="1"/>
  <c r="J705" i="1"/>
  <c r="I705" i="1"/>
  <c r="H705" i="1"/>
  <c r="G705" i="1"/>
  <c r="L695" i="1"/>
  <c r="J695" i="1"/>
  <c r="I695" i="1"/>
  <c r="H695" i="1"/>
  <c r="G695" i="1"/>
  <c r="L726" i="1"/>
  <c r="J726" i="1"/>
  <c r="I726" i="1"/>
  <c r="H726" i="1"/>
  <c r="G726" i="1"/>
  <c r="L720" i="1"/>
  <c r="J720" i="1"/>
  <c r="I720" i="1"/>
  <c r="H720" i="1"/>
  <c r="G720" i="1"/>
  <c r="L723" i="1"/>
  <c r="J723" i="1"/>
  <c r="I723" i="1"/>
  <c r="H723" i="1"/>
  <c r="G723" i="1"/>
  <c r="L111" i="1"/>
  <c r="J111" i="1"/>
  <c r="I111" i="1"/>
  <c r="H111" i="1"/>
  <c r="G111" i="1"/>
  <c r="L728" i="1"/>
  <c r="J728" i="1"/>
  <c r="I728" i="1"/>
  <c r="H728" i="1"/>
  <c r="G728" i="1"/>
  <c r="L722" i="1"/>
  <c r="J722" i="1"/>
  <c r="I722" i="1"/>
  <c r="H722" i="1"/>
  <c r="G722" i="1"/>
  <c r="L727" i="1"/>
  <c r="J727" i="1"/>
  <c r="I727" i="1"/>
  <c r="H727" i="1"/>
  <c r="G727" i="1"/>
  <c r="L730" i="1"/>
  <c r="I730" i="1"/>
  <c r="H730" i="1"/>
  <c r="G730" i="1"/>
  <c r="L689" i="1"/>
  <c r="J689" i="1"/>
  <c r="I689" i="1"/>
  <c r="H689" i="1"/>
  <c r="G689" i="1"/>
  <c r="L686" i="1"/>
  <c r="J686" i="1"/>
  <c r="H686" i="1"/>
  <c r="G686" i="1"/>
  <c r="L696" i="1"/>
  <c r="J696" i="1"/>
  <c r="I696" i="1"/>
  <c r="H696" i="1"/>
  <c r="L700" i="1"/>
  <c r="I700" i="1"/>
  <c r="H700" i="1"/>
  <c r="G700" i="1"/>
  <c r="L685" i="1"/>
  <c r="J685" i="1"/>
  <c r="I685" i="1"/>
  <c r="H685" i="1"/>
  <c r="G685" i="1"/>
  <c r="L500" i="1"/>
  <c r="J500" i="1"/>
  <c r="H500" i="1"/>
  <c r="G500" i="1"/>
  <c r="L734" i="1"/>
  <c r="J734" i="1"/>
  <c r="I734" i="1"/>
  <c r="H734" i="1"/>
  <c r="G734" i="1"/>
  <c r="L315" i="1"/>
  <c r="G315" i="1"/>
  <c r="L714" i="1"/>
  <c r="J714" i="1"/>
  <c r="I714" i="1"/>
  <c r="H714" i="1"/>
  <c r="G714" i="1"/>
  <c r="L112" i="1"/>
  <c r="J112" i="1"/>
  <c r="H112" i="1"/>
  <c r="G112" i="1"/>
  <c r="L716" i="1"/>
  <c r="J716" i="1"/>
  <c r="H716" i="1"/>
  <c r="G716" i="1"/>
  <c r="L732" i="1"/>
  <c r="I732" i="1"/>
  <c r="H732" i="1"/>
  <c r="G732" i="1"/>
  <c r="L715" i="1"/>
  <c r="I715" i="1"/>
  <c r="H715" i="1"/>
  <c r="G715" i="1"/>
  <c r="L717" i="1"/>
  <c r="J717" i="1"/>
  <c r="H717" i="1"/>
  <c r="G717" i="1"/>
  <c r="F717" i="1"/>
  <c r="L679" i="1"/>
  <c r="I679" i="1"/>
  <c r="H679" i="1"/>
  <c r="G679" i="1"/>
  <c r="L692" i="1"/>
  <c r="I692" i="1"/>
  <c r="H692" i="1"/>
  <c r="G692" i="1"/>
  <c r="L102" i="1"/>
  <c r="I102" i="1"/>
  <c r="H102" i="1"/>
  <c r="G102" i="1"/>
  <c r="L731" i="1"/>
  <c r="J731" i="1"/>
  <c r="H731" i="1"/>
  <c r="G731" i="1"/>
  <c r="L739" i="1"/>
  <c r="J739" i="1"/>
  <c r="I739" i="1"/>
  <c r="H739" i="1"/>
  <c r="G739" i="1"/>
  <c r="L742" i="1"/>
  <c r="H742" i="1"/>
  <c r="G742" i="1"/>
  <c r="L693" i="1"/>
  <c r="J693" i="1"/>
  <c r="I693" i="1"/>
  <c r="H693" i="1"/>
  <c r="G693" i="1"/>
  <c r="L740" i="1"/>
  <c r="J740" i="1"/>
  <c r="G740" i="1"/>
  <c r="F740" i="1"/>
  <c r="L707" i="1"/>
  <c r="J707" i="1"/>
  <c r="I707" i="1"/>
  <c r="H707" i="1"/>
  <c r="G707" i="1"/>
  <c r="L741" i="1"/>
  <c r="I741" i="1"/>
  <c r="H741" i="1"/>
  <c r="G741" i="1"/>
  <c r="L697" i="1"/>
  <c r="J697" i="1"/>
  <c r="I697" i="1"/>
  <c r="H697" i="1"/>
  <c r="G697" i="1"/>
  <c r="L733" i="1"/>
  <c r="J733" i="1"/>
  <c r="I733" i="1"/>
  <c r="G733" i="1"/>
  <c r="AP544" i="2" l="1"/>
  <c r="AO544" i="2"/>
  <c r="AP297" i="2"/>
  <c r="AO297" i="2"/>
  <c r="AP294" i="2"/>
  <c r="J728" i="2"/>
  <c r="Z727" i="2"/>
  <c r="K81" i="1" s="1"/>
  <c r="X725" i="2"/>
  <c r="X736" i="2"/>
  <c r="X727" i="2"/>
  <c r="AO279" i="2"/>
  <c r="J726" i="2"/>
  <c r="AS737" i="2"/>
  <c r="AW617" i="2"/>
  <c r="AX617" i="2" s="1"/>
  <c r="AP638" i="2"/>
  <c r="AP618" i="2"/>
  <c r="AO618" i="2"/>
  <c r="AW576" i="2"/>
  <c r="AX576" i="2" s="1"/>
  <c r="AW482" i="2"/>
  <c r="AX482" i="2" s="1"/>
  <c r="AW421" i="2"/>
  <c r="AX421" i="2" s="1"/>
  <c r="AW286" i="2"/>
  <c r="AX286" i="2" s="1"/>
  <c r="AO228" i="2"/>
  <c r="AS739" i="2"/>
  <c r="AT741" i="2"/>
  <c r="AW253" i="2"/>
  <c r="AX253" i="2" s="1"/>
  <c r="AW104" i="2"/>
  <c r="AX104" i="2" s="1"/>
  <c r="AW176" i="2"/>
  <c r="AX176" i="2" s="1"/>
  <c r="AW61" i="2"/>
  <c r="AX61" i="2" s="1"/>
  <c r="AW172" i="2"/>
  <c r="AX172" i="2" s="1"/>
  <c r="AW706" i="2"/>
  <c r="AX706" i="2" s="1"/>
  <c r="AO570" i="2"/>
  <c r="AO641" i="2"/>
  <c r="AW661" i="2"/>
  <c r="AX661" i="2" s="1"/>
  <c r="AP426" i="2"/>
  <c r="AW503" i="2"/>
  <c r="AX503" i="2" s="1"/>
  <c r="AW484" i="2"/>
  <c r="AX484" i="2" s="1"/>
  <c r="AW389" i="2"/>
  <c r="AX389" i="2" s="1"/>
  <c r="AW544" i="2"/>
  <c r="AX544" i="2" s="1"/>
  <c r="AW329" i="2"/>
  <c r="AX329" i="2" s="1"/>
  <c r="AW352" i="2"/>
  <c r="AX352" i="2" s="1"/>
  <c r="AW374" i="2"/>
  <c r="AX374" i="2" s="1"/>
  <c r="AW426" i="2"/>
  <c r="AX426" i="2" s="1"/>
  <c r="AW478" i="2"/>
  <c r="AX478" i="2" s="1"/>
  <c r="AO192" i="2"/>
  <c r="AO732" i="2" s="1"/>
  <c r="AW206" i="2"/>
  <c r="AX206" i="2" s="1"/>
  <c r="AO223" i="2"/>
  <c r="AW267" i="2"/>
  <c r="AX267" i="2" s="1"/>
  <c r="AS733" i="2"/>
  <c r="AT17" i="2"/>
  <c r="X732" i="2"/>
  <c r="Z726" i="2"/>
  <c r="K9" i="1" s="1"/>
  <c r="Z737" i="2"/>
  <c r="K740" i="1"/>
  <c r="AW109" i="2"/>
  <c r="AX109" i="2" s="1"/>
  <c r="AW147" i="2"/>
  <c r="AX147" i="2" s="1"/>
  <c r="AW173" i="2"/>
  <c r="AX173" i="2" s="1"/>
  <c r="J741" i="2"/>
  <c r="J740" i="2"/>
  <c r="F573" i="1" s="1"/>
  <c r="AW188" i="2"/>
  <c r="AX188" i="2" s="1"/>
  <c r="AS740" i="2"/>
  <c r="AW115" i="2"/>
  <c r="AX115" i="2" s="1"/>
  <c r="AO731" i="2"/>
  <c r="AW274" i="2"/>
  <c r="AX274" i="2" s="1"/>
  <c r="AW56" i="2"/>
  <c r="AX56" i="2" s="1"/>
  <c r="AW119" i="2"/>
  <c r="AX119" i="2" s="1"/>
  <c r="AW164" i="2"/>
  <c r="AX164" i="2" s="1"/>
  <c r="AW682" i="2"/>
  <c r="AX682" i="2" s="1"/>
  <c r="AW626" i="2"/>
  <c r="AX626" i="2" s="1"/>
  <c r="AW633" i="2"/>
  <c r="AX633" i="2" s="1"/>
  <c r="AW677" i="2"/>
  <c r="AX677" i="2" s="1"/>
  <c r="AW690" i="2"/>
  <c r="AX690" i="2" s="1"/>
  <c r="AO551" i="2"/>
  <c r="AW528" i="2"/>
  <c r="AX528" i="2" s="1"/>
  <c r="AW456" i="2"/>
  <c r="AX456" i="2" s="1"/>
  <c r="AO578" i="2"/>
  <c r="AW500" i="2"/>
  <c r="AX500" i="2" s="1"/>
  <c r="AW502" i="2"/>
  <c r="AX502" i="2" s="1"/>
  <c r="AW495" i="2"/>
  <c r="AX495" i="2" s="1"/>
  <c r="AW413" i="2"/>
  <c r="AX413" i="2" s="1"/>
  <c r="AW403" i="2"/>
  <c r="AX403" i="2" s="1"/>
  <c r="AW410" i="2"/>
  <c r="AX410" i="2" s="1"/>
  <c r="AW336" i="2"/>
  <c r="AX336" i="2" s="1"/>
  <c r="AW337" i="2"/>
  <c r="AX337" i="2" s="1"/>
  <c r="AP328" i="2"/>
  <c r="AW313" i="2"/>
  <c r="AX313" i="2" s="1"/>
  <c r="AW472" i="2"/>
  <c r="AX472" i="2" s="1"/>
  <c r="AW305" i="2"/>
  <c r="AX305" i="2" s="1"/>
  <c r="AW226" i="2"/>
  <c r="AX226" i="2" s="1"/>
  <c r="AW270" i="2"/>
  <c r="AX270" i="2" s="1"/>
  <c r="AW227" i="2"/>
  <c r="AX227" i="2" s="1"/>
  <c r="AS734" i="2"/>
  <c r="AT153" i="2"/>
  <c r="AW196" i="2"/>
  <c r="AX196" i="2" s="1"/>
  <c r="AO219" i="2"/>
  <c r="AP291" i="2"/>
  <c r="Z740" i="2"/>
  <c r="K573" i="1" s="1"/>
  <c r="K731" i="1"/>
  <c r="X740" i="2"/>
  <c r="AW77" i="2"/>
  <c r="AX77" i="2" s="1"/>
  <c r="AO736" i="2"/>
  <c r="AW165" i="2"/>
  <c r="AX165" i="2" s="1"/>
  <c r="AP732" i="2"/>
  <c r="J735" i="2"/>
  <c r="AP12" i="2"/>
  <c r="AW91" i="2"/>
  <c r="AX91" i="2" s="1"/>
  <c r="J725" i="2"/>
  <c r="AW162" i="2"/>
  <c r="AX162" i="2" s="1"/>
  <c r="AP731" i="2"/>
  <c r="AO193" i="2"/>
  <c r="AW51" i="2"/>
  <c r="AX51" i="2" s="1"/>
  <c r="AW23" i="2"/>
  <c r="AX23" i="2" s="1"/>
  <c r="AW124" i="2"/>
  <c r="AX124" i="2" s="1"/>
  <c r="AW43" i="2"/>
  <c r="AX43" i="2" s="1"/>
  <c r="AT736" i="2"/>
  <c r="AU7" i="2"/>
  <c r="AO368" i="2"/>
  <c r="AW485" i="2"/>
  <c r="AX485" i="2" s="1"/>
  <c r="AW159" i="2"/>
  <c r="AX159" i="2" s="1"/>
  <c r="Z741" i="2"/>
  <c r="J727" i="2"/>
  <c r="AW34" i="2"/>
  <c r="AX34" i="2" s="1"/>
  <c r="AP76" i="2"/>
  <c r="AP728" i="2" s="1"/>
  <c r="R8" i="1" s="1"/>
  <c r="AS727" i="2"/>
  <c r="AW700" i="2"/>
  <c r="AX700" i="2" s="1"/>
  <c r="AW668" i="2"/>
  <c r="AX668" i="2" s="1"/>
  <c r="AW620" i="2"/>
  <c r="AX620" i="2" s="1"/>
  <c r="AW684" i="2"/>
  <c r="AX684" i="2" s="1"/>
  <c r="AW714" i="2"/>
  <c r="AX714" i="2" s="1"/>
  <c r="AW592" i="2"/>
  <c r="AX592" i="2" s="1"/>
  <c r="AW607" i="2"/>
  <c r="AX607" i="2" s="1"/>
  <c r="AW609" i="2"/>
  <c r="AX609" i="2" s="1"/>
  <c r="AO576" i="2"/>
  <c r="AP396" i="2"/>
  <c r="AP738" i="2" s="1"/>
  <c r="AO396" i="2"/>
  <c r="AP331" i="2"/>
  <c r="AW445" i="2"/>
  <c r="AX445" i="2" s="1"/>
  <c r="AW330" i="2"/>
  <c r="AX330" i="2" s="1"/>
  <c r="AW322" i="2"/>
  <c r="AX322" i="2" s="1"/>
  <c r="AW194" i="2"/>
  <c r="AX194" i="2" s="1"/>
  <c r="AW107" i="2"/>
  <c r="AX107" i="2" s="1"/>
  <c r="AW152" i="2"/>
  <c r="AX152" i="2" s="1"/>
  <c r="W732" i="2"/>
  <c r="AO229" i="2"/>
  <c r="AP740" i="2"/>
  <c r="R573" i="1" s="1"/>
  <c r="AW247" i="2"/>
  <c r="AX247" i="2" s="1"/>
  <c r="AW258" i="2"/>
  <c r="AX258" i="2" s="1"/>
  <c r="AP726" i="2"/>
  <c r="AW68" i="2"/>
  <c r="AX68" i="2" s="1"/>
  <c r="AW58" i="2"/>
  <c r="AX58" i="2" s="1"/>
  <c r="AW92" i="2"/>
  <c r="AX92" i="2" s="1"/>
  <c r="AS736" i="2"/>
  <c r="AO687" i="2"/>
  <c r="AW693" i="2"/>
  <c r="AX693" i="2" s="1"/>
  <c r="AW636" i="2"/>
  <c r="AX636" i="2" s="1"/>
  <c r="AW501" i="2"/>
  <c r="AX501" i="2" s="1"/>
  <c r="AW481" i="2"/>
  <c r="AX481" i="2" s="1"/>
  <c r="AW345" i="2"/>
  <c r="AX345" i="2" s="1"/>
  <c r="AW432" i="2"/>
  <c r="AX432" i="2" s="1"/>
  <c r="AS732" i="2"/>
  <c r="AT81" i="2"/>
  <c r="AT727" i="2" s="1"/>
  <c r="AW291" i="2"/>
  <c r="AX291" i="2" s="1"/>
  <c r="W735" i="2"/>
  <c r="J731" i="2"/>
  <c r="AS741" i="2"/>
  <c r="AW192" i="2"/>
  <c r="AX192" i="2" s="1"/>
  <c r="AT738" i="2"/>
  <c r="AU8" i="2"/>
  <c r="AW149" i="2"/>
  <c r="AX149" i="2" s="1"/>
  <c r="AT740" i="2"/>
  <c r="AU15" i="2"/>
  <c r="J739" i="2"/>
  <c r="AO40" i="2"/>
  <c r="AW72" i="2"/>
  <c r="AX72" i="2" s="1"/>
  <c r="AW48" i="2"/>
  <c r="AX48" i="2" s="1"/>
  <c r="AW69" i="2"/>
  <c r="AX69" i="2" s="1"/>
  <c r="AS725" i="2"/>
  <c r="AW720" i="2"/>
  <c r="AX720" i="2" s="1"/>
  <c r="AP662" i="2"/>
  <c r="AW632" i="2"/>
  <c r="AX632" i="2" s="1"/>
  <c r="AW621" i="2"/>
  <c r="AX621" i="2" s="1"/>
  <c r="AO633" i="2"/>
  <c r="AW685" i="2"/>
  <c r="AX685" i="2" s="1"/>
  <c r="AW618" i="2"/>
  <c r="AX618" i="2" s="1"/>
  <c r="AW666" i="2"/>
  <c r="AX666" i="2" s="1"/>
  <c r="AO559" i="2"/>
  <c r="AO739" i="2" s="1"/>
  <c r="AW604" i="2"/>
  <c r="AX604" i="2" s="1"/>
  <c r="AP472" i="2"/>
  <c r="AW599" i="2"/>
  <c r="AX599" i="2" s="1"/>
  <c r="AW474" i="2"/>
  <c r="AX474" i="2" s="1"/>
  <c r="AW458" i="2"/>
  <c r="AX458" i="2" s="1"/>
  <c r="AW424" i="2"/>
  <c r="AX424" i="2" s="1"/>
  <c r="AW303" i="2"/>
  <c r="AX303" i="2" s="1"/>
  <c r="AP222" i="2"/>
  <c r="AW447" i="2"/>
  <c r="AX447" i="2" s="1"/>
  <c r="AW279" i="2"/>
  <c r="AX279" i="2" s="1"/>
  <c r="AW333" i="2"/>
  <c r="AX333" i="2" s="1"/>
  <c r="AW275" i="2"/>
  <c r="AX275" i="2" s="1"/>
  <c r="AO226" i="2"/>
  <c r="AW202" i="2"/>
  <c r="AX202" i="2" s="1"/>
  <c r="AW296" i="2"/>
  <c r="AX296" i="2" s="1"/>
  <c r="AO260" i="2"/>
  <c r="AW297" i="2"/>
  <c r="AX297" i="2" s="1"/>
  <c r="AW138" i="2"/>
  <c r="AX138" i="2" s="1"/>
  <c r="AU731" i="2"/>
  <c r="AV63" i="2"/>
  <c r="AS728" i="2"/>
  <c r="AW136" i="2"/>
  <c r="AX136" i="2" s="1"/>
  <c r="W731" i="2"/>
  <c r="W734" i="2"/>
  <c r="AW40" i="2"/>
  <c r="AX40" i="2" s="1"/>
  <c r="AW41" i="2"/>
  <c r="AX41" i="2" s="1"/>
  <c r="AW38" i="2"/>
  <c r="AX38" i="2" s="1"/>
  <c r="AW148" i="2"/>
  <c r="AX148" i="2" s="1"/>
  <c r="AW616" i="2"/>
  <c r="AX616" i="2" s="1"/>
  <c r="AW679" i="2"/>
  <c r="AX679" i="2" s="1"/>
  <c r="AW450" i="2"/>
  <c r="AX450" i="2" s="1"/>
  <c r="AP420" i="2"/>
  <c r="AW429" i="2"/>
  <c r="AX429" i="2" s="1"/>
  <c r="AO342" i="2"/>
  <c r="AO737" i="2" s="1"/>
  <c r="AW339" i="2"/>
  <c r="AX339" i="2" s="1"/>
  <c r="AP217" i="2"/>
  <c r="AP741" i="2" s="1"/>
  <c r="AO217" i="2"/>
  <c r="AW354" i="2"/>
  <c r="AX354" i="2" s="1"/>
  <c r="AW198" i="2"/>
  <c r="AX198" i="2" s="1"/>
  <c r="Z738" i="2"/>
  <c r="K582" i="1" s="1"/>
  <c r="K697" i="1"/>
  <c r="W738" i="2"/>
  <c r="AW197" i="2"/>
  <c r="AX197" i="2" s="1"/>
  <c r="AO733" i="2"/>
  <c r="AW238" i="2"/>
  <c r="AX238" i="2" s="1"/>
  <c r="AW133" i="2"/>
  <c r="AX133" i="2" s="1"/>
  <c r="Z735" i="2"/>
  <c r="AW168" i="2"/>
  <c r="AX168" i="2" s="1"/>
  <c r="Z731" i="2"/>
  <c r="K747" i="1" s="1"/>
  <c r="X734" i="2"/>
  <c r="AO100" i="2"/>
  <c r="AO132" i="2"/>
  <c r="AO728" i="2" s="1"/>
  <c r="AW35" i="2"/>
  <c r="AX35" i="2" s="1"/>
  <c r="AU739" i="2"/>
  <c r="AV21" i="2"/>
  <c r="AV739" i="2" s="1"/>
  <c r="AW713" i="2"/>
  <c r="AX713" i="2" s="1"/>
  <c r="AW652" i="2"/>
  <c r="AX652" i="2" s="1"/>
  <c r="AW520" i="2"/>
  <c r="AX520" i="2" s="1"/>
  <c r="AW343" i="2"/>
  <c r="AX343" i="2" s="1"/>
  <c r="AW416" i="2"/>
  <c r="AX416" i="2" s="1"/>
  <c r="AW399" i="2"/>
  <c r="AX399" i="2" s="1"/>
  <c r="AW295" i="2"/>
  <c r="AX295" i="2" s="1"/>
  <c r="AW234" i="2"/>
  <c r="AX234" i="2" s="1"/>
  <c r="AW224" i="2"/>
  <c r="AX224" i="2" s="1"/>
  <c r="AW229" i="2"/>
  <c r="AX229" i="2" s="1"/>
  <c r="W725" i="2"/>
  <c r="W727" i="2"/>
  <c r="W736" i="2"/>
  <c r="AO185" i="2"/>
  <c r="AT735" i="2"/>
  <c r="AU12" i="2"/>
  <c r="X731" i="2"/>
  <c r="AW193" i="2"/>
  <c r="AX193" i="2" s="1"/>
  <c r="AW585" i="2"/>
  <c r="AX585" i="2" s="1"/>
  <c r="AW16" i="2"/>
  <c r="AX16" i="2" s="1"/>
  <c r="AW30" i="2"/>
  <c r="AX30" i="2" s="1"/>
  <c r="AW21" i="2"/>
  <c r="AW74" i="2"/>
  <c r="AX74" i="2" s="1"/>
  <c r="AW710" i="2"/>
  <c r="AX710" i="2" s="1"/>
  <c r="AW625" i="2"/>
  <c r="AX625" i="2" s="1"/>
  <c r="AW701" i="2"/>
  <c r="AX701" i="2" s="1"/>
  <c r="AW689" i="2"/>
  <c r="AX689" i="2" s="1"/>
  <c r="AP673" i="2"/>
  <c r="R48" i="1" s="1"/>
  <c r="AO673" i="2"/>
  <c r="AW611" i="2"/>
  <c r="AX611" i="2" s="1"/>
  <c r="AW612" i="2"/>
  <c r="AX612" i="2" s="1"/>
  <c r="AW646" i="2"/>
  <c r="AX646" i="2" s="1"/>
  <c r="AW575" i="2"/>
  <c r="AX575" i="2" s="1"/>
  <c r="AW584" i="2"/>
  <c r="AX584" i="2" s="1"/>
  <c r="AW558" i="2"/>
  <c r="AX558" i="2" s="1"/>
  <c r="AW409" i="2"/>
  <c r="AX409" i="2" s="1"/>
  <c r="AW363" i="2"/>
  <c r="AX363" i="2" s="1"/>
  <c r="AW338" i="2"/>
  <c r="AX338" i="2" s="1"/>
  <c r="AO246" i="2"/>
  <c r="AO340" i="2"/>
  <c r="AW244" i="2"/>
  <c r="AX244" i="2" s="1"/>
  <c r="AW191" i="2"/>
  <c r="AX191" i="2" s="1"/>
  <c r="AW210" i="2"/>
  <c r="AX210" i="2" s="1"/>
  <c r="AW225" i="2"/>
  <c r="AX225" i="2" s="1"/>
  <c r="AW146" i="2"/>
  <c r="AX146" i="2" s="1"/>
  <c r="AW88" i="2"/>
  <c r="AX88" i="2" s="1"/>
  <c r="AW112" i="2"/>
  <c r="AX112" i="2" s="1"/>
  <c r="AS735" i="2"/>
  <c r="AP734" i="2"/>
  <c r="AW371" i="2"/>
  <c r="AX371" i="2" s="1"/>
  <c r="AW128" i="2"/>
  <c r="AX128" i="2" s="1"/>
  <c r="AW157" i="2"/>
  <c r="AX157" i="2" s="1"/>
  <c r="AW26" i="2"/>
  <c r="AX26" i="2" s="1"/>
  <c r="AO184" i="2"/>
  <c r="AW42" i="2"/>
  <c r="AX42" i="2" s="1"/>
  <c r="AT739" i="2"/>
  <c r="AW60" i="2"/>
  <c r="AX60" i="2" s="1"/>
  <c r="AO647" i="2"/>
  <c r="AW524" i="2"/>
  <c r="AX524" i="2" s="1"/>
  <c r="AW448" i="2"/>
  <c r="AX448" i="2" s="1"/>
  <c r="AW388" i="2"/>
  <c r="AX388" i="2" s="1"/>
  <c r="AW395" i="2"/>
  <c r="AX395" i="2" s="1"/>
  <c r="AW289" i="2"/>
  <c r="AX289" i="2" s="1"/>
  <c r="AW314" i="2"/>
  <c r="AX314" i="2" s="1"/>
  <c r="AW214" i="2"/>
  <c r="AX214" i="2" s="1"/>
  <c r="Z732" i="2"/>
  <c r="K676" i="1" s="1"/>
  <c r="J734" i="2"/>
  <c r="AO201" i="2"/>
  <c r="AW139" i="2"/>
  <c r="AX139" i="2" s="1"/>
  <c r="AP190" i="2"/>
  <c r="AP737" i="2" s="1"/>
  <c r="AS738" i="2"/>
  <c r="AW114" i="2"/>
  <c r="AX114" i="2" s="1"/>
  <c r="AW53" i="2"/>
  <c r="AX53" i="2" s="1"/>
  <c r="Z733" i="2"/>
  <c r="K612" i="1" s="1"/>
  <c r="AW656" i="2"/>
  <c r="AX656" i="2" s="1"/>
  <c r="AW673" i="2"/>
  <c r="AX673" i="2" s="1"/>
  <c r="AW613" i="2"/>
  <c r="AX613" i="2" s="1"/>
  <c r="AW645" i="2"/>
  <c r="AX645" i="2" s="1"/>
  <c r="AW663" i="2"/>
  <c r="AX663" i="2" s="1"/>
  <c r="AW670" i="2"/>
  <c r="AX670" i="2" s="1"/>
  <c r="AW634" i="2"/>
  <c r="AX634" i="2" s="1"/>
  <c r="AW602" i="2"/>
  <c r="AX602" i="2" s="1"/>
  <c r="AW587" i="2"/>
  <c r="AX587" i="2" s="1"/>
  <c r="AO617" i="2"/>
  <c r="AW591" i="2"/>
  <c r="AX591" i="2" s="1"/>
  <c r="AW537" i="2"/>
  <c r="AX537" i="2" s="1"/>
  <c r="AP585" i="2"/>
  <c r="AO585" i="2"/>
  <c r="AW543" i="2"/>
  <c r="AX543" i="2" s="1"/>
  <c r="AW541" i="2"/>
  <c r="AX541" i="2" s="1"/>
  <c r="AW398" i="2"/>
  <c r="AX398" i="2" s="1"/>
  <c r="AW319" i="2"/>
  <c r="AX319" i="2" s="1"/>
  <c r="AO243" i="2"/>
  <c r="AW271" i="2"/>
  <c r="AX271" i="2" s="1"/>
  <c r="AO283" i="2"/>
  <c r="AO212" i="2"/>
  <c r="AW264" i="2"/>
  <c r="AX264" i="2" s="1"/>
  <c r="AW245" i="2"/>
  <c r="AX245" i="2" s="1"/>
  <c r="AW306" i="2"/>
  <c r="AX306" i="2" s="1"/>
  <c r="AW221" i="2"/>
  <c r="AX221" i="2" s="1"/>
  <c r="AW195" i="2"/>
  <c r="AX195" i="2" s="1"/>
  <c r="X738" i="2"/>
  <c r="AW120" i="2"/>
  <c r="AX120" i="2" s="1"/>
  <c r="AW131" i="2"/>
  <c r="AX131" i="2" s="1"/>
  <c r="AP739" i="2"/>
  <c r="AW75" i="2"/>
  <c r="AX75" i="2" s="1"/>
  <c r="Z739" i="2"/>
  <c r="K574" i="1" s="1"/>
  <c r="K732" i="1"/>
  <c r="AW181" i="2"/>
  <c r="AX181" i="2" s="1"/>
  <c r="AW143" i="2"/>
  <c r="AX143" i="2" s="1"/>
  <c r="AW304" i="2"/>
  <c r="AX304" i="2" s="1"/>
  <c r="AW103" i="2"/>
  <c r="AX103" i="2" s="1"/>
  <c r="AW127" i="2"/>
  <c r="AX127" i="2" s="1"/>
  <c r="AW76" i="2"/>
  <c r="AX76" i="2" s="1"/>
  <c r="AO22" i="2"/>
  <c r="AO741" i="2" s="1"/>
  <c r="AW14" i="2"/>
  <c r="AX14" i="2" s="1"/>
  <c r="AW32" i="2"/>
  <c r="AX32" i="2" s="1"/>
  <c r="AW39" i="2"/>
  <c r="AX39" i="2" s="1"/>
  <c r="AW55" i="2"/>
  <c r="AX55" i="2" s="1"/>
  <c r="J733" i="2"/>
  <c r="AP17" i="2"/>
  <c r="AP733" i="2" s="1"/>
  <c r="AP407" i="2"/>
  <c r="R340" i="1" s="1"/>
  <c r="AT728" i="2"/>
  <c r="AU13" i="2"/>
  <c r="AU741" i="2"/>
  <c r="AW19" i="2"/>
  <c r="AV19" i="2"/>
  <c r="AV741" i="2" s="1"/>
  <c r="AW79" i="2"/>
  <c r="AX79" i="2" s="1"/>
  <c r="AW71" i="2"/>
  <c r="AX71" i="2" s="1"/>
  <c r="AW29" i="2"/>
  <c r="AX29" i="2" s="1"/>
  <c r="AW721" i="2"/>
  <c r="AX721" i="2" s="1"/>
  <c r="AW709" i="2"/>
  <c r="AX709" i="2" s="1"/>
  <c r="AW629" i="2"/>
  <c r="AX629" i="2" s="1"/>
  <c r="AW641" i="2"/>
  <c r="AX641" i="2" s="1"/>
  <c r="AW586" i="2"/>
  <c r="AX586" i="2" s="1"/>
  <c r="AW571" i="2"/>
  <c r="AX571" i="2" s="1"/>
  <c r="AW579" i="2"/>
  <c r="AX579" i="2" s="1"/>
  <c r="AW546" i="2"/>
  <c r="AX546" i="2" s="1"/>
  <c r="AW525" i="2"/>
  <c r="AX525" i="2" s="1"/>
  <c r="AW455" i="2"/>
  <c r="AX455" i="2" s="1"/>
  <c r="AW510" i="2"/>
  <c r="AX510" i="2" s="1"/>
  <c r="AP329" i="2"/>
  <c r="AO329" i="2"/>
  <c r="AW287" i="2"/>
  <c r="AX287" i="2" s="1"/>
  <c r="AW405" i="2"/>
  <c r="AX405" i="2" s="1"/>
  <c r="AW321" i="2"/>
  <c r="AX321" i="2" s="1"/>
  <c r="AW411" i="2"/>
  <c r="AX411" i="2" s="1"/>
  <c r="AW200" i="2"/>
  <c r="AX200" i="2" s="1"/>
  <c r="AW249" i="2"/>
  <c r="AX249" i="2" s="1"/>
  <c r="AW256" i="2"/>
  <c r="AX256" i="2" s="1"/>
  <c r="AW246" i="2"/>
  <c r="AX246" i="2" s="1"/>
  <c r="AW217" i="2"/>
  <c r="AX217" i="2" s="1"/>
  <c r="AO29" i="2"/>
  <c r="W740" i="2"/>
  <c r="AW99" i="2"/>
  <c r="AX99" i="2" s="1"/>
  <c r="AS731" i="2"/>
  <c r="AW122" i="2"/>
  <c r="AX122" i="2" s="1"/>
  <c r="AW144" i="2"/>
  <c r="AX144" i="2" s="1"/>
  <c r="AW263" i="2"/>
  <c r="AX263" i="2" s="1"/>
  <c r="AO12" i="2"/>
  <c r="AO725" i="2" s="1"/>
  <c r="AW84" i="2"/>
  <c r="AX84" i="2" s="1"/>
  <c r="AW47" i="2"/>
  <c r="AX47" i="2" s="1"/>
  <c r="AW25" i="2"/>
  <c r="AX25" i="2" s="1"/>
  <c r="AO15" i="2"/>
  <c r="AO720" i="2"/>
  <c r="AW596" i="2"/>
  <c r="AX596" i="2" s="1"/>
  <c r="AO581" i="2"/>
  <c r="AO726" i="2" s="1"/>
  <c r="AP520" i="2"/>
  <c r="AO520" i="2"/>
  <c r="AW518" i="2"/>
  <c r="AX518" i="2" s="1"/>
  <c r="AW509" i="2"/>
  <c r="AX509" i="2" s="1"/>
  <c r="AW479" i="2"/>
  <c r="AX479" i="2" s="1"/>
  <c r="AW331" i="2"/>
  <c r="AX331" i="2" s="1"/>
  <c r="AW250" i="2"/>
  <c r="AX250" i="2" s="1"/>
  <c r="AW241" i="2"/>
  <c r="AX241" i="2" s="1"/>
  <c r="Z734" i="2"/>
  <c r="K572" i="1" s="1"/>
  <c r="AT731" i="2"/>
  <c r="AW160" i="2"/>
  <c r="AX160" i="2" s="1"/>
  <c r="AP736" i="2"/>
  <c r="X739" i="2"/>
  <c r="X728" i="2"/>
  <c r="AO209" i="2"/>
  <c r="AO734" i="2" s="1"/>
  <c r="AW327" i="2"/>
  <c r="AX327" i="2" s="1"/>
  <c r="AW83" i="2"/>
  <c r="AX83" i="2" s="1"/>
  <c r="AW66" i="2"/>
  <c r="AX66" i="2" s="1"/>
  <c r="AW10" i="2"/>
  <c r="AX10" i="2" s="1"/>
  <c r="AT726" i="2"/>
  <c r="AT737" i="2"/>
  <c r="AU11" i="2"/>
  <c r="K494" i="1"/>
  <c r="K692" i="1"/>
  <c r="K397" i="1"/>
  <c r="K693" i="1"/>
  <c r="F162" i="1"/>
  <c r="F275" i="1"/>
  <c r="K750" i="1"/>
  <c r="F643" i="1"/>
  <c r="F270" i="1"/>
  <c r="K396" i="1"/>
  <c r="R750" i="1"/>
  <c r="K325" i="1"/>
  <c r="R198" i="1"/>
  <c r="K613" i="1"/>
  <c r="F494" i="1"/>
  <c r="F287" i="1"/>
  <c r="K45" i="1"/>
  <c r="K677" i="1"/>
  <c r="K742" i="1"/>
  <c r="K759" i="1"/>
  <c r="F746" i="1"/>
  <c r="R396" i="1"/>
  <c r="K527" i="1"/>
  <c r="K657" i="1"/>
  <c r="K201" i="1"/>
  <c r="F381" i="1"/>
  <c r="R381" i="1"/>
  <c r="F129" i="1"/>
  <c r="F40" i="1"/>
  <c r="R675" i="1"/>
  <c r="R548" i="1"/>
  <c r="R282" i="1"/>
  <c r="F303" i="1"/>
  <c r="R219" i="1"/>
  <c r="F183" i="1"/>
  <c r="F178" i="1"/>
  <c r="F373" i="1"/>
  <c r="R10" i="1"/>
  <c r="F222" i="1"/>
  <c r="F238" i="1"/>
  <c r="F305" i="1"/>
  <c r="F233" i="1"/>
  <c r="R328" i="1"/>
  <c r="F145" i="1"/>
  <c r="R507" i="1"/>
  <c r="G778" i="1"/>
  <c r="H778" i="1"/>
  <c r="H784" i="1"/>
  <c r="G785" i="1"/>
  <c r="G777" i="1"/>
  <c r="I779" i="1"/>
  <c r="H785" i="1"/>
  <c r="H777" i="1"/>
  <c r="J785" i="1"/>
  <c r="L778" i="1"/>
  <c r="L784" i="1"/>
  <c r="R654" i="1"/>
  <c r="R599" i="1"/>
  <c r="H789" i="1"/>
  <c r="H782" i="1"/>
  <c r="J789" i="1"/>
  <c r="L787" i="1"/>
  <c r="I784" i="1"/>
  <c r="I778" i="1"/>
  <c r="R616" i="1"/>
  <c r="J784" i="1"/>
  <c r="J778" i="1"/>
  <c r="L788" i="1"/>
  <c r="I785" i="1"/>
  <c r="R595" i="1"/>
  <c r="F788" i="1"/>
  <c r="F456" i="1"/>
  <c r="G783" i="1"/>
  <c r="F512" i="1"/>
  <c r="F479" i="1"/>
  <c r="R482" i="1"/>
  <c r="R434" i="1"/>
  <c r="R412" i="1"/>
  <c r="R388" i="1"/>
  <c r="R348" i="1"/>
  <c r="R335" i="1"/>
  <c r="R361" i="1"/>
  <c r="R350" i="1"/>
  <c r="F272" i="1"/>
  <c r="R324" i="1"/>
  <c r="R300" i="1"/>
  <c r="R220" i="1"/>
  <c r="F252" i="1"/>
  <c r="R232" i="1"/>
  <c r="R272" i="1"/>
  <c r="R235" i="1"/>
  <c r="R212" i="1"/>
  <c r="F254" i="1"/>
  <c r="R210" i="1"/>
  <c r="R43" i="1"/>
  <c r="R233" i="1"/>
  <c r="F124" i="1"/>
  <c r="F54" i="1"/>
  <c r="F397" i="1"/>
  <c r="F688" i="1"/>
  <c r="J775" i="1"/>
  <c r="J776" i="1"/>
  <c r="R685" i="1"/>
  <c r="F691" i="1"/>
  <c r="G751" i="1"/>
  <c r="G749" i="1"/>
  <c r="H751" i="1"/>
  <c r="H749" i="1"/>
  <c r="L786" i="1"/>
  <c r="I749" i="1"/>
  <c r="L775" i="1"/>
  <c r="L776" i="1"/>
  <c r="J751" i="1"/>
  <c r="G784" i="1"/>
  <c r="I777" i="1"/>
  <c r="G786" i="1"/>
  <c r="G787" i="1"/>
  <c r="L751" i="1"/>
  <c r="G776" i="1"/>
  <c r="G775" i="1"/>
  <c r="I786" i="1"/>
  <c r="F110" i="1"/>
  <c r="H776" i="1"/>
  <c r="H783" i="1"/>
  <c r="H775" i="1"/>
  <c r="H740" i="1"/>
  <c r="I783" i="1"/>
  <c r="I775" i="1"/>
  <c r="R691" i="1"/>
  <c r="F663" i="1"/>
  <c r="H752" i="1"/>
  <c r="I752" i="1"/>
  <c r="R522" i="1"/>
  <c r="F627" i="1"/>
  <c r="R638" i="1"/>
  <c r="I782" i="1"/>
  <c r="R461" i="1"/>
  <c r="F443" i="1"/>
  <c r="F379" i="1"/>
  <c r="F356" i="1"/>
  <c r="R342" i="1"/>
  <c r="R370" i="1"/>
  <c r="R302" i="1"/>
  <c r="R264" i="1"/>
  <c r="R313" i="1"/>
  <c r="F258" i="1"/>
  <c r="F49" i="1"/>
  <c r="R227" i="1"/>
  <c r="F440" i="1"/>
  <c r="R135" i="1"/>
  <c r="R180" i="1"/>
  <c r="F192" i="1"/>
  <c r="R192" i="1"/>
  <c r="R144" i="1"/>
  <c r="R42" i="1"/>
  <c r="R632" i="1"/>
  <c r="R115" i="1"/>
  <c r="R25" i="1"/>
  <c r="R463" i="1"/>
  <c r="J679" i="1"/>
  <c r="R740" i="1"/>
  <c r="R669" i="1"/>
  <c r="R518" i="1"/>
  <c r="R661" i="1"/>
  <c r="R764" i="1"/>
  <c r="R98" i="1"/>
  <c r="R356" i="1"/>
  <c r="R371" i="1"/>
  <c r="R431" i="1"/>
  <c r="R202" i="1"/>
  <c r="R286" i="1"/>
  <c r="R717" i="1"/>
  <c r="R652" i="1"/>
  <c r="F472" i="1"/>
  <c r="R544" i="1"/>
  <c r="R514" i="1"/>
  <c r="F508" i="1"/>
  <c r="R411" i="1"/>
  <c r="F341" i="1"/>
  <c r="F283" i="1"/>
  <c r="R281" i="1"/>
  <c r="R239" i="1"/>
  <c r="F126" i="1"/>
  <c r="F39" i="1"/>
  <c r="R651" i="1"/>
  <c r="F651" i="1"/>
  <c r="F488" i="1"/>
  <c r="R465" i="1"/>
  <c r="F465" i="1"/>
  <c r="R733" i="1"/>
  <c r="F733" i="1"/>
  <c r="R721" i="1"/>
  <c r="F721" i="1"/>
  <c r="F689" i="1"/>
  <c r="I684" i="1"/>
  <c r="J680" i="1"/>
  <c r="I648" i="1"/>
  <c r="J109" i="1"/>
  <c r="J617" i="1"/>
  <c r="F616" i="1"/>
  <c r="F638" i="1"/>
  <c r="I108" i="1"/>
  <c r="I468" i="1"/>
  <c r="J589" i="1"/>
  <c r="I599" i="1"/>
  <c r="L551" i="1"/>
  <c r="F544" i="1"/>
  <c r="J515" i="1"/>
  <c r="F514" i="1"/>
  <c r="R554" i="1"/>
  <c r="J488" i="1"/>
  <c r="I456" i="1"/>
  <c r="J432" i="1"/>
  <c r="L415" i="1"/>
  <c r="I412" i="1"/>
  <c r="R406" i="1"/>
  <c r="I406" i="1"/>
  <c r="I389" i="1"/>
  <c r="J391" i="1"/>
  <c r="J401" i="1"/>
  <c r="I379" i="1"/>
  <c r="I380" i="1"/>
  <c r="J371" i="1"/>
  <c r="R365" i="1"/>
  <c r="F365" i="1"/>
  <c r="J362" i="1"/>
  <c r="I314" i="1"/>
  <c r="F309" i="1"/>
  <c r="I329" i="1"/>
  <c r="I283" i="1"/>
  <c r="I259" i="1"/>
  <c r="R255" i="1"/>
  <c r="F255" i="1"/>
  <c r="I173" i="1"/>
  <c r="I130" i="1"/>
  <c r="J157" i="1"/>
  <c r="H733" i="1"/>
  <c r="I681" i="1"/>
  <c r="I668" i="1"/>
  <c r="J655" i="1"/>
  <c r="R221" i="1"/>
  <c r="F221" i="1"/>
  <c r="I643" i="1"/>
  <c r="I620" i="1"/>
  <c r="I581" i="1"/>
  <c r="F595" i="1"/>
  <c r="I593" i="1"/>
  <c r="R614" i="1"/>
  <c r="F614" i="1"/>
  <c r="J610" i="1"/>
  <c r="J601" i="1"/>
  <c r="F548" i="1"/>
  <c r="I512" i="1"/>
  <c r="L510" i="1"/>
  <c r="F214" i="1"/>
  <c r="F461" i="1"/>
  <c r="I105" i="1"/>
  <c r="I453" i="1"/>
  <c r="R439" i="1"/>
  <c r="F439" i="1"/>
  <c r="J158" i="1"/>
  <c r="I414" i="1"/>
  <c r="J398" i="1"/>
  <c r="I395" i="1"/>
  <c r="L391" i="1"/>
  <c r="R394" i="1"/>
  <c r="F394" i="1"/>
  <c r="I377" i="1"/>
  <c r="I361" i="1"/>
  <c r="F340" i="1"/>
  <c r="I299" i="1"/>
  <c r="R316" i="1"/>
  <c r="F316" i="1"/>
  <c r="J526" i="1"/>
  <c r="R266" i="1"/>
  <c r="F266" i="1"/>
  <c r="F251" i="1"/>
  <c r="J215" i="1"/>
  <c r="I543" i="1"/>
  <c r="R237" i="1"/>
  <c r="F237" i="1"/>
  <c r="J152" i="1"/>
  <c r="R133" i="1"/>
  <c r="I133" i="1"/>
  <c r="I113" i="1"/>
  <c r="F697" i="1"/>
  <c r="I738" i="1"/>
  <c r="I740" i="1"/>
  <c r="J732" i="1"/>
  <c r="F685" i="1"/>
  <c r="I687" i="1"/>
  <c r="I688" i="1"/>
  <c r="J674" i="1"/>
  <c r="J712" i="1"/>
  <c r="I661" i="1"/>
  <c r="L109" i="1"/>
  <c r="R596" i="1"/>
  <c r="F596" i="1"/>
  <c r="I637" i="1"/>
  <c r="J562" i="1"/>
  <c r="L589" i="1"/>
  <c r="I609" i="1"/>
  <c r="R542" i="1"/>
  <c r="J535" i="1"/>
  <c r="L515" i="1"/>
  <c r="F554" i="1"/>
  <c r="I491" i="1"/>
  <c r="I511" i="1"/>
  <c r="L476" i="1"/>
  <c r="R458" i="1"/>
  <c r="I443" i="1"/>
  <c r="L432" i="1"/>
  <c r="I424" i="1"/>
  <c r="R416" i="1"/>
  <c r="F416" i="1"/>
  <c r="I388" i="1"/>
  <c r="R387" i="1"/>
  <c r="F387" i="1"/>
  <c r="I385" i="1"/>
  <c r="I448" i="1"/>
  <c r="R351" i="1"/>
  <c r="F351" i="1"/>
  <c r="J339" i="1"/>
  <c r="J324" i="1"/>
  <c r="F282" i="1"/>
  <c r="I270" i="1"/>
  <c r="R270" i="1"/>
  <c r="L259" i="1"/>
  <c r="F236" i="1"/>
  <c r="L228" i="1"/>
  <c r="J190" i="1"/>
  <c r="I179" i="1"/>
  <c r="R179" i="1"/>
  <c r="R161" i="1"/>
  <c r="F161" i="1"/>
  <c r="R138" i="1"/>
  <c r="F138" i="1"/>
  <c r="R65" i="1"/>
  <c r="F65" i="1"/>
  <c r="J46" i="1"/>
  <c r="I731" i="1"/>
  <c r="F500" i="1"/>
  <c r="I725" i="1"/>
  <c r="J687" i="1"/>
  <c r="J651" i="1"/>
  <c r="J654" i="1"/>
  <c r="F652" i="1"/>
  <c r="I650" i="1"/>
  <c r="J642" i="1"/>
  <c r="R639" i="1"/>
  <c r="F639" i="1"/>
  <c r="F631" i="1"/>
  <c r="R618" i="1"/>
  <c r="I618" i="1"/>
  <c r="J590" i="1"/>
  <c r="L610" i="1"/>
  <c r="I625" i="1"/>
  <c r="L601" i="1"/>
  <c r="I559" i="1"/>
  <c r="I523" i="1"/>
  <c r="J522" i="1"/>
  <c r="L488" i="1"/>
  <c r="I497" i="1"/>
  <c r="R477" i="1"/>
  <c r="I459" i="1"/>
  <c r="J444" i="1"/>
  <c r="L158" i="1"/>
  <c r="I413" i="1"/>
  <c r="I427" i="1"/>
  <c r="I411" i="1"/>
  <c r="J408" i="1"/>
  <c r="R399" i="1"/>
  <c r="I399" i="1"/>
  <c r="L398" i="1"/>
  <c r="F370" i="1"/>
  <c r="I107" i="1"/>
  <c r="F328" i="1"/>
  <c r="I302" i="1"/>
  <c r="I274" i="1"/>
  <c r="R274" i="1"/>
  <c r="L526" i="1"/>
  <c r="I207" i="1"/>
  <c r="J175" i="1"/>
  <c r="I126" i="1"/>
  <c r="F60" i="1"/>
  <c r="R714" i="1"/>
  <c r="F714" i="1"/>
  <c r="I686" i="1"/>
  <c r="R655" i="1"/>
  <c r="I645" i="1"/>
  <c r="J670" i="1"/>
  <c r="R603" i="1"/>
  <c r="F603" i="1"/>
  <c r="J597" i="1"/>
  <c r="J594" i="1"/>
  <c r="R600" i="1"/>
  <c r="F600" i="1"/>
  <c r="R564" i="1"/>
  <c r="F564" i="1"/>
  <c r="J559" i="1"/>
  <c r="R551" i="1"/>
  <c r="F551" i="1"/>
  <c r="R545" i="1"/>
  <c r="I545" i="1"/>
  <c r="I558" i="1"/>
  <c r="I547" i="1"/>
  <c r="L535" i="1"/>
  <c r="R529" i="1"/>
  <c r="F529" i="1"/>
  <c r="R487" i="1"/>
  <c r="F487" i="1"/>
  <c r="R466" i="1"/>
  <c r="F466" i="1"/>
  <c r="J484" i="1"/>
  <c r="R460" i="1"/>
  <c r="F460" i="1"/>
  <c r="I438" i="1"/>
  <c r="I737" i="1"/>
  <c r="I454" i="1"/>
  <c r="J411" i="1"/>
  <c r="I410" i="1"/>
  <c r="R404" i="1"/>
  <c r="F404" i="1"/>
  <c r="I323" i="1"/>
  <c r="F306" i="1"/>
  <c r="J297" i="1"/>
  <c r="I298" i="1"/>
  <c r="R288" i="1"/>
  <c r="F288" i="1"/>
  <c r="I392" i="1"/>
  <c r="J253" i="1"/>
  <c r="I242" i="1"/>
  <c r="I208" i="1"/>
  <c r="F140" i="1"/>
  <c r="I129" i="1"/>
  <c r="J68" i="1"/>
  <c r="J52" i="1"/>
  <c r="J692" i="1"/>
  <c r="R742" i="1"/>
  <c r="I742" i="1"/>
  <c r="R713" i="1"/>
  <c r="F713" i="1"/>
  <c r="R668" i="1"/>
  <c r="I658" i="1"/>
  <c r="R490" i="1"/>
  <c r="F490" i="1"/>
  <c r="I630" i="1"/>
  <c r="I587" i="1"/>
  <c r="J583" i="1"/>
  <c r="L590" i="1"/>
  <c r="I638" i="1"/>
  <c r="R585" i="1"/>
  <c r="F585" i="1"/>
  <c r="I578" i="1"/>
  <c r="I561" i="1"/>
  <c r="R549" i="1"/>
  <c r="F549" i="1"/>
  <c r="L541" i="1"/>
  <c r="I106" i="1"/>
  <c r="L522" i="1"/>
  <c r="F510" i="1"/>
  <c r="F480" i="1"/>
  <c r="J584" i="1"/>
  <c r="I469" i="1"/>
  <c r="J375" i="1"/>
  <c r="R571" i="1"/>
  <c r="F571" i="1"/>
  <c r="F452" i="1"/>
  <c r="J410" i="1"/>
  <c r="I429" i="1"/>
  <c r="L408" i="1"/>
  <c r="F383" i="1"/>
  <c r="I365" i="1"/>
  <c r="F350" i="1"/>
  <c r="I326" i="1"/>
  <c r="I290" i="1"/>
  <c r="J286" i="1"/>
  <c r="R268" i="1"/>
  <c r="F268" i="1"/>
  <c r="I255" i="1"/>
  <c r="R250" i="1"/>
  <c r="F250" i="1"/>
  <c r="J242" i="1"/>
  <c r="F235" i="1"/>
  <c r="I209" i="1"/>
  <c r="I223" i="1"/>
  <c r="J321" i="1"/>
  <c r="I184" i="1"/>
  <c r="F202" i="1"/>
  <c r="L159" i="1"/>
  <c r="J745" i="1"/>
  <c r="R120" i="1"/>
  <c r="I120" i="1"/>
  <c r="L67" i="1"/>
  <c r="J742" i="1"/>
  <c r="I500" i="1"/>
  <c r="L651" i="1"/>
  <c r="R109" i="1"/>
  <c r="F109" i="1"/>
  <c r="J616" i="1"/>
  <c r="L597" i="1"/>
  <c r="I595" i="1"/>
  <c r="L594" i="1"/>
  <c r="I548" i="1"/>
  <c r="J544" i="1"/>
  <c r="R521" i="1"/>
  <c r="I521" i="1"/>
  <c r="I506" i="1"/>
  <c r="L484" i="1"/>
  <c r="R476" i="1"/>
  <c r="F476" i="1"/>
  <c r="I461" i="1"/>
  <c r="J418" i="1"/>
  <c r="L410" i="1"/>
  <c r="F434" i="1"/>
  <c r="I405" i="1"/>
  <c r="I394" i="1"/>
  <c r="R360" i="1"/>
  <c r="I360" i="1"/>
  <c r="F335" i="1"/>
  <c r="F300" i="1"/>
  <c r="I316" i="1"/>
  <c r="J276" i="1"/>
  <c r="L242" i="1"/>
  <c r="R660" i="1"/>
  <c r="F660" i="1"/>
  <c r="I239" i="1"/>
  <c r="J184" i="1"/>
  <c r="I181" i="1"/>
  <c r="I168" i="1"/>
  <c r="R76" i="1"/>
  <c r="F76" i="1"/>
  <c r="J123" i="1"/>
  <c r="R61" i="1"/>
  <c r="F61" i="1"/>
  <c r="I54" i="1"/>
  <c r="J41" i="1"/>
  <c r="R82" i="1"/>
  <c r="F82" i="1"/>
  <c r="J641" i="1"/>
  <c r="J221" i="1"/>
  <c r="L583" i="1"/>
  <c r="I596" i="1"/>
  <c r="F108" i="1"/>
  <c r="R468" i="1"/>
  <c r="F468" i="1"/>
  <c r="J614" i="1"/>
  <c r="F610" i="1"/>
  <c r="R601" i="1"/>
  <c r="F601" i="1"/>
  <c r="R569" i="1"/>
  <c r="I569" i="1"/>
  <c r="I508" i="1"/>
  <c r="I501" i="1"/>
  <c r="L584" i="1"/>
  <c r="I473" i="1"/>
  <c r="I471" i="1"/>
  <c r="L375" i="1"/>
  <c r="F451" i="1"/>
  <c r="J439" i="1"/>
  <c r="R158" i="1"/>
  <c r="F158" i="1"/>
  <c r="I35" i="1"/>
  <c r="I425" i="1"/>
  <c r="I416" i="1"/>
  <c r="J405" i="1"/>
  <c r="L402" i="1"/>
  <c r="F371" i="1"/>
  <c r="J340" i="1"/>
  <c r="L286" i="1"/>
  <c r="L277" i="1"/>
  <c r="R261" i="1"/>
  <c r="F261" i="1"/>
  <c r="F241" i="1"/>
  <c r="J232" i="1"/>
  <c r="R215" i="1"/>
  <c r="F215" i="1"/>
  <c r="I231" i="1"/>
  <c r="L184" i="1"/>
  <c r="I167" i="1"/>
  <c r="R171" i="1"/>
  <c r="F171" i="1"/>
  <c r="R177" i="1"/>
  <c r="F177" i="1"/>
  <c r="I141" i="1"/>
  <c r="J99" i="1"/>
  <c r="I74" i="1"/>
  <c r="R74" i="1"/>
  <c r="R31" i="1"/>
  <c r="F31" i="1"/>
  <c r="R709" i="1"/>
  <c r="F709" i="1"/>
  <c r="R69" i="1"/>
  <c r="I69" i="1"/>
  <c r="J730" i="1"/>
  <c r="R738" i="1"/>
  <c r="F738" i="1"/>
  <c r="F648" i="1"/>
  <c r="R674" i="1"/>
  <c r="F674" i="1"/>
  <c r="F675" i="1"/>
  <c r="R712" i="1"/>
  <c r="F712" i="1"/>
  <c r="I656" i="1"/>
  <c r="I462" i="1"/>
  <c r="I652" i="1"/>
  <c r="J666" i="1"/>
  <c r="R581" i="1"/>
  <c r="F581" i="1"/>
  <c r="L616" i="1"/>
  <c r="I577" i="1"/>
  <c r="J542" i="1"/>
  <c r="J532" i="1"/>
  <c r="R535" i="1"/>
  <c r="F535" i="1"/>
  <c r="J554" i="1"/>
  <c r="L104" i="1"/>
  <c r="I472" i="1"/>
  <c r="F482" i="1"/>
  <c r="I495" i="1"/>
  <c r="R105" i="1"/>
  <c r="F105" i="1"/>
  <c r="J471" i="1"/>
  <c r="R453" i="1"/>
  <c r="F453" i="1"/>
  <c r="I441" i="1"/>
  <c r="J35" i="1"/>
  <c r="I428" i="1"/>
  <c r="L418" i="1"/>
  <c r="J419" i="1"/>
  <c r="L405" i="1"/>
  <c r="I369" i="1"/>
  <c r="R369" i="1"/>
  <c r="I206" i="1"/>
  <c r="I306" i="1"/>
  <c r="R306" i="1"/>
  <c r="F339" i="1"/>
  <c r="F324" i="1"/>
  <c r="L276" i="1"/>
  <c r="L223" i="1"/>
  <c r="R543" i="1"/>
  <c r="F543" i="1"/>
  <c r="F219" i="1"/>
  <c r="J227" i="1"/>
  <c r="R90" i="1"/>
  <c r="F90" i="1"/>
  <c r="I125" i="1"/>
  <c r="I142" i="1"/>
  <c r="I119" i="1"/>
  <c r="L221" i="1"/>
  <c r="J639" i="1"/>
  <c r="J631" i="1"/>
  <c r="I567" i="1"/>
  <c r="F637" i="1"/>
  <c r="R609" i="1"/>
  <c r="F609" i="1"/>
  <c r="I600" i="1"/>
  <c r="I564" i="1"/>
  <c r="J623" i="1"/>
  <c r="I487" i="1"/>
  <c r="F511" i="1"/>
  <c r="L35" i="1"/>
  <c r="I98" i="1"/>
  <c r="J735" i="1"/>
  <c r="F388" i="1"/>
  <c r="I404" i="1"/>
  <c r="J386" i="1"/>
  <c r="R448" i="1"/>
  <c r="F448" i="1"/>
  <c r="R317" i="1"/>
  <c r="I317" i="1"/>
  <c r="R293" i="1"/>
  <c r="F293" i="1"/>
  <c r="J265" i="1"/>
  <c r="I235" i="1"/>
  <c r="L232" i="1"/>
  <c r="L226" i="1"/>
  <c r="F220" i="1"/>
  <c r="I211" i="1"/>
  <c r="J187" i="1"/>
  <c r="L197" i="1"/>
  <c r="I191" i="1"/>
  <c r="J186" i="1"/>
  <c r="R147" i="1"/>
  <c r="I147" i="1"/>
  <c r="F431" i="1"/>
  <c r="I85" i="1"/>
  <c r="L117" i="1"/>
  <c r="L632" i="1"/>
  <c r="R715" i="1"/>
  <c r="F715" i="1"/>
  <c r="I112" i="1"/>
  <c r="I716" i="1"/>
  <c r="R315" i="1"/>
  <c r="I315" i="1"/>
  <c r="J700" i="1"/>
  <c r="R706" i="1"/>
  <c r="F706" i="1"/>
  <c r="I669" i="1"/>
  <c r="R641" i="1"/>
  <c r="R650" i="1"/>
  <c r="F650" i="1"/>
  <c r="I490" i="1"/>
  <c r="R624" i="1"/>
  <c r="F624" i="1"/>
  <c r="J603" i="1"/>
  <c r="R597" i="1"/>
  <c r="F597" i="1"/>
  <c r="F594" i="1"/>
  <c r="R592" i="1"/>
  <c r="I592" i="1"/>
  <c r="F625" i="1"/>
  <c r="J551" i="1"/>
  <c r="I549" i="1"/>
  <c r="L542" i="1"/>
  <c r="L532" i="1"/>
  <c r="J466" i="1"/>
  <c r="R484" i="1"/>
  <c r="F484" i="1"/>
  <c r="I474" i="1"/>
  <c r="I499" i="1"/>
  <c r="I452" i="1"/>
  <c r="R413" i="1"/>
  <c r="F413" i="1"/>
  <c r="J98" i="1"/>
  <c r="J415" i="1"/>
  <c r="L387" i="1"/>
  <c r="R400" i="1"/>
  <c r="F400" i="1"/>
  <c r="I368" i="1"/>
  <c r="I335" i="1"/>
  <c r="I320" i="1"/>
  <c r="R331" i="1"/>
  <c r="F331" i="1"/>
  <c r="I295" i="1"/>
  <c r="R295" i="1"/>
  <c r="J288" i="1"/>
  <c r="I268" i="1"/>
  <c r="R273" i="1"/>
  <c r="F273" i="1"/>
  <c r="I245" i="1"/>
  <c r="R248" i="1"/>
  <c r="F248" i="1"/>
  <c r="I250" i="1"/>
  <c r="I212" i="1"/>
  <c r="I145" i="1"/>
  <c r="I115" i="1"/>
  <c r="J44" i="1"/>
  <c r="F720" i="1"/>
  <c r="J741" i="1"/>
  <c r="R731" i="1"/>
  <c r="F731" i="1"/>
  <c r="R102" i="1"/>
  <c r="F102" i="1"/>
  <c r="I717" i="1"/>
  <c r="J315" i="1"/>
  <c r="R689" i="1"/>
  <c r="I672" i="1"/>
  <c r="I710" i="1"/>
  <c r="J669" i="1"/>
  <c r="F645" i="1"/>
  <c r="L639" i="1"/>
  <c r="I621" i="1"/>
  <c r="L631" i="1"/>
  <c r="I580" i="1"/>
  <c r="L623" i="1"/>
  <c r="I538" i="1"/>
  <c r="I517" i="1"/>
  <c r="J510" i="1"/>
  <c r="R503" i="1"/>
  <c r="I503" i="1"/>
  <c r="R584" i="1"/>
  <c r="F584" i="1"/>
  <c r="I463" i="1"/>
  <c r="J477" i="1"/>
  <c r="J458" i="1"/>
  <c r="F454" i="1"/>
  <c r="F411" i="1"/>
  <c r="L735" i="1"/>
  <c r="I434" i="1"/>
  <c r="I391" i="1"/>
  <c r="R402" i="1"/>
  <c r="F402" i="1"/>
  <c r="I376" i="1"/>
  <c r="I371" i="1"/>
  <c r="I374" i="1"/>
  <c r="F352" i="1"/>
  <c r="I334" i="1"/>
  <c r="I294" i="1"/>
  <c r="F302" i="1"/>
  <c r="L282" i="1"/>
  <c r="J263" i="1"/>
  <c r="F256" i="1"/>
  <c r="I249" i="1"/>
  <c r="I246" i="1"/>
  <c r="R242" i="1"/>
  <c r="F242" i="1"/>
  <c r="L138" i="1"/>
  <c r="L156" i="1"/>
  <c r="I122" i="1"/>
  <c r="L483" i="1"/>
  <c r="J115" i="1"/>
  <c r="F25" i="1"/>
  <c r="L761" i="1"/>
  <c r="J774" i="1"/>
  <c r="L749" i="1"/>
  <c r="J837" i="1"/>
  <c r="J847" i="1"/>
  <c r="R864" i="1"/>
  <c r="F864" i="1"/>
  <c r="R873" i="1"/>
  <c r="I873" i="1"/>
  <c r="L874" i="1"/>
  <c r="J764" i="1"/>
  <c r="J766" i="1"/>
  <c r="I751" i="1"/>
  <c r="J849" i="1"/>
  <c r="I858" i="1"/>
  <c r="J867" i="1"/>
  <c r="I878" i="1"/>
  <c r="J274" i="1"/>
  <c r="J281" i="1"/>
  <c r="L263" i="1"/>
  <c r="I251" i="1"/>
  <c r="I91" i="1"/>
  <c r="J225" i="1"/>
  <c r="L187" i="1"/>
  <c r="I124" i="1"/>
  <c r="L99" i="1"/>
  <c r="J10" i="1"/>
  <c r="I759" i="1"/>
  <c r="L774" i="1"/>
  <c r="J783" i="1"/>
  <c r="L785" i="1"/>
  <c r="I835" i="1"/>
  <c r="L837" i="1"/>
  <c r="L847" i="1"/>
  <c r="J858" i="1"/>
  <c r="L867" i="1"/>
  <c r="J75" i="1"/>
  <c r="L115" i="1"/>
  <c r="R63" i="1"/>
  <c r="F63" i="1"/>
  <c r="I53" i="1"/>
  <c r="L46" i="1"/>
  <c r="R30" i="1"/>
  <c r="F30" i="1"/>
  <c r="F582" i="1"/>
  <c r="L766" i="1"/>
  <c r="J758" i="1"/>
  <c r="L789" i="1"/>
  <c r="R812" i="1"/>
  <c r="I812" i="1"/>
  <c r="F830" i="1"/>
  <c r="I843" i="1"/>
  <c r="L849" i="1"/>
  <c r="L858" i="1"/>
  <c r="I872" i="1"/>
  <c r="R881" i="1"/>
  <c r="F881" i="1"/>
  <c r="L281" i="1"/>
  <c r="R526" i="1"/>
  <c r="F526" i="1"/>
  <c r="R276" i="1"/>
  <c r="F276" i="1"/>
  <c r="J250" i="1"/>
  <c r="F232" i="1"/>
  <c r="J223" i="1"/>
  <c r="L225" i="1"/>
  <c r="R224" i="1"/>
  <c r="F224" i="1"/>
  <c r="F182" i="1"/>
  <c r="R174" i="1"/>
  <c r="R159" i="1"/>
  <c r="F159" i="1"/>
  <c r="R156" i="1"/>
  <c r="F156" i="1"/>
  <c r="I136" i="1"/>
  <c r="R123" i="1"/>
  <c r="J66" i="1"/>
  <c r="J516" i="1"/>
  <c r="J45" i="1"/>
  <c r="J750" i="1"/>
  <c r="I780" i="1"/>
  <c r="J782" i="1"/>
  <c r="L783" i="1"/>
  <c r="F825" i="1"/>
  <c r="V825" i="1" s="1"/>
  <c r="R828" i="1"/>
  <c r="F828" i="1"/>
  <c r="J845" i="1"/>
  <c r="I854" i="1"/>
  <c r="J857" i="1"/>
  <c r="J865" i="1"/>
  <c r="L866" i="1"/>
  <c r="J872" i="1"/>
  <c r="R307" i="1"/>
  <c r="F307" i="1"/>
  <c r="R311" i="1"/>
  <c r="I311" i="1"/>
  <c r="L285" i="1"/>
  <c r="R271" i="1"/>
  <c r="F271" i="1"/>
  <c r="L265" i="1"/>
  <c r="R278" i="1"/>
  <c r="F278" i="1"/>
  <c r="J241" i="1"/>
  <c r="R247" i="1"/>
  <c r="F247" i="1"/>
  <c r="I217" i="1"/>
  <c r="R226" i="1"/>
  <c r="F226" i="1"/>
  <c r="J216" i="1"/>
  <c r="L190" i="1"/>
  <c r="R137" i="1"/>
  <c r="F137" i="1"/>
  <c r="R132" i="1"/>
  <c r="F132" i="1"/>
  <c r="L68" i="1"/>
  <c r="L75" i="1"/>
  <c r="R67" i="1"/>
  <c r="F67" i="1"/>
  <c r="F632" i="1"/>
  <c r="F43" i="1"/>
  <c r="F42" i="1"/>
  <c r="J27" i="1"/>
  <c r="F16" i="1"/>
  <c r="J771" i="1"/>
  <c r="L758" i="1"/>
  <c r="R848" i="1"/>
  <c r="F848" i="1"/>
  <c r="V848" i="1" s="1"/>
  <c r="R868" i="1"/>
  <c r="F868" i="1"/>
  <c r="L872" i="1"/>
  <c r="J461" i="1"/>
  <c r="J469" i="1"/>
  <c r="J465" i="1"/>
  <c r="J475" i="1"/>
  <c r="I571" i="1"/>
  <c r="L439" i="1"/>
  <c r="I400" i="1"/>
  <c r="J364" i="1"/>
  <c r="I300" i="1"/>
  <c r="J311" i="1"/>
  <c r="J273" i="1"/>
  <c r="R251" i="1"/>
  <c r="J248" i="1"/>
  <c r="L250" i="1"/>
  <c r="I220" i="1"/>
  <c r="F210" i="1"/>
  <c r="I146" i="1"/>
  <c r="F135" i="1"/>
  <c r="J131" i="1"/>
  <c r="J72" i="1"/>
  <c r="F123" i="1"/>
  <c r="J65" i="1"/>
  <c r="L66" i="1"/>
  <c r="I62" i="1"/>
  <c r="L58" i="1"/>
  <c r="J325" i="1"/>
  <c r="L750" i="1"/>
  <c r="J752" i="1"/>
  <c r="L782" i="1"/>
  <c r="R798" i="1"/>
  <c r="F798" i="1"/>
  <c r="V798" i="1" s="1"/>
  <c r="R810" i="1"/>
  <c r="I810" i="1"/>
  <c r="I832" i="1"/>
  <c r="V832" i="1" s="1"/>
  <c r="J834" i="1"/>
  <c r="I840" i="1"/>
  <c r="R840" i="1"/>
  <c r="L845" i="1"/>
  <c r="J856" i="1"/>
  <c r="R859" i="1"/>
  <c r="F859" i="1"/>
  <c r="J862" i="1"/>
  <c r="J864" i="1"/>
  <c r="L765" i="1"/>
  <c r="L216" i="1"/>
  <c r="R211" i="1"/>
  <c r="F211" i="1"/>
  <c r="F208" i="1"/>
  <c r="R207" i="1"/>
  <c r="F207" i="1"/>
  <c r="R184" i="1"/>
  <c r="F184" i="1"/>
  <c r="F191" i="1"/>
  <c r="R167" i="1"/>
  <c r="F167" i="1"/>
  <c r="I144" i="1"/>
  <c r="J76" i="1"/>
  <c r="F115" i="1"/>
  <c r="J61" i="1"/>
  <c r="R53" i="1"/>
  <c r="J36" i="1"/>
  <c r="I676" i="1"/>
  <c r="I433" i="1"/>
  <c r="J397" i="1"/>
  <c r="F766" i="1"/>
  <c r="L771" i="1"/>
  <c r="I776" i="1"/>
  <c r="J777" i="1"/>
  <c r="J779" i="1"/>
  <c r="F792" i="1"/>
  <c r="V792" i="1" s="1"/>
  <c r="R821" i="1"/>
  <c r="F821" i="1"/>
  <c r="V821" i="1" s="1"/>
  <c r="I831" i="1"/>
  <c r="I839" i="1"/>
  <c r="R849" i="1"/>
  <c r="F849" i="1"/>
  <c r="I852" i="1"/>
  <c r="R867" i="1"/>
  <c r="F867" i="1"/>
  <c r="R870" i="1"/>
  <c r="I870" i="1"/>
  <c r="L883" i="1"/>
  <c r="I384" i="1"/>
  <c r="L107" i="1"/>
  <c r="R285" i="1"/>
  <c r="F285" i="1"/>
  <c r="F281" i="1"/>
  <c r="J259" i="1"/>
  <c r="L273" i="1"/>
  <c r="F245" i="1"/>
  <c r="L248" i="1"/>
  <c r="R249" i="1"/>
  <c r="F249" i="1"/>
  <c r="R246" i="1"/>
  <c r="F246" i="1"/>
  <c r="I660" i="1"/>
  <c r="I236" i="1"/>
  <c r="F239" i="1"/>
  <c r="R225" i="1"/>
  <c r="F225" i="1"/>
  <c r="J218" i="1"/>
  <c r="R188" i="1"/>
  <c r="I188" i="1"/>
  <c r="R152" i="1"/>
  <c r="R142" i="1"/>
  <c r="F142" i="1"/>
  <c r="I87" i="1"/>
  <c r="L65" i="1"/>
  <c r="J56" i="1"/>
  <c r="L60" i="1"/>
  <c r="J13" i="1"/>
  <c r="R19" i="1"/>
  <c r="I19" i="1"/>
  <c r="J736" i="1"/>
  <c r="R11" i="1"/>
  <c r="F11" i="1"/>
  <c r="L325" i="1"/>
  <c r="J769" i="1"/>
  <c r="L752" i="1"/>
  <c r="L834" i="1"/>
  <c r="R851" i="1"/>
  <c r="I851" i="1"/>
  <c r="L856" i="1"/>
  <c r="R858" i="1"/>
  <c r="F858" i="1"/>
  <c r="L862" i="1"/>
  <c r="L864" i="1"/>
  <c r="J876" i="1"/>
  <c r="J694" i="1"/>
  <c r="I667" i="1"/>
  <c r="I657" i="1"/>
  <c r="L642" i="1"/>
  <c r="J624" i="1"/>
  <c r="L617" i="1"/>
  <c r="L603" i="1"/>
  <c r="J585" i="1"/>
  <c r="I606" i="1"/>
  <c r="L614" i="1"/>
  <c r="J622" i="1"/>
  <c r="J556" i="1"/>
  <c r="I518" i="1"/>
  <c r="J529" i="1"/>
  <c r="I525" i="1"/>
  <c r="J514" i="1"/>
  <c r="L466" i="1"/>
  <c r="J480" i="1"/>
  <c r="L465" i="1"/>
  <c r="R444" i="1"/>
  <c r="I444" i="1"/>
  <c r="J451" i="1"/>
  <c r="R419" i="1"/>
  <c r="I419" i="1"/>
  <c r="J393" i="1"/>
  <c r="J385" i="1"/>
  <c r="J304" i="1"/>
  <c r="R241" i="1"/>
  <c r="L215" i="1"/>
  <c r="I224" i="1"/>
  <c r="F227" i="1"/>
  <c r="F152" i="1"/>
  <c r="L76" i="1"/>
  <c r="J77" i="1"/>
  <c r="J63" i="1"/>
  <c r="L61" i="1"/>
  <c r="J19" i="1"/>
  <c r="L777" i="1"/>
  <c r="L779" i="1"/>
  <c r="I788" i="1"/>
  <c r="R756" i="1"/>
  <c r="I756" i="1"/>
  <c r="J830" i="1"/>
  <c r="J841" i="1"/>
  <c r="R844" i="1"/>
  <c r="F844" i="1"/>
  <c r="V844" i="1" s="1"/>
  <c r="J861" i="1"/>
  <c r="J869" i="1"/>
  <c r="L870" i="1"/>
  <c r="R223" i="1"/>
  <c r="F223" i="1"/>
  <c r="L218" i="1"/>
  <c r="R231" i="1"/>
  <c r="F231" i="1"/>
  <c r="J197" i="1"/>
  <c r="R125" i="1"/>
  <c r="F125" i="1"/>
  <c r="R141" i="1"/>
  <c r="F141" i="1"/>
  <c r="R130" i="1"/>
  <c r="F130" i="1"/>
  <c r="R119" i="1"/>
  <c r="F119" i="1"/>
  <c r="R66" i="1"/>
  <c r="F66" i="1"/>
  <c r="J34" i="1"/>
  <c r="L13" i="1"/>
  <c r="F17" i="1"/>
  <c r="F750" i="1"/>
  <c r="J761" i="1"/>
  <c r="L769" i="1"/>
  <c r="J749" i="1"/>
  <c r="I787" i="1"/>
  <c r="R797" i="1"/>
  <c r="I797" i="1"/>
  <c r="I827" i="1"/>
  <c r="R845" i="1"/>
  <c r="F845" i="1"/>
  <c r="I850" i="1"/>
  <c r="I874" i="1"/>
  <c r="L624" i="1"/>
  <c r="L585" i="1"/>
  <c r="I568" i="1"/>
  <c r="L622" i="1"/>
  <c r="L556" i="1"/>
  <c r="J541" i="1"/>
  <c r="L529" i="1"/>
  <c r="L514" i="1"/>
  <c r="I214" i="1"/>
  <c r="J104" i="1"/>
  <c r="I482" i="1"/>
  <c r="L480" i="1"/>
  <c r="J476" i="1"/>
  <c r="L451" i="1"/>
  <c r="J387" i="1"/>
  <c r="J402" i="1"/>
  <c r="I269" i="1"/>
  <c r="J212" i="1"/>
  <c r="J226" i="1"/>
  <c r="R162" i="1"/>
  <c r="R703" i="1"/>
  <c r="R88" i="1"/>
  <c r="I121" i="1"/>
  <c r="I70" i="1"/>
  <c r="J67" i="1"/>
  <c r="L77" i="1"/>
  <c r="J632" i="1"/>
  <c r="L63" i="1"/>
  <c r="R33" i="1"/>
  <c r="F33" i="1"/>
  <c r="F677" i="1"/>
  <c r="F771" i="1"/>
  <c r="R826" i="1"/>
  <c r="I826" i="1"/>
  <c r="F762" i="1"/>
  <c r="R854" i="1"/>
  <c r="F854" i="1"/>
  <c r="I859" i="1"/>
  <c r="R863" i="1"/>
  <c r="F863" i="1"/>
  <c r="V863" i="1" s="1"/>
  <c r="L869" i="1"/>
  <c r="J874" i="1"/>
  <c r="I879" i="1"/>
  <c r="J866" i="1"/>
  <c r="J895" i="1"/>
  <c r="L894" i="1"/>
  <c r="V894" i="1" s="1"/>
  <c r="J887" i="1"/>
  <c r="R883" i="1"/>
  <c r="F883" i="1"/>
  <c r="J893" i="1"/>
  <c r="J765" i="1"/>
  <c r="L893" i="1"/>
  <c r="F896" i="1"/>
  <c r="V896" i="1" s="1"/>
  <c r="I885" i="1"/>
  <c r="L868" i="1"/>
  <c r="L889" i="1"/>
  <c r="R879" i="1"/>
  <c r="F879" i="1"/>
  <c r="L891" i="1"/>
  <c r="R891" i="1"/>
  <c r="F891" i="1"/>
  <c r="V891" i="1" s="1"/>
  <c r="I892" i="1"/>
  <c r="I884" i="1"/>
  <c r="I877" i="1"/>
  <c r="L841" i="1"/>
  <c r="J883" i="1"/>
  <c r="R876" i="1"/>
  <c r="F876" i="1"/>
  <c r="L885" i="1"/>
  <c r="I899" i="1"/>
  <c r="V899" i="1" s="1"/>
  <c r="J889" i="1"/>
  <c r="I865" i="1"/>
  <c r="J870" i="1"/>
  <c r="I897" i="1"/>
  <c r="F892" i="1"/>
  <c r="L860" i="1"/>
  <c r="R887" i="1"/>
  <c r="F887" i="1"/>
  <c r="L887" i="1"/>
  <c r="L879" i="1"/>
  <c r="J873" i="1"/>
  <c r="J860" i="1"/>
  <c r="R872" i="1"/>
  <c r="F872" i="1"/>
  <c r="I875" i="1"/>
  <c r="L881" i="1"/>
  <c r="L897" i="1"/>
  <c r="F742" i="1"/>
  <c r="F315" i="1"/>
  <c r="R111" i="1"/>
  <c r="R690" i="1"/>
  <c r="R672" i="1"/>
  <c r="R671" i="1"/>
  <c r="R653" i="1"/>
  <c r="F716" i="1"/>
  <c r="F69" i="1"/>
  <c r="R640" i="1"/>
  <c r="R644" i="1"/>
  <c r="R662" i="1"/>
  <c r="R647" i="1"/>
  <c r="R627" i="1"/>
  <c r="R648" i="1"/>
  <c r="R710" i="1"/>
  <c r="R667" i="1"/>
  <c r="R665" i="1"/>
  <c r="R725" i="1"/>
  <c r="R688" i="1"/>
  <c r="R681" i="1"/>
  <c r="R657" i="1"/>
  <c r="R658" i="1"/>
  <c r="R643" i="1"/>
  <c r="R472" i="1"/>
  <c r="R636" i="1"/>
  <c r="F620" i="1"/>
  <c r="R620" i="1"/>
  <c r="R605" i="1"/>
  <c r="F567" i="1"/>
  <c r="R567" i="1"/>
  <c r="F588" i="1"/>
  <c r="F593" i="1"/>
  <c r="R593" i="1"/>
  <c r="F606" i="1"/>
  <c r="R606" i="1"/>
  <c r="F608" i="1"/>
  <c r="R608" i="1"/>
  <c r="F568" i="1"/>
  <c r="R568" i="1"/>
  <c r="F578" i="1"/>
  <c r="R578" i="1"/>
  <c r="R563" i="1"/>
  <c r="R550" i="1"/>
  <c r="R540" i="1"/>
  <c r="R531" i="1"/>
  <c r="R513" i="1"/>
  <c r="F501" i="1"/>
  <c r="R501" i="1"/>
  <c r="R469" i="1"/>
  <c r="F497" i="1"/>
  <c r="R473" i="1"/>
  <c r="R467" i="1"/>
  <c r="R737" i="1"/>
  <c r="R420" i="1"/>
  <c r="R450" i="1"/>
  <c r="F618" i="1"/>
  <c r="F592" i="1"/>
  <c r="F569" i="1"/>
  <c r="F545" i="1"/>
  <c r="F521" i="1"/>
  <c r="F503" i="1"/>
  <c r="R497" i="1"/>
  <c r="R499" i="1"/>
  <c r="R474" i="1"/>
  <c r="F444" i="1"/>
  <c r="F419" i="1"/>
  <c r="F406" i="1"/>
  <c r="F399" i="1"/>
  <c r="F385" i="1"/>
  <c r="R367" i="1"/>
  <c r="R333" i="1"/>
  <c r="R292" i="1"/>
  <c r="R357" i="1"/>
  <c r="R349" i="1"/>
  <c r="R303" i="1"/>
  <c r="R327" i="1"/>
  <c r="R169" i="1"/>
  <c r="R744" i="1"/>
  <c r="F457" i="1"/>
  <c r="F417" i="1"/>
  <c r="F389" i="1"/>
  <c r="F384" i="1"/>
  <c r="R379" i="1"/>
  <c r="R377" i="1"/>
  <c r="F376" i="1"/>
  <c r="R373" i="1"/>
  <c r="F346" i="1"/>
  <c r="R346" i="1"/>
  <c r="R355" i="1"/>
  <c r="R530" i="1"/>
  <c r="F347" i="1"/>
  <c r="R358" i="1"/>
  <c r="F320" i="1"/>
  <c r="R320" i="1"/>
  <c r="F348" i="1"/>
  <c r="R308" i="1"/>
  <c r="R339" i="1"/>
  <c r="R305" i="1"/>
  <c r="R267" i="1"/>
  <c r="R254" i="1"/>
  <c r="R238" i="1"/>
  <c r="R213" i="1"/>
  <c r="R240" i="1"/>
  <c r="R205" i="1"/>
  <c r="R189" i="1"/>
  <c r="F374" i="1"/>
  <c r="R364" i="1"/>
  <c r="F311" i="1"/>
  <c r="R49" i="1"/>
  <c r="R230" i="1"/>
  <c r="R92" i="1"/>
  <c r="R287" i="1"/>
  <c r="R275" i="1"/>
  <c r="R280" i="1"/>
  <c r="R256" i="1"/>
  <c r="R244" i="1"/>
  <c r="R234" i="1"/>
  <c r="R222" i="1"/>
  <c r="R178" i="1"/>
  <c r="R203" i="1"/>
  <c r="R182" i="1"/>
  <c r="R193" i="1"/>
  <c r="R196" i="1"/>
  <c r="R94" i="1"/>
  <c r="R183" i="1"/>
  <c r="F181" i="1"/>
  <c r="R181" i="1"/>
  <c r="F173" i="1"/>
  <c r="R134" i="1"/>
  <c r="F149" i="1"/>
  <c r="R149" i="1"/>
  <c r="F144" i="1"/>
  <c r="F146" i="1"/>
  <c r="R146" i="1"/>
  <c r="F136" i="1"/>
  <c r="R136" i="1"/>
  <c r="R122" i="1"/>
  <c r="F195" i="1"/>
  <c r="F147" i="1"/>
  <c r="F170" i="1"/>
  <c r="F94" i="1"/>
  <c r="F148" i="1"/>
  <c r="F133" i="1"/>
  <c r="R80" i="1"/>
  <c r="R129" i="1"/>
  <c r="R145" i="1"/>
  <c r="F113" i="1"/>
  <c r="R113" i="1"/>
  <c r="R118" i="1"/>
  <c r="R62" i="1"/>
  <c r="R51" i="1"/>
  <c r="F120" i="1"/>
  <c r="R71" i="1"/>
  <c r="R40" i="1"/>
  <c r="R50" i="1"/>
  <c r="F19" i="1"/>
  <c r="F32" i="1"/>
  <c r="F21" i="1"/>
  <c r="F8" i="1"/>
  <c r="F676" i="1"/>
  <c r="R760" i="1"/>
  <c r="F759" i="1"/>
  <c r="R804" i="1"/>
  <c r="F770" i="1"/>
  <c r="R791" i="1"/>
  <c r="R795" i="1"/>
  <c r="V795" i="1" s="1"/>
  <c r="R807" i="1"/>
  <c r="R818" i="1"/>
  <c r="R753" i="1"/>
  <c r="R808" i="1"/>
  <c r="R815" i="1"/>
  <c r="R803" i="1"/>
  <c r="F810" i="1"/>
  <c r="R814" i="1"/>
  <c r="R822" i="1"/>
  <c r="F826" i="1"/>
  <c r="R800" i="1"/>
  <c r="R827" i="1"/>
  <c r="R762" i="1"/>
  <c r="F797" i="1"/>
  <c r="F808" i="1"/>
  <c r="F812" i="1"/>
  <c r="V812" i="1" s="1"/>
  <c r="R831" i="1"/>
  <c r="F838" i="1"/>
  <c r="R894" i="1"/>
  <c r="F865" i="1"/>
  <c r="F873" i="1"/>
  <c r="R880" i="1"/>
  <c r="R875" i="1"/>
  <c r="F877" i="1"/>
  <c r="F898" i="1"/>
  <c r="AO738" i="2" l="1"/>
  <c r="AO727" i="2"/>
  <c r="AV731" i="2"/>
  <c r="AW63" i="2"/>
  <c r="AT725" i="2"/>
  <c r="AP727" i="2"/>
  <c r="R81" i="1" s="1"/>
  <c r="AW739" i="2"/>
  <c r="AX21" i="2"/>
  <c r="AX739" i="2" s="1"/>
  <c r="AU740" i="2"/>
  <c r="AV15" i="2"/>
  <c r="AO740" i="2"/>
  <c r="AU736" i="2"/>
  <c r="AU727" i="2"/>
  <c r="AU725" i="2"/>
  <c r="AV7" i="2"/>
  <c r="AW7" i="2" s="1"/>
  <c r="AP725" i="2"/>
  <c r="AU738" i="2"/>
  <c r="AV8" i="2"/>
  <c r="AV738" i="2" s="1"/>
  <c r="AO735" i="2"/>
  <c r="AT733" i="2"/>
  <c r="AU17" i="2"/>
  <c r="AU726" i="2" s="1"/>
  <c r="R519" i="1"/>
  <c r="AU737" i="2"/>
  <c r="AV11" i="2"/>
  <c r="AW11" i="2"/>
  <c r="AW741" i="2"/>
  <c r="AX19" i="2"/>
  <c r="AX741" i="2" s="1"/>
  <c r="AU735" i="2"/>
  <c r="AV12" i="2"/>
  <c r="AV735" i="2" s="1"/>
  <c r="AT732" i="2"/>
  <c r="AU81" i="2"/>
  <c r="AT734" i="2"/>
  <c r="AU153" i="2"/>
  <c r="AU728" i="2"/>
  <c r="AV13" i="2"/>
  <c r="AW13" i="2" s="1"/>
  <c r="AP735" i="2"/>
  <c r="R613" i="1" s="1"/>
  <c r="R677" i="1"/>
  <c r="R759" i="1"/>
  <c r="R746" i="1"/>
  <c r="R60" i="1"/>
  <c r="R494" i="1"/>
  <c r="R676" i="1"/>
  <c r="R582" i="1"/>
  <c r="V897" i="1"/>
  <c r="V892" i="1"/>
  <c r="V854" i="1"/>
  <c r="R16" i="1"/>
  <c r="R699" i="1"/>
  <c r="R572" i="1"/>
  <c r="R26" i="1"/>
  <c r="R6" i="1"/>
  <c r="R389" i="1"/>
  <c r="R555" i="1"/>
  <c r="R21" i="1"/>
  <c r="R17" i="1"/>
  <c r="R54" i="1"/>
  <c r="R197" i="1"/>
  <c r="F197" i="1"/>
  <c r="R262" i="1"/>
  <c r="F262" i="1"/>
  <c r="R454" i="1"/>
  <c r="R451" i="1"/>
  <c r="F257" i="1"/>
  <c r="F87" i="1"/>
  <c r="R789" i="1"/>
  <c r="R452" i="1"/>
  <c r="R456" i="1"/>
  <c r="R77" i="1"/>
  <c r="R257" i="1"/>
  <c r="R631" i="1"/>
  <c r="F786" i="1"/>
  <c r="R87" i="1"/>
  <c r="R75" i="1"/>
  <c r="R562" i="1"/>
  <c r="F562" i="1"/>
  <c r="F37" i="1"/>
  <c r="R512" i="1"/>
  <c r="R37" i="1"/>
  <c r="R14" i="1"/>
  <c r="F14" i="1"/>
  <c r="R236" i="1"/>
  <c r="R719" i="1"/>
  <c r="F719" i="1"/>
  <c r="R337" i="1"/>
  <c r="F337" i="1"/>
  <c r="F778" i="1"/>
  <c r="R46" i="1"/>
  <c r="R107" i="1"/>
  <c r="F107" i="1"/>
  <c r="F781" i="1"/>
  <c r="F776" i="1"/>
  <c r="F77" i="1"/>
  <c r="F46" i="1"/>
  <c r="R397" i="1"/>
  <c r="R252" i="1"/>
  <c r="R245" i="1"/>
  <c r="R788" i="1"/>
  <c r="F777" i="1"/>
  <c r="F412" i="1"/>
  <c r="F542" i="1"/>
  <c r="F377" i="1"/>
  <c r="R479" i="1"/>
  <c r="R778" i="1"/>
  <c r="F779" i="1"/>
  <c r="V876" i="1"/>
  <c r="V831" i="1"/>
  <c r="V851" i="1"/>
  <c r="V797" i="1"/>
  <c r="R697" i="1"/>
  <c r="F117" i="1"/>
  <c r="R449" i="1"/>
  <c r="F449" i="1"/>
  <c r="R646" i="1"/>
  <c r="F646" i="1"/>
  <c r="F751" i="1"/>
  <c r="F785" i="1"/>
  <c r="V810" i="1"/>
  <c r="F522" i="1"/>
  <c r="F483" i="1"/>
  <c r="F85" i="1"/>
  <c r="R610" i="1"/>
  <c r="F673" i="1"/>
  <c r="R673" i="1"/>
  <c r="F787" i="1"/>
  <c r="F599" i="1"/>
  <c r="R771" i="1"/>
  <c r="R45" i="1"/>
  <c r="F45" i="1"/>
  <c r="R483" i="1"/>
  <c r="F703" i="1"/>
  <c r="R93" i="1"/>
  <c r="F93" i="1"/>
  <c r="F469" i="1"/>
  <c r="R625" i="1"/>
  <c r="F684" i="1"/>
  <c r="R684" i="1"/>
  <c r="R13" i="1"/>
  <c r="F13" i="1"/>
  <c r="F193" i="1"/>
  <c r="F205" i="1"/>
  <c r="R258" i="1"/>
  <c r="R480" i="1"/>
  <c r="F782" i="1"/>
  <c r="R511" i="1"/>
  <c r="R682" i="1"/>
  <c r="F682" i="1"/>
  <c r="R766" i="1"/>
  <c r="F180" i="1"/>
  <c r="R455" i="1"/>
  <c r="F313" i="1"/>
  <c r="F438" i="1"/>
  <c r="R594" i="1"/>
  <c r="F780" i="1"/>
  <c r="R780" i="1"/>
  <c r="R117" i="1"/>
  <c r="R291" i="1"/>
  <c r="F291" i="1"/>
  <c r="R553" i="1"/>
  <c r="R108" i="1"/>
  <c r="R663" i="1"/>
  <c r="R165" i="1"/>
  <c r="R309" i="1"/>
  <c r="R720" i="1"/>
  <c r="V875" i="1"/>
  <c r="R352" i="1"/>
  <c r="R443" i="1"/>
  <c r="R488" i="1"/>
  <c r="F474" i="1"/>
  <c r="R214" i="1"/>
  <c r="R656" i="1"/>
  <c r="F656" i="1"/>
  <c r="R56" i="1"/>
  <c r="F56" i="1"/>
  <c r="R173" i="1"/>
  <c r="R440" i="1"/>
  <c r="R191" i="1"/>
  <c r="R296" i="1"/>
  <c r="F296" i="1"/>
  <c r="R510" i="1"/>
  <c r="R783" i="1"/>
  <c r="R500" i="1"/>
  <c r="R110" i="1"/>
  <c r="V877" i="1"/>
  <c r="V870" i="1"/>
  <c r="V873" i="1"/>
  <c r="V879" i="1"/>
  <c r="V867" i="1"/>
  <c r="R201" i="1"/>
  <c r="F201" i="1"/>
  <c r="R7" i="1"/>
  <c r="R59" i="1"/>
  <c r="F59" i="1"/>
  <c r="R85" i="1"/>
  <c r="R155" i="1"/>
  <c r="R284" i="1"/>
  <c r="F284" i="1"/>
  <c r="R345" i="1"/>
  <c r="F345" i="1"/>
  <c r="R438" i="1"/>
  <c r="F783" i="1"/>
  <c r="F784" i="1"/>
  <c r="V845" i="1"/>
  <c r="V865" i="1"/>
  <c r="V840" i="1"/>
  <c r="V858" i="1"/>
  <c r="V859" i="1"/>
  <c r="V849" i="1"/>
  <c r="V826" i="1"/>
  <c r="R559" i="1"/>
  <c r="F559" i="1"/>
  <c r="R126" i="1"/>
  <c r="R208" i="1"/>
  <c r="R341" i="1"/>
  <c r="R283" i="1"/>
  <c r="R366" i="1"/>
  <c r="R374" i="1"/>
  <c r="R168" i="1"/>
  <c r="F168" i="1"/>
  <c r="R383" i="1"/>
  <c r="R140" i="1"/>
  <c r="R385" i="1"/>
  <c r="R395" i="1"/>
  <c r="R508" i="1"/>
  <c r="R18" i="1"/>
  <c r="F18" i="1"/>
  <c r="R39" i="1"/>
  <c r="F794" i="1"/>
  <c r="F753" i="1"/>
  <c r="V753" i="1" s="1"/>
  <c r="R24" i="1"/>
  <c r="F24" i="1"/>
  <c r="F747" i="1"/>
  <c r="R36" i="1"/>
  <c r="F36" i="1"/>
  <c r="F73" i="1"/>
  <c r="F89" i="1"/>
  <c r="F312" i="1"/>
  <c r="R426" i="1"/>
  <c r="F426" i="1"/>
  <c r="F455" i="1"/>
  <c r="R386" i="1"/>
  <c r="F386" i="1"/>
  <c r="F423" i="1"/>
  <c r="F536" i="1"/>
  <c r="R502" i="1"/>
  <c r="F502" i="1"/>
  <c r="R576" i="1"/>
  <c r="F576" i="1"/>
  <c r="F598" i="1"/>
  <c r="R527" i="1"/>
  <c r="F527" i="1"/>
  <c r="R847" i="1"/>
  <c r="F847" i="1"/>
  <c r="V847" i="1" s="1"/>
  <c r="V868" i="1"/>
  <c r="F6" i="1"/>
  <c r="F7" i="1"/>
  <c r="V864" i="1"/>
  <c r="R809" i="1"/>
  <c r="F809" i="1"/>
  <c r="V809" i="1" s="1"/>
  <c r="R459" i="1"/>
  <c r="F459" i="1"/>
  <c r="R670" i="1"/>
  <c r="F670" i="1"/>
  <c r="R414" i="1"/>
  <c r="F414" i="1"/>
  <c r="R432" i="1"/>
  <c r="F432" i="1"/>
  <c r="R617" i="1"/>
  <c r="F617" i="1"/>
  <c r="R702" i="1"/>
  <c r="F702" i="1"/>
  <c r="R298" i="1"/>
  <c r="F298" i="1"/>
  <c r="F836" i="1"/>
  <c r="F886" i="1"/>
  <c r="F888" i="1"/>
  <c r="R888" i="1"/>
  <c r="R853" i="1"/>
  <c r="F853" i="1"/>
  <c r="R820" i="1"/>
  <c r="F820" i="1"/>
  <c r="V820" i="1" s="1"/>
  <c r="F805" i="1"/>
  <c r="F767" i="1"/>
  <c r="F775" i="1"/>
  <c r="F760" i="1"/>
  <c r="F574" i="1"/>
  <c r="R44" i="1"/>
  <c r="F44" i="1"/>
  <c r="F64" i="1"/>
  <c r="R160" i="1"/>
  <c r="F160" i="1"/>
  <c r="F163" i="1"/>
  <c r="R289" i="1"/>
  <c r="F289" i="1"/>
  <c r="F290" i="1"/>
  <c r="R304" i="1"/>
  <c r="F304" i="1"/>
  <c r="F344" i="1"/>
  <c r="F338" i="1"/>
  <c r="F427" i="1"/>
  <c r="F445" i="1"/>
  <c r="R743" i="1"/>
  <c r="F743" i="1"/>
  <c r="F626" i="1"/>
  <c r="F659" i="1"/>
  <c r="F485" i="1"/>
  <c r="R528" i="1"/>
  <c r="F528" i="1"/>
  <c r="R705" i="1"/>
  <c r="F705" i="1"/>
  <c r="F734" i="1"/>
  <c r="F707" i="1"/>
  <c r="F708" i="1"/>
  <c r="V887" i="1"/>
  <c r="R866" i="1"/>
  <c r="F866" i="1"/>
  <c r="R835" i="1"/>
  <c r="F835" i="1"/>
  <c r="V835" i="1" s="1"/>
  <c r="F157" i="1"/>
  <c r="R157" i="1"/>
  <c r="R774" i="1"/>
  <c r="F774" i="1"/>
  <c r="R253" i="1"/>
  <c r="F253" i="1"/>
  <c r="R686" i="1"/>
  <c r="F686" i="1"/>
  <c r="R217" i="1"/>
  <c r="F217" i="1"/>
  <c r="R556" i="1"/>
  <c r="F556" i="1"/>
  <c r="R590" i="1"/>
  <c r="F590" i="1"/>
  <c r="R683" i="1"/>
  <c r="F683" i="1"/>
  <c r="R589" i="1"/>
  <c r="F589" i="1"/>
  <c r="R621" i="1"/>
  <c r="F621" i="1"/>
  <c r="R701" i="1"/>
  <c r="F701" i="1"/>
  <c r="R441" i="1"/>
  <c r="F441" i="1"/>
  <c r="R471" i="1"/>
  <c r="F471" i="1"/>
  <c r="R131" i="1"/>
  <c r="F131" i="1"/>
  <c r="F833" i="1"/>
  <c r="F757" i="1"/>
  <c r="F55" i="1"/>
  <c r="F199" i="1"/>
  <c r="R185" i="1"/>
  <c r="F185" i="1"/>
  <c r="R279" i="1"/>
  <c r="F279" i="1"/>
  <c r="F314" i="1"/>
  <c r="F322" i="1"/>
  <c r="R457" i="1"/>
  <c r="F537" i="1"/>
  <c r="F557" i="1"/>
  <c r="F570" i="1"/>
  <c r="F602" i="1"/>
  <c r="R533" i="1"/>
  <c r="F533" i="1"/>
  <c r="F730" i="1"/>
  <c r="R895" i="1"/>
  <c r="F895" i="1"/>
  <c r="V895" i="1" s="1"/>
  <c r="V762" i="1"/>
  <c r="R228" i="1"/>
  <c r="F228" i="1"/>
  <c r="R802" i="1"/>
  <c r="F802" i="1"/>
  <c r="V802" i="1" s="1"/>
  <c r="F749" i="1"/>
  <c r="F555" i="1"/>
  <c r="R612" i="1"/>
  <c r="F612" i="1"/>
  <c r="R678" i="1"/>
  <c r="F678" i="1"/>
  <c r="R391" i="1"/>
  <c r="F391" i="1"/>
  <c r="R428" i="1"/>
  <c r="F428" i="1"/>
  <c r="R392" i="1"/>
  <c r="F392" i="1"/>
  <c r="R375" i="1"/>
  <c r="F375" i="1"/>
  <c r="R106" i="1"/>
  <c r="F106" i="1"/>
  <c r="F804" i="1"/>
  <c r="V804" i="1" s="1"/>
  <c r="R838" i="1"/>
  <c r="V838" i="1" s="1"/>
  <c r="F815" i="1"/>
  <c r="V815" i="1" s="1"/>
  <c r="R29" i="1"/>
  <c r="F29" i="1"/>
  <c r="R516" i="1"/>
  <c r="F516" i="1"/>
  <c r="F57" i="1"/>
  <c r="R154" i="1"/>
  <c r="F154" i="1"/>
  <c r="R195" i="1"/>
  <c r="R148" i="1"/>
  <c r="F362" i="1"/>
  <c r="F342" i="1"/>
  <c r="R363" i="1"/>
  <c r="F363" i="1"/>
  <c r="F95" i="1"/>
  <c r="R435" i="1"/>
  <c r="F435" i="1"/>
  <c r="F421" i="1"/>
  <c r="F100" i="1"/>
  <c r="F447" i="1"/>
  <c r="F436" i="1"/>
  <c r="F103" i="1"/>
  <c r="R509" i="1"/>
  <c r="F509" i="1"/>
  <c r="F563" i="1"/>
  <c r="R164" i="1"/>
  <c r="F164" i="1"/>
  <c r="F699" i="1"/>
  <c r="R732" i="1"/>
  <c r="F732" i="1"/>
  <c r="F741" i="1"/>
  <c r="V872" i="1"/>
  <c r="V883" i="1"/>
  <c r="R758" i="1"/>
  <c r="F758" i="1"/>
  <c r="R745" i="1"/>
  <c r="F745" i="1"/>
  <c r="R91" i="1"/>
  <c r="F91" i="1"/>
  <c r="F796" i="1"/>
  <c r="V796" i="1" s="1"/>
  <c r="R796" i="1"/>
  <c r="R83" i="1"/>
  <c r="F83" i="1"/>
  <c r="R127" i="1"/>
  <c r="F127" i="1"/>
  <c r="R862" i="1"/>
  <c r="F862" i="1"/>
  <c r="V862" i="1" s="1"/>
  <c r="R856" i="1"/>
  <c r="F856" i="1"/>
  <c r="R410" i="1"/>
  <c r="F410" i="1"/>
  <c r="R216" i="1"/>
  <c r="F216" i="1"/>
  <c r="F694" i="1"/>
  <c r="R694" i="1"/>
  <c r="R229" i="1"/>
  <c r="F229" i="1"/>
  <c r="R263" i="1"/>
  <c r="F263" i="1"/>
  <c r="R515" i="1"/>
  <c r="F515" i="1"/>
  <c r="R735" i="1"/>
  <c r="F735" i="1"/>
  <c r="R112" i="1"/>
  <c r="F112" i="1"/>
  <c r="R532" i="1"/>
  <c r="F532" i="1"/>
  <c r="R698" i="1"/>
  <c r="F698" i="1"/>
  <c r="F799" i="1"/>
  <c r="R23" i="1"/>
  <c r="F23" i="1"/>
  <c r="F114" i="1"/>
  <c r="F118" i="1"/>
  <c r="R143" i="1"/>
  <c r="F143" i="1"/>
  <c r="F151" i="1"/>
  <c r="F319" i="1"/>
  <c r="F729" i="1"/>
  <c r="F332" i="1"/>
  <c r="R368" i="1"/>
  <c r="F368" i="1"/>
  <c r="F393" i="1"/>
  <c r="F442" i="1"/>
  <c r="F496" i="1"/>
  <c r="F492" i="1"/>
  <c r="F550" i="1"/>
  <c r="R635" i="1"/>
  <c r="F635" i="1"/>
  <c r="F724" i="1"/>
  <c r="F723" i="1"/>
  <c r="R889" i="1"/>
  <c r="F889" i="1"/>
  <c r="V889" i="1" s="1"/>
  <c r="R817" i="1"/>
  <c r="F817" i="1"/>
  <c r="V817" i="1" s="1"/>
  <c r="V881" i="1"/>
  <c r="R15" i="1"/>
  <c r="F15" i="1"/>
  <c r="F752" i="1"/>
  <c r="R547" i="1"/>
  <c r="F547" i="1"/>
  <c r="R583" i="1"/>
  <c r="F583" i="1"/>
  <c r="R128" i="1"/>
  <c r="F128" i="1"/>
  <c r="R491" i="1"/>
  <c r="F491" i="1"/>
  <c r="F687" i="1"/>
  <c r="R687" i="1"/>
  <c r="R398" i="1"/>
  <c r="F398" i="1"/>
  <c r="R517" i="1"/>
  <c r="F517" i="1"/>
  <c r="R577" i="1"/>
  <c r="F577" i="1"/>
  <c r="R35" i="1"/>
  <c r="F35" i="1"/>
  <c r="R506" i="1"/>
  <c r="F506" i="1"/>
  <c r="R209" i="1"/>
  <c r="F209" i="1"/>
  <c r="F269" i="1"/>
  <c r="R269" i="1"/>
  <c r="F772" i="1"/>
  <c r="R736" i="1"/>
  <c r="F736" i="1"/>
  <c r="R34" i="1"/>
  <c r="F34" i="1"/>
  <c r="F71" i="1"/>
  <c r="F198" i="1"/>
  <c r="F194" i="1"/>
  <c r="R170" i="1"/>
  <c r="F334" i="1"/>
  <c r="F336" i="1"/>
  <c r="R347" i="1"/>
  <c r="R376" i="1"/>
  <c r="F437" i="1"/>
  <c r="F524" i="1"/>
  <c r="F565" i="1"/>
  <c r="F604" i="1"/>
  <c r="F666" i="1"/>
  <c r="R436" i="1"/>
  <c r="F553" i="1"/>
  <c r="R615" i="1"/>
  <c r="F615" i="1"/>
  <c r="R695" i="1"/>
  <c r="F695" i="1"/>
  <c r="R860" i="1"/>
  <c r="F860" i="1"/>
  <c r="V860" i="1" s="1"/>
  <c r="R837" i="1"/>
  <c r="F837" i="1"/>
  <c r="F789" i="1"/>
  <c r="R52" i="1"/>
  <c r="F52" i="1"/>
  <c r="R761" i="1"/>
  <c r="F761" i="1"/>
  <c r="R558" i="1"/>
  <c r="F558" i="1"/>
  <c r="R693" i="1"/>
  <c r="F693" i="1"/>
  <c r="R299" i="1"/>
  <c r="F299" i="1"/>
  <c r="R259" i="1"/>
  <c r="F259" i="1"/>
  <c r="R294" i="1"/>
  <c r="F294" i="1"/>
  <c r="R72" i="1"/>
  <c r="F72" i="1"/>
  <c r="R359" i="1"/>
  <c r="F359" i="1"/>
  <c r="R538" i="1"/>
  <c r="F538" i="1"/>
  <c r="R265" i="1"/>
  <c r="F265" i="1"/>
  <c r="R260" i="1"/>
  <c r="F260" i="1"/>
  <c r="R405" i="1"/>
  <c r="F405" i="1"/>
  <c r="F814" i="1"/>
  <c r="V814" i="1" s="1"/>
  <c r="R772" i="1"/>
  <c r="R20" i="1"/>
  <c r="F20" i="1"/>
  <c r="F81" i="1"/>
  <c r="F47" i="1"/>
  <c r="R153" i="1"/>
  <c r="F153" i="1"/>
  <c r="F150" i="1"/>
  <c r="F329" i="1"/>
  <c r="F297" i="1"/>
  <c r="F504" i="1"/>
  <c r="R310" i="1"/>
  <c r="F310" i="1"/>
  <c r="R380" i="1"/>
  <c r="F380" i="1"/>
  <c r="F395" i="1"/>
  <c r="R409" i="1"/>
  <c r="F409" i="1"/>
  <c r="R430" i="1"/>
  <c r="F430" i="1"/>
  <c r="R446" i="1"/>
  <c r="F446" i="1"/>
  <c r="F366" i="1"/>
  <c r="R384" i="1"/>
  <c r="F96" i="1"/>
  <c r="F489" i="1"/>
  <c r="F498" i="1"/>
  <c r="F540" i="1"/>
  <c r="F611" i="1"/>
  <c r="R700" i="1"/>
  <c r="F700" i="1"/>
  <c r="R813" i="1"/>
  <c r="F813" i="1"/>
  <c r="V813" i="1" s="1"/>
  <c r="F75" i="1"/>
  <c r="R175" i="1"/>
  <c r="F175" i="1"/>
  <c r="R70" i="1"/>
  <c r="F70" i="1"/>
  <c r="R841" i="1"/>
  <c r="F841" i="1"/>
  <c r="V841" i="1" s="1"/>
  <c r="R769" i="1"/>
  <c r="F769" i="1"/>
  <c r="R424" i="1"/>
  <c r="F424" i="1"/>
  <c r="R726" i="1"/>
  <c r="F726" i="1"/>
  <c r="R218" i="1"/>
  <c r="F218" i="1"/>
  <c r="R200" i="1"/>
  <c r="F200" i="1"/>
  <c r="R415" i="1"/>
  <c r="F415" i="1"/>
  <c r="R372" i="1"/>
  <c r="F372" i="1"/>
  <c r="R429" i="1"/>
  <c r="F429" i="1"/>
  <c r="R850" i="1"/>
  <c r="F850" i="1"/>
  <c r="V850" i="1" s="1"/>
  <c r="R816" i="1"/>
  <c r="F816" i="1"/>
  <c r="V816" i="1" s="1"/>
  <c r="R763" i="1"/>
  <c r="F763" i="1"/>
  <c r="F822" i="1"/>
  <c r="V822" i="1" s="1"/>
  <c r="F878" i="1"/>
  <c r="F861" i="1"/>
  <c r="R846" i="1"/>
  <c r="F846" i="1"/>
  <c r="V846" i="1" s="1"/>
  <c r="F613" i="1"/>
  <c r="R32" i="1"/>
  <c r="F80" i="1"/>
  <c r="F116" i="1"/>
  <c r="F166" i="1"/>
  <c r="F155" i="1"/>
  <c r="F318" i="1"/>
  <c r="F354" i="1"/>
  <c r="R417" i="1"/>
  <c r="R481" i="1"/>
  <c r="F481" i="1"/>
  <c r="F619" i="1"/>
  <c r="F649" i="1"/>
  <c r="F531" i="1"/>
  <c r="R586" i="1"/>
  <c r="F586" i="1"/>
  <c r="F727" i="1"/>
  <c r="R679" i="1"/>
  <c r="F679" i="1"/>
  <c r="F692" i="1"/>
  <c r="R855" i="1"/>
  <c r="F855" i="1"/>
  <c r="V855" i="1" s="1"/>
  <c r="R28" i="1"/>
  <c r="F28" i="1"/>
  <c r="R186" i="1"/>
  <c r="F186" i="1"/>
  <c r="R99" i="1"/>
  <c r="F99" i="1"/>
  <c r="R839" i="1"/>
  <c r="F839" i="1"/>
  <c r="V839" i="1" s="1"/>
  <c r="R806" i="1"/>
  <c r="F806" i="1"/>
  <c r="V806" i="1" s="1"/>
  <c r="R664" i="1"/>
  <c r="F664" i="1"/>
  <c r="R495" i="1"/>
  <c r="F495" i="1"/>
  <c r="F884" i="1"/>
  <c r="R748" i="1"/>
  <c r="F748" i="1"/>
  <c r="V748" i="1" s="1"/>
  <c r="F800" i="1"/>
  <c r="V800" i="1" s="1"/>
  <c r="R898" i="1"/>
  <c r="V898" i="1" s="1"/>
  <c r="R823" i="1"/>
  <c r="F823" i="1"/>
  <c r="R38" i="1"/>
  <c r="F38" i="1"/>
  <c r="R433" i="1"/>
  <c r="F433" i="1"/>
  <c r="R27" i="1"/>
  <c r="F27" i="1"/>
  <c r="F86" i="1"/>
  <c r="R575" i="1"/>
  <c r="F575" i="1"/>
  <c r="F343" i="1"/>
  <c r="F206" i="1"/>
  <c r="F390" i="1"/>
  <c r="F407" i="1"/>
  <c r="F520" i="1"/>
  <c r="F539" i="1"/>
  <c r="F546" i="1"/>
  <c r="F566" i="1"/>
  <c r="F560" i="1"/>
  <c r="F478" i="1"/>
  <c r="F519" i="1"/>
  <c r="R579" i="1"/>
  <c r="F579" i="1"/>
  <c r="F690" i="1"/>
  <c r="R470" i="1"/>
  <c r="F470" i="1"/>
  <c r="F58" i="1"/>
  <c r="R58" i="1"/>
  <c r="R121" i="1"/>
  <c r="F121" i="1"/>
  <c r="F187" i="1"/>
  <c r="R187" i="1"/>
  <c r="R852" i="1"/>
  <c r="F852" i="1"/>
  <c r="V852" i="1" s="1"/>
  <c r="R277" i="1"/>
  <c r="F277" i="1"/>
  <c r="R408" i="1"/>
  <c r="F408" i="1"/>
  <c r="R722" i="1"/>
  <c r="F722" i="1"/>
  <c r="F680" i="1"/>
  <c r="R680" i="1"/>
  <c r="F369" i="1"/>
  <c r="R623" i="1"/>
  <c r="F623" i="1"/>
  <c r="R622" i="1"/>
  <c r="F622" i="1"/>
  <c r="R243" i="1"/>
  <c r="F243" i="1"/>
  <c r="R323" i="1"/>
  <c r="F323" i="1"/>
  <c r="R104" i="1"/>
  <c r="F104" i="1"/>
  <c r="R561" i="1"/>
  <c r="F561" i="1"/>
  <c r="R801" i="1"/>
  <c r="F801" i="1"/>
  <c r="F793" i="1"/>
  <c r="R886" i="1"/>
  <c r="R790" i="1"/>
  <c r="F790" i="1"/>
  <c r="R794" i="1"/>
  <c r="F768" i="1"/>
  <c r="F41" i="1"/>
  <c r="F78" i="1"/>
  <c r="R172" i="1"/>
  <c r="F172" i="1"/>
  <c r="F176" i="1"/>
  <c r="F333" i="1"/>
  <c r="F308" i="1"/>
  <c r="F403" i="1"/>
  <c r="R97" i="1"/>
  <c r="F97" i="1"/>
  <c r="R422" i="1"/>
  <c r="F422" i="1"/>
  <c r="F101" i="1"/>
  <c r="F493" i="1"/>
  <c r="F513" i="1"/>
  <c r="R633" i="1"/>
  <c r="F633" i="1"/>
  <c r="R68" i="1"/>
  <c r="F68" i="1"/>
  <c r="R190" i="1"/>
  <c r="F190" i="1"/>
  <c r="R874" i="1"/>
  <c r="F874" i="1"/>
  <c r="R9" i="1"/>
  <c r="F9" i="1"/>
  <c r="R871" i="1"/>
  <c r="F871" i="1"/>
  <c r="V871" i="1" s="1"/>
  <c r="R834" i="1"/>
  <c r="F834" i="1"/>
  <c r="V834" i="1" s="1"/>
  <c r="R475" i="1"/>
  <c r="F475" i="1"/>
  <c r="R645" i="1"/>
  <c r="R382" i="1"/>
  <c r="F382" i="1"/>
  <c r="R580" i="1"/>
  <c r="F580" i="1"/>
  <c r="R301" i="1"/>
  <c r="F301" i="1"/>
  <c r="R587" i="1"/>
  <c r="F587" i="1"/>
  <c r="R704" i="1"/>
  <c r="F704" i="1"/>
  <c r="F803" i="1"/>
  <c r="V803" i="1" s="1"/>
  <c r="R857" i="1"/>
  <c r="F857" i="1"/>
  <c r="V857" i="1" s="1"/>
  <c r="V808" i="1"/>
  <c r="R755" i="1"/>
  <c r="F755" i="1"/>
  <c r="F754" i="1"/>
  <c r="F26" i="1"/>
  <c r="F378" i="1"/>
  <c r="R73" i="1"/>
  <c r="F79" i="1"/>
  <c r="F165" i="1"/>
  <c r="F139" i="1"/>
  <c r="R89" i="1"/>
  <c r="F134" i="1"/>
  <c r="F326" i="1"/>
  <c r="F358" i="1"/>
  <c r="R464" i="1"/>
  <c r="F464" i="1"/>
  <c r="F591" i="1"/>
  <c r="F634" i="1"/>
  <c r="F505" i="1"/>
  <c r="R204" i="1"/>
  <c r="F204" i="1"/>
  <c r="R598" i="1"/>
  <c r="F605" i="1"/>
  <c r="F636" i="1"/>
  <c r="R711" i="1"/>
  <c r="F711" i="1"/>
  <c r="F696" i="1"/>
  <c r="F739" i="1"/>
  <c r="F111" i="1"/>
  <c r="R885" i="1"/>
  <c r="F885" i="1"/>
  <c r="V885" i="1" s="1"/>
  <c r="R893" i="1"/>
  <c r="F893" i="1"/>
  <c r="R843" i="1"/>
  <c r="F843" i="1"/>
  <c r="R869" i="1"/>
  <c r="F869" i="1"/>
  <c r="V869" i="1" s="1"/>
  <c r="V828" i="1"/>
  <c r="F572" i="1"/>
  <c r="R830" i="1"/>
  <c r="V830" i="1" s="1"/>
  <c r="R642" i="1"/>
  <c r="F642" i="1"/>
  <c r="R401" i="1"/>
  <c r="F401" i="1"/>
  <c r="F462" i="1"/>
  <c r="R462" i="1"/>
  <c r="R425" i="1"/>
  <c r="F425" i="1"/>
  <c r="R630" i="1"/>
  <c r="F630" i="1"/>
  <c r="F882" i="1"/>
  <c r="V882" i="1" s="1"/>
  <c r="F827" i="1"/>
  <c r="V827" i="1" s="1"/>
  <c r="R811" i="1"/>
  <c r="F811" i="1"/>
  <c r="F829" i="1"/>
  <c r="R773" i="1"/>
  <c r="F773" i="1"/>
  <c r="F396" i="1"/>
  <c r="F880" i="1"/>
  <c r="V880" i="1" s="1"/>
  <c r="F890" i="1"/>
  <c r="R824" i="1"/>
  <c r="F824" i="1"/>
  <c r="F842" i="1"/>
  <c r="V842" i="1" s="1"/>
  <c r="F819" i="1"/>
  <c r="V819" i="1" s="1"/>
  <c r="F807" i="1"/>
  <c r="V807" i="1" s="1"/>
  <c r="F818" i="1"/>
  <c r="V818" i="1" s="1"/>
  <c r="R770" i="1"/>
  <c r="F10" i="1"/>
  <c r="F48" i="1"/>
  <c r="F84" i="1"/>
  <c r="R163" i="1"/>
  <c r="F330" i="1"/>
  <c r="F353" i="1"/>
  <c r="F364" i="1"/>
  <c r="F530" i="1"/>
  <c r="F420" i="1"/>
  <c r="F450" i="1"/>
  <c r="F534" i="1"/>
  <c r="F552" i="1"/>
  <c r="F607" i="1"/>
  <c r="F629" i="1"/>
  <c r="F628" i="1"/>
  <c r="F486" i="1"/>
  <c r="R718" i="1"/>
  <c r="F718" i="1"/>
  <c r="R588" i="1"/>
  <c r="R708" i="1"/>
  <c r="R765" i="1"/>
  <c r="F765" i="1"/>
  <c r="V765" i="1" s="1"/>
  <c r="R12" i="1"/>
  <c r="F12" i="1"/>
  <c r="R321" i="1"/>
  <c r="F321" i="1"/>
  <c r="R22" i="1"/>
  <c r="F22" i="1"/>
  <c r="R124" i="1"/>
  <c r="R325" i="1"/>
  <c r="F325" i="1"/>
  <c r="R523" i="1"/>
  <c r="F523" i="1"/>
  <c r="R728" i="1"/>
  <c r="F728" i="1"/>
  <c r="R541" i="1"/>
  <c r="F541" i="1"/>
  <c r="R525" i="1"/>
  <c r="F525" i="1"/>
  <c r="R418" i="1"/>
  <c r="F418" i="1"/>
  <c r="R890" i="1"/>
  <c r="R882" i="1"/>
  <c r="R842" i="1"/>
  <c r="R836" i="1"/>
  <c r="R793" i="1"/>
  <c r="R829" i="1"/>
  <c r="R574" i="1"/>
  <c r="R747" i="1"/>
  <c r="R41" i="1"/>
  <c r="R116" i="1"/>
  <c r="R79" i="1"/>
  <c r="R78" i="1"/>
  <c r="R86" i="1"/>
  <c r="R139" i="1"/>
  <c r="R176" i="1"/>
  <c r="R150" i="1"/>
  <c r="R151" i="1"/>
  <c r="R199" i="1"/>
  <c r="R194" i="1"/>
  <c r="R338" i="1"/>
  <c r="R332" i="1"/>
  <c r="R322" i="1"/>
  <c r="R336" i="1"/>
  <c r="R354" i="1"/>
  <c r="R297" i="1"/>
  <c r="R312" i="1"/>
  <c r="R362" i="1"/>
  <c r="R393" i="1"/>
  <c r="R423" i="1"/>
  <c r="R95" i="1"/>
  <c r="R403" i="1"/>
  <c r="R442" i="1"/>
  <c r="R437" i="1"/>
  <c r="R101" i="1"/>
  <c r="R447" i="1"/>
  <c r="R496" i="1"/>
  <c r="R493" i="1"/>
  <c r="R537" i="1"/>
  <c r="R628" i="1"/>
  <c r="R520" i="1"/>
  <c r="R619" i="1"/>
  <c r="R604" i="1"/>
  <c r="R486" i="1"/>
  <c r="R629" i="1"/>
  <c r="R666" i="1"/>
  <c r="R727" i="1"/>
  <c r="R730" i="1"/>
  <c r="R739" i="1"/>
  <c r="R696" i="1"/>
  <c r="R734" i="1"/>
  <c r="R884" i="1"/>
  <c r="R878" i="1"/>
  <c r="R861" i="1"/>
  <c r="R757" i="1"/>
  <c r="R819" i="1"/>
  <c r="R805" i="1"/>
  <c r="R378" i="1"/>
  <c r="R84" i="1"/>
  <c r="R114" i="1"/>
  <c r="R166" i="1"/>
  <c r="R290" i="1"/>
  <c r="R329" i="1"/>
  <c r="R319" i="1"/>
  <c r="R334" i="1"/>
  <c r="R343" i="1"/>
  <c r="R504" i="1"/>
  <c r="R206" i="1"/>
  <c r="R353" i="1"/>
  <c r="R390" i="1"/>
  <c r="R421" i="1"/>
  <c r="R96" i="1"/>
  <c r="R445" i="1"/>
  <c r="R557" i="1"/>
  <c r="R536" i="1"/>
  <c r="R565" i="1"/>
  <c r="R560" i="1"/>
  <c r="R478" i="1"/>
  <c r="R489" i="1"/>
  <c r="R539" i="1"/>
  <c r="R607" i="1"/>
  <c r="R649" i="1"/>
  <c r="R602" i="1"/>
  <c r="R659" i="1"/>
  <c r="R692" i="1"/>
  <c r="R724" i="1"/>
  <c r="R723" i="1"/>
  <c r="R707" i="1"/>
  <c r="R799" i="1"/>
  <c r="R767" i="1"/>
  <c r="R55" i="1"/>
  <c r="R407" i="1"/>
  <c r="R505" i="1"/>
  <c r="R566" i="1"/>
  <c r="R634" i="1"/>
  <c r="R485" i="1"/>
  <c r="R570" i="1"/>
  <c r="R591" i="1"/>
  <c r="R741" i="1"/>
  <c r="R833" i="1"/>
  <c r="R768" i="1"/>
  <c r="R57" i="1"/>
  <c r="R64" i="1"/>
  <c r="R47" i="1"/>
  <c r="R330" i="1"/>
  <c r="R314" i="1"/>
  <c r="R326" i="1"/>
  <c r="R344" i="1"/>
  <c r="R318" i="1"/>
  <c r="R729" i="1"/>
  <c r="R427" i="1"/>
  <c r="R492" i="1"/>
  <c r="R611" i="1"/>
  <c r="R498" i="1"/>
  <c r="R534" i="1"/>
  <c r="R552" i="1"/>
  <c r="R546" i="1"/>
  <c r="R626" i="1"/>
  <c r="R103" i="1"/>
  <c r="R524" i="1"/>
  <c r="A756" i="1"/>
  <c r="B756" i="1"/>
  <c r="C756" i="1"/>
  <c r="A789" i="1"/>
  <c r="B789" i="1"/>
  <c r="C789" i="1"/>
  <c r="A790" i="1"/>
  <c r="B790" i="1"/>
  <c r="C790" i="1"/>
  <c r="A791" i="1"/>
  <c r="B791" i="1"/>
  <c r="C791" i="1"/>
  <c r="A786" i="1"/>
  <c r="B786" i="1"/>
  <c r="C786" i="1"/>
  <c r="A787" i="1"/>
  <c r="B787" i="1"/>
  <c r="C787" i="1"/>
  <c r="A788" i="1"/>
  <c r="B788" i="1"/>
  <c r="C788" i="1"/>
  <c r="AW736" i="2" l="1"/>
  <c r="AX7" i="2"/>
  <c r="AX13" i="2"/>
  <c r="AW737" i="2"/>
  <c r="AX11" i="2"/>
  <c r="AV737" i="2"/>
  <c r="AV740" i="2"/>
  <c r="AW15" i="2"/>
  <c r="AV728" i="2"/>
  <c r="AU733" i="2"/>
  <c r="AV17" i="2"/>
  <c r="AV733" i="2" s="1"/>
  <c r="AU734" i="2"/>
  <c r="AV153" i="2"/>
  <c r="AV734" i="2" s="1"/>
  <c r="AW731" i="2"/>
  <c r="AX63" i="2"/>
  <c r="AX731" i="2" s="1"/>
  <c r="AV736" i="2"/>
  <c r="AV727" i="2"/>
  <c r="AW8" i="2"/>
  <c r="AU732" i="2"/>
  <c r="AV81" i="2"/>
  <c r="AV732" i="2" s="1"/>
  <c r="AW81" i="2"/>
  <c r="AW12" i="2"/>
  <c r="AW153" i="2"/>
  <c r="AW728" i="2" s="1"/>
  <c r="R779" i="1"/>
  <c r="R751" i="1"/>
  <c r="R777" i="1"/>
  <c r="R100" i="1"/>
  <c r="R754" i="1"/>
  <c r="R781" i="1"/>
  <c r="R786" i="1"/>
  <c r="R752" i="1"/>
  <c r="R776" i="1"/>
  <c r="R775" i="1"/>
  <c r="R784" i="1"/>
  <c r="R749" i="1"/>
  <c r="R787" i="1"/>
  <c r="R785" i="1"/>
  <c r="R716" i="1"/>
  <c r="R782" i="1"/>
  <c r="V878" i="1"/>
  <c r="V811" i="1"/>
  <c r="V757" i="1"/>
  <c r="V886" i="1"/>
  <c r="V843" i="1"/>
  <c r="V874" i="1"/>
  <c r="V837" i="1"/>
  <c r="V866" i="1"/>
  <c r="V890" i="1"/>
  <c r="V799" i="1"/>
  <c r="V833" i="1"/>
  <c r="V836" i="1"/>
  <c r="V805" i="1"/>
  <c r="V893" i="1"/>
  <c r="V755" i="1"/>
  <c r="V856" i="1"/>
  <c r="V853" i="1"/>
  <c r="V793" i="1"/>
  <c r="V884" i="1"/>
  <c r="V794" i="1"/>
  <c r="V861" i="1"/>
  <c r="V824" i="1"/>
  <c r="V829" i="1"/>
  <c r="V801" i="1"/>
  <c r="V823" i="1"/>
  <c r="V888" i="1"/>
  <c r="V791" i="1"/>
  <c r="V788" i="1"/>
  <c r="V789" i="1"/>
  <c r="V786" i="1"/>
  <c r="V756" i="1"/>
  <c r="V790" i="1"/>
  <c r="V787" i="1"/>
  <c r="A771" i="1"/>
  <c r="B771" i="1"/>
  <c r="C771" i="1"/>
  <c r="A772" i="1"/>
  <c r="B772" i="1"/>
  <c r="C772" i="1"/>
  <c r="A758" i="1"/>
  <c r="B758" i="1"/>
  <c r="C758" i="1"/>
  <c r="A773" i="1"/>
  <c r="B773" i="1"/>
  <c r="C773" i="1"/>
  <c r="A774" i="1"/>
  <c r="B774" i="1"/>
  <c r="C774" i="1"/>
  <c r="A775" i="1"/>
  <c r="B775" i="1"/>
  <c r="C775" i="1"/>
  <c r="A749" i="1"/>
  <c r="B749" i="1"/>
  <c r="C749" i="1"/>
  <c r="A776" i="1"/>
  <c r="B776" i="1"/>
  <c r="C776" i="1"/>
  <c r="A777" i="1"/>
  <c r="B777" i="1"/>
  <c r="C777" i="1"/>
  <c r="A778" i="1"/>
  <c r="B778" i="1"/>
  <c r="C778" i="1"/>
  <c r="A779" i="1"/>
  <c r="B779" i="1"/>
  <c r="C779" i="1"/>
  <c r="A780" i="1"/>
  <c r="B780" i="1"/>
  <c r="C780" i="1"/>
  <c r="A752" i="1"/>
  <c r="B752" i="1"/>
  <c r="C752" i="1"/>
  <c r="A781" i="1"/>
  <c r="B781" i="1"/>
  <c r="C781" i="1"/>
  <c r="A782" i="1"/>
  <c r="B782" i="1"/>
  <c r="C782" i="1"/>
  <c r="A754" i="1"/>
  <c r="B754" i="1"/>
  <c r="C754" i="1"/>
  <c r="A783" i="1"/>
  <c r="B783" i="1"/>
  <c r="C783" i="1"/>
  <c r="A751" i="1"/>
  <c r="B751" i="1"/>
  <c r="C751" i="1"/>
  <c r="A784" i="1"/>
  <c r="B784" i="1"/>
  <c r="C784" i="1"/>
  <c r="A785" i="1"/>
  <c r="B785" i="1"/>
  <c r="C785" i="1"/>
  <c r="AV725" i="2" l="1"/>
  <c r="AW738" i="2"/>
  <c r="AX8" i="2"/>
  <c r="AX738" i="2" s="1"/>
  <c r="AX728" i="2"/>
  <c r="AV726" i="2"/>
  <c r="AX736" i="2"/>
  <c r="AX737" i="2"/>
  <c r="AW734" i="2"/>
  <c r="AX153" i="2"/>
  <c r="AX734" i="2" s="1"/>
  <c r="AW735" i="2"/>
  <c r="AX12" i="2"/>
  <c r="AX735" i="2" s="1"/>
  <c r="AW740" i="2"/>
  <c r="AX15" i="2"/>
  <c r="AX740" i="2" s="1"/>
  <c r="AW732" i="2"/>
  <c r="AX81" i="2"/>
  <c r="AX732" i="2" s="1"/>
  <c r="AW17" i="2"/>
  <c r="AW727" i="2"/>
  <c r="V751" i="1"/>
  <c r="V777" i="1"/>
  <c r="V772" i="1"/>
  <c r="V774" i="1"/>
  <c r="V779" i="1"/>
  <c r="V783" i="1"/>
  <c r="V752" i="1"/>
  <c r="V782" i="1"/>
  <c r="V784" i="1"/>
  <c r="V749" i="1"/>
  <c r="V758" i="1"/>
  <c r="V778" i="1"/>
  <c r="V754" i="1"/>
  <c r="V775" i="1"/>
  <c r="V780" i="1"/>
  <c r="V771" i="1"/>
  <c r="V776" i="1"/>
  <c r="V781" i="1"/>
  <c r="V773" i="1"/>
  <c r="V785" i="1"/>
  <c r="A759" i="1"/>
  <c r="B759" i="1"/>
  <c r="C759" i="1"/>
  <c r="A750" i="1"/>
  <c r="B750" i="1"/>
  <c r="C750" i="1"/>
  <c r="A763" i="1"/>
  <c r="B763" i="1"/>
  <c r="C763" i="1"/>
  <c r="A764" i="1"/>
  <c r="B764" i="1"/>
  <c r="C764" i="1"/>
  <c r="A760" i="1"/>
  <c r="B760" i="1"/>
  <c r="C760" i="1"/>
  <c r="A766" i="1"/>
  <c r="B766" i="1"/>
  <c r="C766" i="1"/>
  <c r="A767" i="1"/>
  <c r="B767" i="1"/>
  <c r="C767" i="1"/>
  <c r="A761" i="1"/>
  <c r="B761" i="1"/>
  <c r="C761" i="1"/>
  <c r="A768" i="1"/>
  <c r="B768" i="1"/>
  <c r="C768" i="1"/>
  <c r="A769" i="1"/>
  <c r="B769" i="1"/>
  <c r="C769" i="1"/>
  <c r="A770" i="1"/>
  <c r="B770" i="1"/>
  <c r="C770" i="1"/>
  <c r="AW733" i="2" l="1"/>
  <c r="AX17" i="2"/>
  <c r="AW726" i="2"/>
  <c r="AX725" i="2"/>
  <c r="AX727" i="2"/>
  <c r="AW725" i="2"/>
  <c r="V770" i="1"/>
  <c r="V767" i="1"/>
  <c r="V763" i="1"/>
  <c r="V761" i="1"/>
  <c r="V764" i="1"/>
  <c r="V768" i="1"/>
  <c r="V760" i="1"/>
  <c r="V759" i="1"/>
  <c r="V769" i="1"/>
  <c r="V766" i="1"/>
  <c r="V750" i="1"/>
  <c r="V2" i="1"/>
  <c r="AX733" i="2" l="1"/>
  <c r="AX726" i="2"/>
  <c r="W899" i="1"/>
  <c r="W895" i="1"/>
  <c r="W891" i="1"/>
  <c r="W887" i="1"/>
  <c r="W883" i="1"/>
  <c r="W879" i="1"/>
  <c r="W876" i="1"/>
  <c r="W872" i="1"/>
  <c r="W868" i="1"/>
  <c r="W864" i="1"/>
  <c r="W860" i="1"/>
  <c r="W856" i="1"/>
  <c r="W748" i="1"/>
  <c r="W849" i="1"/>
  <c r="W845" i="1"/>
  <c r="W841" i="1"/>
  <c r="W837" i="1"/>
  <c r="W834" i="1"/>
  <c r="W830" i="1"/>
  <c r="W826" i="1"/>
  <c r="W822" i="1"/>
  <c r="W818" i="1"/>
  <c r="W814" i="1"/>
  <c r="W810" i="1"/>
  <c r="W757" i="1"/>
  <c r="W803" i="1"/>
  <c r="W753" i="1"/>
  <c r="W799" i="1"/>
  <c r="W793" i="1"/>
  <c r="W888" i="1"/>
  <c r="W898" i="1"/>
  <c r="W894" i="1"/>
  <c r="W890" i="1"/>
  <c r="W886" i="1"/>
  <c r="W882" i="1"/>
  <c r="W878" i="1"/>
  <c r="W875" i="1"/>
  <c r="W871" i="1"/>
  <c r="W867" i="1"/>
  <c r="W863" i="1"/>
  <c r="W859" i="1"/>
  <c r="W855" i="1"/>
  <c r="W852" i="1"/>
  <c r="W848" i="1"/>
  <c r="W844" i="1"/>
  <c r="W840" i="1"/>
  <c r="W836" i="1"/>
  <c r="W833" i="1"/>
  <c r="W829" i="1"/>
  <c r="W825" i="1"/>
  <c r="W821" i="1"/>
  <c r="W817" i="1"/>
  <c r="W813" i="1"/>
  <c r="W809" i="1"/>
  <c r="W806" i="1"/>
  <c r="W802" i="1"/>
  <c r="W798" i="1"/>
  <c r="W796" i="1"/>
  <c r="W792" i="1"/>
  <c r="W896" i="1"/>
  <c r="W884" i="1"/>
  <c r="W880" i="1"/>
  <c r="W877" i="1"/>
  <c r="W873" i="1"/>
  <c r="W869" i="1"/>
  <c r="W865" i="1"/>
  <c r="W857" i="1"/>
  <c r="W850" i="1"/>
  <c r="W842" i="1"/>
  <c r="W762" i="1"/>
  <c r="W827" i="1"/>
  <c r="W819" i="1"/>
  <c r="W811" i="1"/>
  <c r="W804" i="1"/>
  <c r="W800" i="1"/>
  <c r="W794" i="1"/>
  <c r="W897" i="1"/>
  <c r="W893" i="1"/>
  <c r="W889" i="1"/>
  <c r="W885" i="1"/>
  <c r="W881" i="1"/>
  <c r="W765" i="1"/>
  <c r="W874" i="1"/>
  <c r="W870" i="1"/>
  <c r="W866" i="1"/>
  <c r="W862" i="1"/>
  <c r="W858" i="1"/>
  <c r="W854" i="1"/>
  <c r="W851" i="1"/>
  <c r="W847" i="1"/>
  <c r="W843" i="1"/>
  <c r="W839" i="1"/>
  <c r="W835" i="1"/>
  <c r="W832" i="1"/>
  <c r="W828" i="1"/>
  <c r="W824" i="1"/>
  <c r="W820" i="1"/>
  <c r="W816" i="1"/>
  <c r="W812" i="1"/>
  <c r="W808" i="1"/>
  <c r="W805" i="1"/>
  <c r="W801" i="1"/>
  <c r="W797" i="1"/>
  <c r="W795" i="1"/>
  <c r="W892" i="1"/>
  <c r="W861" i="1"/>
  <c r="W853" i="1"/>
  <c r="W846" i="1"/>
  <c r="W838" i="1"/>
  <c r="W831" i="1"/>
  <c r="W823" i="1"/>
  <c r="W815" i="1"/>
  <c r="W807" i="1"/>
  <c r="W755" i="1"/>
  <c r="W771" i="1"/>
  <c r="W789" i="1"/>
  <c r="W791" i="1"/>
  <c r="W787" i="1"/>
  <c r="W788" i="1"/>
  <c r="W786" i="1"/>
  <c r="W756" i="1"/>
  <c r="W790" i="1"/>
  <c r="W776" i="1"/>
  <c r="W781" i="1"/>
  <c r="W775" i="1"/>
  <c r="W773" i="1"/>
  <c r="W780" i="1"/>
  <c r="W785" i="1"/>
  <c r="W749" i="1"/>
  <c r="W779" i="1"/>
  <c r="W772" i="1"/>
  <c r="W783" i="1"/>
  <c r="W784" i="1"/>
  <c r="W752" i="1"/>
  <c r="W777" i="1"/>
  <c r="W782" i="1"/>
  <c r="W758" i="1"/>
  <c r="W751" i="1"/>
  <c r="W774" i="1"/>
  <c r="W754" i="1"/>
  <c r="W778" i="1"/>
  <c r="W768" i="1"/>
  <c r="W764" i="1"/>
  <c r="W750" i="1"/>
  <c r="W766" i="1"/>
  <c r="W769" i="1"/>
  <c r="W761" i="1"/>
  <c r="W763" i="1"/>
  <c r="W759" i="1"/>
  <c r="W767" i="1"/>
  <c r="W760" i="1"/>
  <c r="W770" i="1"/>
  <c r="A527" i="1"/>
  <c r="B527" i="1"/>
  <c r="C527" i="1"/>
  <c r="A494" i="1"/>
  <c r="B494" i="1"/>
  <c r="C494" i="1"/>
  <c r="A433" i="1"/>
  <c r="B433" i="1"/>
  <c r="C433" i="1"/>
  <c r="A397" i="1"/>
  <c r="B397" i="1"/>
  <c r="C397" i="1"/>
  <c r="A396" i="1"/>
  <c r="B396" i="1"/>
  <c r="C396" i="1"/>
  <c r="A325" i="1"/>
  <c r="B325" i="1"/>
  <c r="C325" i="1"/>
  <c r="A201" i="1"/>
  <c r="B201" i="1"/>
  <c r="C201" i="1"/>
  <c r="A45" i="1"/>
  <c r="B45" i="1"/>
  <c r="C45" i="1"/>
  <c r="V397" i="1" l="1"/>
  <c r="W397" i="1" s="1"/>
  <c r="V45" i="1"/>
  <c r="W45" i="1" s="1"/>
  <c r="V527" i="1"/>
  <c r="W527" i="1" s="1"/>
  <c r="V201" i="1"/>
  <c r="W201" i="1" s="1"/>
  <c r="V433" i="1"/>
  <c r="W433" i="1" s="1"/>
  <c r="V325" i="1"/>
  <c r="W325" i="1" s="1"/>
  <c r="V396" i="1"/>
  <c r="W396" i="1" s="1"/>
  <c r="V494" i="1"/>
  <c r="W494" i="1" s="1"/>
  <c r="A677" i="1"/>
  <c r="B677" i="1"/>
  <c r="C677" i="1"/>
  <c r="A582" i="1"/>
  <c r="B582" i="1"/>
  <c r="C582" i="1"/>
  <c r="A574" i="1"/>
  <c r="B574" i="1"/>
  <c r="C574" i="1"/>
  <c r="A573" i="1"/>
  <c r="B573" i="1"/>
  <c r="C573" i="1"/>
  <c r="A10" i="1"/>
  <c r="B10" i="1"/>
  <c r="C10" i="1"/>
  <c r="A507" i="1"/>
  <c r="B507" i="1"/>
  <c r="C507" i="1"/>
  <c r="A555" i="1"/>
  <c r="B555" i="1"/>
  <c r="C555" i="1"/>
  <c r="A9" i="1"/>
  <c r="B9" i="1"/>
  <c r="C9" i="1"/>
  <c r="A81" i="1"/>
  <c r="B81" i="1"/>
  <c r="C81" i="1"/>
  <c r="A8" i="1"/>
  <c r="B8" i="1"/>
  <c r="C8" i="1"/>
  <c r="A7" i="1"/>
  <c r="B7" i="1"/>
  <c r="C7" i="1"/>
  <c r="A6" i="1"/>
  <c r="B6" i="1"/>
  <c r="C6" i="1"/>
  <c r="A747" i="1"/>
  <c r="B747" i="1"/>
  <c r="C747" i="1"/>
  <c r="A676" i="1"/>
  <c r="B676" i="1"/>
  <c r="C676" i="1"/>
  <c r="A612" i="1"/>
  <c r="B612" i="1"/>
  <c r="C612" i="1"/>
  <c r="A572" i="1"/>
  <c r="B572" i="1"/>
  <c r="C572" i="1"/>
  <c r="A613" i="1"/>
  <c r="B613" i="1"/>
  <c r="C613" i="1"/>
  <c r="A746" i="1"/>
  <c r="B746" i="1"/>
  <c r="C746" i="1"/>
  <c r="A37" i="1"/>
  <c r="B37" i="1"/>
  <c r="C37" i="1"/>
  <c r="A36" i="1"/>
  <c r="B36" i="1"/>
  <c r="C36" i="1"/>
  <c r="A23" i="1"/>
  <c r="B23" i="1"/>
  <c r="C23" i="1"/>
  <c r="A11" i="1"/>
  <c r="B11" i="1"/>
  <c r="C11" i="1"/>
  <c r="A17" i="1"/>
  <c r="B17" i="1"/>
  <c r="C17" i="1"/>
  <c r="A27" i="1"/>
  <c r="B27" i="1"/>
  <c r="C27" i="1"/>
  <c r="A21" i="1"/>
  <c r="B21" i="1"/>
  <c r="C21" i="1"/>
  <c r="A22" i="1"/>
  <c r="B22" i="1"/>
  <c r="C22" i="1"/>
  <c r="A14" i="1"/>
  <c r="B14" i="1"/>
  <c r="C14" i="1"/>
  <c r="A516" i="1"/>
  <c r="B516" i="1"/>
  <c r="C516" i="1"/>
  <c r="A26" i="1"/>
  <c r="B26" i="1"/>
  <c r="C26" i="1"/>
  <c r="A16" i="1"/>
  <c r="B16" i="1"/>
  <c r="C16" i="1"/>
  <c r="A83" i="1"/>
  <c r="B83" i="1"/>
  <c r="C83" i="1"/>
  <c r="A12" i="1"/>
  <c r="B12" i="1"/>
  <c r="C12" i="1"/>
  <c r="A44" i="1"/>
  <c r="B44" i="1"/>
  <c r="C44" i="1"/>
  <c r="A38" i="1"/>
  <c r="B38" i="1"/>
  <c r="C38" i="1"/>
  <c r="A39" i="1"/>
  <c r="B39" i="1"/>
  <c r="C39" i="1"/>
  <c r="A42" i="1"/>
  <c r="B42" i="1"/>
  <c r="C42" i="1"/>
  <c r="A41" i="1"/>
  <c r="B41" i="1"/>
  <c r="C41" i="1"/>
  <c r="A20" i="1"/>
  <c r="B20" i="1"/>
  <c r="C20" i="1"/>
  <c r="A31" i="1"/>
  <c r="B31" i="1"/>
  <c r="C31" i="1"/>
  <c r="A30" i="1"/>
  <c r="B30" i="1"/>
  <c r="C30" i="1"/>
  <c r="A34" i="1"/>
  <c r="B34" i="1"/>
  <c r="C34" i="1"/>
  <c r="A29" i="1"/>
  <c r="B29" i="1"/>
  <c r="C29" i="1"/>
  <c r="A33" i="1"/>
  <c r="B33" i="1"/>
  <c r="C33" i="1"/>
  <c r="A25" i="1"/>
  <c r="B25" i="1"/>
  <c r="C25" i="1"/>
  <c r="A13" i="1"/>
  <c r="B13" i="1"/>
  <c r="C13" i="1"/>
  <c r="A24" i="1"/>
  <c r="B24" i="1"/>
  <c r="C24" i="1"/>
  <c r="A18" i="1"/>
  <c r="B18" i="1"/>
  <c r="C18" i="1"/>
  <c r="A15" i="1"/>
  <c r="B15" i="1"/>
  <c r="C15" i="1"/>
  <c r="A19" i="1"/>
  <c r="B19" i="1"/>
  <c r="C19" i="1"/>
  <c r="A378" i="1"/>
  <c r="B378" i="1"/>
  <c r="C378" i="1"/>
  <c r="A28" i="1"/>
  <c r="B28" i="1"/>
  <c r="C28" i="1"/>
  <c r="A82" i="1"/>
  <c r="B82" i="1"/>
  <c r="C82" i="1"/>
  <c r="A736" i="1"/>
  <c r="B736" i="1"/>
  <c r="C736" i="1"/>
  <c r="A32" i="1"/>
  <c r="B32" i="1"/>
  <c r="C32" i="1"/>
  <c r="A46" i="1"/>
  <c r="B46" i="1"/>
  <c r="C46" i="1"/>
  <c r="A50" i="1"/>
  <c r="B50" i="1"/>
  <c r="C50" i="1"/>
  <c r="A40" i="1"/>
  <c r="B40" i="1"/>
  <c r="C40" i="1"/>
  <c r="A43" i="1"/>
  <c r="B43" i="1"/>
  <c r="C43" i="1"/>
  <c r="A62" i="1"/>
  <c r="B62" i="1"/>
  <c r="C62" i="1"/>
  <c r="A61" i="1"/>
  <c r="B61" i="1"/>
  <c r="C61" i="1"/>
  <c r="A48" i="1"/>
  <c r="B48" i="1"/>
  <c r="C48" i="1"/>
  <c r="A60" i="1"/>
  <c r="B60" i="1"/>
  <c r="C60" i="1"/>
  <c r="A59" i="1"/>
  <c r="B59" i="1"/>
  <c r="C59" i="1"/>
  <c r="A53" i="1"/>
  <c r="B53" i="1"/>
  <c r="C53" i="1"/>
  <c r="A47" i="1"/>
  <c r="B47" i="1"/>
  <c r="C47" i="1"/>
  <c r="A58" i="1"/>
  <c r="B58" i="1"/>
  <c r="C58" i="1"/>
  <c r="A51" i="1"/>
  <c r="B51" i="1"/>
  <c r="C51" i="1"/>
  <c r="A54" i="1"/>
  <c r="B54" i="1"/>
  <c r="C54" i="1"/>
  <c r="A64" i="1"/>
  <c r="B64" i="1"/>
  <c r="C64" i="1"/>
  <c r="A52" i="1"/>
  <c r="B52" i="1"/>
  <c r="C52" i="1"/>
  <c r="A63" i="1"/>
  <c r="B63" i="1"/>
  <c r="C63" i="1"/>
  <c r="V52" i="1" l="1"/>
  <c r="V58" i="1"/>
  <c r="V60" i="1"/>
  <c r="V43" i="1"/>
  <c r="V32" i="1"/>
  <c r="V378" i="1"/>
  <c r="V24" i="1"/>
  <c r="V29" i="1"/>
  <c r="V20" i="1"/>
  <c r="V38" i="1"/>
  <c r="V16" i="1"/>
  <c r="V22" i="1"/>
  <c r="V11" i="1"/>
  <c r="V746" i="1"/>
  <c r="V676" i="1"/>
  <c r="V8" i="1"/>
  <c r="V507" i="1"/>
  <c r="V582" i="1"/>
  <c r="V64" i="1"/>
  <c r="V47" i="1"/>
  <c r="V48" i="1"/>
  <c r="V40" i="1"/>
  <c r="V736" i="1"/>
  <c r="V19" i="1"/>
  <c r="V13" i="1"/>
  <c r="V34" i="1"/>
  <c r="V41" i="1"/>
  <c r="V44" i="1"/>
  <c r="V26" i="1"/>
  <c r="V21" i="1"/>
  <c r="V23" i="1"/>
  <c r="V613" i="1"/>
  <c r="V747" i="1"/>
  <c r="V81" i="1"/>
  <c r="V10" i="1"/>
  <c r="V677" i="1"/>
  <c r="V54" i="1"/>
  <c r="V53" i="1"/>
  <c r="V61" i="1"/>
  <c r="V50" i="1"/>
  <c r="V82" i="1"/>
  <c r="V15" i="1"/>
  <c r="V25" i="1"/>
  <c r="V30" i="1"/>
  <c r="V42" i="1"/>
  <c r="V12" i="1"/>
  <c r="V516" i="1"/>
  <c r="V27" i="1"/>
  <c r="V36" i="1"/>
  <c r="V572" i="1"/>
  <c r="V6" i="1"/>
  <c r="V9" i="1"/>
  <c r="V573" i="1"/>
  <c r="V63" i="1"/>
  <c r="V51" i="1"/>
  <c r="V59" i="1"/>
  <c r="V62" i="1"/>
  <c r="V46" i="1"/>
  <c r="V28" i="1"/>
  <c r="V18" i="1"/>
  <c r="V33" i="1"/>
  <c r="V31" i="1"/>
  <c r="V39" i="1"/>
  <c r="V83" i="1"/>
  <c r="V14" i="1"/>
  <c r="V17" i="1"/>
  <c r="V37" i="1"/>
  <c r="V612" i="1"/>
  <c r="V7" i="1"/>
  <c r="V555" i="1"/>
  <c r="V574" i="1"/>
  <c r="A87" i="1"/>
  <c r="B87" i="1"/>
  <c r="C87" i="1"/>
  <c r="A80" i="1"/>
  <c r="B80" i="1"/>
  <c r="C80" i="1"/>
  <c r="A76" i="1"/>
  <c r="B76" i="1"/>
  <c r="C76" i="1"/>
  <c r="A118" i="1"/>
  <c r="B118" i="1"/>
  <c r="C118" i="1"/>
  <c r="A74" i="1"/>
  <c r="B74" i="1"/>
  <c r="C74" i="1"/>
  <c r="A114" i="1"/>
  <c r="B114" i="1"/>
  <c r="C114" i="1"/>
  <c r="A75" i="1"/>
  <c r="B75" i="1"/>
  <c r="C75" i="1"/>
  <c r="A79" i="1"/>
  <c r="B79" i="1"/>
  <c r="C79" i="1"/>
  <c r="A70" i="1"/>
  <c r="B70" i="1"/>
  <c r="C70" i="1"/>
  <c r="A117" i="1"/>
  <c r="B117" i="1"/>
  <c r="C117" i="1"/>
  <c r="A123" i="1"/>
  <c r="B123" i="1"/>
  <c r="C123" i="1"/>
  <c r="A198" i="1"/>
  <c r="B198" i="1"/>
  <c r="C198" i="1"/>
  <c r="A67" i="1"/>
  <c r="B67" i="1"/>
  <c r="C67" i="1"/>
  <c r="A84" i="1"/>
  <c r="B84" i="1"/>
  <c r="C84" i="1"/>
  <c r="A77" i="1"/>
  <c r="B77" i="1"/>
  <c r="C77" i="1"/>
  <c r="A73" i="1"/>
  <c r="B73" i="1"/>
  <c r="C73" i="1"/>
  <c r="A65" i="1"/>
  <c r="B65" i="1"/>
  <c r="C65" i="1"/>
  <c r="A86" i="1"/>
  <c r="B86" i="1"/>
  <c r="C86" i="1"/>
  <c r="A66" i="1"/>
  <c r="B66" i="1"/>
  <c r="C66" i="1"/>
  <c r="A116" i="1"/>
  <c r="B116" i="1"/>
  <c r="C116" i="1"/>
  <c r="A115" i="1"/>
  <c r="B115" i="1"/>
  <c r="C115" i="1"/>
  <c r="A71" i="1"/>
  <c r="B71" i="1"/>
  <c r="C71" i="1"/>
  <c r="A632" i="1"/>
  <c r="B632" i="1"/>
  <c r="C632" i="1"/>
  <c r="A57" i="1"/>
  <c r="B57" i="1"/>
  <c r="C57" i="1"/>
  <c r="A56" i="1"/>
  <c r="B56" i="1"/>
  <c r="C56" i="1"/>
  <c r="A55" i="1"/>
  <c r="B55" i="1"/>
  <c r="C55" i="1"/>
  <c r="V56" i="1" l="1"/>
  <c r="V115" i="1"/>
  <c r="V65" i="1"/>
  <c r="V67" i="1"/>
  <c r="V70" i="1"/>
  <c r="W70" i="1" s="1"/>
  <c r="V74" i="1"/>
  <c r="V87" i="1"/>
  <c r="V57" i="1"/>
  <c r="V116" i="1"/>
  <c r="V73" i="1"/>
  <c r="V198" i="1"/>
  <c r="V79" i="1"/>
  <c r="V118" i="1"/>
  <c r="V632" i="1"/>
  <c r="V66" i="1"/>
  <c r="V77" i="1"/>
  <c r="V123" i="1"/>
  <c r="V75" i="1"/>
  <c r="V76" i="1"/>
  <c r="V55" i="1"/>
  <c r="V71" i="1"/>
  <c r="V86" i="1"/>
  <c r="V84" i="1"/>
  <c r="V117" i="1"/>
  <c r="V114" i="1"/>
  <c r="V80" i="1"/>
  <c r="W71" i="1" l="1"/>
  <c r="W80" i="1"/>
  <c r="W86" i="1"/>
  <c r="W76" i="1"/>
  <c r="W57" i="1"/>
  <c r="W87" i="1"/>
  <c r="W198" i="1"/>
  <c r="W55" i="1"/>
  <c r="W115" i="1"/>
  <c r="W73" i="1"/>
  <c r="W114" i="1"/>
  <c r="W116" i="1"/>
  <c r="W67" i="1"/>
  <c r="W118" i="1"/>
  <c r="W632" i="1"/>
  <c r="W77" i="1"/>
  <c r="W65" i="1"/>
  <c r="W117" i="1"/>
  <c r="W56" i="1"/>
  <c r="W48" i="1"/>
  <c r="W53" i="1"/>
  <c r="W574" i="1"/>
  <c r="W572" i="1"/>
  <c r="W36" i="1"/>
  <c r="W54" i="1"/>
  <c r="W37" i="1"/>
  <c r="W26" i="1"/>
  <c r="W30" i="1"/>
  <c r="W43" i="1"/>
  <c r="W42" i="1"/>
  <c r="W63" i="1"/>
  <c r="W52" i="1"/>
  <c r="W507" i="1"/>
  <c r="W24" i="1"/>
  <c r="W746" i="1"/>
  <c r="W612" i="1"/>
  <c r="W20" i="1"/>
  <c r="W81" i="1"/>
  <c r="W16" i="1"/>
  <c r="W38" i="1"/>
  <c r="W747" i="1"/>
  <c r="W23" i="1"/>
  <c r="W33" i="1"/>
  <c r="W736" i="1"/>
  <c r="W13" i="1"/>
  <c r="W9" i="1"/>
  <c r="W62" i="1"/>
  <c r="W378" i="1"/>
  <c r="W677" i="1"/>
  <c r="W31" i="1"/>
  <c r="W7" i="1"/>
  <c r="W582" i="1"/>
  <c r="W22" i="1"/>
  <c r="W676" i="1"/>
  <c r="W613" i="1"/>
  <c r="W59" i="1"/>
  <c r="W82" i="1"/>
  <c r="W11" i="1"/>
  <c r="W46" i="1"/>
  <c r="W39" i="1"/>
  <c r="W555" i="1"/>
  <c r="W15" i="1"/>
  <c r="W27" i="1"/>
  <c r="W41" i="1"/>
  <c r="W28" i="1"/>
  <c r="W12" i="1"/>
  <c r="W51" i="1"/>
  <c r="W8" i="1"/>
  <c r="W17" i="1"/>
  <c r="W19" i="1"/>
  <c r="W14" i="1"/>
  <c r="W32" i="1"/>
  <c r="W573" i="1"/>
  <c r="W47" i="1"/>
  <c r="W60" i="1"/>
  <c r="W83" i="1"/>
  <c r="W50" i="1"/>
  <c r="W18" i="1"/>
  <c r="W44" i="1"/>
  <c r="W10" i="1"/>
  <c r="W64" i="1"/>
  <c r="W6" i="1"/>
  <c r="W29" i="1"/>
  <c r="W58" i="1"/>
  <c r="W34" i="1"/>
  <c r="W40" i="1"/>
  <c r="W516" i="1"/>
  <c r="W25" i="1"/>
  <c r="W21" i="1"/>
  <c r="W61" i="1"/>
  <c r="W79" i="1"/>
  <c r="W75" i="1"/>
  <c r="W123" i="1"/>
  <c r="W84" i="1"/>
  <c r="W66" i="1"/>
  <c r="W74" i="1"/>
  <c r="A203" i="1"/>
  <c r="B203" i="1"/>
  <c r="C203" i="1"/>
  <c r="A185" i="1"/>
  <c r="B185" i="1"/>
  <c r="C185" i="1"/>
  <c r="A202" i="1"/>
  <c r="B202" i="1"/>
  <c r="C202" i="1"/>
  <c r="A191" i="1"/>
  <c r="B191" i="1"/>
  <c r="C191" i="1"/>
  <c r="A194" i="1"/>
  <c r="B194" i="1"/>
  <c r="C194" i="1"/>
  <c r="A183" i="1"/>
  <c r="B183" i="1"/>
  <c r="C183" i="1"/>
  <c r="A182" i="1"/>
  <c r="B182" i="1"/>
  <c r="C182" i="1"/>
  <c r="A179" i="1"/>
  <c r="B179" i="1"/>
  <c r="C179" i="1"/>
  <c r="A199" i="1"/>
  <c r="B199" i="1"/>
  <c r="C199" i="1"/>
  <c r="A195" i="1"/>
  <c r="B195" i="1"/>
  <c r="C195" i="1"/>
  <c r="A192" i="1"/>
  <c r="B192" i="1"/>
  <c r="C192" i="1"/>
  <c r="A186" i="1"/>
  <c r="B186" i="1"/>
  <c r="C186" i="1"/>
  <c r="A181" i="1"/>
  <c r="B181" i="1"/>
  <c r="C181" i="1"/>
  <c r="A154" i="1"/>
  <c r="B154" i="1"/>
  <c r="C154" i="1"/>
  <c r="A174" i="1"/>
  <c r="B174" i="1"/>
  <c r="C174" i="1"/>
  <c r="A175" i="1"/>
  <c r="B175" i="1"/>
  <c r="C175" i="1"/>
  <c r="A173" i="1"/>
  <c r="B173" i="1"/>
  <c r="C173" i="1"/>
  <c r="A147" i="1"/>
  <c r="B147" i="1"/>
  <c r="C147" i="1"/>
  <c r="A137" i="1"/>
  <c r="B137" i="1"/>
  <c r="C137" i="1"/>
  <c r="A167" i="1"/>
  <c r="B167" i="1"/>
  <c r="C167" i="1"/>
  <c r="A134" i="1"/>
  <c r="B134" i="1"/>
  <c r="C134" i="1"/>
  <c r="A165" i="1"/>
  <c r="B165" i="1"/>
  <c r="C165" i="1"/>
  <c r="A171" i="1"/>
  <c r="B171" i="1"/>
  <c r="C171" i="1"/>
  <c r="A132" i="1"/>
  <c r="B132" i="1"/>
  <c r="C132" i="1"/>
  <c r="A151" i="1"/>
  <c r="B151" i="1"/>
  <c r="C151" i="1"/>
  <c r="A166" i="1"/>
  <c r="B166" i="1"/>
  <c r="C166" i="1"/>
  <c r="A161" i="1"/>
  <c r="B161" i="1"/>
  <c r="C161" i="1"/>
  <c r="A138" i="1"/>
  <c r="B138" i="1"/>
  <c r="C138" i="1"/>
  <c r="A89" i="1"/>
  <c r="B89" i="1"/>
  <c r="C89" i="1"/>
  <c r="A170" i="1"/>
  <c r="B170" i="1"/>
  <c r="C170" i="1"/>
  <c r="A162" i="1"/>
  <c r="B162" i="1"/>
  <c r="C162" i="1"/>
  <c r="A159" i="1"/>
  <c r="B159" i="1"/>
  <c r="C159" i="1"/>
  <c r="A150" i="1"/>
  <c r="B150" i="1"/>
  <c r="C150" i="1"/>
  <c r="A94" i="1"/>
  <c r="B94" i="1"/>
  <c r="C94" i="1"/>
  <c r="A703" i="1"/>
  <c r="B703" i="1"/>
  <c r="C703" i="1"/>
  <c r="A156" i="1"/>
  <c r="B156" i="1"/>
  <c r="C156" i="1"/>
  <c r="A163" i="1"/>
  <c r="B163" i="1"/>
  <c r="C163" i="1"/>
  <c r="A148" i="1"/>
  <c r="B148" i="1"/>
  <c r="C148" i="1"/>
  <c r="A90" i="1"/>
  <c r="B90" i="1"/>
  <c r="C90" i="1"/>
  <c r="A128" i="1"/>
  <c r="B128" i="1"/>
  <c r="C128" i="1"/>
  <c r="A155" i="1"/>
  <c r="B155" i="1"/>
  <c r="C155" i="1"/>
  <c r="A172" i="1"/>
  <c r="B172" i="1"/>
  <c r="C172" i="1"/>
  <c r="A125" i="1"/>
  <c r="B125" i="1"/>
  <c r="C125" i="1"/>
  <c r="A88" i="1"/>
  <c r="B88" i="1"/>
  <c r="C88" i="1"/>
  <c r="A149" i="1"/>
  <c r="B149" i="1"/>
  <c r="C149" i="1"/>
  <c r="A153" i="1"/>
  <c r="B153" i="1"/>
  <c r="C153" i="1"/>
  <c r="A152" i="1"/>
  <c r="B152" i="1"/>
  <c r="C152" i="1"/>
  <c r="A177" i="1"/>
  <c r="B177" i="1"/>
  <c r="C177" i="1"/>
  <c r="A144" i="1"/>
  <c r="B144" i="1"/>
  <c r="C144" i="1"/>
  <c r="A143" i="1"/>
  <c r="B143" i="1"/>
  <c r="C143" i="1"/>
  <c r="A745" i="1"/>
  <c r="B745" i="1"/>
  <c r="C745" i="1"/>
  <c r="A431" i="1"/>
  <c r="B431" i="1"/>
  <c r="C431" i="1"/>
  <c r="A146" i="1"/>
  <c r="B146" i="1"/>
  <c r="C146" i="1"/>
  <c r="A160" i="1"/>
  <c r="B160" i="1"/>
  <c r="C160" i="1"/>
  <c r="A142" i="1"/>
  <c r="B142" i="1"/>
  <c r="C142" i="1"/>
  <c r="A141" i="1"/>
  <c r="B141" i="1"/>
  <c r="C141" i="1"/>
  <c r="A176" i="1"/>
  <c r="B176" i="1"/>
  <c r="C176" i="1"/>
  <c r="A133" i="1"/>
  <c r="B133" i="1"/>
  <c r="C133" i="1"/>
  <c r="A135" i="1"/>
  <c r="B135" i="1"/>
  <c r="C135" i="1"/>
  <c r="A130" i="1"/>
  <c r="B130" i="1"/>
  <c r="C130" i="1"/>
  <c r="A136" i="1"/>
  <c r="B136" i="1"/>
  <c r="C136" i="1"/>
  <c r="A575" i="1"/>
  <c r="B575" i="1"/>
  <c r="C575" i="1"/>
  <c r="A127" i="1"/>
  <c r="B127" i="1"/>
  <c r="C127" i="1"/>
  <c r="A126" i="1"/>
  <c r="B126" i="1"/>
  <c r="C126" i="1"/>
  <c r="A139" i="1"/>
  <c r="B139" i="1"/>
  <c r="C139" i="1"/>
  <c r="A157" i="1"/>
  <c r="B157" i="1"/>
  <c r="C157" i="1"/>
  <c r="A145" i="1"/>
  <c r="B145" i="1"/>
  <c r="C145" i="1"/>
  <c r="A140" i="1"/>
  <c r="B140" i="1"/>
  <c r="C140" i="1"/>
  <c r="A168" i="1"/>
  <c r="B168" i="1"/>
  <c r="C168" i="1"/>
  <c r="A131" i="1"/>
  <c r="B131" i="1"/>
  <c r="C131" i="1"/>
  <c r="A129" i="1"/>
  <c r="B129" i="1"/>
  <c r="C129" i="1"/>
  <c r="A124" i="1"/>
  <c r="B124" i="1"/>
  <c r="C124" i="1"/>
  <c r="A122" i="1"/>
  <c r="B122" i="1"/>
  <c r="C122" i="1"/>
  <c r="A72" i="1"/>
  <c r="B72" i="1"/>
  <c r="C72" i="1"/>
  <c r="A85" i="1"/>
  <c r="B85" i="1"/>
  <c r="C85" i="1"/>
  <c r="A119" i="1"/>
  <c r="B119" i="1"/>
  <c r="C119" i="1"/>
  <c r="A120" i="1"/>
  <c r="B120" i="1"/>
  <c r="C120" i="1"/>
  <c r="A68" i="1"/>
  <c r="B68" i="1"/>
  <c r="C68" i="1"/>
  <c r="A113" i="1"/>
  <c r="B113" i="1"/>
  <c r="C113" i="1"/>
  <c r="A121" i="1"/>
  <c r="B121" i="1"/>
  <c r="C121" i="1"/>
  <c r="A483" i="1"/>
  <c r="B483" i="1"/>
  <c r="C483" i="1"/>
  <c r="A99" i="1"/>
  <c r="B99" i="1"/>
  <c r="C99" i="1"/>
  <c r="A78" i="1"/>
  <c r="B78" i="1"/>
  <c r="C78" i="1"/>
  <c r="V99" i="1" l="1"/>
  <c r="V68" i="1"/>
  <c r="W68" i="1" s="1"/>
  <c r="V72" i="1"/>
  <c r="W72" i="1" s="1"/>
  <c r="V131" i="1"/>
  <c r="W131" i="1" s="1"/>
  <c r="V157" i="1"/>
  <c r="V575" i="1"/>
  <c r="W575" i="1" s="1"/>
  <c r="V133" i="1"/>
  <c r="W133" i="1" s="1"/>
  <c r="V160" i="1"/>
  <c r="W160" i="1" s="1"/>
  <c r="V143" i="1"/>
  <c r="W143" i="1" s="1"/>
  <c r="V153" i="1"/>
  <c r="W153" i="1" s="1"/>
  <c r="V172" i="1"/>
  <c r="W172" i="1" s="1"/>
  <c r="V94" i="1"/>
  <c r="W94" i="1" s="1"/>
  <c r="V170" i="1"/>
  <c r="V166" i="1"/>
  <c r="W166" i="1" s="1"/>
  <c r="V165" i="1"/>
  <c r="W165" i="1" s="1"/>
  <c r="V147" i="1"/>
  <c r="W147" i="1" s="1"/>
  <c r="V154" i="1"/>
  <c r="W154" i="1" s="1"/>
  <c r="V195" i="1"/>
  <c r="V183" i="1"/>
  <c r="W183" i="1" s="1"/>
  <c r="V121" i="1"/>
  <c r="W121" i="1" s="1"/>
  <c r="V119" i="1"/>
  <c r="W119" i="1" s="1"/>
  <c r="V124" i="1"/>
  <c r="W124" i="1" s="1"/>
  <c r="V140" i="1"/>
  <c r="W140" i="1" s="1"/>
  <c r="V126" i="1"/>
  <c r="W126" i="1" s="1"/>
  <c r="V130" i="1"/>
  <c r="W130" i="1" s="1"/>
  <c r="V141" i="1"/>
  <c r="W141" i="1" s="1"/>
  <c r="V431" i="1"/>
  <c r="W431" i="1" s="1"/>
  <c r="V177" i="1"/>
  <c r="W177" i="1" s="1"/>
  <c r="V88" i="1"/>
  <c r="W88" i="1" s="1"/>
  <c r="V128" i="1"/>
  <c r="W128" i="1" s="1"/>
  <c r="V156" i="1"/>
  <c r="W156" i="1" s="1"/>
  <c r="V159" i="1"/>
  <c r="W159" i="1" s="1"/>
  <c r="V138" i="1"/>
  <c r="W138" i="1" s="1"/>
  <c r="V132" i="1"/>
  <c r="W132" i="1" s="1"/>
  <c r="V167" i="1"/>
  <c r="W167" i="1" s="1"/>
  <c r="V175" i="1"/>
  <c r="W175" i="1" s="1"/>
  <c r="V186" i="1"/>
  <c r="W186" i="1" s="1"/>
  <c r="V179" i="1"/>
  <c r="W179" i="1" s="1"/>
  <c r="V191" i="1"/>
  <c r="W191" i="1" s="1"/>
  <c r="V185" i="1"/>
  <c r="W185" i="1" s="1"/>
  <c r="V188" i="1"/>
  <c r="W188" i="1" s="1"/>
  <c r="V440" i="1"/>
  <c r="W440" i="1" s="1"/>
  <c r="V190" i="1"/>
  <c r="W190" i="1" s="1"/>
  <c r="V184" i="1"/>
  <c r="W184" i="1" s="1"/>
  <c r="V197" i="1"/>
  <c r="W197" i="1" s="1"/>
  <c r="V187" i="1"/>
  <c r="W187" i="1" s="1"/>
  <c r="V208" i="1"/>
  <c r="W208" i="1" s="1"/>
  <c r="V211" i="1"/>
  <c r="W211" i="1" s="1"/>
  <c r="V231" i="1"/>
  <c r="W231" i="1" s="1"/>
  <c r="V220" i="1"/>
  <c r="V224" i="1"/>
  <c r="W224" i="1" s="1"/>
  <c r="V236" i="1"/>
  <c r="W236" i="1" s="1"/>
  <c r="V78" i="1"/>
  <c r="W78" i="1" s="1"/>
  <c r="V120" i="1"/>
  <c r="W120" i="1" s="1"/>
  <c r="V85" i="1"/>
  <c r="W85" i="1" s="1"/>
  <c r="V122" i="1"/>
  <c r="W122" i="1" s="1"/>
  <c r="V129" i="1"/>
  <c r="W129" i="1" s="1"/>
  <c r="V168" i="1"/>
  <c r="W168" i="1" s="1"/>
  <c r="V145" i="1"/>
  <c r="W145" i="1" s="1"/>
  <c r="V139" i="1"/>
  <c r="W139" i="1" s="1"/>
  <c r="V127" i="1"/>
  <c r="W127" i="1" s="1"/>
  <c r="V136" i="1"/>
  <c r="W136" i="1" s="1"/>
  <c r="V135" i="1"/>
  <c r="W135" i="1" s="1"/>
  <c r="V176" i="1"/>
  <c r="W176" i="1" s="1"/>
  <c r="V142" i="1"/>
  <c r="W142" i="1" s="1"/>
  <c r="V146" i="1"/>
  <c r="W146" i="1" s="1"/>
  <c r="V745" i="1"/>
  <c r="W745" i="1" s="1"/>
  <c r="V144" i="1"/>
  <c r="W144" i="1" s="1"/>
  <c r="V152" i="1"/>
  <c r="W152" i="1" s="1"/>
  <c r="V149" i="1"/>
  <c r="W149" i="1" s="1"/>
  <c r="V125" i="1"/>
  <c r="W125" i="1" s="1"/>
  <c r="V155" i="1"/>
  <c r="W155" i="1" s="1"/>
  <c r="V90" i="1"/>
  <c r="W90" i="1" s="1"/>
  <c r="V163" i="1"/>
  <c r="W163" i="1" s="1"/>
  <c r="V703" i="1"/>
  <c r="W703" i="1" s="1"/>
  <c r="V150" i="1"/>
  <c r="W150" i="1" s="1"/>
  <c r="V162" i="1"/>
  <c r="W162" i="1" s="1"/>
  <c r="V89" i="1"/>
  <c r="W89" i="1" s="1"/>
  <c r="V161" i="1"/>
  <c r="W161" i="1" s="1"/>
  <c r="V151" i="1"/>
  <c r="W151" i="1" s="1"/>
  <c r="V171" i="1"/>
  <c r="W171" i="1" s="1"/>
  <c r="V134" i="1"/>
  <c r="W134" i="1" s="1"/>
  <c r="V137" i="1"/>
  <c r="W137" i="1" s="1"/>
  <c r="V173" i="1"/>
  <c r="W173" i="1" s="1"/>
  <c r="V174" i="1"/>
  <c r="W174" i="1" s="1"/>
  <c r="V181" i="1"/>
  <c r="W181" i="1" s="1"/>
  <c r="V192" i="1"/>
  <c r="W192" i="1" s="1"/>
  <c r="V199" i="1"/>
  <c r="W199" i="1" s="1"/>
  <c r="V182" i="1"/>
  <c r="W182" i="1" s="1"/>
  <c r="V194" i="1"/>
  <c r="W194" i="1" s="1"/>
  <c r="V202" i="1"/>
  <c r="W202" i="1" s="1"/>
  <c r="V203" i="1"/>
  <c r="W203" i="1" s="1"/>
  <c r="V180" i="1"/>
  <c r="W180" i="1" s="1"/>
  <c r="V196" i="1"/>
  <c r="W196" i="1" s="1"/>
  <c r="V189" i="1"/>
  <c r="W189" i="1" s="1"/>
  <c r="V193" i="1"/>
  <c r="W193" i="1" s="1"/>
  <c r="V178" i="1"/>
  <c r="W178" i="1" s="1"/>
  <c r="V207" i="1"/>
  <c r="W207" i="1" s="1"/>
  <c r="V205" i="1"/>
  <c r="W205" i="1" s="1"/>
  <c r="V210" i="1"/>
  <c r="W210" i="1" s="1"/>
  <c r="V240" i="1"/>
  <c r="W240" i="1" s="1"/>
  <c r="V321" i="1"/>
  <c r="W321" i="1" s="1"/>
  <c r="V233" i="1"/>
  <c r="W233" i="1" s="1"/>
  <c r="V219" i="1"/>
  <c r="W219" i="1" s="1"/>
  <c r="V222" i="1"/>
  <c r="W222" i="1" s="1"/>
  <c r="V237" i="1"/>
  <c r="W237" i="1" s="1"/>
  <c r="V92" i="1"/>
  <c r="W92" i="1" s="1"/>
  <c r="V228" i="1"/>
  <c r="W228" i="1" s="1"/>
  <c r="V213" i="1"/>
  <c r="W213" i="1" s="1"/>
  <c r="V239" i="1"/>
  <c r="W239" i="1" s="1"/>
  <c r="V234" i="1"/>
  <c r="W234" i="1" s="1"/>
  <c r="V229" i="1"/>
  <c r="W229" i="1" s="1"/>
  <c r="V230" i="1"/>
  <c r="W230" i="1" s="1"/>
  <c r="V209" i="1"/>
  <c r="W209" i="1" s="1"/>
  <c r="V238" i="1"/>
  <c r="W238" i="1" s="1"/>
  <c r="V235" i="1"/>
  <c r="W235" i="1" s="1"/>
  <c r="V254" i="1"/>
  <c r="W254" i="1" s="1"/>
  <c r="V247" i="1"/>
  <c r="W247" i="1" s="1"/>
  <c r="V244" i="1"/>
  <c r="W244" i="1" s="1"/>
  <c r="V246" i="1"/>
  <c r="W246" i="1" s="1"/>
  <c r="V49" i="1"/>
  <c r="W49" i="1" s="1"/>
  <c r="V253" i="1"/>
  <c r="W253" i="1" s="1"/>
  <c r="V252" i="1"/>
  <c r="W252" i="1" s="1"/>
  <c r="V245" i="1"/>
  <c r="W245" i="1" s="1"/>
  <c r="V272" i="1"/>
  <c r="W272" i="1" s="1"/>
  <c r="V255" i="1"/>
  <c r="W255" i="1" s="1"/>
  <c r="V258" i="1"/>
  <c r="W258" i="1" s="1"/>
  <c r="V261" i="1"/>
  <c r="W261" i="1" s="1"/>
  <c r="V256" i="1"/>
  <c r="W256" i="1" s="1"/>
  <c r="V392" i="1"/>
  <c r="W392" i="1" s="1"/>
  <c r="V280" i="1"/>
  <c r="W280" i="1" s="1"/>
  <c r="V526" i="1"/>
  <c r="W526" i="1" s="1"/>
  <c r="V262" i="1"/>
  <c r="W262" i="1" s="1"/>
  <c r="V277" i="1"/>
  <c r="W277" i="1" s="1"/>
  <c r="V275" i="1"/>
  <c r="W275" i="1" s="1"/>
  <c r="V268" i="1"/>
  <c r="W268" i="1" s="1"/>
  <c r="V264" i="1"/>
  <c r="W264" i="1" s="1"/>
  <c r="V271" i="1"/>
  <c r="W271" i="1" s="1"/>
  <c r="V267" i="1"/>
  <c r="W267" i="1" s="1"/>
  <c r="V286" i="1"/>
  <c r="W286" i="1" s="1"/>
  <c r="V284" i="1"/>
  <c r="W284" i="1" s="1"/>
  <c r="V288" i="1"/>
  <c r="W288" i="1" s="1"/>
  <c r="V287" i="1"/>
  <c r="W287" i="1" s="1"/>
  <c r="V339" i="1"/>
  <c r="W339" i="1" s="1"/>
  <c r="V305" i="1"/>
  <c r="W305" i="1" s="1"/>
  <c r="V290" i="1"/>
  <c r="V291" i="1"/>
  <c r="W291" i="1" s="1"/>
  <c r="V329" i="1"/>
  <c r="W329" i="1" s="1"/>
  <c r="V298" i="1"/>
  <c r="W298" i="1" s="1"/>
  <c r="V292" i="1"/>
  <c r="W292" i="1" s="1"/>
  <c r="V294" i="1"/>
  <c r="W294" i="1" s="1"/>
  <c r="V719" i="1"/>
  <c r="W719" i="1" s="1"/>
  <c r="V331" i="1"/>
  <c r="W331" i="1" s="1"/>
  <c r="V744" i="1"/>
  <c r="W744" i="1" s="1"/>
  <c r="V328" i="1"/>
  <c r="W328" i="1" s="1"/>
  <c r="V169" i="1"/>
  <c r="W169" i="1" s="1"/>
  <c r="V307" i="1"/>
  <c r="W307" i="1" s="1"/>
  <c r="V337" i="1"/>
  <c r="W337" i="1" s="1"/>
  <c r="V309" i="1"/>
  <c r="W309" i="1" s="1"/>
  <c r="V317" i="1"/>
  <c r="W317" i="1" s="1"/>
  <c r="V299" i="1"/>
  <c r="W299" i="1" s="1"/>
  <c r="V296" i="1"/>
  <c r="W296" i="1" s="1"/>
  <c r="V306" i="1"/>
  <c r="W306" i="1" s="1"/>
  <c r="V313" i="1"/>
  <c r="W313" i="1" s="1"/>
  <c r="V323" i="1"/>
  <c r="W323" i="1" s="1"/>
  <c r="V327" i="1"/>
  <c r="W327" i="1" s="1"/>
  <c r="V335" i="1"/>
  <c r="W335" i="1" s="1"/>
  <c r="V303" i="1"/>
  <c r="W303" i="1" s="1"/>
  <c r="V340" i="1"/>
  <c r="W340" i="1" s="1"/>
  <c r="V355" i="1"/>
  <c r="W355" i="1" s="1"/>
  <c r="V359" i="1"/>
  <c r="W359" i="1" s="1"/>
  <c r="V341" i="1"/>
  <c r="W341" i="1" s="1"/>
  <c r="V721" i="1"/>
  <c r="W721" i="1" s="1"/>
  <c r="V349" i="1"/>
  <c r="W349" i="1" s="1"/>
  <c r="V352" i="1"/>
  <c r="W352" i="1" s="1"/>
  <c r="V360" i="1"/>
  <c r="W360" i="1" s="1"/>
  <c r="V351" i="1"/>
  <c r="W351" i="1" s="1"/>
  <c r="V345" i="1"/>
  <c r="W345" i="1" s="1"/>
  <c r="V350" i="1"/>
  <c r="W350" i="1" s="1"/>
  <c r="V361" i="1"/>
  <c r="W361" i="1" s="1"/>
  <c r="V448" i="1"/>
  <c r="W448" i="1" s="1"/>
  <c r="V346" i="1"/>
  <c r="W346" i="1" s="1"/>
  <c r="V372" i="1"/>
  <c r="W372" i="1" s="1"/>
  <c r="V93" i="1"/>
  <c r="W93" i="1" s="1"/>
  <c r="V365" i="1"/>
  <c r="W365" i="1" s="1"/>
  <c r="V367" i="1"/>
  <c r="W367" i="1" s="1"/>
  <c r="V369" i="1"/>
  <c r="W369" i="1" s="1"/>
  <c r="V373" i="1"/>
  <c r="W373" i="1" s="1"/>
  <c r="V371" i="1"/>
  <c r="W371" i="1" s="1"/>
  <c r="V376" i="1"/>
  <c r="W376" i="1" s="1"/>
  <c r="V381" i="1"/>
  <c r="W381" i="1" s="1"/>
  <c r="V380" i="1"/>
  <c r="W380" i="1" s="1"/>
  <c r="V382" i="1"/>
  <c r="W382" i="1" s="1"/>
  <c r="V384" i="1"/>
  <c r="W384" i="1" s="1"/>
  <c r="V402" i="1"/>
  <c r="W402" i="1" s="1"/>
  <c r="V394" i="1"/>
  <c r="W394" i="1" s="1"/>
  <c r="V391" i="1"/>
  <c r="W391" i="1" s="1"/>
  <c r="V400" i="1"/>
  <c r="W400" i="1" s="1"/>
  <c r="V483" i="1"/>
  <c r="W483" i="1" s="1"/>
  <c r="V113" i="1"/>
  <c r="W113" i="1" s="1"/>
  <c r="V227" i="1"/>
  <c r="W227" i="1" s="1"/>
  <c r="V225" i="1"/>
  <c r="W225" i="1" s="1"/>
  <c r="V543" i="1"/>
  <c r="W543" i="1" s="1"/>
  <c r="V223" i="1"/>
  <c r="W223" i="1" s="1"/>
  <c r="V91" i="1"/>
  <c r="W91" i="1" s="1"/>
  <c r="V215" i="1"/>
  <c r="W215" i="1" s="1"/>
  <c r="V217" i="1"/>
  <c r="W217" i="1" s="1"/>
  <c r="V232" i="1"/>
  <c r="W232" i="1" s="1"/>
  <c r="V212" i="1"/>
  <c r="W212" i="1" s="1"/>
  <c r="V660" i="1"/>
  <c r="W660" i="1" s="1"/>
  <c r="V242" i="1"/>
  <c r="W242" i="1" s="1"/>
  <c r="V243" i="1"/>
  <c r="W243" i="1" s="1"/>
  <c r="V250" i="1"/>
  <c r="W250" i="1" s="1"/>
  <c r="V249" i="1"/>
  <c r="W249" i="1" s="1"/>
  <c r="V248" i="1"/>
  <c r="W248" i="1" s="1"/>
  <c r="V251" i="1"/>
  <c r="W251" i="1" s="1"/>
  <c r="V241" i="1"/>
  <c r="W241" i="1" s="1"/>
  <c r="V200" i="1"/>
  <c r="V273" i="1"/>
  <c r="W273" i="1" s="1"/>
  <c r="V260" i="1"/>
  <c r="W260" i="1" s="1"/>
  <c r="V259" i="1"/>
  <c r="W259" i="1" s="1"/>
  <c r="V257" i="1"/>
  <c r="W257" i="1" s="1"/>
  <c r="V276" i="1"/>
  <c r="W276" i="1" s="1"/>
  <c r="V266" i="1"/>
  <c r="W266" i="1" s="1"/>
  <c r="V263" i="1"/>
  <c r="W263" i="1" s="1"/>
  <c r="V278" i="1"/>
  <c r="W278" i="1" s="1"/>
  <c r="V281" i="1"/>
  <c r="W281" i="1" s="1"/>
  <c r="V269" i="1"/>
  <c r="W269" i="1" s="1"/>
  <c r="V265" i="1"/>
  <c r="W265" i="1" s="1"/>
  <c r="V283" i="1"/>
  <c r="W283" i="1" s="1"/>
  <c r="V274" i="1"/>
  <c r="W274" i="1" s="1"/>
  <c r="V270" i="1"/>
  <c r="W270" i="1" s="1"/>
  <c r="V285" i="1"/>
  <c r="W285" i="1" s="1"/>
  <c r="V279" i="1"/>
  <c r="W279" i="1" s="1"/>
  <c r="V282" i="1"/>
  <c r="W282" i="1" s="1"/>
  <c r="V289" i="1"/>
  <c r="W289" i="1" s="1"/>
  <c r="V324" i="1"/>
  <c r="W324" i="1" s="1"/>
  <c r="V293" i="1"/>
  <c r="W293" i="1" s="1"/>
  <c r="V302" i="1"/>
  <c r="W302" i="1" s="1"/>
  <c r="V301" i="1"/>
  <c r="W301" i="1" s="1"/>
  <c r="V295" i="1"/>
  <c r="W295" i="1" s="1"/>
  <c r="V311" i="1"/>
  <c r="W311" i="1" s="1"/>
  <c r="V316" i="1"/>
  <c r="W316" i="1" s="1"/>
  <c r="V304" i="1"/>
  <c r="W304" i="1" s="1"/>
  <c r="V300" i="1"/>
  <c r="W300" i="1" s="1"/>
  <c r="V297" i="1"/>
  <c r="W297" i="1" s="1"/>
  <c r="V338" i="1"/>
  <c r="W338" i="1" s="1"/>
  <c r="V330" i="1"/>
  <c r="W330" i="1" s="1"/>
  <c r="V332" i="1"/>
  <c r="W332" i="1" s="1"/>
  <c r="V319" i="1"/>
  <c r="W319" i="1" s="1"/>
  <c r="V308" i="1"/>
  <c r="W308" i="1" s="1"/>
  <c r="V333" i="1"/>
  <c r="W333" i="1" s="1"/>
  <c r="V348" i="1"/>
  <c r="W348" i="1" s="1"/>
  <c r="V314" i="1"/>
  <c r="W314" i="1" s="1"/>
  <c r="V310" i="1"/>
  <c r="W310" i="1" s="1"/>
  <c r="V318" i="1"/>
  <c r="W318" i="1" s="1"/>
  <c r="V320" i="1"/>
  <c r="W320" i="1" s="1"/>
  <c r="V312" i="1"/>
  <c r="W312" i="1" s="1"/>
  <c r="V322" i="1"/>
  <c r="W322" i="1" s="1"/>
  <c r="V334" i="1"/>
  <c r="W334" i="1" s="1"/>
  <c r="V336" i="1"/>
  <c r="W336" i="1" s="1"/>
  <c r="V326" i="1"/>
  <c r="W326" i="1" s="1"/>
  <c r="V358" i="1"/>
  <c r="W358" i="1" s="1"/>
  <c r="V362" i="1"/>
  <c r="W362" i="1" s="1"/>
  <c r="V342" i="1"/>
  <c r="W342" i="1" s="1"/>
  <c r="V343" i="1"/>
  <c r="W343" i="1" s="1"/>
  <c r="V347" i="1"/>
  <c r="W347" i="1" s="1"/>
  <c r="V344" i="1"/>
  <c r="W344" i="1" s="1"/>
  <c r="V530" i="1"/>
  <c r="W530" i="1" s="1"/>
  <c r="V504" i="1"/>
  <c r="W504" i="1" s="1"/>
  <c r="V363" i="1"/>
  <c r="W363" i="1" s="1"/>
  <c r="V353" i="1"/>
  <c r="W353" i="1" s="1"/>
  <c r="V354" i="1"/>
  <c r="W354" i="1" s="1"/>
  <c r="V729" i="1"/>
  <c r="W729" i="1" s="1"/>
  <c r="V357" i="1"/>
  <c r="W357" i="1" s="1"/>
  <c r="V206" i="1"/>
  <c r="W206" i="1" s="1"/>
  <c r="V368" i="1"/>
  <c r="W368" i="1" s="1"/>
  <c r="V107" i="1"/>
  <c r="W107" i="1" s="1"/>
  <c r="V366" i="1"/>
  <c r="W366" i="1" s="1"/>
  <c r="V364" i="1"/>
  <c r="W364" i="1" s="1"/>
  <c r="V370" i="1"/>
  <c r="W370" i="1" s="1"/>
  <c r="V374" i="1"/>
  <c r="W374" i="1" s="1"/>
  <c r="V356" i="1"/>
  <c r="W356" i="1" s="1"/>
  <c r="V377" i="1"/>
  <c r="W377" i="1" s="1"/>
  <c r="V383" i="1"/>
  <c r="W383" i="1" s="1"/>
  <c r="V379" i="1"/>
  <c r="W379" i="1" s="1"/>
  <c r="V401" i="1"/>
  <c r="W401" i="1" s="1"/>
  <c r="V385" i="1"/>
  <c r="W385" i="1" s="1"/>
  <c r="V95" i="1"/>
  <c r="W95" i="1" s="1"/>
  <c r="V386" i="1"/>
  <c r="W386" i="1" s="1"/>
  <c r="V395" i="1"/>
  <c r="W395" i="1" s="1"/>
  <c r="V393" i="1"/>
  <c r="W393" i="1" s="1"/>
  <c r="V403" i="1"/>
  <c r="W403" i="1" s="1"/>
  <c r="V390" i="1"/>
  <c r="W390" i="1" s="1"/>
  <c r="V389" i="1"/>
  <c r="W389" i="1" s="1"/>
  <c r="V399" i="1"/>
  <c r="W399" i="1" s="1"/>
  <c r="V435" i="1"/>
  <c r="W435" i="1" s="1"/>
  <c r="V406" i="1"/>
  <c r="W406" i="1" s="1"/>
  <c r="V409" i="1"/>
  <c r="W409" i="1" s="1"/>
  <c r="V423" i="1"/>
  <c r="W423" i="1" s="1"/>
  <c r="V97" i="1"/>
  <c r="W97" i="1" s="1"/>
  <c r="V437" i="1"/>
  <c r="W437" i="1" s="1"/>
  <c r="V417" i="1"/>
  <c r="W417" i="1" s="1"/>
  <c r="V419" i="1"/>
  <c r="W419" i="1" s="1"/>
  <c r="V421" i="1"/>
  <c r="W421" i="1" s="1"/>
  <c r="V436" i="1"/>
  <c r="W436" i="1" s="1"/>
  <c r="V430" i="1"/>
  <c r="W430" i="1" s="1"/>
  <c r="V407" i="1"/>
  <c r="W407" i="1" s="1"/>
  <c r="V422" i="1"/>
  <c r="W422" i="1" s="1"/>
  <c r="V427" i="1"/>
  <c r="W427" i="1" s="1"/>
  <c r="V426" i="1"/>
  <c r="W426" i="1" s="1"/>
  <c r="V96" i="1"/>
  <c r="W96" i="1" s="1"/>
  <c r="V100" i="1"/>
  <c r="W100" i="1" s="1"/>
  <c r="V420" i="1"/>
  <c r="W420" i="1" s="1"/>
  <c r="V446" i="1"/>
  <c r="W446" i="1" s="1"/>
  <c r="V442" i="1"/>
  <c r="W442" i="1" s="1"/>
  <c r="V101" i="1"/>
  <c r="W101" i="1" s="1"/>
  <c r="V737" i="1"/>
  <c r="W737" i="1" s="1"/>
  <c r="V455" i="1"/>
  <c r="W455" i="1" s="1"/>
  <c r="V445" i="1"/>
  <c r="W445" i="1" s="1"/>
  <c r="V447" i="1"/>
  <c r="W447" i="1" s="1"/>
  <c r="V444" i="1"/>
  <c r="W444" i="1" s="1"/>
  <c r="V457" i="1"/>
  <c r="W457" i="1" s="1"/>
  <c r="V148" i="1"/>
  <c r="W148" i="1" s="1"/>
  <c r="V216" i="1"/>
  <c r="W216" i="1" s="1"/>
  <c r="V218" i="1"/>
  <c r="W218" i="1" s="1"/>
  <c r="V226" i="1"/>
  <c r="W226" i="1" s="1"/>
  <c r="V387" i="1"/>
  <c r="W387" i="1" s="1"/>
  <c r="V404" i="1"/>
  <c r="W404" i="1" s="1"/>
  <c r="V398" i="1"/>
  <c r="W398" i="1" s="1"/>
  <c r="V388" i="1"/>
  <c r="W388" i="1" s="1"/>
  <c r="V405" i="1"/>
  <c r="W405" i="1" s="1"/>
  <c r="V434" i="1"/>
  <c r="W434" i="1" s="1"/>
  <c r="V408" i="1"/>
  <c r="W408" i="1" s="1"/>
  <c r="V429" i="1"/>
  <c r="W429" i="1" s="1"/>
  <c r="V735" i="1"/>
  <c r="W735" i="1" s="1"/>
  <c r="V412" i="1"/>
  <c r="W412" i="1" s="1"/>
  <c r="V410" i="1"/>
  <c r="W410" i="1" s="1"/>
  <c r="V416" i="1"/>
  <c r="W416" i="1" s="1"/>
  <c r="V415" i="1"/>
  <c r="W415" i="1" s="1"/>
  <c r="V414" i="1"/>
  <c r="W414" i="1" s="1"/>
  <c r="V411" i="1"/>
  <c r="W411" i="1" s="1"/>
  <c r="V425" i="1"/>
  <c r="W425" i="1" s="1"/>
  <c r="V98" i="1"/>
  <c r="W98" i="1" s="1"/>
  <c r="V424" i="1"/>
  <c r="W424" i="1" s="1"/>
  <c r="V418" i="1"/>
  <c r="W418" i="1" s="1"/>
  <c r="V428" i="1"/>
  <c r="W428" i="1" s="1"/>
  <c r="V432" i="1"/>
  <c r="W432" i="1" s="1"/>
  <c r="V413" i="1"/>
  <c r="W413" i="1" s="1"/>
  <c r="V35" i="1"/>
  <c r="W35" i="1" s="1"/>
  <c r="V452" i="1"/>
  <c r="W452" i="1" s="1"/>
  <c r="V158" i="1"/>
  <c r="W158" i="1" s="1"/>
  <c r="V454" i="1"/>
  <c r="W454" i="1" s="1"/>
  <c r="V439" i="1"/>
  <c r="W439" i="1" s="1"/>
  <c r="V571" i="1"/>
  <c r="W571" i="1" s="1"/>
  <c r="V451" i="1"/>
  <c r="W451" i="1" s="1"/>
  <c r="V443" i="1"/>
  <c r="W443" i="1" s="1"/>
  <c r="V375" i="1"/>
  <c r="W375" i="1" s="1"/>
  <c r="V441" i="1"/>
  <c r="W441" i="1" s="1"/>
  <c r="V458" i="1"/>
  <c r="W458" i="1" s="1"/>
  <c r="V453" i="1"/>
  <c r="W453" i="1" s="1"/>
  <c r="V475" i="1"/>
  <c r="W475" i="1" s="1"/>
  <c r="V459" i="1"/>
  <c r="W459" i="1" s="1"/>
  <c r="V471" i="1"/>
  <c r="W471" i="1" s="1"/>
  <c r="V460" i="1"/>
  <c r="W460" i="1" s="1"/>
  <c r="V477" i="1"/>
  <c r="W477" i="1" s="1"/>
  <c r="V463" i="1"/>
  <c r="W463" i="1" s="1"/>
  <c r="V465" i="1"/>
  <c r="W465" i="1" s="1"/>
  <c r="V497" i="1"/>
  <c r="W497" i="1" s="1"/>
  <c r="V461" i="1"/>
  <c r="W461" i="1" s="1"/>
  <c r="V505" i="1"/>
  <c r="W505" i="1" s="1"/>
  <c r="V743" i="1"/>
  <c r="W743" i="1" s="1"/>
  <c r="V103" i="1"/>
  <c r="W103" i="1" s="1"/>
  <c r="V496" i="1"/>
  <c r="W496" i="1" s="1"/>
  <c r="V478" i="1"/>
  <c r="W478" i="1" s="1"/>
  <c r="V481" i="1"/>
  <c r="W481" i="1" s="1"/>
  <c r="V485" i="1"/>
  <c r="W485" i="1" s="1"/>
  <c r="V464" i="1"/>
  <c r="W464" i="1" s="1"/>
  <c r="V498" i="1"/>
  <c r="W498" i="1" s="1"/>
  <c r="V472" i="1"/>
  <c r="W472" i="1" s="1"/>
  <c r="V486" i="1"/>
  <c r="W486" i="1" s="1"/>
  <c r="V503" i="1"/>
  <c r="W503" i="1" s="1"/>
  <c r="V492" i="1"/>
  <c r="W492" i="1" s="1"/>
  <c r="V489" i="1"/>
  <c r="W489" i="1" s="1"/>
  <c r="V501" i="1"/>
  <c r="W501" i="1" s="1"/>
  <c r="V493" i="1"/>
  <c r="W493" i="1" s="1"/>
  <c r="V509" i="1"/>
  <c r="W509" i="1" s="1"/>
  <c r="V536" i="1"/>
  <c r="W536" i="1" s="1"/>
  <c r="V513" i="1"/>
  <c r="W513" i="1" s="1"/>
  <c r="V521" i="1"/>
  <c r="W521" i="1" s="1"/>
  <c r="V533" i="1"/>
  <c r="W533" i="1" s="1"/>
  <c r="V627" i="1"/>
  <c r="W627" i="1" s="1"/>
  <c r="V519" i="1"/>
  <c r="W519" i="1" s="1"/>
  <c r="V520" i="1"/>
  <c r="W520" i="1" s="1"/>
  <c r="V528" i="1"/>
  <c r="W528" i="1" s="1"/>
  <c r="V534" i="1"/>
  <c r="W534" i="1" s="1"/>
  <c r="V531" i="1"/>
  <c r="W531" i="1" s="1"/>
  <c r="V537" i="1"/>
  <c r="W537" i="1" s="1"/>
  <c r="V576" i="1"/>
  <c r="W576" i="1" s="1"/>
  <c r="V524" i="1"/>
  <c r="W524" i="1" s="1"/>
  <c r="V540" i="1"/>
  <c r="W540" i="1" s="1"/>
  <c r="V539" i="1"/>
  <c r="W539" i="1" s="1"/>
  <c r="V718" i="1"/>
  <c r="W718" i="1" s="1"/>
  <c r="V552" i="1"/>
  <c r="W552" i="1" s="1"/>
  <c r="V553" i="1"/>
  <c r="W553" i="1" s="1"/>
  <c r="V557" i="1"/>
  <c r="W557" i="1" s="1"/>
  <c r="V204" i="1"/>
  <c r="W204" i="1" s="1"/>
  <c r="V545" i="1"/>
  <c r="W545" i="1" s="1"/>
  <c r="V550" i="1"/>
  <c r="W550" i="1" s="1"/>
  <c r="V546" i="1"/>
  <c r="W546" i="1" s="1"/>
  <c r="V633" i="1"/>
  <c r="W633" i="1" s="1"/>
  <c r="V607" i="1"/>
  <c r="W607" i="1" s="1"/>
  <c r="V563" i="1"/>
  <c r="W563" i="1" s="1"/>
  <c r="V569" i="1"/>
  <c r="W569" i="1" s="1"/>
  <c r="V579" i="1"/>
  <c r="W579" i="1" s="1"/>
  <c r="V565" i="1"/>
  <c r="W565" i="1" s="1"/>
  <c r="V578" i="1"/>
  <c r="W578" i="1" s="1"/>
  <c r="V566" i="1"/>
  <c r="W566" i="1" s="1"/>
  <c r="V568" i="1"/>
  <c r="W568" i="1" s="1"/>
  <c r="V629" i="1"/>
  <c r="W629" i="1" s="1"/>
  <c r="V608" i="1"/>
  <c r="W608" i="1" s="1"/>
  <c r="V570" i="1"/>
  <c r="W570" i="1" s="1"/>
  <c r="V606" i="1"/>
  <c r="W606" i="1" s="1"/>
  <c r="V592" i="1"/>
  <c r="W592" i="1" s="1"/>
  <c r="V593" i="1"/>
  <c r="W593" i="1" s="1"/>
  <c r="V560" i="1"/>
  <c r="W560" i="1" s="1"/>
  <c r="V586" i="1"/>
  <c r="W586" i="1" s="1"/>
  <c r="V628" i="1"/>
  <c r="W628" i="1" s="1"/>
  <c r="V588" i="1"/>
  <c r="W588" i="1" s="1"/>
  <c r="V602" i="1"/>
  <c r="W602" i="1" s="1"/>
  <c r="V611" i="1"/>
  <c r="W611" i="1" s="1"/>
  <c r="V604" i="1"/>
  <c r="W604" i="1" s="1"/>
  <c r="V598" i="1"/>
  <c r="W598" i="1" s="1"/>
  <c r="V562" i="1"/>
  <c r="W562" i="1" s="1"/>
  <c r="V615" i="1"/>
  <c r="W615" i="1" s="1"/>
  <c r="V591" i="1"/>
  <c r="W591" i="1" s="1"/>
  <c r="V567" i="1"/>
  <c r="W567" i="1" s="1"/>
  <c r="V626" i="1"/>
  <c r="W626" i="1" s="1"/>
  <c r="V635" i="1"/>
  <c r="W635" i="1" s="1"/>
  <c r="V618" i="1"/>
  <c r="W618" i="1" s="1"/>
  <c r="V605" i="1"/>
  <c r="W605" i="1" s="1"/>
  <c r="V619" i="1"/>
  <c r="W619" i="1" s="1"/>
  <c r="V620" i="1"/>
  <c r="W620" i="1" s="1"/>
  <c r="V634" i="1"/>
  <c r="W634" i="1" s="1"/>
  <c r="V636" i="1"/>
  <c r="W636" i="1" s="1"/>
  <c r="V659" i="1"/>
  <c r="W659" i="1" s="1"/>
  <c r="V164" i="1"/>
  <c r="W164" i="1" s="1"/>
  <c r="V643" i="1"/>
  <c r="W643" i="1" s="1"/>
  <c r="V647" i="1"/>
  <c r="W647" i="1" s="1"/>
  <c r="V666" i="1"/>
  <c r="W666" i="1" s="1"/>
  <c r="V665" i="1"/>
  <c r="W665" i="1" s="1"/>
  <c r="V649" i="1"/>
  <c r="W649" i="1" s="1"/>
  <c r="V663" i="1"/>
  <c r="W663" i="1" s="1"/>
  <c r="V653" i="1"/>
  <c r="W653" i="1" s="1"/>
  <c r="V662" i="1"/>
  <c r="W662" i="1" s="1"/>
  <c r="V110" i="1"/>
  <c r="W110" i="1" s="1"/>
  <c r="V658" i="1"/>
  <c r="W658" i="1" s="1"/>
  <c r="V644" i="1"/>
  <c r="W644" i="1" s="1"/>
  <c r="V656" i="1"/>
  <c r="W656" i="1" s="1"/>
  <c r="V640" i="1"/>
  <c r="W640" i="1" s="1"/>
  <c r="V657" i="1"/>
  <c r="W657" i="1" s="1"/>
  <c r="V646" i="1"/>
  <c r="W646" i="1" s="1"/>
  <c r="V667" i="1"/>
  <c r="W667" i="1" s="1"/>
  <c r="V671" i="1"/>
  <c r="W671" i="1" s="1"/>
  <c r="V710" i="1"/>
  <c r="W710" i="1" s="1"/>
  <c r="V672" i="1"/>
  <c r="W672" i="1" s="1"/>
  <c r="V648" i="1"/>
  <c r="W648" i="1" s="1"/>
  <c r="V673" i="1"/>
  <c r="W673" i="1" s="1"/>
  <c r="V684" i="1"/>
  <c r="W684" i="1" s="1"/>
  <c r="V681" i="1"/>
  <c r="W681" i="1" s="1"/>
  <c r="V682" i="1"/>
  <c r="W682" i="1" s="1"/>
  <c r="V688" i="1"/>
  <c r="W688" i="1" s="1"/>
  <c r="V690" i="1"/>
  <c r="W690" i="1" s="1"/>
  <c r="V725" i="1"/>
  <c r="W725" i="1" s="1"/>
  <c r="V699" i="1"/>
  <c r="W699" i="1" s="1"/>
  <c r="V704" i="1"/>
  <c r="W704" i="1" s="1"/>
  <c r="V470" i="1"/>
  <c r="W470" i="1" s="1"/>
  <c r="V702" i="1"/>
  <c r="W702" i="1" s="1"/>
  <c r="V708" i="1"/>
  <c r="W708" i="1" s="1"/>
  <c r="V713" i="1"/>
  <c r="W713" i="1" s="1"/>
  <c r="V695" i="1"/>
  <c r="W695" i="1" s="1"/>
  <c r="V720" i="1"/>
  <c r="W720" i="1" s="1"/>
  <c r="V111" i="1"/>
  <c r="W111" i="1" s="1"/>
  <c r="V722" i="1"/>
  <c r="W722" i="1" s="1"/>
  <c r="V730" i="1"/>
  <c r="W730" i="1" s="1"/>
  <c r="V686" i="1"/>
  <c r="W686" i="1" s="1"/>
  <c r="V700" i="1"/>
  <c r="W700" i="1" s="1"/>
  <c r="V500" i="1"/>
  <c r="W500" i="1" s="1"/>
  <c r="V315" i="1"/>
  <c r="W315" i="1" s="1"/>
  <c r="V112" i="1"/>
  <c r="W112" i="1" s="1"/>
  <c r="V732" i="1"/>
  <c r="W732" i="1" s="1"/>
  <c r="V717" i="1"/>
  <c r="W717" i="1" s="1"/>
  <c r="V692" i="1"/>
  <c r="W692" i="1" s="1"/>
  <c r="V731" i="1"/>
  <c r="W731" i="1" s="1"/>
  <c r="V742" i="1"/>
  <c r="W742" i="1" s="1"/>
  <c r="V740" i="1"/>
  <c r="W740" i="1" s="1"/>
  <c r="V741" i="1"/>
  <c r="W741" i="1" s="1"/>
  <c r="V450" i="1"/>
  <c r="W450" i="1" s="1"/>
  <c r="V449" i="1"/>
  <c r="W449" i="1" s="1"/>
  <c r="V456" i="1"/>
  <c r="W456" i="1" s="1"/>
  <c r="V467" i="1"/>
  <c r="W467" i="1" s="1"/>
  <c r="V438" i="1"/>
  <c r="W438" i="1" s="1"/>
  <c r="V473" i="1"/>
  <c r="W473" i="1" s="1"/>
  <c r="V499" i="1"/>
  <c r="W499" i="1" s="1"/>
  <c r="V474" i="1"/>
  <c r="W474" i="1" s="1"/>
  <c r="V479" i="1"/>
  <c r="W479" i="1" s="1"/>
  <c r="V105" i="1"/>
  <c r="W105" i="1" s="1"/>
  <c r="V469" i="1"/>
  <c r="W469" i="1" s="1"/>
  <c r="V502" i="1"/>
  <c r="W502" i="1" s="1"/>
  <c r="V476" i="1"/>
  <c r="W476" i="1" s="1"/>
  <c r="V511" i="1"/>
  <c r="W511" i="1" s="1"/>
  <c r="V584" i="1"/>
  <c r="W584" i="1" s="1"/>
  <c r="V495" i="1"/>
  <c r="W495" i="1" s="1"/>
  <c r="V480" i="1"/>
  <c r="W480" i="1" s="1"/>
  <c r="V482" i="1"/>
  <c r="W482" i="1" s="1"/>
  <c r="V484" i="1"/>
  <c r="W484" i="1" s="1"/>
  <c r="V506" i="1"/>
  <c r="W506" i="1" s="1"/>
  <c r="V466" i="1"/>
  <c r="W466" i="1" s="1"/>
  <c r="V487" i="1"/>
  <c r="W487" i="1" s="1"/>
  <c r="V488" i="1"/>
  <c r="W488" i="1" s="1"/>
  <c r="V491" i="1"/>
  <c r="W491" i="1" s="1"/>
  <c r="V104" i="1"/>
  <c r="W104" i="1" s="1"/>
  <c r="V214" i="1"/>
  <c r="W214" i="1" s="1"/>
  <c r="V554" i="1"/>
  <c r="W554" i="1" s="1"/>
  <c r="V508" i="1"/>
  <c r="W508" i="1" s="1"/>
  <c r="V510" i="1"/>
  <c r="W510" i="1" s="1"/>
  <c r="V512" i="1"/>
  <c r="W512" i="1" s="1"/>
  <c r="V514" i="1"/>
  <c r="W514" i="1" s="1"/>
  <c r="V525" i="1"/>
  <c r="W525" i="1" s="1"/>
  <c r="V515" i="1"/>
  <c r="W515" i="1" s="1"/>
  <c r="V517" i="1"/>
  <c r="W517" i="1" s="1"/>
  <c r="V522" i="1"/>
  <c r="W522" i="1" s="1"/>
  <c r="V106" i="1"/>
  <c r="W106" i="1" s="1"/>
  <c r="V529" i="1"/>
  <c r="W529" i="1" s="1"/>
  <c r="V518" i="1"/>
  <c r="W518" i="1" s="1"/>
  <c r="V535" i="1"/>
  <c r="W535" i="1" s="1"/>
  <c r="V523" i="1"/>
  <c r="W523" i="1" s="1"/>
  <c r="V532" i="1"/>
  <c r="W532" i="1" s="1"/>
  <c r="V538" i="1"/>
  <c r="W538" i="1" s="1"/>
  <c r="V541" i="1"/>
  <c r="W541" i="1" s="1"/>
  <c r="V547" i="1"/>
  <c r="W547" i="1" s="1"/>
  <c r="V542" i="1"/>
  <c r="W542" i="1" s="1"/>
  <c r="V549" i="1"/>
  <c r="W549" i="1" s="1"/>
  <c r="V556" i="1"/>
  <c r="W556" i="1" s="1"/>
  <c r="V558" i="1"/>
  <c r="W558" i="1" s="1"/>
  <c r="V544" i="1"/>
  <c r="W544" i="1" s="1"/>
  <c r="V548" i="1"/>
  <c r="W548" i="1" s="1"/>
  <c r="V551" i="1"/>
  <c r="W551" i="1" s="1"/>
  <c r="V599" i="1"/>
  <c r="W599" i="1" s="1"/>
  <c r="V559" i="1"/>
  <c r="W559" i="1" s="1"/>
  <c r="V561" i="1"/>
  <c r="W561" i="1" s="1"/>
  <c r="V623" i="1"/>
  <c r="W623" i="1" s="1"/>
  <c r="V564" i="1"/>
  <c r="W564" i="1" s="1"/>
  <c r="V601" i="1"/>
  <c r="W601" i="1" s="1"/>
  <c r="V625" i="1"/>
  <c r="W625" i="1" s="1"/>
  <c r="V622" i="1"/>
  <c r="W622" i="1" s="1"/>
  <c r="V600" i="1"/>
  <c r="W600" i="1" s="1"/>
  <c r="V610" i="1"/>
  <c r="W610" i="1" s="1"/>
  <c r="V609" i="1"/>
  <c r="W609" i="1" s="1"/>
  <c r="V614" i="1"/>
  <c r="W614" i="1" s="1"/>
  <c r="V577" i="1"/>
  <c r="W577" i="1" s="1"/>
  <c r="V589" i="1"/>
  <c r="W589" i="1" s="1"/>
  <c r="V468" i="1"/>
  <c r="W468" i="1" s="1"/>
  <c r="V594" i="1"/>
  <c r="W594" i="1" s="1"/>
  <c r="V595" i="1"/>
  <c r="W595" i="1" s="1"/>
  <c r="V585" i="1"/>
  <c r="W585" i="1" s="1"/>
  <c r="V108" i="1"/>
  <c r="W108" i="1" s="1"/>
  <c r="V597" i="1"/>
  <c r="W597" i="1" s="1"/>
  <c r="V638" i="1"/>
  <c r="W638" i="1" s="1"/>
  <c r="V603" i="1"/>
  <c r="W603" i="1" s="1"/>
  <c r="V580" i="1"/>
  <c r="W580" i="1" s="1"/>
  <c r="V590" i="1"/>
  <c r="W590" i="1" s="1"/>
  <c r="V637" i="1"/>
  <c r="W637" i="1" s="1"/>
  <c r="V616" i="1"/>
  <c r="W616" i="1" s="1"/>
  <c r="V596" i="1"/>
  <c r="W596" i="1" s="1"/>
  <c r="V617" i="1"/>
  <c r="W617" i="1" s="1"/>
  <c r="V581" i="1"/>
  <c r="W581" i="1" s="1"/>
  <c r="V583" i="1"/>
  <c r="W583" i="1" s="1"/>
  <c r="V587" i="1"/>
  <c r="W587" i="1" s="1"/>
  <c r="V631" i="1"/>
  <c r="W631" i="1" s="1"/>
  <c r="V621" i="1"/>
  <c r="W621" i="1" s="1"/>
  <c r="V624" i="1"/>
  <c r="W624" i="1" s="1"/>
  <c r="V630" i="1"/>
  <c r="W630" i="1" s="1"/>
  <c r="V639" i="1"/>
  <c r="W639" i="1" s="1"/>
  <c r="V490" i="1"/>
  <c r="W490" i="1" s="1"/>
  <c r="V642" i="1"/>
  <c r="W642" i="1" s="1"/>
  <c r="V650" i="1"/>
  <c r="W650" i="1" s="1"/>
  <c r="V221" i="1"/>
  <c r="W221" i="1" s="1"/>
  <c r="V652" i="1"/>
  <c r="W652" i="1" s="1"/>
  <c r="V109" i="1"/>
  <c r="W109" i="1" s="1"/>
  <c r="V664" i="1"/>
  <c r="W664" i="1" s="1"/>
  <c r="V670" i="1"/>
  <c r="W670" i="1" s="1"/>
  <c r="V661" i="1"/>
  <c r="W661" i="1" s="1"/>
  <c r="V654" i="1"/>
  <c r="W654" i="1" s="1"/>
  <c r="V645" i="1"/>
  <c r="W645" i="1" s="1"/>
  <c r="V641" i="1"/>
  <c r="W641" i="1" s="1"/>
  <c r="V462" i="1"/>
  <c r="W462" i="1" s="1"/>
  <c r="V669" i="1"/>
  <c r="W669" i="1" s="1"/>
  <c r="V655" i="1"/>
  <c r="W655" i="1" s="1"/>
  <c r="V668" i="1"/>
  <c r="W668" i="1" s="1"/>
  <c r="V651" i="1"/>
  <c r="W651" i="1" s="1"/>
  <c r="V683" i="1"/>
  <c r="W683" i="1" s="1"/>
  <c r="V712" i="1"/>
  <c r="W712" i="1" s="1"/>
  <c r="V675" i="1"/>
  <c r="W675" i="1" s="1"/>
  <c r="V674" i="1"/>
  <c r="W674" i="1" s="1"/>
  <c r="V678" i="1"/>
  <c r="W678" i="1" s="1"/>
  <c r="V680" i="1"/>
  <c r="W680" i="1" s="1"/>
  <c r="V738" i="1"/>
  <c r="W738" i="1" s="1"/>
  <c r="V694" i="1"/>
  <c r="W694" i="1" s="1"/>
  <c r="V706" i="1"/>
  <c r="W706" i="1" s="1"/>
  <c r="V687" i="1"/>
  <c r="W687" i="1" s="1"/>
  <c r="V691" i="1"/>
  <c r="W691" i="1" s="1"/>
  <c r="V724" i="1"/>
  <c r="W724" i="1" s="1"/>
  <c r="V698" i="1"/>
  <c r="W698" i="1" s="1"/>
  <c r="V69" i="1"/>
  <c r="W69" i="1" s="1"/>
  <c r="V701" i="1"/>
  <c r="W701" i="1" s="1"/>
  <c r="V711" i="1"/>
  <c r="W711" i="1" s="1"/>
  <c r="V709" i="1"/>
  <c r="W709" i="1" s="1"/>
  <c r="V705" i="1"/>
  <c r="W705" i="1" s="1"/>
  <c r="V726" i="1"/>
  <c r="W726" i="1" s="1"/>
  <c r="V723" i="1"/>
  <c r="W723" i="1" s="1"/>
  <c r="V728" i="1"/>
  <c r="W728" i="1" s="1"/>
  <c r="V727" i="1"/>
  <c r="W727" i="1" s="1"/>
  <c r="V689" i="1"/>
  <c r="W689" i="1" s="1"/>
  <c r="V696" i="1"/>
  <c r="W696" i="1" s="1"/>
  <c r="V685" i="1"/>
  <c r="W685" i="1" s="1"/>
  <c r="V734" i="1"/>
  <c r="W734" i="1" s="1"/>
  <c r="V714" i="1"/>
  <c r="W714" i="1" s="1"/>
  <c r="V716" i="1"/>
  <c r="W716" i="1" s="1"/>
  <c r="V715" i="1"/>
  <c r="W715" i="1" s="1"/>
  <c r="V679" i="1"/>
  <c r="W679" i="1" s="1"/>
  <c r="V102" i="1"/>
  <c r="W102" i="1" s="1"/>
  <c r="V739" i="1"/>
  <c r="W739" i="1" s="1"/>
  <c r="V693" i="1"/>
  <c r="W693" i="1" s="1"/>
  <c r="V707" i="1"/>
  <c r="W707" i="1" s="1"/>
  <c r="V697" i="1"/>
  <c r="W697" i="1" s="1"/>
  <c r="W170" i="1"/>
  <c r="W200" i="1"/>
  <c r="W157" i="1"/>
  <c r="W195" i="1"/>
  <c r="W220" i="1"/>
  <c r="W99" i="1"/>
  <c r="W290" i="1"/>
  <c r="A184" i="1"/>
  <c r="B184" i="1"/>
  <c r="C184" i="1"/>
  <c r="A588" i="1" l="1"/>
  <c r="A219" i="1" l="1"/>
  <c r="A5" i="1" l="1"/>
  <c r="B5" i="1"/>
  <c r="A733" i="1" l="1"/>
  <c r="B733" i="1"/>
  <c r="C733" i="1"/>
  <c r="A697" i="1"/>
  <c r="B697" i="1"/>
  <c r="C697" i="1"/>
  <c r="A741" i="1"/>
  <c r="B741" i="1"/>
  <c r="C741" i="1"/>
  <c r="A707" i="1"/>
  <c r="B707" i="1"/>
  <c r="C707" i="1"/>
  <c r="A740" i="1"/>
  <c r="B740" i="1"/>
  <c r="C740" i="1"/>
  <c r="A693" i="1"/>
  <c r="B693" i="1"/>
  <c r="C693" i="1"/>
  <c r="A742" i="1"/>
  <c r="B742" i="1"/>
  <c r="C742" i="1"/>
  <c r="A739" i="1"/>
  <c r="B739" i="1"/>
  <c r="C739" i="1"/>
  <c r="A731" i="1"/>
  <c r="B731" i="1"/>
  <c r="C731" i="1"/>
  <c r="A102" i="1"/>
  <c r="B102" i="1"/>
  <c r="C102" i="1"/>
  <c r="A692" i="1"/>
  <c r="B692" i="1"/>
  <c r="C692" i="1"/>
  <c r="A679" i="1"/>
  <c r="B679" i="1"/>
  <c r="C679" i="1"/>
  <c r="A717" i="1"/>
  <c r="B717" i="1"/>
  <c r="C717" i="1"/>
  <c r="A715" i="1"/>
  <c r="B715" i="1"/>
  <c r="C715" i="1"/>
  <c r="A732" i="1"/>
  <c r="B732" i="1"/>
  <c r="C732" i="1"/>
  <c r="A716" i="1"/>
  <c r="B716" i="1"/>
  <c r="C716" i="1"/>
  <c r="A112" i="1"/>
  <c r="B112" i="1"/>
  <c r="C112" i="1"/>
  <c r="A714" i="1"/>
  <c r="B714" i="1"/>
  <c r="C714" i="1"/>
  <c r="A315" i="1"/>
  <c r="B315" i="1"/>
  <c r="C315" i="1"/>
  <c r="A734" i="1"/>
  <c r="B734" i="1"/>
  <c r="C734" i="1"/>
  <c r="A500" i="1"/>
  <c r="B500" i="1"/>
  <c r="C500" i="1"/>
  <c r="A685" i="1"/>
  <c r="B685" i="1"/>
  <c r="C685" i="1"/>
  <c r="A700" i="1"/>
  <c r="B700" i="1"/>
  <c r="C700" i="1"/>
  <c r="A696" i="1"/>
  <c r="B696" i="1"/>
  <c r="C696" i="1"/>
  <c r="A686" i="1"/>
  <c r="B686" i="1"/>
  <c r="C686" i="1"/>
  <c r="A689" i="1"/>
  <c r="B689" i="1"/>
  <c r="C689" i="1"/>
  <c r="A730" i="1"/>
  <c r="B730" i="1"/>
  <c r="C730" i="1"/>
  <c r="A727" i="1"/>
  <c r="B727" i="1"/>
  <c r="C727" i="1"/>
  <c r="A722" i="1"/>
  <c r="B722" i="1"/>
  <c r="C722" i="1"/>
  <c r="A728" i="1"/>
  <c r="B728" i="1"/>
  <c r="C728" i="1"/>
  <c r="A111" i="1"/>
  <c r="B111" i="1"/>
  <c r="C111" i="1"/>
  <c r="A723" i="1"/>
  <c r="B723" i="1"/>
  <c r="C723" i="1"/>
  <c r="A720" i="1"/>
  <c r="B720" i="1"/>
  <c r="C720" i="1"/>
  <c r="A726" i="1"/>
  <c r="B726" i="1"/>
  <c r="C726" i="1"/>
  <c r="A695" i="1"/>
  <c r="B695" i="1"/>
  <c r="C695" i="1"/>
  <c r="A705" i="1"/>
  <c r="B705" i="1"/>
  <c r="C705" i="1"/>
  <c r="A713" i="1"/>
  <c r="B713" i="1"/>
  <c r="C713" i="1"/>
  <c r="A709" i="1"/>
  <c r="B709" i="1"/>
  <c r="C709" i="1"/>
  <c r="A708" i="1"/>
  <c r="B708" i="1"/>
  <c r="C708" i="1"/>
  <c r="A711" i="1"/>
  <c r="B711" i="1"/>
  <c r="C711" i="1"/>
  <c r="A702" i="1"/>
  <c r="B702" i="1"/>
  <c r="C702" i="1"/>
  <c r="A701" i="1"/>
  <c r="B701" i="1"/>
  <c r="C701" i="1"/>
  <c r="A470" i="1"/>
  <c r="B470" i="1"/>
  <c r="C470" i="1"/>
  <c r="A69" i="1"/>
  <c r="B69" i="1"/>
  <c r="C69" i="1"/>
  <c r="A704" i="1"/>
  <c r="B704" i="1"/>
  <c r="C704" i="1"/>
  <c r="A698" i="1"/>
  <c r="B698" i="1"/>
  <c r="C698" i="1"/>
  <c r="A699" i="1"/>
  <c r="B699" i="1"/>
  <c r="C699" i="1"/>
  <c r="A724" i="1"/>
  <c r="B724" i="1"/>
  <c r="C724" i="1"/>
  <c r="A725" i="1"/>
  <c r="B725" i="1"/>
  <c r="C725" i="1"/>
  <c r="A691" i="1"/>
  <c r="B691" i="1"/>
  <c r="C691" i="1"/>
  <c r="A690" i="1"/>
  <c r="B690" i="1"/>
  <c r="C690" i="1"/>
  <c r="A687" i="1"/>
  <c r="B687" i="1"/>
  <c r="C687" i="1"/>
  <c r="A688" i="1"/>
  <c r="B688" i="1"/>
  <c r="C688" i="1"/>
  <c r="A706" i="1"/>
  <c r="B706" i="1"/>
  <c r="C706" i="1"/>
  <c r="A682" i="1"/>
  <c r="B682" i="1"/>
  <c r="C682" i="1"/>
  <c r="A694" i="1"/>
  <c r="B694" i="1"/>
  <c r="C694" i="1"/>
  <c r="A681" i="1"/>
  <c r="B681" i="1"/>
  <c r="C681" i="1"/>
  <c r="A738" i="1"/>
  <c r="B738" i="1"/>
  <c r="C738" i="1"/>
  <c r="A684" i="1"/>
  <c r="B684" i="1"/>
  <c r="C684" i="1"/>
  <c r="A680" i="1"/>
  <c r="B680" i="1"/>
  <c r="C680" i="1"/>
  <c r="A673" i="1"/>
  <c r="B673" i="1"/>
  <c r="C673" i="1"/>
  <c r="A678" i="1"/>
  <c r="B678" i="1"/>
  <c r="C678" i="1"/>
  <c r="A648" i="1"/>
  <c r="B648" i="1"/>
  <c r="C648" i="1"/>
  <c r="A674" i="1"/>
  <c r="B674" i="1"/>
  <c r="C674" i="1"/>
  <c r="A672" i="1"/>
  <c r="B672" i="1"/>
  <c r="C672" i="1"/>
  <c r="A675" i="1"/>
  <c r="B675" i="1"/>
  <c r="C675" i="1"/>
  <c r="A710" i="1"/>
  <c r="B710" i="1"/>
  <c r="C710" i="1"/>
  <c r="A712" i="1"/>
  <c r="B712" i="1"/>
  <c r="C712" i="1"/>
  <c r="A671" i="1"/>
  <c r="B671" i="1"/>
  <c r="C671" i="1"/>
  <c r="A683" i="1"/>
  <c r="B683" i="1"/>
  <c r="C683" i="1"/>
  <c r="A667" i="1"/>
  <c r="B667" i="1"/>
  <c r="C667" i="1"/>
  <c r="A651" i="1"/>
  <c r="B651" i="1"/>
  <c r="C651" i="1"/>
  <c r="A646" i="1"/>
  <c r="B646" i="1"/>
  <c r="C646" i="1"/>
  <c r="A668" i="1"/>
  <c r="B668" i="1"/>
  <c r="C668" i="1"/>
  <c r="A657" i="1"/>
  <c r="B657" i="1"/>
  <c r="C657" i="1"/>
  <c r="A655" i="1"/>
  <c r="B655" i="1"/>
  <c r="C655" i="1"/>
  <c r="A640" i="1"/>
  <c r="B640" i="1"/>
  <c r="C640" i="1"/>
  <c r="A669" i="1"/>
  <c r="B669" i="1"/>
  <c r="C669" i="1"/>
  <c r="A656" i="1"/>
  <c r="B656" i="1"/>
  <c r="C656" i="1"/>
  <c r="A462" i="1"/>
  <c r="B462" i="1"/>
  <c r="C462" i="1"/>
  <c r="A644" i="1"/>
  <c r="B644" i="1"/>
  <c r="C644" i="1"/>
  <c r="A641" i="1"/>
  <c r="B641" i="1"/>
  <c r="C641" i="1"/>
  <c r="A658" i="1"/>
  <c r="B658" i="1"/>
  <c r="C658" i="1"/>
  <c r="A645" i="1"/>
  <c r="B645" i="1"/>
  <c r="C645" i="1"/>
  <c r="A110" i="1"/>
  <c r="B110" i="1"/>
  <c r="C110" i="1"/>
  <c r="A654" i="1"/>
  <c r="B654" i="1"/>
  <c r="C654" i="1"/>
  <c r="A662" i="1"/>
  <c r="B662" i="1"/>
  <c r="C662" i="1"/>
  <c r="A661" i="1"/>
  <c r="B661" i="1"/>
  <c r="C661" i="1"/>
  <c r="A653" i="1"/>
  <c r="B653" i="1"/>
  <c r="C653" i="1"/>
  <c r="A670" i="1"/>
  <c r="B670" i="1"/>
  <c r="C670" i="1"/>
  <c r="A663" i="1"/>
  <c r="B663" i="1"/>
  <c r="C663" i="1"/>
  <c r="A664" i="1"/>
  <c r="B664" i="1"/>
  <c r="C664" i="1"/>
  <c r="A649" i="1"/>
  <c r="B649" i="1"/>
  <c r="C649" i="1"/>
  <c r="A109" i="1"/>
  <c r="B109" i="1"/>
  <c r="C109" i="1"/>
  <c r="A665" i="1"/>
  <c r="B665" i="1"/>
  <c r="C665" i="1"/>
  <c r="A652" i="1"/>
  <c r="B652" i="1"/>
  <c r="C652" i="1"/>
  <c r="A666" i="1"/>
  <c r="B666" i="1"/>
  <c r="C666" i="1"/>
  <c r="A221" i="1"/>
  <c r="B221" i="1"/>
  <c r="C221" i="1"/>
  <c r="A647" i="1"/>
  <c r="B647" i="1"/>
  <c r="C647" i="1"/>
  <c r="A650" i="1"/>
  <c r="B650" i="1"/>
  <c r="C650" i="1"/>
  <c r="A643" i="1"/>
  <c r="B643" i="1"/>
  <c r="C643" i="1"/>
  <c r="A642" i="1"/>
  <c r="B642" i="1"/>
  <c r="C642" i="1"/>
  <c r="A164" i="1"/>
  <c r="B164" i="1"/>
  <c r="C164" i="1"/>
  <c r="A490" i="1"/>
  <c r="B490" i="1"/>
  <c r="C490" i="1"/>
  <c r="A659" i="1"/>
  <c r="B659" i="1"/>
  <c r="C659" i="1"/>
  <c r="A639" i="1"/>
  <c r="B639" i="1"/>
  <c r="C639" i="1"/>
  <c r="A636" i="1"/>
  <c r="B636" i="1"/>
  <c r="C636" i="1"/>
  <c r="A630" i="1"/>
  <c r="B630" i="1"/>
  <c r="C630" i="1"/>
  <c r="A634" i="1"/>
  <c r="B634" i="1"/>
  <c r="C634" i="1"/>
  <c r="A624" i="1"/>
  <c r="B624" i="1"/>
  <c r="C624" i="1"/>
  <c r="A620" i="1"/>
  <c r="B620" i="1"/>
  <c r="C620" i="1"/>
  <c r="A621" i="1"/>
  <c r="B621" i="1"/>
  <c r="C621" i="1"/>
  <c r="A619" i="1"/>
  <c r="B619" i="1"/>
  <c r="C619" i="1"/>
  <c r="A631" i="1"/>
  <c r="B631" i="1"/>
  <c r="C631" i="1"/>
  <c r="A605" i="1"/>
  <c r="B605" i="1"/>
  <c r="C605" i="1"/>
  <c r="A587" i="1"/>
  <c r="B587" i="1"/>
  <c r="C587" i="1"/>
  <c r="A618" i="1"/>
  <c r="B618" i="1"/>
  <c r="C618" i="1"/>
  <c r="A583" i="1"/>
  <c r="B583" i="1"/>
  <c r="C583" i="1"/>
  <c r="A635" i="1"/>
  <c r="B635" i="1"/>
  <c r="C635" i="1"/>
  <c r="A581" i="1"/>
  <c r="B581" i="1"/>
  <c r="C581" i="1"/>
  <c r="A626" i="1"/>
  <c r="B626" i="1"/>
  <c r="C626" i="1"/>
  <c r="A617" i="1"/>
  <c r="B617" i="1"/>
  <c r="C617" i="1"/>
  <c r="A567" i="1"/>
  <c r="B567" i="1"/>
  <c r="C567" i="1"/>
  <c r="A596" i="1"/>
  <c r="B596" i="1"/>
  <c r="C596" i="1"/>
  <c r="A591" i="1"/>
  <c r="B591" i="1"/>
  <c r="C591" i="1"/>
  <c r="A616" i="1"/>
  <c r="B616" i="1"/>
  <c r="C616" i="1"/>
  <c r="A615" i="1"/>
  <c r="B615" i="1"/>
  <c r="C615" i="1"/>
  <c r="A637" i="1"/>
  <c r="B637" i="1"/>
  <c r="C637" i="1"/>
  <c r="A562" i="1"/>
  <c r="B562" i="1"/>
  <c r="C562" i="1"/>
  <c r="A590" i="1"/>
  <c r="B590" i="1"/>
  <c r="C590" i="1"/>
  <c r="A598" i="1"/>
  <c r="B598" i="1"/>
  <c r="C598" i="1"/>
  <c r="A580" i="1"/>
  <c r="B580" i="1"/>
  <c r="C580" i="1"/>
  <c r="A604" i="1"/>
  <c r="B604" i="1"/>
  <c r="C604" i="1"/>
  <c r="A603" i="1"/>
  <c r="B603" i="1"/>
  <c r="C603" i="1"/>
  <c r="A611" i="1"/>
  <c r="B611" i="1"/>
  <c r="C611" i="1"/>
  <c r="A638" i="1"/>
  <c r="B638" i="1"/>
  <c r="C638" i="1"/>
  <c r="A602" i="1"/>
  <c r="B602" i="1"/>
  <c r="C602" i="1"/>
  <c r="A597" i="1"/>
  <c r="B597" i="1"/>
  <c r="C597" i="1"/>
  <c r="B588" i="1"/>
  <c r="C588" i="1"/>
  <c r="A108" i="1"/>
  <c r="B108" i="1"/>
  <c r="C108" i="1"/>
  <c r="A628" i="1"/>
  <c r="B628" i="1"/>
  <c r="C628" i="1"/>
  <c r="A585" i="1"/>
  <c r="B585" i="1"/>
  <c r="C585" i="1"/>
  <c r="A586" i="1"/>
  <c r="B586" i="1"/>
  <c r="C586" i="1"/>
  <c r="A595" i="1"/>
  <c r="B595" i="1"/>
  <c r="C595" i="1"/>
  <c r="A560" i="1"/>
  <c r="B560" i="1"/>
  <c r="C560" i="1"/>
  <c r="A594" i="1"/>
  <c r="B594" i="1"/>
  <c r="C594" i="1"/>
  <c r="A593" i="1"/>
  <c r="B593" i="1"/>
  <c r="C593" i="1"/>
  <c r="A468" i="1"/>
  <c r="B468" i="1"/>
  <c r="C468" i="1"/>
  <c r="A592" i="1"/>
  <c r="B592" i="1"/>
  <c r="C592" i="1"/>
  <c r="A589" i="1"/>
  <c r="B589" i="1"/>
  <c r="C589" i="1"/>
  <c r="A606" i="1"/>
  <c r="B606" i="1"/>
  <c r="C606" i="1"/>
  <c r="A577" i="1"/>
  <c r="B577" i="1"/>
  <c r="C577" i="1"/>
  <c r="A570" i="1"/>
  <c r="B570" i="1"/>
  <c r="C570" i="1"/>
  <c r="A614" i="1"/>
  <c r="B614" i="1"/>
  <c r="C614" i="1"/>
  <c r="A608" i="1"/>
  <c r="B608" i="1"/>
  <c r="C608" i="1"/>
  <c r="A609" i="1"/>
  <c r="B609" i="1"/>
  <c r="C609" i="1"/>
  <c r="A629" i="1"/>
  <c r="B629" i="1"/>
  <c r="C629" i="1"/>
  <c r="A610" i="1"/>
  <c r="B610" i="1"/>
  <c r="C610" i="1"/>
  <c r="A568" i="1"/>
  <c r="B568" i="1"/>
  <c r="C568" i="1"/>
  <c r="A600" i="1"/>
  <c r="B600" i="1"/>
  <c r="C600" i="1"/>
  <c r="A566" i="1"/>
  <c r="B566" i="1"/>
  <c r="C566" i="1"/>
  <c r="A622" i="1"/>
  <c r="B622" i="1"/>
  <c r="C622" i="1"/>
  <c r="A578" i="1"/>
  <c r="B578" i="1"/>
  <c r="C578" i="1"/>
  <c r="A625" i="1"/>
  <c r="B625" i="1"/>
  <c r="C625" i="1"/>
  <c r="A565" i="1"/>
  <c r="B565" i="1"/>
  <c r="C565" i="1"/>
  <c r="A601" i="1"/>
  <c r="B601" i="1"/>
  <c r="C601" i="1"/>
  <c r="A579" i="1"/>
  <c r="B579" i="1"/>
  <c r="C579" i="1"/>
  <c r="A564" i="1"/>
  <c r="B564" i="1"/>
  <c r="C564" i="1"/>
  <c r="A569" i="1"/>
  <c r="B569" i="1"/>
  <c r="C569" i="1"/>
  <c r="B623" i="1"/>
  <c r="C623" i="1"/>
  <c r="A563" i="1"/>
  <c r="B563" i="1"/>
  <c r="C563" i="1"/>
  <c r="A561" i="1"/>
  <c r="B561" i="1"/>
  <c r="C561" i="1"/>
  <c r="A607" i="1"/>
  <c r="B607" i="1"/>
  <c r="C607" i="1"/>
  <c r="A559" i="1"/>
  <c r="B559" i="1"/>
  <c r="C559" i="1"/>
  <c r="A633" i="1"/>
  <c r="B633" i="1"/>
  <c r="C633" i="1"/>
  <c r="A599" i="1"/>
  <c r="B599" i="1"/>
  <c r="C599" i="1"/>
  <c r="A546" i="1"/>
  <c r="B546" i="1"/>
  <c r="C546" i="1"/>
  <c r="A551" i="1"/>
  <c r="B551" i="1"/>
  <c r="C551" i="1"/>
  <c r="A550" i="1"/>
  <c r="B550" i="1"/>
  <c r="C550" i="1"/>
  <c r="A548" i="1"/>
  <c r="B548" i="1"/>
  <c r="C548" i="1"/>
  <c r="A545" i="1"/>
  <c r="B545" i="1"/>
  <c r="C545" i="1"/>
  <c r="A544" i="1"/>
  <c r="B544" i="1"/>
  <c r="C544" i="1"/>
  <c r="A204" i="1"/>
  <c r="B204" i="1"/>
  <c r="C204" i="1"/>
  <c r="A558" i="1"/>
  <c r="B558" i="1"/>
  <c r="C558" i="1"/>
  <c r="A557" i="1"/>
  <c r="B557" i="1"/>
  <c r="C557" i="1"/>
  <c r="A556" i="1"/>
  <c r="B556" i="1"/>
  <c r="C556" i="1"/>
  <c r="A553" i="1"/>
  <c r="B553" i="1"/>
  <c r="C553" i="1"/>
  <c r="A549" i="1"/>
  <c r="B549" i="1"/>
  <c r="C549" i="1"/>
  <c r="A552" i="1"/>
  <c r="B552" i="1"/>
  <c r="C552" i="1"/>
  <c r="A542" i="1"/>
  <c r="B542" i="1"/>
  <c r="C542" i="1"/>
  <c r="A718" i="1"/>
  <c r="B718" i="1"/>
  <c r="C718" i="1"/>
  <c r="A547" i="1"/>
  <c r="B547" i="1"/>
  <c r="C547" i="1"/>
  <c r="A539" i="1"/>
  <c r="B539" i="1"/>
  <c r="C539" i="1"/>
  <c r="A541" i="1"/>
  <c r="B541" i="1"/>
  <c r="C541" i="1"/>
  <c r="A540" i="1"/>
  <c r="B540" i="1"/>
  <c r="C540" i="1"/>
  <c r="A538" i="1"/>
  <c r="B538" i="1"/>
  <c r="C538" i="1"/>
  <c r="A524" i="1"/>
  <c r="B524" i="1"/>
  <c r="C524" i="1"/>
  <c r="A532" i="1"/>
  <c r="B532" i="1"/>
  <c r="C532" i="1"/>
  <c r="A576" i="1"/>
  <c r="B576" i="1"/>
  <c r="C576" i="1"/>
  <c r="A523" i="1"/>
  <c r="B523" i="1"/>
  <c r="C523" i="1"/>
  <c r="A537" i="1"/>
  <c r="B537" i="1"/>
  <c r="C537" i="1"/>
  <c r="A535" i="1"/>
  <c r="B535" i="1"/>
  <c r="C535" i="1"/>
  <c r="A531" i="1"/>
  <c r="B531" i="1"/>
  <c r="C531" i="1"/>
  <c r="A518" i="1"/>
  <c r="B518" i="1"/>
  <c r="C518" i="1"/>
  <c r="A534" i="1"/>
  <c r="B534" i="1"/>
  <c r="C534" i="1"/>
  <c r="A529" i="1"/>
  <c r="B529" i="1"/>
  <c r="C529" i="1"/>
  <c r="A528" i="1"/>
  <c r="B528" i="1"/>
  <c r="C528" i="1"/>
  <c r="A106" i="1"/>
  <c r="B106" i="1"/>
  <c r="C106" i="1"/>
  <c r="A520" i="1"/>
  <c r="B520" i="1"/>
  <c r="C520" i="1"/>
  <c r="A522" i="1"/>
  <c r="B522" i="1"/>
  <c r="C522" i="1"/>
  <c r="A519" i="1"/>
  <c r="B519" i="1"/>
  <c r="C519" i="1"/>
  <c r="A517" i="1"/>
  <c r="B517" i="1"/>
  <c r="C517" i="1"/>
  <c r="A627" i="1"/>
  <c r="B627" i="1"/>
  <c r="C627" i="1"/>
  <c r="A515" i="1"/>
  <c r="B515" i="1"/>
  <c r="C515" i="1"/>
  <c r="A533" i="1"/>
  <c r="B533" i="1"/>
  <c r="C533" i="1"/>
  <c r="A525" i="1"/>
  <c r="B525" i="1"/>
  <c r="C525" i="1"/>
  <c r="A521" i="1"/>
  <c r="B521" i="1"/>
  <c r="C521" i="1"/>
  <c r="A514" i="1"/>
  <c r="B514" i="1"/>
  <c r="C514" i="1"/>
  <c r="A513" i="1"/>
  <c r="B513" i="1"/>
  <c r="C513" i="1"/>
  <c r="A512" i="1"/>
  <c r="B512" i="1"/>
  <c r="C512" i="1"/>
  <c r="A536" i="1"/>
  <c r="B536" i="1"/>
  <c r="C536" i="1"/>
  <c r="A510" i="1"/>
  <c r="B510" i="1"/>
  <c r="C510" i="1"/>
  <c r="A509" i="1"/>
  <c r="B509" i="1"/>
  <c r="C509" i="1"/>
  <c r="A508" i="1"/>
  <c r="B508" i="1"/>
  <c r="C508" i="1"/>
  <c r="A493" i="1"/>
  <c r="B493" i="1"/>
  <c r="C493" i="1"/>
  <c r="A554" i="1"/>
  <c r="B554" i="1"/>
  <c r="C554" i="1"/>
  <c r="A501" i="1"/>
  <c r="B501" i="1"/>
  <c r="C501" i="1"/>
  <c r="A214" i="1"/>
  <c r="B214" i="1"/>
  <c r="C214" i="1"/>
  <c r="A489" i="1"/>
  <c r="B489" i="1"/>
  <c r="C489" i="1"/>
  <c r="A104" i="1"/>
  <c r="B104" i="1"/>
  <c r="C104" i="1"/>
  <c r="A492" i="1"/>
  <c r="B492" i="1"/>
  <c r="C492" i="1"/>
  <c r="A491" i="1"/>
  <c r="B491" i="1"/>
  <c r="C491" i="1"/>
  <c r="A503" i="1"/>
  <c r="B503" i="1"/>
  <c r="C503" i="1"/>
  <c r="A488" i="1"/>
  <c r="B488" i="1"/>
  <c r="C488" i="1"/>
  <c r="A486" i="1"/>
  <c r="B486" i="1"/>
  <c r="C486" i="1"/>
  <c r="A487" i="1"/>
  <c r="B487" i="1"/>
  <c r="C487" i="1"/>
  <c r="A472" i="1"/>
  <c r="B472" i="1"/>
  <c r="C472" i="1"/>
  <c r="A466" i="1"/>
  <c r="B466" i="1"/>
  <c r="C466" i="1"/>
  <c r="A498" i="1"/>
  <c r="B498" i="1"/>
  <c r="C498" i="1"/>
  <c r="A506" i="1"/>
  <c r="B506" i="1"/>
  <c r="C506" i="1"/>
  <c r="A464" i="1"/>
  <c r="B464" i="1"/>
  <c r="C464" i="1"/>
  <c r="A484" i="1"/>
  <c r="B484" i="1"/>
  <c r="C484" i="1"/>
  <c r="A485" i="1"/>
  <c r="B485" i="1"/>
  <c r="C485" i="1"/>
  <c r="A482" i="1"/>
  <c r="B482" i="1"/>
  <c r="C482" i="1"/>
  <c r="A481" i="1"/>
  <c r="B481" i="1"/>
  <c r="C481" i="1"/>
  <c r="A480" i="1"/>
  <c r="B480" i="1"/>
  <c r="C480" i="1"/>
  <c r="A478" i="1"/>
  <c r="B478" i="1"/>
  <c r="C478" i="1"/>
  <c r="A495" i="1"/>
  <c r="B495" i="1"/>
  <c r="C495" i="1"/>
  <c r="A496" i="1"/>
  <c r="B496" i="1"/>
  <c r="C496" i="1"/>
  <c r="A584" i="1"/>
  <c r="B584" i="1"/>
  <c r="C584" i="1"/>
  <c r="A103" i="1"/>
  <c r="B103" i="1"/>
  <c r="C103" i="1"/>
  <c r="A511" i="1"/>
  <c r="B511" i="1"/>
  <c r="C511" i="1"/>
  <c r="A743" i="1"/>
  <c r="B743" i="1"/>
  <c r="C743" i="1"/>
  <c r="A476" i="1"/>
  <c r="B476" i="1"/>
  <c r="C476" i="1"/>
  <c r="A505" i="1"/>
  <c r="B505" i="1"/>
  <c r="C505" i="1"/>
  <c r="A502" i="1"/>
  <c r="B502" i="1"/>
  <c r="C502" i="1"/>
  <c r="A461" i="1"/>
  <c r="B461" i="1"/>
  <c r="C461" i="1"/>
  <c r="A469" i="1"/>
  <c r="B469" i="1"/>
  <c r="C469" i="1"/>
  <c r="A497" i="1"/>
  <c r="B497" i="1"/>
  <c r="C497" i="1"/>
  <c r="A105" i="1"/>
  <c r="B105" i="1"/>
  <c r="C105" i="1"/>
  <c r="A465" i="1"/>
  <c r="B465" i="1"/>
  <c r="C465" i="1"/>
  <c r="A479" i="1"/>
  <c r="B479" i="1"/>
  <c r="C479" i="1"/>
  <c r="A463" i="1"/>
  <c r="B463" i="1"/>
  <c r="C463" i="1"/>
  <c r="A474" i="1"/>
  <c r="B474" i="1"/>
  <c r="C474" i="1"/>
  <c r="A477" i="1"/>
  <c r="B477" i="1"/>
  <c r="C477" i="1"/>
  <c r="A499" i="1"/>
  <c r="B499" i="1"/>
  <c r="C499" i="1"/>
  <c r="A460" i="1"/>
  <c r="B460" i="1"/>
  <c r="C460" i="1"/>
  <c r="A473" i="1"/>
  <c r="B473" i="1"/>
  <c r="C473" i="1"/>
  <c r="A471" i="1"/>
  <c r="B471" i="1"/>
  <c r="C471" i="1"/>
  <c r="A438" i="1"/>
  <c r="B438" i="1"/>
  <c r="C438" i="1"/>
  <c r="A459" i="1"/>
  <c r="B459" i="1"/>
  <c r="C459" i="1"/>
  <c r="A467" i="1"/>
  <c r="B467" i="1"/>
  <c r="C467" i="1"/>
  <c r="A475" i="1"/>
  <c r="B475" i="1"/>
  <c r="C475" i="1"/>
  <c r="A456" i="1"/>
  <c r="B456" i="1"/>
  <c r="C456" i="1"/>
  <c r="A453" i="1"/>
  <c r="B453" i="1"/>
  <c r="C453" i="1"/>
  <c r="A449" i="1"/>
  <c r="B449" i="1"/>
  <c r="C449" i="1"/>
  <c r="A458" i="1"/>
  <c r="B458" i="1"/>
  <c r="C458" i="1"/>
  <c r="A450" i="1"/>
  <c r="B450" i="1"/>
  <c r="C450" i="1"/>
  <c r="A441" i="1"/>
  <c r="B441" i="1"/>
  <c r="C441" i="1"/>
  <c r="A457" i="1"/>
  <c r="B457" i="1"/>
  <c r="C457" i="1"/>
  <c r="A375" i="1"/>
  <c r="B375" i="1"/>
  <c r="C375" i="1"/>
  <c r="A444" i="1"/>
  <c r="B444" i="1"/>
  <c r="C444" i="1"/>
  <c r="A443" i="1"/>
  <c r="B443" i="1"/>
  <c r="C443" i="1"/>
  <c r="A447" i="1"/>
  <c r="B447" i="1"/>
  <c r="C447" i="1"/>
  <c r="A451" i="1"/>
  <c r="B451" i="1"/>
  <c r="C451" i="1"/>
  <c r="A445" i="1"/>
  <c r="B445" i="1"/>
  <c r="C445" i="1"/>
  <c r="A571" i="1"/>
  <c r="B571" i="1"/>
  <c r="C571" i="1"/>
  <c r="A455" i="1"/>
  <c r="B455" i="1"/>
  <c r="C455" i="1"/>
  <c r="A439" i="1"/>
  <c r="B439" i="1"/>
  <c r="C439" i="1"/>
  <c r="A737" i="1"/>
  <c r="B737" i="1"/>
  <c r="C737" i="1"/>
  <c r="A454" i="1"/>
  <c r="B454" i="1"/>
  <c r="C454" i="1"/>
  <c r="A101" i="1"/>
  <c r="B101" i="1"/>
  <c r="C101" i="1"/>
  <c r="A158" i="1"/>
  <c r="B158" i="1"/>
  <c r="C158" i="1"/>
  <c r="A442" i="1"/>
  <c r="B442" i="1"/>
  <c r="C442" i="1"/>
  <c r="A452" i="1"/>
  <c r="B452" i="1"/>
  <c r="C452" i="1"/>
  <c r="A446" i="1"/>
  <c r="B446" i="1"/>
  <c r="C446" i="1"/>
  <c r="A35" i="1"/>
  <c r="B35" i="1"/>
  <c r="C35" i="1"/>
  <c r="A420" i="1"/>
  <c r="B420" i="1"/>
  <c r="C420" i="1"/>
  <c r="A413" i="1"/>
  <c r="B413" i="1"/>
  <c r="C413" i="1"/>
  <c r="A100" i="1"/>
  <c r="B100" i="1"/>
  <c r="C100" i="1"/>
  <c r="A432" i="1"/>
  <c r="B432" i="1"/>
  <c r="C432" i="1"/>
  <c r="A96" i="1"/>
  <c r="B96" i="1"/>
  <c r="C96" i="1"/>
  <c r="A428" i="1"/>
  <c r="B428" i="1"/>
  <c r="C428" i="1"/>
  <c r="A426" i="1"/>
  <c r="B426" i="1"/>
  <c r="C426" i="1"/>
  <c r="A418" i="1"/>
  <c r="B418" i="1"/>
  <c r="C418" i="1"/>
  <c r="A427" i="1"/>
  <c r="B427" i="1"/>
  <c r="C427" i="1"/>
  <c r="A424" i="1"/>
  <c r="B424" i="1"/>
  <c r="C424" i="1"/>
  <c r="A422" i="1"/>
  <c r="B422" i="1"/>
  <c r="C422" i="1"/>
  <c r="A98" i="1"/>
  <c r="B98" i="1"/>
  <c r="C98" i="1"/>
  <c r="A407" i="1"/>
  <c r="B407" i="1"/>
  <c r="C407" i="1"/>
  <c r="A425" i="1"/>
  <c r="B425" i="1"/>
  <c r="C425" i="1"/>
  <c r="A430" i="1"/>
  <c r="B430" i="1"/>
  <c r="C430" i="1"/>
  <c r="A411" i="1"/>
  <c r="B411" i="1"/>
  <c r="C411" i="1"/>
  <c r="A436" i="1"/>
  <c r="B436" i="1"/>
  <c r="C436" i="1"/>
  <c r="A414" i="1"/>
  <c r="B414" i="1"/>
  <c r="C414" i="1"/>
  <c r="A421" i="1"/>
  <c r="B421" i="1"/>
  <c r="C421" i="1"/>
  <c r="A415" i="1"/>
  <c r="B415" i="1"/>
  <c r="C415" i="1"/>
  <c r="A419" i="1"/>
  <c r="B419" i="1"/>
  <c r="C419" i="1"/>
  <c r="A416" i="1"/>
  <c r="B416" i="1"/>
  <c r="C416" i="1"/>
  <c r="A417" i="1"/>
  <c r="B417" i="1"/>
  <c r="C417" i="1"/>
  <c r="A410" i="1"/>
  <c r="B410" i="1"/>
  <c r="C410" i="1"/>
  <c r="A437" i="1"/>
  <c r="B437" i="1"/>
  <c r="C437" i="1"/>
  <c r="A412" i="1"/>
  <c r="B412" i="1"/>
  <c r="C412" i="1"/>
  <c r="A97" i="1"/>
  <c r="B97" i="1"/>
  <c r="C97" i="1"/>
  <c r="A735" i="1"/>
  <c r="B735" i="1"/>
  <c r="C735" i="1"/>
  <c r="A423" i="1"/>
  <c r="B423" i="1"/>
  <c r="C423" i="1"/>
  <c r="A429" i="1"/>
  <c r="B429" i="1"/>
  <c r="C429" i="1"/>
  <c r="A409" i="1"/>
  <c r="B409" i="1"/>
  <c r="C409" i="1"/>
  <c r="A408" i="1"/>
  <c r="B408" i="1"/>
  <c r="C408" i="1"/>
  <c r="A406" i="1"/>
  <c r="B406" i="1"/>
  <c r="C406" i="1"/>
  <c r="A434" i="1"/>
  <c r="B434" i="1"/>
  <c r="C434" i="1"/>
  <c r="A435" i="1"/>
  <c r="B435" i="1"/>
  <c r="C435" i="1"/>
  <c r="A405" i="1"/>
  <c r="B405" i="1"/>
  <c r="C405" i="1"/>
  <c r="A399" i="1"/>
  <c r="B399" i="1"/>
  <c r="C399" i="1"/>
  <c r="A388" i="1"/>
  <c r="B388" i="1"/>
  <c r="C388" i="1"/>
  <c r="A389" i="1"/>
  <c r="B389" i="1"/>
  <c r="C389" i="1"/>
  <c r="A398" i="1"/>
  <c r="B398" i="1"/>
  <c r="C398" i="1"/>
  <c r="A390" i="1"/>
  <c r="B390" i="1"/>
  <c r="C390" i="1"/>
  <c r="A404" i="1"/>
  <c r="B404" i="1"/>
  <c r="C404" i="1"/>
  <c r="A403" i="1"/>
  <c r="B403" i="1"/>
  <c r="C403" i="1"/>
  <c r="A387" i="1"/>
  <c r="B387" i="1"/>
  <c r="C387" i="1"/>
  <c r="A393" i="1"/>
  <c r="B393" i="1"/>
  <c r="C393" i="1"/>
  <c r="A400" i="1"/>
  <c r="B400" i="1"/>
  <c r="C400" i="1"/>
  <c r="A395" i="1"/>
  <c r="B395" i="1"/>
  <c r="C395" i="1"/>
  <c r="A391" i="1"/>
  <c r="B391" i="1"/>
  <c r="C391" i="1"/>
  <c r="A386" i="1"/>
  <c r="B386" i="1"/>
  <c r="C386" i="1"/>
  <c r="A394" i="1"/>
  <c r="B394" i="1"/>
  <c r="C394" i="1"/>
  <c r="A95" i="1"/>
  <c r="B95" i="1"/>
  <c r="C95" i="1"/>
  <c r="A402" i="1"/>
  <c r="B402" i="1"/>
  <c r="C402" i="1"/>
  <c r="A385" i="1"/>
  <c r="B385" i="1"/>
  <c r="C385" i="1"/>
  <c r="A384" i="1"/>
  <c r="B384" i="1"/>
  <c r="C384" i="1"/>
  <c r="A401" i="1"/>
  <c r="B401" i="1"/>
  <c r="C401" i="1"/>
  <c r="A382" i="1"/>
  <c r="B382" i="1"/>
  <c r="C382" i="1"/>
  <c r="A379" i="1"/>
  <c r="B379" i="1"/>
  <c r="C379" i="1"/>
  <c r="A380" i="1"/>
  <c r="B380" i="1"/>
  <c r="C380" i="1"/>
  <c r="A383" i="1"/>
  <c r="B383" i="1"/>
  <c r="C383" i="1"/>
  <c r="A381" i="1"/>
  <c r="B381" i="1"/>
  <c r="C381" i="1"/>
  <c r="A377" i="1"/>
  <c r="B377" i="1"/>
  <c r="C377" i="1"/>
  <c r="A376" i="1"/>
  <c r="B376" i="1"/>
  <c r="C376" i="1"/>
  <c r="A356" i="1"/>
  <c r="B356" i="1"/>
  <c r="C356" i="1"/>
  <c r="A371" i="1"/>
  <c r="B371" i="1"/>
  <c r="C371" i="1"/>
  <c r="A374" i="1"/>
  <c r="B374" i="1"/>
  <c r="C374" i="1"/>
  <c r="A373" i="1"/>
  <c r="B373" i="1"/>
  <c r="C373" i="1"/>
  <c r="A370" i="1"/>
  <c r="B370" i="1"/>
  <c r="C370" i="1"/>
  <c r="A369" i="1"/>
  <c r="B369" i="1"/>
  <c r="C369" i="1"/>
  <c r="A364" i="1"/>
  <c r="B364" i="1"/>
  <c r="C364" i="1"/>
  <c r="A367" i="1"/>
  <c r="B367" i="1"/>
  <c r="C367" i="1"/>
  <c r="A366" i="1"/>
  <c r="B366" i="1"/>
  <c r="C366" i="1"/>
  <c r="A365" i="1"/>
  <c r="B365" i="1"/>
  <c r="C365" i="1"/>
  <c r="A107" i="1"/>
  <c r="B107" i="1"/>
  <c r="C107" i="1"/>
  <c r="A93" i="1"/>
  <c r="B93" i="1"/>
  <c r="C93" i="1"/>
  <c r="A368" i="1"/>
  <c r="B368" i="1"/>
  <c r="C368" i="1"/>
  <c r="A372" i="1"/>
  <c r="B372" i="1"/>
  <c r="C372" i="1"/>
  <c r="A206" i="1"/>
  <c r="B206" i="1"/>
  <c r="C206" i="1"/>
  <c r="A346" i="1"/>
  <c r="B346" i="1"/>
  <c r="C346" i="1"/>
  <c r="A357" i="1"/>
  <c r="B357" i="1"/>
  <c r="C357" i="1"/>
  <c r="A448" i="1"/>
  <c r="B448" i="1"/>
  <c r="C448" i="1"/>
  <c r="A729" i="1"/>
  <c r="B729" i="1"/>
  <c r="C729" i="1"/>
  <c r="A361" i="1"/>
  <c r="B361" i="1"/>
  <c r="C361" i="1"/>
  <c r="A354" i="1"/>
  <c r="B354" i="1"/>
  <c r="C354" i="1"/>
  <c r="A350" i="1"/>
  <c r="B350" i="1"/>
  <c r="C350" i="1"/>
  <c r="A353" i="1"/>
  <c r="B353" i="1"/>
  <c r="C353" i="1"/>
  <c r="A345" i="1"/>
  <c r="B345" i="1"/>
  <c r="C345" i="1"/>
  <c r="A363" i="1"/>
  <c r="B363" i="1"/>
  <c r="C363" i="1"/>
  <c r="A351" i="1"/>
  <c r="B351" i="1"/>
  <c r="C351" i="1"/>
  <c r="A504" i="1"/>
  <c r="B504" i="1"/>
  <c r="C504" i="1"/>
  <c r="A360" i="1"/>
  <c r="B360" i="1"/>
  <c r="C360" i="1"/>
  <c r="A530" i="1"/>
  <c r="B530" i="1"/>
  <c r="C530" i="1"/>
  <c r="A352" i="1"/>
  <c r="B352" i="1"/>
  <c r="C352" i="1"/>
  <c r="A344" i="1"/>
  <c r="B344" i="1"/>
  <c r="C344" i="1"/>
  <c r="A349" i="1"/>
  <c r="B349" i="1"/>
  <c r="C349" i="1"/>
  <c r="A347" i="1"/>
  <c r="B347" i="1"/>
  <c r="C347" i="1"/>
  <c r="A721" i="1"/>
  <c r="B721" i="1"/>
  <c r="C721" i="1"/>
  <c r="A343" i="1"/>
  <c r="B343" i="1"/>
  <c r="C343" i="1"/>
  <c r="A341" i="1"/>
  <c r="B341" i="1"/>
  <c r="C341" i="1"/>
  <c r="A342" i="1"/>
  <c r="B342" i="1"/>
  <c r="C342" i="1"/>
  <c r="A359" i="1"/>
  <c r="B359" i="1"/>
  <c r="C359" i="1"/>
  <c r="A362" i="1"/>
  <c r="B362" i="1"/>
  <c r="C362" i="1"/>
  <c r="A355" i="1"/>
  <c r="B355" i="1"/>
  <c r="C355" i="1"/>
  <c r="A358" i="1"/>
  <c r="B358" i="1"/>
  <c r="C358" i="1"/>
  <c r="A340" i="1"/>
  <c r="B340" i="1"/>
  <c r="C340" i="1"/>
  <c r="A326" i="1"/>
  <c r="B326" i="1"/>
  <c r="C326" i="1"/>
  <c r="A303" i="1"/>
  <c r="B303" i="1"/>
  <c r="C303" i="1"/>
  <c r="A336" i="1"/>
  <c r="B336" i="1"/>
  <c r="C336" i="1"/>
  <c r="A335" i="1"/>
  <c r="B335" i="1"/>
  <c r="C335" i="1"/>
  <c r="A334" i="1"/>
  <c r="B334" i="1"/>
  <c r="C334" i="1"/>
  <c r="A327" i="1"/>
  <c r="B327" i="1"/>
  <c r="C327" i="1"/>
  <c r="A322" i="1"/>
  <c r="B322" i="1"/>
  <c r="C322" i="1"/>
  <c r="A323" i="1"/>
  <c r="B323" i="1"/>
  <c r="C323" i="1"/>
  <c r="A312" i="1"/>
  <c r="B312" i="1"/>
  <c r="C312" i="1"/>
  <c r="A313" i="1"/>
  <c r="B313" i="1"/>
  <c r="C313" i="1"/>
  <c r="A320" i="1"/>
  <c r="B320" i="1"/>
  <c r="C320" i="1"/>
  <c r="A306" i="1"/>
  <c r="B306" i="1"/>
  <c r="C306" i="1"/>
  <c r="A318" i="1"/>
  <c r="B318" i="1"/>
  <c r="C318" i="1"/>
  <c r="A296" i="1"/>
  <c r="B296" i="1"/>
  <c r="C296" i="1"/>
  <c r="A310" i="1"/>
  <c r="B310" i="1"/>
  <c r="C310" i="1"/>
  <c r="A299" i="1"/>
  <c r="B299" i="1"/>
  <c r="C299" i="1"/>
  <c r="A314" i="1"/>
  <c r="B314" i="1"/>
  <c r="C314" i="1"/>
  <c r="A317" i="1"/>
  <c r="B317" i="1"/>
  <c r="C317" i="1"/>
  <c r="A348" i="1"/>
  <c r="B348" i="1"/>
  <c r="C348" i="1"/>
  <c r="A309" i="1"/>
  <c r="B309" i="1"/>
  <c r="C309" i="1"/>
  <c r="A333" i="1"/>
  <c r="B333" i="1"/>
  <c r="C333" i="1"/>
  <c r="A337" i="1"/>
  <c r="B337" i="1"/>
  <c r="C337" i="1"/>
  <c r="A308" i="1"/>
  <c r="B308" i="1"/>
  <c r="C308" i="1"/>
  <c r="A307" i="1"/>
  <c r="B307" i="1"/>
  <c r="C307" i="1"/>
  <c r="A319" i="1"/>
  <c r="B319" i="1"/>
  <c r="C319" i="1"/>
  <c r="A169" i="1"/>
  <c r="B169" i="1"/>
  <c r="C169" i="1"/>
  <c r="A332" i="1"/>
  <c r="B332" i="1"/>
  <c r="C332" i="1"/>
  <c r="A328" i="1"/>
  <c r="B328" i="1"/>
  <c r="C328" i="1"/>
  <c r="A330" i="1"/>
  <c r="B330" i="1"/>
  <c r="C330" i="1"/>
  <c r="A744" i="1"/>
  <c r="B744" i="1"/>
  <c r="C744" i="1"/>
  <c r="A338" i="1"/>
  <c r="B338" i="1"/>
  <c r="C338" i="1"/>
  <c r="A331" i="1"/>
  <c r="B331" i="1"/>
  <c r="C331" i="1"/>
  <c r="A297" i="1"/>
  <c r="B297" i="1"/>
  <c r="C297" i="1"/>
  <c r="A719" i="1"/>
  <c r="B719" i="1"/>
  <c r="C719" i="1"/>
  <c r="A300" i="1"/>
  <c r="B300" i="1"/>
  <c r="C300" i="1"/>
  <c r="A294" i="1"/>
  <c r="B294" i="1"/>
  <c r="C294" i="1"/>
  <c r="A304" i="1"/>
  <c r="B304" i="1"/>
  <c r="C304" i="1"/>
  <c r="A292" i="1"/>
  <c r="B292" i="1"/>
  <c r="C292" i="1"/>
  <c r="A316" i="1"/>
  <c r="B316" i="1"/>
  <c r="C316" i="1"/>
  <c r="A298" i="1"/>
  <c r="B298" i="1"/>
  <c r="C298" i="1"/>
  <c r="A311" i="1"/>
  <c r="B311" i="1"/>
  <c r="C311" i="1"/>
  <c r="A329" i="1"/>
  <c r="B329" i="1"/>
  <c r="C329" i="1"/>
  <c r="A295" i="1"/>
  <c r="B295" i="1"/>
  <c r="C295" i="1"/>
  <c r="A291" i="1"/>
  <c r="B291" i="1"/>
  <c r="C291" i="1"/>
  <c r="A301" i="1"/>
  <c r="B301" i="1"/>
  <c r="C301" i="1"/>
  <c r="A290" i="1"/>
  <c r="B290" i="1"/>
  <c r="C290" i="1"/>
  <c r="A302" i="1"/>
  <c r="B302" i="1"/>
  <c r="C302" i="1"/>
  <c r="A305" i="1"/>
  <c r="B305" i="1"/>
  <c r="C305" i="1"/>
  <c r="A293" i="1"/>
  <c r="B293" i="1"/>
  <c r="C293" i="1"/>
  <c r="A339" i="1"/>
  <c r="B339" i="1"/>
  <c r="C339" i="1"/>
  <c r="A324" i="1"/>
  <c r="B324" i="1"/>
  <c r="C324" i="1"/>
  <c r="A287" i="1"/>
  <c r="B287" i="1"/>
  <c r="C287" i="1"/>
  <c r="A289" i="1"/>
  <c r="B289" i="1"/>
  <c r="C289" i="1"/>
  <c r="A288" i="1"/>
  <c r="B288" i="1"/>
  <c r="C288" i="1"/>
  <c r="A282" i="1"/>
  <c r="B282" i="1"/>
  <c r="C282" i="1"/>
  <c r="A284" i="1"/>
  <c r="B284" i="1"/>
  <c r="C284" i="1"/>
  <c r="A279" i="1"/>
  <c r="B279" i="1"/>
  <c r="C279" i="1"/>
  <c r="A286" i="1"/>
  <c r="B286" i="1"/>
  <c r="C286" i="1"/>
  <c r="A285" i="1"/>
  <c r="B285" i="1"/>
  <c r="C285" i="1"/>
  <c r="A267" i="1"/>
  <c r="B267" i="1"/>
  <c r="C267" i="1"/>
  <c r="A270" i="1"/>
  <c r="B270" i="1"/>
  <c r="C270" i="1"/>
  <c r="A271" i="1"/>
  <c r="B271" i="1"/>
  <c r="C271" i="1"/>
  <c r="A274" i="1"/>
  <c r="B274" i="1"/>
  <c r="C274" i="1"/>
  <c r="A264" i="1"/>
  <c r="B264" i="1"/>
  <c r="C264" i="1"/>
  <c r="A283" i="1"/>
  <c r="B283" i="1"/>
  <c r="C283" i="1"/>
  <c r="A268" i="1"/>
  <c r="B268" i="1"/>
  <c r="C268" i="1"/>
  <c r="A265" i="1"/>
  <c r="B265" i="1"/>
  <c r="C265" i="1"/>
  <c r="A275" i="1"/>
  <c r="B275" i="1"/>
  <c r="C275" i="1"/>
  <c r="A269" i="1"/>
  <c r="B269" i="1"/>
  <c r="C269" i="1"/>
  <c r="A277" i="1"/>
  <c r="B277" i="1"/>
  <c r="C277" i="1"/>
  <c r="A281" i="1"/>
  <c r="B281" i="1"/>
  <c r="C281" i="1"/>
  <c r="A262" i="1"/>
  <c r="B262" i="1"/>
  <c r="C262" i="1"/>
  <c r="A278" i="1"/>
  <c r="B278" i="1"/>
  <c r="C278" i="1"/>
  <c r="A526" i="1"/>
  <c r="B526" i="1"/>
  <c r="C526" i="1"/>
  <c r="A263" i="1"/>
  <c r="B263" i="1"/>
  <c r="C263" i="1"/>
  <c r="A280" i="1"/>
  <c r="B280" i="1"/>
  <c r="C280" i="1"/>
  <c r="A266" i="1"/>
  <c r="B266" i="1"/>
  <c r="C266" i="1"/>
  <c r="A392" i="1"/>
  <c r="B392" i="1"/>
  <c r="C392" i="1"/>
  <c r="A276" i="1"/>
  <c r="B276" i="1"/>
  <c r="C276" i="1"/>
  <c r="A256" i="1"/>
  <c r="B256" i="1"/>
  <c r="C256" i="1"/>
  <c r="A257" i="1"/>
  <c r="B257" i="1"/>
  <c r="C257" i="1"/>
  <c r="A261" i="1"/>
  <c r="B261" i="1"/>
  <c r="C261" i="1"/>
  <c r="A259" i="1"/>
  <c r="B259" i="1"/>
  <c r="C259" i="1"/>
  <c r="A258" i="1"/>
  <c r="B258" i="1"/>
  <c r="C258" i="1"/>
  <c r="A260" i="1"/>
  <c r="B260" i="1"/>
  <c r="C260" i="1"/>
  <c r="A255" i="1"/>
  <c r="B255" i="1"/>
  <c r="C255" i="1"/>
  <c r="A273" i="1"/>
  <c r="B273" i="1"/>
  <c r="C273" i="1"/>
  <c r="A272" i="1"/>
  <c r="B272" i="1"/>
  <c r="C272" i="1"/>
  <c r="A200" i="1"/>
  <c r="B200" i="1"/>
  <c r="C200" i="1"/>
  <c r="A245" i="1"/>
  <c r="B245" i="1"/>
  <c r="C245" i="1"/>
  <c r="A241" i="1"/>
  <c r="B241" i="1"/>
  <c r="C241" i="1"/>
  <c r="A252" i="1"/>
  <c r="B252" i="1"/>
  <c r="C252" i="1"/>
  <c r="A251" i="1"/>
  <c r="B251" i="1"/>
  <c r="C251" i="1"/>
  <c r="A253" i="1"/>
  <c r="B253" i="1"/>
  <c r="C253" i="1"/>
  <c r="A248" i="1"/>
  <c r="B248" i="1"/>
  <c r="C248" i="1"/>
  <c r="A49" i="1"/>
  <c r="B49" i="1"/>
  <c r="C49" i="1"/>
  <c r="A249" i="1"/>
  <c r="B249" i="1"/>
  <c r="C249" i="1"/>
  <c r="A246" i="1"/>
  <c r="B246" i="1"/>
  <c r="C246" i="1"/>
  <c r="A250" i="1"/>
  <c r="B250" i="1"/>
  <c r="C250" i="1"/>
  <c r="A244" i="1"/>
  <c r="B244" i="1"/>
  <c r="C244" i="1"/>
  <c r="A243" i="1"/>
  <c r="B243" i="1"/>
  <c r="C243" i="1"/>
  <c r="A247" i="1"/>
  <c r="B247" i="1"/>
  <c r="C247" i="1"/>
  <c r="A242" i="1"/>
  <c r="B242" i="1"/>
  <c r="C242" i="1"/>
  <c r="A254" i="1"/>
  <c r="B254" i="1"/>
  <c r="C254" i="1"/>
  <c r="A660" i="1"/>
  <c r="B660" i="1"/>
  <c r="C660" i="1"/>
  <c r="A235" i="1"/>
  <c r="B235" i="1"/>
  <c r="C235" i="1"/>
  <c r="A212" i="1"/>
  <c r="B212" i="1"/>
  <c r="C212" i="1"/>
  <c r="A238" i="1"/>
  <c r="B238" i="1"/>
  <c r="C238" i="1"/>
  <c r="A236" i="1"/>
  <c r="B236" i="1"/>
  <c r="C236" i="1"/>
  <c r="A209" i="1"/>
  <c r="B209" i="1"/>
  <c r="C209" i="1"/>
  <c r="A232" i="1"/>
  <c r="B232" i="1"/>
  <c r="C232" i="1"/>
  <c r="A230" i="1"/>
  <c r="B230" i="1"/>
  <c r="C230" i="1"/>
  <c r="A217" i="1"/>
  <c r="B217" i="1"/>
  <c r="C217" i="1"/>
  <c r="A229" i="1"/>
  <c r="B229" i="1"/>
  <c r="C229" i="1"/>
  <c r="A215" i="1"/>
  <c r="B215" i="1"/>
  <c r="C215" i="1"/>
  <c r="A234" i="1"/>
  <c r="B234" i="1"/>
  <c r="C234" i="1"/>
  <c r="A91" i="1"/>
  <c r="B91" i="1"/>
  <c r="C91" i="1"/>
  <c r="A239" i="1"/>
  <c r="B239" i="1"/>
  <c r="C239" i="1"/>
  <c r="A223" i="1"/>
  <c r="B223" i="1"/>
  <c r="C223" i="1"/>
  <c r="A213" i="1"/>
  <c r="B213" i="1"/>
  <c r="C213" i="1"/>
  <c r="A543" i="1"/>
  <c r="B543" i="1"/>
  <c r="C543" i="1"/>
  <c r="A228" i="1"/>
  <c r="B228" i="1"/>
  <c r="C228" i="1"/>
  <c r="A225" i="1"/>
  <c r="B225" i="1"/>
  <c r="C225" i="1"/>
  <c r="A92" i="1"/>
  <c r="B92" i="1"/>
  <c r="C92" i="1"/>
  <c r="A224" i="1"/>
  <c r="B224" i="1"/>
  <c r="C224" i="1"/>
  <c r="A237" i="1"/>
  <c r="B237" i="1"/>
  <c r="C237" i="1"/>
  <c r="A226" i="1"/>
  <c r="B226" i="1"/>
  <c r="C226" i="1"/>
  <c r="A222" i="1"/>
  <c r="B222" i="1"/>
  <c r="C222" i="1"/>
  <c r="A220" i="1"/>
  <c r="B220" i="1"/>
  <c r="C220" i="1"/>
  <c r="B219" i="1"/>
  <c r="C219" i="1"/>
  <c r="A218" i="1"/>
  <c r="B218" i="1"/>
  <c r="C218" i="1"/>
  <c r="A233" i="1"/>
  <c r="B233" i="1"/>
  <c r="C233" i="1"/>
  <c r="A231" i="1"/>
  <c r="B231" i="1"/>
  <c r="C231" i="1"/>
  <c r="A321" i="1"/>
  <c r="B321" i="1"/>
  <c r="C321" i="1"/>
  <c r="A216" i="1"/>
  <c r="B216" i="1"/>
  <c r="C216" i="1"/>
  <c r="A240" i="1"/>
  <c r="B240" i="1"/>
  <c r="C240" i="1"/>
  <c r="A211" i="1"/>
  <c r="B211" i="1"/>
  <c r="C211" i="1"/>
  <c r="A210" i="1"/>
  <c r="B210" i="1"/>
  <c r="C210" i="1"/>
  <c r="A227" i="1"/>
  <c r="B227" i="1"/>
  <c r="C227" i="1"/>
  <c r="A205" i="1"/>
  <c r="B205" i="1"/>
  <c r="C205" i="1"/>
  <c r="A208" i="1"/>
  <c r="B208" i="1"/>
  <c r="C208" i="1"/>
  <c r="A207" i="1"/>
  <c r="B207" i="1"/>
  <c r="C207" i="1"/>
  <c r="A190" i="1"/>
  <c r="B190" i="1"/>
  <c r="C190" i="1"/>
  <c r="A178" i="1"/>
  <c r="B178" i="1"/>
  <c r="C178" i="1"/>
  <c r="A187" i="1"/>
  <c r="B187" i="1"/>
  <c r="C187" i="1"/>
  <c r="A193" i="1"/>
  <c r="B193" i="1"/>
  <c r="C193" i="1"/>
  <c r="A440" i="1"/>
  <c r="B440" i="1"/>
  <c r="C440" i="1"/>
  <c r="A189" i="1"/>
  <c r="B189" i="1"/>
  <c r="C189" i="1"/>
  <c r="A197" i="1"/>
  <c r="B197" i="1"/>
  <c r="C197" i="1"/>
  <c r="A196" i="1"/>
  <c r="B196" i="1"/>
  <c r="C196" i="1"/>
  <c r="A188" i="1"/>
  <c r="B188" i="1"/>
  <c r="C188" i="1"/>
  <c r="A180" i="1"/>
  <c r="B180" i="1"/>
  <c r="C180" i="1"/>
  <c r="C5" i="1"/>
  <c r="V733" i="1" l="1"/>
  <c r="V3" i="1" s="1"/>
  <c r="W733" i="1" l="1"/>
  <c r="Z3" i="1" s="1"/>
  <c r="AA3" i="1" s="1"/>
</calcChain>
</file>

<file path=xl/sharedStrings.xml><?xml version="1.0" encoding="utf-8"?>
<sst xmlns="http://schemas.openxmlformats.org/spreadsheetml/2006/main" count="7657" uniqueCount="1848">
  <si>
    <t>All CCC Companies</t>
  </si>
  <si>
    <t>Fundamental Data</t>
  </si>
  <si>
    <t>Dividend Growth Model</t>
  </si>
  <si>
    <t>Technical Data</t>
  </si>
  <si>
    <t>(and American Depository Receipts)</t>
  </si>
  <si>
    <t>Dates in Green (centered) indicate increase (by Ex-Div. Date) expected in next 2 months</t>
  </si>
  <si>
    <t>(see Notes tab)</t>
  </si>
  <si>
    <t>(based on Earnings Estimates, if available)</t>
  </si>
  <si>
    <t>Dates in Red (right-aligned) indicate last increase more than a year ago (Ex-Div Date)</t>
  </si>
  <si>
    <t>Past Performance is No Guarantee of Future Results</t>
  </si>
  <si>
    <t>MMA=Moving Market Average</t>
  </si>
  <si>
    <t>Disclaimer: Although all figures are thought to be correct, no guarantee is expressed or implied.</t>
  </si>
  <si>
    <t>5-year Total</t>
  </si>
  <si>
    <t>Current Price as % from:</t>
  </si>
  <si>
    <t>Company</t>
  </si>
  <si>
    <t>Ticker</t>
  </si>
  <si>
    <t>No.</t>
  </si>
  <si>
    <t>CCC</t>
  </si>
  <si>
    <t>DRIP Fees</t>
  </si>
  <si>
    <t>Div.</t>
  </si>
  <si>
    <t>MR%</t>
  </si>
  <si>
    <t>Qtly</t>
  </si>
  <si>
    <t>&amp;=MultiIncThisYr</t>
  </si>
  <si>
    <t>EPS%</t>
  </si>
  <si>
    <t>+/-% vs.</t>
  </si>
  <si>
    <t>TTM</t>
  </si>
  <si>
    <t>FYE</t>
  </si>
  <si>
    <t>PEG</t>
  </si>
  <si>
    <t>MRQ</t>
  </si>
  <si>
    <t>Past 5yr</t>
  </si>
  <si>
    <t>N</t>
  </si>
  <si>
    <t>MktCap</t>
  </si>
  <si>
    <t>Inside</t>
  </si>
  <si>
    <t>Debt/</t>
  </si>
  <si>
    <t>5/10</t>
  </si>
  <si>
    <t>DGR</t>
  </si>
  <si>
    <t>Tweed</t>
  </si>
  <si>
    <t>Chowder</t>
  </si>
  <si>
    <t>Estimated Dividends to be Paid in Year:</t>
  </si>
  <si>
    <t>Est. Payback</t>
  </si>
  <si>
    <t>5-yr</t>
  </si>
  <si>
    <t>52-wk</t>
  </si>
  <si>
    <t>50-day</t>
  </si>
  <si>
    <t>200-day</t>
  </si>
  <si>
    <t>Name</t>
  </si>
  <si>
    <t>Symbol</t>
  </si>
  <si>
    <t>Industry</t>
  </si>
  <si>
    <t>Yrs</t>
  </si>
  <si>
    <t>Seq</t>
  </si>
  <si>
    <t>DR</t>
  </si>
  <si>
    <t>SP</t>
  </si>
  <si>
    <t>Price</t>
  </si>
  <si>
    <t>Yield</t>
  </si>
  <si>
    <t>Inc.</t>
  </si>
  <si>
    <t>Ex-Div</t>
  </si>
  <si>
    <t>Record</t>
  </si>
  <si>
    <t>Pay</t>
  </si>
  <si>
    <t>Sch</t>
  </si>
  <si>
    <t>Dividend</t>
  </si>
  <si>
    <t>Payout</t>
  </si>
  <si>
    <t>Graham</t>
  </si>
  <si>
    <t>P/E</t>
  </si>
  <si>
    <t>Month</t>
  </si>
  <si>
    <t>EPS</t>
  </si>
  <si>
    <t>Ratio</t>
  </si>
  <si>
    <t>P/Sales</t>
  </si>
  <si>
    <t>P/Book</t>
  </si>
  <si>
    <t>ROE</t>
  </si>
  <si>
    <t>Growth</t>
  </si>
  <si>
    <t>A</t>
  </si>
  <si>
    <t>($Mil)</t>
  </si>
  <si>
    <t>Own.</t>
  </si>
  <si>
    <t>Equity</t>
  </si>
  <si>
    <t>DEG</t>
  </si>
  <si>
    <t>A/D*</t>
  </si>
  <si>
    <t>1-yr</t>
  </si>
  <si>
    <t>3-yr</t>
  </si>
  <si>
    <t>10-yr</t>
  </si>
  <si>
    <t>Sector</t>
  </si>
  <si>
    <t>Factor</t>
  </si>
  <si>
    <t>Rule</t>
  </si>
  <si>
    <t>$</t>
  </si>
  <si>
    <t>%</t>
  </si>
  <si>
    <t>Beta</t>
  </si>
  <si>
    <t>Low</t>
  </si>
  <si>
    <t>High</t>
  </si>
  <si>
    <t>MMA</t>
  </si>
  <si>
    <t>SRCE</t>
  </si>
  <si>
    <t>-</t>
  </si>
  <si>
    <t>B15</t>
  </si>
  <si>
    <t>Financials</t>
  </si>
  <si>
    <t>3M Company</t>
  </si>
  <si>
    <t>MMM</t>
  </si>
  <si>
    <t>C12</t>
  </si>
  <si>
    <t>Industrials</t>
  </si>
  <si>
    <t>n/a</t>
  </si>
  <si>
    <t>Materials</t>
  </si>
  <si>
    <t>AOS</t>
  </si>
  <si>
    <t>B18</t>
  </si>
  <si>
    <t>A03</t>
  </si>
  <si>
    <t>Consumer Discretionary</t>
  </si>
  <si>
    <t>Machinery</t>
  </si>
  <si>
    <t>May</t>
  </si>
  <si>
    <t>ABM</t>
  </si>
  <si>
    <t>Y</t>
  </si>
  <si>
    <t>Accenture plc</t>
  </si>
  <si>
    <t>ACN</t>
  </si>
  <si>
    <t>MyNv</t>
  </si>
  <si>
    <t>B14</t>
  </si>
  <si>
    <t>Energy</t>
  </si>
  <si>
    <t>Insurance</t>
  </si>
  <si>
    <t>B13</t>
  </si>
  <si>
    <t>A16</t>
  </si>
  <si>
    <t>ATVI</t>
  </si>
  <si>
    <t>AFL</t>
  </si>
  <si>
    <t>C02</t>
  </si>
  <si>
    <t>C01</t>
  </si>
  <si>
    <t>Utilities</t>
  </si>
  <si>
    <t>APD</t>
  </si>
  <si>
    <t>C30</t>
  </si>
  <si>
    <t>ALB</t>
  </si>
  <si>
    <t>A01</t>
  </si>
  <si>
    <t>B19</t>
  </si>
  <si>
    <t>LNT</t>
  </si>
  <si>
    <t>MO</t>
  </si>
  <si>
    <t>Tobacco</t>
  </si>
  <si>
    <t>A10</t>
  </si>
  <si>
    <t>Consumer Staples</t>
  </si>
  <si>
    <t>AEL</t>
  </si>
  <si>
    <t>Dec</t>
  </si>
  <si>
    <t>AFG</t>
  </si>
  <si>
    <t>A24</t>
  </si>
  <si>
    <t>AWR</t>
  </si>
  <si>
    <t>AWK</t>
  </si>
  <si>
    <t>AMP</t>
  </si>
  <si>
    <t>B23</t>
  </si>
  <si>
    <t>ABC</t>
  </si>
  <si>
    <t>Health Care</t>
  </si>
  <si>
    <t>A14</t>
  </si>
  <si>
    <t>ADI</t>
  </si>
  <si>
    <t>C11</t>
  </si>
  <si>
    <t>A23</t>
  </si>
  <si>
    <t>AIT</t>
  </si>
  <si>
    <t>B28</t>
  </si>
  <si>
    <t>ATR</t>
  </si>
  <si>
    <t>B21</t>
  </si>
  <si>
    <t>ADM</t>
  </si>
  <si>
    <t>C13</t>
  </si>
  <si>
    <t>AROW</t>
  </si>
  <si>
    <t>ARTNA</t>
  </si>
  <si>
    <t>AIZ</t>
  </si>
  <si>
    <t>C10</t>
  </si>
  <si>
    <t>ATO</t>
  </si>
  <si>
    <t>C09</t>
  </si>
  <si>
    <t>ATRI</t>
  </si>
  <si>
    <t>AUBN</t>
  </si>
  <si>
    <t>C25</t>
  </si>
  <si>
    <t>C04</t>
  </si>
  <si>
    <t>ADP</t>
  </si>
  <si>
    <t>AVGO</t>
  </si>
  <si>
    <t>AVA</t>
  </si>
  <si>
    <t>C14</t>
  </si>
  <si>
    <t>C07</t>
  </si>
  <si>
    <t>AXS</t>
  </si>
  <si>
    <t>A15</t>
  </si>
  <si>
    <t>ADR-Berm,US$</t>
  </si>
  <si>
    <t>BMI</t>
  </si>
  <si>
    <t>C15</t>
  </si>
  <si>
    <t>JuDe</t>
  </si>
  <si>
    <t>BCPC</t>
  </si>
  <si>
    <t>Jan</t>
  </si>
  <si>
    <t>BANF</t>
  </si>
  <si>
    <t>Bank of Marin Bancorp</t>
  </si>
  <si>
    <t>BMRC</t>
  </si>
  <si>
    <t>B08</t>
  </si>
  <si>
    <t>Bank of Utica</t>
  </si>
  <si>
    <t>JaJl</t>
  </si>
  <si>
    <t>Bar Harbor Bankshares</t>
  </si>
  <si>
    <t>BHB</t>
  </si>
  <si>
    <t>BDX</t>
  </si>
  <si>
    <t>C31</t>
  </si>
  <si>
    <t>FY Streak</t>
  </si>
  <si>
    <t>BBY</t>
  </si>
  <si>
    <t>A02</t>
  </si>
  <si>
    <t>BKH</t>
  </si>
  <si>
    <t>BLK</t>
  </si>
  <si>
    <t>C16</t>
  </si>
  <si>
    <t>BOKF</t>
  </si>
  <si>
    <t>B29</t>
  </si>
  <si>
    <t>BRC</t>
  </si>
  <si>
    <t>A31</t>
  </si>
  <si>
    <t>Mo</t>
  </si>
  <si>
    <t>BMY</t>
  </si>
  <si>
    <t>BR</t>
  </si>
  <si>
    <t>BIP</t>
  </si>
  <si>
    <t>Bermuda,US$</t>
  </si>
  <si>
    <t>BRO</t>
  </si>
  <si>
    <t>BF-B</t>
  </si>
  <si>
    <t>C27</t>
  </si>
  <si>
    <t>B25</t>
  </si>
  <si>
    <t>CHRW</t>
  </si>
  <si>
    <t>B01</t>
  </si>
  <si>
    <t>CWT</t>
  </si>
  <si>
    <t>Cambridge Bancorp</t>
  </si>
  <si>
    <t>CATC</t>
  </si>
  <si>
    <t>CNI</t>
  </si>
  <si>
    <t>C28</t>
  </si>
  <si>
    <t>B24</t>
  </si>
  <si>
    <t>CAH</t>
  </si>
  <si>
    <t>CSL</t>
  </si>
  <si>
    <t>CASY</t>
  </si>
  <si>
    <t>CASS</t>
  </si>
  <si>
    <t>Caterpillar Inc.</t>
  </si>
  <si>
    <t>CAT</t>
  </si>
  <si>
    <t>B20</t>
  </si>
  <si>
    <t>CBOE</t>
  </si>
  <si>
    <t>C19</t>
  </si>
  <si>
    <t>CCFN</t>
  </si>
  <si>
    <t>CE</t>
  </si>
  <si>
    <t>CHE</t>
  </si>
  <si>
    <t>CPKF</t>
  </si>
  <si>
    <t>CPK</t>
  </si>
  <si>
    <t>CVX</t>
  </si>
  <si>
    <t>CB</t>
  </si>
  <si>
    <t>CHD</t>
  </si>
  <si>
    <t>CINF</t>
  </si>
  <si>
    <t>CTAS</t>
  </si>
  <si>
    <t>CZFS</t>
  </si>
  <si>
    <t>CLX</t>
  </si>
  <si>
    <t>CMS</t>
  </si>
  <si>
    <t>KO</t>
  </si>
  <si>
    <t>C20</t>
  </si>
  <si>
    <t>CNS</t>
  </si>
  <si>
    <t>A11</t>
  </si>
  <si>
    <t>CL</t>
  </si>
  <si>
    <t>Personal Products</t>
  </si>
  <si>
    <t>C18</t>
  </si>
  <si>
    <t>CMCSA</t>
  </si>
  <si>
    <t>Media</t>
  </si>
  <si>
    <t>CBSH</t>
  </si>
  <si>
    <t>Adj/Stk Div</t>
  </si>
  <si>
    <t>CBU</t>
  </si>
  <si>
    <t>CTBI</t>
  </si>
  <si>
    <t>CSVI</t>
  </si>
  <si>
    <t>ED</t>
  </si>
  <si>
    <t>COST</t>
  </si>
  <si>
    <t>B05</t>
  </si>
  <si>
    <t>CSX</t>
  </si>
  <si>
    <t>CFR</t>
  </si>
  <si>
    <t>Cummins Inc.</t>
  </si>
  <si>
    <t>CMI</t>
  </si>
  <si>
    <t>C08</t>
  </si>
  <si>
    <t>DLR</t>
  </si>
  <si>
    <t>Canada,US$</t>
  </si>
  <si>
    <t>DCI</t>
  </si>
  <si>
    <t>Donegal Group Inc. A</t>
  </si>
  <si>
    <t>DGICA</t>
  </si>
  <si>
    <t>Donegal Group Inc. B</t>
  </si>
  <si>
    <t>DGICB</t>
  </si>
  <si>
    <t>PLOW</t>
  </si>
  <si>
    <t>DOV</t>
  </si>
  <si>
    <t>A04</t>
  </si>
  <si>
    <t>DTE Energy Company</t>
  </si>
  <si>
    <t>DTE</t>
  </si>
  <si>
    <t>DUK</t>
  </si>
  <si>
    <t>EBMT</t>
  </si>
  <si>
    <t>C05</t>
  </si>
  <si>
    <t>EFSI</t>
  </si>
  <si>
    <t>B16</t>
  </si>
  <si>
    <t>ETN</t>
  </si>
  <si>
    <t>ADR-Ireland,US$</t>
  </si>
  <si>
    <t>Ecolab Inc.</t>
  </si>
  <si>
    <t>ECL</t>
  </si>
  <si>
    <t>Edison International</t>
  </si>
  <si>
    <t>EIX</t>
  </si>
  <si>
    <t>EMR</t>
  </si>
  <si>
    <t>Enbridge Inc.</t>
  </si>
  <si>
    <t>ENB</t>
  </si>
  <si>
    <t>ENSG</t>
  </si>
  <si>
    <t>EBTC</t>
  </si>
  <si>
    <t>EPD</t>
  </si>
  <si>
    <t>B07</t>
  </si>
  <si>
    <t>ELS</t>
  </si>
  <si>
    <t>Erie Indemnity Company</t>
  </si>
  <si>
    <t>ERIE</t>
  </si>
  <si>
    <t>ESS</t>
  </si>
  <si>
    <t>EVR</t>
  </si>
  <si>
    <t>EXPD</t>
  </si>
  <si>
    <t>JnDe</t>
  </si>
  <si>
    <t>Extra Space Storage Inc.</t>
  </si>
  <si>
    <t>EXR</t>
  </si>
  <si>
    <t>XOM</t>
  </si>
  <si>
    <t>FDS</t>
  </si>
  <si>
    <t>Farmers &amp; Merchants Bancorp</t>
  </si>
  <si>
    <t>FMCB</t>
  </si>
  <si>
    <t>FMAO</t>
  </si>
  <si>
    <t>A20</t>
  </si>
  <si>
    <t>Fastenal Company</t>
  </si>
  <si>
    <t>FAST</t>
  </si>
  <si>
    <t>FRT</t>
  </si>
  <si>
    <t>FAF</t>
  </si>
  <si>
    <t>THFF</t>
  </si>
  <si>
    <t>FIBK</t>
  </si>
  <si>
    <t>FLIC</t>
  </si>
  <si>
    <t>Jun</t>
  </si>
  <si>
    <t>FLO</t>
  </si>
  <si>
    <t>FELE</t>
  </si>
  <si>
    <t>BEN</t>
  </si>
  <si>
    <t>C26</t>
  </si>
  <si>
    <t>A30</t>
  </si>
  <si>
    <t>GD</t>
  </si>
  <si>
    <t>B09</t>
  </si>
  <si>
    <t>GPC</t>
  </si>
  <si>
    <t>GRC</t>
  </si>
  <si>
    <t>Graco Inc.</t>
  </si>
  <si>
    <t>GGG</t>
  </si>
  <si>
    <t>H.B. Fuller Company</t>
  </si>
  <si>
    <t>FUL</t>
  </si>
  <si>
    <t>THG</t>
  </si>
  <si>
    <t>C23</t>
  </si>
  <si>
    <t>HWKN</t>
  </si>
  <si>
    <t>ApOc</t>
  </si>
  <si>
    <t>HCSG</t>
  </si>
  <si>
    <t>HEI</t>
  </si>
  <si>
    <t>HSY</t>
  </si>
  <si>
    <t>HI</t>
  </si>
  <si>
    <t>Hingham Institution for Savings</t>
  </si>
  <si>
    <t>HIFS</t>
  </si>
  <si>
    <t>HD</t>
  </si>
  <si>
    <t>HONT</t>
  </si>
  <si>
    <t>HMN</t>
  </si>
  <si>
    <t>HRL</t>
  </si>
  <si>
    <t>IEX</t>
  </si>
  <si>
    <t>ITW</t>
  </si>
  <si>
    <t>B22</t>
  </si>
  <si>
    <t>IBOC</t>
  </si>
  <si>
    <t>IBM</t>
  </si>
  <si>
    <t>IFF</t>
  </si>
  <si>
    <t>JJSF</t>
  </si>
  <si>
    <t>SJM</t>
  </si>
  <si>
    <t>JKHY</t>
  </si>
  <si>
    <t>JBHT</t>
  </si>
  <si>
    <t>B27</t>
  </si>
  <si>
    <t>Also Class B</t>
  </si>
  <si>
    <t>Johnson &amp; Johnson</t>
  </si>
  <si>
    <t>JNJ</t>
  </si>
  <si>
    <t>Kellogg Company</t>
  </si>
  <si>
    <t>K</t>
  </si>
  <si>
    <t>KMB</t>
  </si>
  <si>
    <t>KLAC</t>
  </si>
  <si>
    <t>KR</t>
  </si>
  <si>
    <t>LANC</t>
  </si>
  <si>
    <t>LARK</t>
  </si>
  <si>
    <t>LSTR</t>
  </si>
  <si>
    <t>LEG</t>
  </si>
  <si>
    <t>Lennox International Inc.</t>
  </si>
  <si>
    <t>LII</t>
  </si>
  <si>
    <t>LECO</t>
  </si>
  <si>
    <t>LNN</t>
  </si>
  <si>
    <t>B26</t>
  </si>
  <si>
    <t>LAD</t>
  </si>
  <si>
    <t>LFUS</t>
  </si>
  <si>
    <t>LMT</t>
  </si>
  <si>
    <t>LOW</t>
  </si>
  <si>
    <t>MMP</t>
  </si>
  <si>
    <t>Magna International Inc.</t>
  </si>
  <si>
    <t>MGA</t>
  </si>
  <si>
    <t>MarketAxess Holdings Inc.</t>
  </si>
  <si>
    <t>MKTX</t>
  </si>
  <si>
    <t>MMC</t>
  </si>
  <si>
    <t>MATW</t>
  </si>
  <si>
    <t>MKC</t>
  </si>
  <si>
    <t>MCD</t>
  </si>
  <si>
    <t>MGRC</t>
  </si>
  <si>
    <t>MCK</t>
  </si>
  <si>
    <t>MDU</t>
  </si>
  <si>
    <t>MDT</t>
  </si>
  <si>
    <t>MGEE</t>
  </si>
  <si>
    <t>MCHP</t>
  </si>
  <si>
    <t>MSFT</t>
  </si>
  <si>
    <t>MSEX</t>
  </si>
  <si>
    <t>B17</t>
  </si>
  <si>
    <t>MNRO</t>
  </si>
  <si>
    <t>MCO</t>
  </si>
  <si>
    <t>MSA</t>
  </si>
  <si>
    <t>MYBF</t>
  </si>
  <si>
    <t>NC</t>
  </si>
  <si>
    <t>NFG</t>
  </si>
  <si>
    <t>NNN</t>
  </si>
  <si>
    <t>NJR</t>
  </si>
  <si>
    <t>NEU</t>
  </si>
  <si>
    <t>NEE</t>
  </si>
  <si>
    <t>NKE</t>
  </si>
  <si>
    <t>A06</t>
  </si>
  <si>
    <t>NDSN</t>
  </si>
  <si>
    <t>NIDB</t>
  </si>
  <si>
    <t>NRIM</t>
  </si>
  <si>
    <t>NOC</t>
  </si>
  <si>
    <t>NWN</t>
  </si>
  <si>
    <t>NWE</t>
  </si>
  <si>
    <t>NWFL</t>
  </si>
  <si>
    <t>NUS</t>
  </si>
  <si>
    <t>NUE</t>
  </si>
  <si>
    <t>B11</t>
  </si>
  <si>
    <t>OGE Energy Corp.</t>
  </si>
  <si>
    <t>OGE</t>
  </si>
  <si>
    <t>ODC</t>
  </si>
  <si>
    <t>ORI</t>
  </si>
  <si>
    <t>Omnicom Group Inc.</t>
  </si>
  <si>
    <t>OMC</t>
  </si>
  <si>
    <t>ORCL</t>
  </si>
  <si>
    <t>PH</t>
  </si>
  <si>
    <t>PNR</t>
  </si>
  <si>
    <t>PEP</t>
  </si>
  <si>
    <t>Perrigo Company plc</t>
  </si>
  <si>
    <t>PRGO</t>
  </si>
  <si>
    <t>PETS</t>
  </si>
  <si>
    <t>PM</t>
  </si>
  <si>
    <t>PII</t>
  </si>
  <si>
    <t>POR</t>
  </si>
  <si>
    <t>PPG</t>
  </si>
  <si>
    <t>PRI</t>
  </si>
  <si>
    <t>PFG</t>
  </si>
  <si>
    <t>PG</t>
  </si>
  <si>
    <t>PB</t>
  </si>
  <si>
    <t>PRU</t>
  </si>
  <si>
    <t>PSBQ</t>
  </si>
  <si>
    <t>QNTO</t>
  </si>
  <si>
    <t>KWR</t>
  </si>
  <si>
    <t>QCOM</t>
  </si>
  <si>
    <t>O</t>
  </si>
  <si>
    <t>RGA</t>
  </si>
  <si>
    <t>RNR</t>
  </si>
  <si>
    <t>RBCAA</t>
  </si>
  <si>
    <t>RSG</t>
  </si>
  <si>
    <t>RGCO</t>
  </si>
  <si>
    <t>RBA</t>
  </si>
  <si>
    <t>RLI Corp.</t>
  </si>
  <si>
    <t>RLI</t>
  </si>
  <si>
    <t>Robert Half International Inc.</t>
  </si>
  <si>
    <t>RHI</t>
  </si>
  <si>
    <t>ROP</t>
  </si>
  <si>
    <t>RGLD</t>
  </si>
  <si>
    <t>A17</t>
  </si>
  <si>
    <t>RPM International Inc.</t>
  </si>
  <si>
    <t>RPM</t>
  </si>
  <si>
    <t>R</t>
  </si>
  <si>
    <t>SMG</t>
  </si>
  <si>
    <t>SEI Investments Company</t>
  </si>
  <si>
    <t>SEIC</t>
  </si>
  <si>
    <t>JaJu</t>
  </si>
  <si>
    <t>SRE</t>
  </si>
  <si>
    <t>SXT</t>
  </si>
  <si>
    <t>Mo.</t>
  </si>
  <si>
    <t>SHW</t>
  </si>
  <si>
    <t>Silgan Holdings Inc.</t>
  </si>
  <si>
    <t>SLGN</t>
  </si>
  <si>
    <t>SJW</t>
  </si>
  <si>
    <t>SON</t>
  </si>
  <si>
    <t>SJI</t>
  </si>
  <si>
    <t>SO</t>
  </si>
  <si>
    <t>C06</t>
  </si>
  <si>
    <t>SBSI</t>
  </si>
  <si>
    <t>SWX</t>
  </si>
  <si>
    <t>SWK</t>
  </si>
  <si>
    <t>Stepan Company</t>
  </si>
  <si>
    <t>SCL</t>
  </si>
  <si>
    <t>STE</t>
  </si>
  <si>
    <t>SYK</t>
  </si>
  <si>
    <t>SYY</t>
  </si>
  <si>
    <t>TROW</t>
  </si>
  <si>
    <t>TGT</t>
  </si>
  <si>
    <t>TDS</t>
  </si>
  <si>
    <t>Tennant Company</t>
  </si>
  <si>
    <t>TNC</t>
  </si>
  <si>
    <t>TXN</t>
  </si>
  <si>
    <t>TPL</t>
  </si>
  <si>
    <t>TRI</t>
  </si>
  <si>
    <t>TMP</t>
  </si>
  <si>
    <t>TR</t>
  </si>
  <si>
    <t>TTC</t>
  </si>
  <si>
    <t>Tractor Supply Company</t>
  </si>
  <si>
    <t>TSCO</t>
  </si>
  <si>
    <t>TRV</t>
  </si>
  <si>
    <t>UGI</t>
  </si>
  <si>
    <t>UMBF</t>
  </si>
  <si>
    <t>UNP</t>
  </si>
  <si>
    <t>UPS</t>
  </si>
  <si>
    <t>UNH</t>
  </si>
  <si>
    <t>UVV</t>
  </si>
  <si>
    <t>UHT</t>
  </si>
  <si>
    <t>Unum Group</t>
  </si>
  <si>
    <t>UNM</t>
  </si>
  <si>
    <t>UTMD</t>
  </si>
  <si>
    <t>VZ</t>
  </si>
  <si>
    <t>VFC</t>
  </si>
  <si>
    <t>Visa Inc.</t>
  </si>
  <si>
    <t>V</t>
  </si>
  <si>
    <t>WPC</t>
  </si>
  <si>
    <t>WRB</t>
  </si>
  <si>
    <t>GWW</t>
  </si>
  <si>
    <t>WMT</t>
  </si>
  <si>
    <t>WM</t>
  </si>
  <si>
    <t>WD-40 Company</t>
  </si>
  <si>
    <t>WDFC</t>
  </si>
  <si>
    <t>WST</t>
  </si>
  <si>
    <t>WABC</t>
  </si>
  <si>
    <t>WLK</t>
  </si>
  <si>
    <t>WSM</t>
  </si>
  <si>
    <t>WEC</t>
  </si>
  <si>
    <t>XEL</t>
  </si>
  <si>
    <t>YORW</t>
  </si>
  <si>
    <t>Stock Screener</t>
  </si>
  <si>
    <t>MarketCap</t>
  </si>
  <si>
    <t>Dividend Champion</t>
  </si>
  <si>
    <t>HITS</t>
  </si>
  <si>
    <t>MISSES</t>
  </si>
  <si>
    <t>ARE</t>
  </si>
  <si>
    <t>ALE</t>
  </si>
  <si>
    <t>AEP</t>
  </si>
  <si>
    <t>Amgen Inc.</t>
  </si>
  <si>
    <t>AMGN</t>
  </si>
  <si>
    <t>Biotechnology</t>
  </si>
  <si>
    <t>Arthur J. Gallagher &amp; Co.</t>
  </si>
  <si>
    <t>AJG</t>
  </si>
  <si>
    <t>ASH</t>
  </si>
  <si>
    <t>Adj/Spin-off</t>
  </si>
  <si>
    <t>Camden Property Trust</t>
  </si>
  <si>
    <t>CPT</t>
  </si>
  <si>
    <t>GLW</t>
  </si>
  <si>
    <t>CubeSmart</t>
  </si>
  <si>
    <t>CUBE</t>
  </si>
  <si>
    <t>EMN</t>
  </si>
  <si>
    <t>A21</t>
  </si>
  <si>
    <t>A26</t>
  </si>
  <si>
    <t>HFWA</t>
  </si>
  <si>
    <t>HOMB</t>
  </si>
  <si>
    <t>HBNC</t>
  </si>
  <si>
    <t>A08</t>
  </si>
  <si>
    <t>A05</t>
  </si>
  <si>
    <t>LNC</t>
  </si>
  <si>
    <t>Medtronic plc</t>
  </si>
  <si>
    <t>MAA</t>
  </si>
  <si>
    <t>MOFG</t>
  </si>
  <si>
    <t>MORN</t>
  </si>
  <si>
    <t>NWBI</t>
  </si>
  <si>
    <t>Pfizer Inc.</t>
  </si>
  <si>
    <t>PFE</t>
  </si>
  <si>
    <t>A09</t>
  </si>
  <si>
    <t>C22</t>
  </si>
  <si>
    <t>ROK</t>
  </si>
  <si>
    <t>SASR</t>
  </si>
  <si>
    <t>SNA</t>
  </si>
  <si>
    <t>STAG</t>
  </si>
  <si>
    <t>SBUX</t>
  </si>
  <si>
    <t>SYBT</t>
  </si>
  <si>
    <t>TE Connectivity Ltd.</t>
  </si>
  <si>
    <t>TEL</t>
  </si>
  <si>
    <t>TRNO</t>
  </si>
  <si>
    <t>THO</t>
  </si>
  <si>
    <t>WBA</t>
  </si>
  <si>
    <t>Entertainment</t>
  </si>
  <si>
    <t>WAFD</t>
  </si>
  <si>
    <t>WCN</t>
  </si>
  <si>
    <t>Years</t>
  </si>
  <si>
    <t>Price/</t>
  </si>
  <si>
    <t>Earnings</t>
  </si>
  <si>
    <t>Book</t>
  </si>
  <si>
    <t>Return</t>
  </si>
  <si>
    <t>on Equity</t>
  </si>
  <si>
    <t>Allowed</t>
  </si>
  <si>
    <t>Exceptions</t>
  </si>
  <si>
    <t>Req.</t>
  </si>
  <si>
    <t>met</t>
  </si>
  <si>
    <t>Past 5-yr</t>
  </si>
  <si>
    <t>Est. 5-yr</t>
  </si>
  <si>
    <t>3 Year</t>
  </si>
  <si>
    <t>5 Year</t>
  </si>
  <si>
    <t>10 Year</t>
  </si>
  <si>
    <t>1 Year</t>
  </si>
  <si>
    <t>Dividend Growth Rates</t>
  </si>
  <si>
    <t>($B)</t>
  </si>
  <si>
    <t>+</t>
  </si>
  <si>
    <t>How to update:</t>
  </si>
  <si>
    <t>How to use:</t>
  </si>
  <si>
    <t>- In the next row, the requirements for each category is set.</t>
  </si>
  <si>
    <t>- When these are set, the cells for each stock will be either green (if criteria is fulfilled) or red (if the criteria is not fulfilled).</t>
  </si>
  <si>
    <t>- A stock that fulfills all requirements will be highlighted yellow.</t>
  </si>
  <si>
    <t>- The spreadsheet has 14 categories on diffent metrics such as market cap, P/E ratio, return on equity etc.</t>
  </si>
  <si>
    <t>- Setting a '+' will include the category in the screener and a '-' will exclude the category.</t>
  </si>
  <si>
    <t>- Updating the stock screener is quite easy.</t>
  </si>
  <si>
    <t>- Download the updated version of 'U. S. Dividend Champions' at http://dripinvesting.org/tools/tools.asp</t>
  </si>
  <si>
    <t>- Go to the tab "All CCC" and copy everything (Ctrl + a followed by Ctrl + c)</t>
  </si>
  <si>
    <t>How to change the selected metrics or add new ones:</t>
  </si>
  <si>
    <t>- To change the metrics, simply change where the cells link to in the 'Data' sheet.</t>
  </si>
  <si>
    <t>- To get a list of only the stocks that fulfills the requirements, hit the button "Hide".</t>
  </si>
  <si>
    <t>- To get the full list again, hit the button "Unhide".</t>
  </si>
  <si>
    <t>- If changes are made to the criteria, make sure to press "Unhide" and then "Hide" again to get the updated list.</t>
  </si>
  <si>
    <t>XYL</t>
  </si>
  <si>
    <t>Xylem Inc.</t>
  </si>
  <si>
    <t>WSBC</t>
  </si>
  <si>
    <t>SCI</t>
  </si>
  <si>
    <t>RS</t>
  </si>
  <si>
    <t>Reliance Steel &amp; Aluminum Co.</t>
  </si>
  <si>
    <t>QNBC</t>
  </si>
  <si>
    <t>QNB Corp.</t>
  </si>
  <si>
    <t>MAIN</t>
  </si>
  <si>
    <t>LMAT</t>
  </si>
  <si>
    <t>ES</t>
  </si>
  <si>
    <t>Eversource Energy</t>
  </si>
  <si>
    <t>CME</t>
  </si>
  <si>
    <t>CME Group Inc.</t>
  </si>
  <si>
    <t>CSCO</t>
  </si>
  <si>
    <t>ATLO</t>
  </si>
  <si>
    <t>ALL</t>
  </si>
  <si>
    <t>AVY</t>
  </si>
  <si>
    <t>BKUTK</t>
  </si>
  <si>
    <t>Discover Financial Services</t>
  </si>
  <si>
    <t>DFS</t>
  </si>
  <si>
    <t>FFIN</t>
  </si>
  <si>
    <t>FNV</t>
  </si>
  <si>
    <t>Canadian,US$</t>
  </si>
  <si>
    <t>HPQ</t>
  </si>
  <si>
    <t>HNI</t>
  </si>
  <si>
    <t>Humana Inc.</t>
  </si>
  <si>
    <t>HUM</t>
  </si>
  <si>
    <t>INDB</t>
  </si>
  <si>
    <t>NSP</t>
  </si>
  <si>
    <t>C29</t>
  </si>
  <si>
    <t>JPMorgan Chase &amp; Co.</t>
  </si>
  <si>
    <t>JPM</t>
  </si>
  <si>
    <t>KeyCorp</t>
  </si>
  <si>
    <t>KEY</t>
  </si>
  <si>
    <t>LBAI</t>
  </si>
  <si>
    <t>A13</t>
  </si>
  <si>
    <t>B31</t>
  </si>
  <si>
    <t>LYB</t>
  </si>
  <si>
    <t>MAN</t>
  </si>
  <si>
    <t>PAYX</t>
  </si>
  <si>
    <t>PNBI</t>
  </si>
  <si>
    <t>PNC</t>
  </si>
  <si>
    <t>POOL</t>
  </si>
  <si>
    <t>SpartanNash Company</t>
  </si>
  <si>
    <t>SPTN</t>
  </si>
  <si>
    <t>STT</t>
  </si>
  <si>
    <t>TRN</t>
  </si>
  <si>
    <t>U.S. Bancorp</t>
  </si>
  <si>
    <t>USB</t>
  </si>
  <si>
    <t>UDR</t>
  </si>
  <si>
    <t>WASH</t>
  </si>
  <si>
    <t>WTBA</t>
  </si>
  <si>
    <t>WHR</t>
  </si>
  <si>
    <t>WOR</t>
  </si>
  <si>
    <t>DDS</t>
  </si>
  <si>
    <t>INGR</t>
  </si>
  <si>
    <t>Intuit Inc.</t>
  </si>
  <si>
    <t>INTU</t>
  </si>
  <si>
    <t>MSI</t>
  </si>
  <si>
    <t xml:space="preserve">- To add new metrics, first unhide column S to W. </t>
  </si>
  <si>
    <t>- It should not be necessary to change the VBA script. If it is, however, right click one of the buttons, go to "Assign macro" and "Edit". Make sure the value for "ChkCol" is correct.</t>
  </si>
  <si>
    <t>© Peter Gormsen</t>
  </si>
  <si>
    <t>AES</t>
  </si>
  <si>
    <t>A25</t>
  </si>
  <si>
    <t>BK</t>
  </si>
  <si>
    <t>CFFI</t>
  </si>
  <si>
    <t>A18</t>
  </si>
  <si>
    <t>@,Canada</t>
  </si>
  <si>
    <t>FMBH</t>
  </si>
  <si>
    <t>C21</t>
  </si>
  <si>
    <t>GFF</t>
  </si>
  <si>
    <t>Honeywell International Inc.</t>
  </si>
  <si>
    <t>HON</t>
  </si>
  <si>
    <t>HP Inc.</t>
  </si>
  <si>
    <t>HUBB</t>
  </si>
  <si>
    <t>MA</t>
  </si>
  <si>
    <t>MRK</t>
  </si>
  <si>
    <t>PNM</t>
  </si>
  <si>
    <t>B30</t>
  </si>
  <si>
    <t>SL Green Realty Corp.</t>
  </si>
  <si>
    <t>SLG</t>
  </si>
  <si>
    <t>SXI</t>
  </si>
  <si>
    <t>Amdocs Limited</t>
  </si>
  <si>
    <t>DOX</t>
  </si>
  <si>
    <t>Channel Isles,US$</t>
  </si>
  <si>
    <t>AMT</t>
  </si>
  <si>
    <t>APOG</t>
  </si>
  <si>
    <t>Assured Guaranty Ltd.</t>
  </si>
  <si>
    <t>AGO</t>
  </si>
  <si>
    <t>BAH</t>
  </si>
  <si>
    <t>Brookfield Asset Management Inc.</t>
  </si>
  <si>
    <t>BAM</t>
  </si>
  <si>
    <t>Chubb Limited</t>
  </si>
  <si>
    <t>CHCO</t>
  </si>
  <si>
    <t>XRAY</t>
  </si>
  <si>
    <t>EVBN</t>
  </si>
  <si>
    <t>AGM</t>
  </si>
  <si>
    <t>Also Cl. A/B</t>
  </si>
  <si>
    <t>KALU</t>
  </si>
  <si>
    <t>MBWM</t>
  </si>
  <si>
    <t>NDAQ</t>
  </si>
  <si>
    <t>B10</t>
  </si>
  <si>
    <t>Ireland,US$</t>
  </si>
  <si>
    <t>DGX</t>
  </si>
  <si>
    <t>SFNC</t>
  </si>
  <si>
    <t>SSB</t>
  </si>
  <si>
    <t>SOMC</t>
  </si>
  <si>
    <t>STLD</t>
  </si>
  <si>
    <t>TYBT</t>
  </si>
  <si>
    <t>ADR-UK,US$</t>
  </si>
  <si>
    <t>A19</t>
  </si>
  <si>
    <t>Aon plc</t>
  </si>
  <si>
    <t>AON</t>
  </si>
  <si>
    <t>Apple Inc.</t>
  </si>
  <si>
    <t>AAPL</t>
  </si>
  <si>
    <t>ABR</t>
  </si>
  <si>
    <t>Switz.,US$</t>
  </si>
  <si>
    <t>CIVB</t>
  </si>
  <si>
    <t>CNO</t>
  </si>
  <si>
    <t>FCBC</t>
  </si>
  <si>
    <t>FRME</t>
  </si>
  <si>
    <t>First Republic Bank</t>
  </si>
  <si>
    <t>FRC</t>
  </si>
  <si>
    <t>GATX</t>
  </si>
  <si>
    <t>GBCI</t>
  </si>
  <si>
    <t>GAIN</t>
  </si>
  <si>
    <t>HY</t>
  </si>
  <si>
    <t>LKFN</t>
  </si>
  <si>
    <t>MTRN</t>
  </si>
  <si>
    <t>NiSource Inc.</t>
  </si>
  <si>
    <t>NI</t>
  </si>
  <si>
    <t>Phillips 66</t>
  </si>
  <si>
    <t>PSX</t>
  </si>
  <si>
    <t>ResMed Inc.</t>
  </si>
  <si>
    <t>RMD</t>
  </si>
  <si>
    <t>S&amp;P Global Inc.</t>
  </si>
  <si>
    <t>SPGI</t>
  </si>
  <si>
    <t>SCVL</t>
  </si>
  <si>
    <t>SMBC</t>
  </si>
  <si>
    <t>Spire Inc.</t>
  </si>
  <si>
    <t>SR</t>
  </si>
  <si>
    <t>TOWN</t>
  </si>
  <si>
    <t>A12</t>
  </si>
  <si>
    <t>- Go to the tab "Data" in this spreadsheet. Mark the first cell (A1) and paste (Ctrl + v)</t>
  </si>
  <si>
    <t>AbbVie Inc.</t>
  </si>
  <si>
    <t>ABBV</t>
  </si>
  <si>
    <t>AGCO</t>
  </si>
  <si>
    <t>ADC</t>
  </si>
  <si>
    <t>APH</t>
  </si>
  <si>
    <t>APLO</t>
  </si>
  <si>
    <t>Ashland Global Holdings Inc.</t>
  </si>
  <si>
    <t>Associated Banc-Corp</t>
  </si>
  <si>
    <t>ASB</t>
  </si>
  <si>
    <t>CHDN</t>
  </si>
  <si>
    <t>CCOI</t>
  </si>
  <si>
    <t>DKL</t>
  </si>
  <si>
    <t>EGP</t>
  </si>
  <si>
    <t>FBVA</t>
  </si>
  <si>
    <t>FNF</t>
  </si>
  <si>
    <t>FBIZ</t>
  </si>
  <si>
    <t>FBHS</t>
  </si>
  <si>
    <t>Building Products</t>
  </si>
  <si>
    <t>GABC</t>
  </si>
  <si>
    <t>GS</t>
  </si>
  <si>
    <t>HIG</t>
  </si>
  <si>
    <t>HWBK</t>
  </si>
  <si>
    <t>HLAN</t>
  </si>
  <si>
    <t>HII</t>
  </si>
  <si>
    <t>IDA</t>
  </si>
  <si>
    <t>MPLX LP</t>
  </si>
  <si>
    <t>MPLX</t>
  </si>
  <si>
    <t>NXST</t>
  </si>
  <si>
    <t>Peoples Ltd.</t>
  </si>
  <si>
    <t>PPLL</t>
  </si>
  <si>
    <t>PNW</t>
  </si>
  <si>
    <t>RJF</t>
  </si>
  <si>
    <t>Sierra Bancorp</t>
  </si>
  <si>
    <t>BSRR</t>
  </si>
  <si>
    <t>TSBK</t>
  </si>
  <si>
    <t>TRUX</t>
  </si>
  <si>
    <t>TSN</t>
  </si>
  <si>
    <t>UNB</t>
  </si>
  <si>
    <t>Zoetis Inc.</t>
  </si>
  <si>
    <t>ZTS</t>
  </si>
  <si>
    <t>- The number of allowed exceptions can be set to accept a stock that fails in a couple of the criteria.</t>
  </si>
  <si>
    <r>
      <t xml:space="preserve">- If the number of stocks on the list has changed, the screener can easily be extended by selecting the </t>
    </r>
    <r>
      <rPr>
        <b/>
        <sz val="14"/>
        <color theme="1"/>
        <rFont val="Calibri"/>
        <family val="2"/>
        <scheme val="minor"/>
      </rPr>
      <t>entire</t>
    </r>
    <r>
      <rPr>
        <sz val="14"/>
        <color theme="1"/>
        <rFont val="Calibri"/>
        <family val="2"/>
        <scheme val="minor"/>
      </rPr>
      <t xml:space="preserve"> bottom row and dragging it down. (An example: If the bottom row is 795, then click on '795' which will select all cells in the row. Drag it down using the '+'.)</t>
    </r>
  </si>
  <si>
    <t>- Go to "Data" -&gt; "Edit Links" to delete the link to the data file to avoid the pop-up when you open the spreadsheet.</t>
  </si>
  <si>
    <t>- This is generally a bit harder and requires more understanding about the spreadsheet's functionality.</t>
  </si>
  <si>
    <t>- You will need to add the new metric(s) in the cell(s) V2 and cell V6 and downwards.</t>
  </si>
  <si>
    <t>Abbott Laboratories</t>
  </si>
  <si>
    <t>ABT</t>
  </si>
  <si>
    <t>AL</t>
  </si>
  <si>
    <t>AMSF</t>
  </si>
  <si>
    <t>AVT</t>
  </si>
  <si>
    <t>Bank of Botetourt</t>
  </si>
  <si>
    <t>BORT</t>
  </si>
  <si>
    <t>BC</t>
  </si>
  <si>
    <t>CBT</t>
  </si>
  <si>
    <t>TYCB</t>
  </si>
  <si>
    <t>CDW</t>
  </si>
  <si>
    <t>Central Pacific Financial Corp.</t>
  </si>
  <si>
    <t>CPF</t>
  </si>
  <si>
    <t>FIX</t>
  </si>
  <si>
    <t>CSGS</t>
  </si>
  <si>
    <t>DPZ</t>
  </si>
  <si>
    <t>EXPO</t>
  </si>
  <si>
    <t>FFMR</t>
  </si>
  <si>
    <t>FR</t>
  </si>
  <si>
    <t>FSBW</t>
  </si>
  <si>
    <t>Getty Realty Corp.</t>
  </si>
  <si>
    <t>GTY</t>
  </si>
  <si>
    <t>HURC</t>
  </si>
  <si>
    <t>ICE</t>
  </si>
  <si>
    <t>IPG</t>
  </si>
  <si>
    <t>ISTR</t>
  </si>
  <si>
    <t>ITT</t>
  </si>
  <si>
    <t>Johnson Outdoors Inc.</t>
  </si>
  <si>
    <t>JOUT</t>
  </si>
  <si>
    <t>Kadant Inc.</t>
  </si>
  <si>
    <t>KAI</t>
  </si>
  <si>
    <t>LRCX</t>
  </si>
  <si>
    <t>MET</t>
  </si>
  <si>
    <t>MPB</t>
  </si>
  <si>
    <t>NTAP</t>
  </si>
  <si>
    <t>NFBK</t>
  </si>
  <si>
    <t>OTEX</t>
  </si>
  <si>
    <t>OSK</t>
  </si>
  <si>
    <t>OC</t>
  </si>
  <si>
    <t>PEBK</t>
  </si>
  <si>
    <t>POWI</t>
  </si>
  <si>
    <t>RF</t>
  </si>
  <si>
    <t>STBA</t>
  </si>
  <si>
    <t>SBFG</t>
  </si>
  <si>
    <t>SGU</t>
  </si>
  <si>
    <t>Switz,US$</t>
  </si>
  <si>
    <t>Adj/Stock Div</t>
  </si>
  <si>
    <t>TriCo Bancshares</t>
  </si>
  <si>
    <t>TCBK</t>
  </si>
  <si>
    <t>UFPI</t>
  </si>
  <si>
    <t>WTS</t>
  </si>
  <si>
    <t>ZION</t>
  </si>
  <si>
    <t>Allegion plc</t>
  </si>
  <si>
    <t>ALLE</t>
  </si>
  <si>
    <t>Ireland, US$</t>
  </si>
  <si>
    <t>A27</t>
  </si>
  <si>
    <t>RecDat Streak</t>
  </si>
  <si>
    <t>25¢ Spec-5/15</t>
  </si>
  <si>
    <t>BEP</t>
  </si>
  <si>
    <t>DHR</t>
  </si>
  <si>
    <t>FXNC</t>
  </si>
  <si>
    <t>FSFG</t>
  </si>
  <si>
    <t>GSBC</t>
  </si>
  <si>
    <t>HBCP</t>
  </si>
  <si>
    <t>IBCP</t>
  </si>
  <si>
    <t>IBTX</t>
  </si>
  <si>
    <t>Est Dates</t>
  </si>
  <si>
    <t>MNAT</t>
  </si>
  <si>
    <t>Also MKCV</t>
  </si>
  <si>
    <t>MPW</t>
  </si>
  <si>
    <t>NATI</t>
  </si>
  <si>
    <t>NBT Bancorp Inc.</t>
  </si>
  <si>
    <t>NBTB</t>
  </si>
  <si>
    <t>NEP</t>
  </si>
  <si>
    <t>Adj/Split</t>
  </si>
  <si>
    <t>Oak Valley Bancorp</t>
  </si>
  <si>
    <t>OVLY</t>
  </si>
  <si>
    <t>OGS</t>
  </si>
  <si>
    <t>OTTR</t>
  </si>
  <si>
    <t>PLD</t>
  </si>
  <si>
    <t>RMAX</t>
  </si>
  <si>
    <t>REG</t>
  </si>
  <si>
    <t>SFBS</t>
  </si>
  <si>
    <t>SNV</t>
  </si>
  <si>
    <t>10¢ Spec-5/25</t>
  </si>
  <si>
    <t>UBCP</t>
  </si>
  <si>
    <t>UCBI</t>
  </si>
  <si>
    <t>UNTY</t>
  </si>
  <si>
    <t>VMC</t>
  </si>
  <si>
    <t>WSO</t>
  </si>
  <si>
    <t>Also WSOB</t>
  </si>
  <si>
    <t>WTFC</t>
  </si>
  <si>
    <t>WDFN</t>
  </si>
  <si>
    <t>WSFS</t>
  </si>
  <si>
    <t>Dividend Information</t>
  </si>
  <si>
    <t>Numbers in Blue directly from Finviz</t>
  </si>
  <si>
    <t>Special</t>
  </si>
  <si>
    <t>DEG=Dividend to Earnings Growth; A/D=Acceleration/Deceleration; DGR=Dividend Growth Rate</t>
  </si>
  <si>
    <t>EPS=Earnings Per Share; P/E=Price/Earnings Per Share; TTM=Trailing Twelve Months; FYE=Fiscal Year End; MRQ=Most Recent Quarter; ROE = Return on Equity</t>
  </si>
  <si>
    <t>Current</t>
  </si>
  <si>
    <t>Payouts/</t>
  </si>
  <si>
    <t>Previous</t>
  </si>
  <si>
    <t>Last Increased on:</t>
  </si>
  <si>
    <t>NY</t>
  </si>
  <si>
    <t>Est-5yr</t>
  </si>
  <si>
    <t>Year</t>
  </si>
  <si>
    <t>Annualized</t>
  </si>
  <si>
    <t>Notes</t>
  </si>
  <si>
    <t>WMS</t>
  </si>
  <si>
    <t>BAC</t>
  </si>
  <si>
    <t>OZK</t>
  </si>
  <si>
    <t>CTRE</t>
  </si>
  <si>
    <t>CTO</t>
  </si>
  <si>
    <t>Adj. Split</t>
  </si>
  <si>
    <t>Fifth Third Bancorp</t>
  </si>
  <si>
    <t>FITB</t>
  </si>
  <si>
    <t>FISI</t>
  </si>
  <si>
    <t>A2</t>
  </si>
  <si>
    <t>FNLC</t>
  </si>
  <si>
    <t>HFBL</t>
  </si>
  <si>
    <t>B5</t>
  </si>
  <si>
    <t>Innospec Inc.</t>
  </si>
  <si>
    <t>IOSP</t>
  </si>
  <si>
    <t>Chemicals</t>
  </si>
  <si>
    <t>Manulife Financial Corporation</t>
  </si>
  <si>
    <t>MFC</t>
  </si>
  <si>
    <t>MATX</t>
  </si>
  <si>
    <t>C2</t>
  </si>
  <si>
    <t>MDLZ</t>
  </si>
  <si>
    <t>Morgan Stanley</t>
  </si>
  <si>
    <t>MS</t>
  </si>
  <si>
    <t>REXR</t>
  </si>
  <si>
    <t>SSD</t>
  </si>
  <si>
    <t>SWKS</t>
  </si>
  <si>
    <t>Information Technology</t>
  </si>
  <si>
    <t>TTEK</t>
  </si>
  <si>
    <t>HCKT</t>
  </si>
  <si>
    <t>JunDec</t>
  </si>
  <si>
    <t>TKR</t>
  </si>
  <si>
    <t>Contributors: Anna Aronova &amp; Ricard Torres</t>
  </si>
  <si>
    <t>Sign up for free updates at:</t>
  </si>
  <si>
    <t>Other</t>
  </si>
  <si>
    <t>Streak</t>
  </si>
  <si>
    <t>Recessions</t>
  </si>
  <si>
    <t>OTC</t>
  </si>
  <si>
    <t>Began</t>
  </si>
  <si>
    <t>Survived</t>
  </si>
  <si>
    <t>ROA</t>
  </si>
  <si>
    <t>Currency</t>
  </si>
  <si>
    <t>Tax</t>
  </si>
  <si>
    <t>Life Sciences Tools &amp; Services</t>
  </si>
  <si>
    <t>USD</t>
  </si>
  <si>
    <t>Corp</t>
  </si>
  <si>
    <t>Technology Hardware, Storage &amp; Peripherals</t>
  </si>
  <si>
    <t>Health Care Providers &amp; Services</t>
  </si>
  <si>
    <t>Commercial Services &amp; Supplies</t>
  </si>
  <si>
    <t>Mortgage Real Estate Investment Trusts (REITs)</t>
  </si>
  <si>
    <t>REIT</t>
  </si>
  <si>
    <t>Health Care Equipment &amp; Supplies</t>
  </si>
  <si>
    <t>Real Estate</t>
  </si>
  <si>
    <t>Equity Real Estate Investment Trusts (REITs)</t>
  </si>
  <si>
    <t>IT Services</t>
  </si>
  <si>
    <t>Semiconductors &amp; Semiconductor Equipment</t>
  </si>
  <si>
    <t>Food Products</t>
  </si>
  <si>
    <t>AEE</t>
  </si>
  <si>
    <t>Multi-Utilities</t>
  </si>
  <si>
    <t>Agnico Eagle Mines Limited</t>
  </si>
  <si>
    <t>AEM</t>
  </si>
  <si>
    <t>Metals &amp; Mining</t>
  </si>
  <si>
    <t>Electric Utilities</t>
  </si>
  <si>
    <t>Independent Power and Renewable Electricity Producers</t>
  </si>
  <si>
    <t>Thrifts &amp; Mortgage Finance</t>
  </si>
  <si>
    <t>Apartment Income REIT Corp.</t>
  </si>
  <si>
    <t>AIRC</t>
  </si>
  <si>
    <t>Trading Companies &amp; Distributors</t>
  </si>
  <si>
    <t>ALG</t>
  </si>
  <si>
    <t>Ally Financial Inc.</t>
  </si>
  <si>
    <t>ALLY</t>
  </si>
  <si>
    <t>Consumer Finance</t>
  </si>
  <si>
    <t>ALRS</t>
  </si>
  <si>
    <t>Diversified Financial Services</t>
  </si>
  <si>
    <t>Banks</t>
  </si>
  <si>
    <t>American National Bankshares Inc.</t>
  </si>
  <si>
    <t>AMNB</t>
  </si>
  <si>
    <t>Capital Markets</t>
  </si>
  <si>
    <t>Food &amp; Staples Retailing</t>
  </si>
  <si>
    <t>Electronic Equipment, Instruments &amp; Components</t>
  </si>
  <si>
    <t>Algonquin Power &amp; Utilities Corp.</t>
  </si>
  <si>
    <t>AQN</t>
  </si>
  <si>
    <t>Adj Stock dividend</t>
  </si>
  <si>
    <t>Water Utilities</t>
  </si>
  <si>
    <t>Gas Utilities</t>
  </si>
  <si>
    <t>Containers &amp; Packaging</t>
  </si>
  <si>
    <t>Communication Services</t>
  </si>
  <si>
    <t>AUB</t>
  </si>
  <si>
    <t>2020 = Year 10</t>
  </si>
  <si>
    <t>AVNT</t>
  </si>
  <si>
    <t>AY</t>
  </si>
  <si>
    <t>Baxter International Inc.</t>
  </si>
  <si>
    <t>BAX</t>
  </si>
  <si>
    <t>A1</t>
  </si>
  <si>
    <t>Specialty Retail</t>
  </si>
  <si>
    <t>Leisure Products</t>
  </si>
  <si>
    <t>Hotels, Restaurants &amp; Leisure</t>
  </si>
  <si>
    <t>Bermuda,US$, Adj. Stk Div.</t>
  </si>
  <si>
    <t>LP</t>
  </si>
  <si>
    <t>Beverages</t>
  </si>
  <si>
    <t>Adj Split</t>
  </si>
  <si>
    <t>Pharmaceuticals</t>
  </si>
  <si>
    <t>Popular, Inc.</t>
  </si>
  <si>
    <t>BPOP</t>
  </si>
  <si>
    <t>Real Estate Management &amp; Development</t>
  </si>
  <si>
    <t>BWFG</t>
  </si>
  <si>
    <t>BWX Technologies, Inc.</t>
  </si>
  <si>
    <t>BWXT</t>
  </si>
  <si>
    <t>Aerospace &amp; Defense</t>
  </si>
  <si>
    <t>Cable One, Inc.</t>
  </si>
  <si>
    <t>CABO</t>
  </si>
  <si>
    <t>C5</t>
  </si>
  <si>
    <t>Camden National Corporation</t>
  </si>
  <si>
    <t>CAC</t>
  </si>
  <si>
    <t>Colony Bankcorp, Inc.</t>
  </si>
  <si>
    <t>CBAN</t>
  </si>
  <si>
    <t>CCBG</t>
  </si>
  <si>
    <t>CCI</t>
  </si>
  <si>
    <t>Diversified Telecommunication Services</t>
  </si>
  <si>
    <t>Cognex Corporation</t>
  </si>
  <si>
    <t>CGNX</t>
  </si>
  <si>
    <t>CHCT</t>
  </si>
  <si>
    <t>C1</t>
  </si>
  <si>
    <t>Household Products</t>
  </si>
  <si>
    <t>Air Freight &amp; Logistics</t>
  </si>
  <si>
    <t>CNA Financial Corporation</t>
  </si>
  <si>
    <t>CNA</t>
  </si>
  <si>
    <t>Road &amp; Rail</t>
  </si>
  <si>
    <t>CAD</t>
  </si>
  <si>
    <t>COFS</t>
  </si>
  <si>
    <t>Distributors</t>
  </si>
  <si>
    <t>Cheniere Energy Partners, L.P.</t>
  </si>
  <si>
    <t>CQP</t>
  </si>
  <si>
    <t>Oil, Gas &amp; Consumable Fuels</t>
  </si>
  <si>
    <t>CRA International, Inc.</t>
  </si>
  <si>
    <t>CRAI</t>
  </si>
  <si>
    <t>Professional Services</t>
  </si>
  <si>
    <t>Communications Equipment</t>
  </si>
  <si>
    <t>Industrial Conglomerates</t>
  </si>
  <si>
    <t>CSWC</t>
  </si>
  <si>
    <t>BDC</t>
  </si>
  <si>
    <t>CTO Realty Growth, Inc.</t>
  </si>
  <si>
    <t>Textiles, Apparel &amp; Luxury Goods</t>
  </si>
  <si>
    <t>Curtiss-Wright Corporation</t>
  </si>
  <si>
    <t>CW</t>
  </si>
  <si>
    <t>Multiline Retail</t>
  </si>
  <si>
    <t>DG</t>
  </si>
  <si>
    <t>DHI</t>
  </si>
  <si>
    <t>Household Durables</t>
  </si>
  <si>
    <t>DKS</t>
  </si>
  <si>
    <t>DLB</t>
  </si>
  <si>
    <t>Enterprise Financial Services Corp</t>
  </si>
  <si>
    <t>EFSC</t>
  </si>
  <si>
    <t>Electrical Equipment</t>
  </si>
  <si>
    <t>EQIX</t>
  </si>
  <si>
    <t>Entergy Corporation</t>
  </si>
  <si>
    <t>ETR</t>
  </si>
  <si>
    <t>EVA</t>
  </si>
  <si>
    <t>EVRG</t>
  </si>
  <si>
    <t>Merger of WR and GXP</t>
  </si>
  <si>
    <t>First Capital, Inc.</t>
  </si>
  <si>
    <t>FCAP</t>
  </si>
  <si>
    <t>First Commonwealth Financial Corporation</t>
  </si>
  <si>
    <t>FCF</t>
  </si>
  <si>
    <t>FCFS</t>
  </si>
  <si>
    <t>Four Corners Property Trust, Inc.</t>
  </si>
  <si>
    <t>FCPT</t>
  </si>
  <si>
    <t>Fidelity D &amp; D Bancorp, Inc.</t>
  </si>
  <si>
    <t>FDBC</t>
  </si>
  <si>
    <t>First Financial Northwest, Inc.</t>
  </si>
  <si>
    <t>FFNW</t>
  </si>
  <si>
    <t>Construction &amp; Engineering</t>
  </si>
  <si>
    <t>Farmers National Banc Corp.</t>
  </si>
  <si>
    <t>FMNB</t>
  </si>
  <si>
    <t>FMS</t>
  </si>
  <si>
    <t>EUR</t>
  </si>
  <si>
    <t>FNCB Bancorp, Inc.</t>
  </si>
  <si>
    <t>FNCB</t>
  </si>
  <si>
    <t>FRAF</t>
  </si>
  <si>
    <t>FSV</t>
  </si>
  <si>
    <t>A7</t>
  </si>
  <si>
    <t>FULT</t>
  </si>
  <si>
    <t>FWRD</t>
  </si>
  <si>
    <t>Genpact Limited</t>
  </si>
  <si>
    <t>G</t>
  </si>
  <si>
    <t>Greene County Bancorp, Inc.</t>
  </si>
  <si>
    <t>GCBC</t>
  </si>
  <si>
    <t>Graham Holdings Company</t>
  </si>
  <si>
    <t>GHC</t>
  </si>
  <si>
    <t>Diversified Consumer Services</t>
  </si>
  <si>
    <t>Global Industrial Company</t>
  </si>
  <si>
    <t>GIC</t>
  </si>
  <si>
    <t>GILD</t>
  </si>
  <si>
    <t>GL</t>
  </si>
  <si>
    <t>Auto Components</t>
  </si>
  <si>
    <t>Acushnet Holdings Corp.</t>
  </si>
  <si>
    <t>GOLF</t>
  </si>
  <si>
    <t>GWRS</t>
  </si>
  <si>
    <t>Hess Midstream LP</t>
  </si>
  <si>
    <t>HESM</t>
  </si>
  <si>
    <t>10¢Spec 10/21</t>
  </si>
  <si>
    <t>Houlihan Lokey, Inc.</t>
  </si>
  <si>
    <t>HLI</t>
  </si>
  <si>
    <t>Hamilton Lane Incorporated</t>
  </si>
  <si>
    <t>HLNE</t>
  </si>
  <si>
    <t>A5</t>
  </si>
  <si>
    <t>HOFT</t>
  </si>
  <si>
    <t>H&amp;R Block, Inc.</t>
  </si>
  <si>
    <t>HRB</t>
  </si>
  <si>
    <t>Hilltop Holdings Inc.</t>
  </si>
  <si>
    <t>HTH</t>
  </si>
  <si>
    <t>Heartland Financial USA, Inc.</t>
  </si>
  <si>
    <t>HTLF</t>
  </si>
  <si>
    <t>Switch to quarterly div</t>
  </si>
  <si>
    <t>Innovative Industrial Properties, Inc.</t>
  </si>
  <si>
    <t>IIPR</t>
  </si>
  <si>
    <t>INTC</t>
  </si>
  <si>
    <t>B6</t>
  </si>
  <si>
    <t>Software</t>
  </si>
  <si>
    <t>Jefferies Financial Group Inc.</t>
  </si>
  <si>
    <t>JEF</t>
  </si>
  <si>
    <t>Kinsale Capital Group, Inc.</t>
  </si>
  <si>
    <t>KNSL</t>
  </si>
  <si>
    <t>Kilroy Realty Corporation</t>
  </si>
  <si>
    <t>KRC</t>
  </si>
  <si>
    <t>Kearny Financial Corp.</t>
  </si>
  <si>
    <t>KRNY</t>
  </si>
  <si>
    <t>LAND</t>
  </si>
  <si>
    <t>LCI Industries</t>
  </si>
  <si>
    <t>LCII</t>
  </si>
  <si>
    <t>LHX</t>
  </si>
  <si>
    <t>LIN</t>
  </si>
  <si>
    <t>LLY</t>
  </si>
  <si>
    <t>C9</t>
  </si>
  <si>
    <t>LOGI</t>
  </si>
  <si>
    <t>Sep</t>
  </si>
  <si>
    <t>Switz, CHF</t>
  </si>
  <si>
    <t>CHF</t>
  </si>
  <si>
    <t>Lamb Weston Holdings, Inc.</t>
  </si>
  <si>
    <t>LW</t>
  </si>
  <si>
    <t>MAS</t>
  </si>
  <si>
    <t>Marine</t>
  </si>
  <si>
    <t>Medifast, Inc.</t>
  </si>
  <si>
    <t>MED</t>
  </si>
  <si>
    <t>B7</t>
  </si>
  <si>
    <t>Martin Marietta Materials, Inc.</t>
  </si>
  <si>
    <t>MLM</t>
  </si>
  <si>
    <t>Construction Materials</t>
  </si>
  <si>
    <t>Midland States Bancorp, Inc.</t>
  </si>
  <si>
    <t>MSBI</t>
  </si>
  <si>
    <t>MSCI Inc.</t>
  </si>
  <si>
    <t>MSCI</t>
  </si>
  <si>
    <t>MVB Financial Corp.</t>
  </si>
  <si>
    <t>MVBF</t>
  </si>
  <si>
    <t>MWA</t>
  </si>
  <si>
    <t>National Bank Holdings Corporation</t>
  </si>
  <si>
    <t>NBHC</t>
  </si>
  <si>
    <t>Nelnet, Inc.</t>
  </si>
  <si>
    <t>NNI</t>
  </si>
  <si>
    <t>Paper &amp; Forest Products</t>
  </si>
  <si>
    <t>NPO</t>
  </si>
  <si>
    <t>National Storage Affiliates Trust</t>
  </si>
  <si>
    <t>NSA</t>
  </si>
  <si>
    <t>Norfolk Southern Corporation</t>
  </si>
  <si>
    <t>NSC</t>
  </si>
  <si>
    <t>NXRT</t>
  </si>
  <si>
    <t>Old Dominion Freight Line, Inc.</t>
  </si>
  <si>
    <t>ODFL</t>
  </si>
  <si>
    <t>Universal Display Corporation</t>
  </si>
  <si>
    <t>OLED</t>
  </si>
  <si>
    <t>ORRF</t>
  </si>
  <si>
    <t>Bank OZK</t>
  </si>
  <si>
    <t>Formerly OZRK</t>
  </si>
  <si>
    <t>Peoples Bancorp Inc.</t>
  </si>
  <si>
    <t>PEBO</t>
  </si>
  <si>
    <t>Internet &amp; Direct Marketing Retail</t>
  </si>
  <si>
    <t>PFC</t>
  </si>
  <si>
    <t>Peoples Financial Services Corp.</t>
  </si>
  <si>
    <t>PFIS</t>
  </si>
  <si>
    <t>Restaurant Brands International Inc.</t>
  </si>
  <si>
    <t>QSR</t>
  </si>
  <si>
    <t>A3</t>
  </si>
  <si>
    <t>Can,US$</t>
  </si>
  <si>
    <t>RVSB</t>
  </si>
  <si>
    <t>SAH</t>
  </si>
  <si>
    <t>SAP SE</t>
  </si>
  <si>
    <t>SAP</t>
  </si>
  <si>
    <t>Germany, EUR</t>
  </si>
  <si>
    <t>Stifel Financial Corp.</t>
  </si>
  <si>
    <t>SF</t>
  </si>
  <si>
    <t>Wireless Telecommunication Services</t>
  </si>
  <si>
    <t>SIGI</t>
  </si>
  <si>
    <t>Adj: switch to monthly div</t>
  </si>
  <si>
    <t>Summit Financial Group, Inc.</t>
  </si>
  <si>
    <t>SMMF</t>
  </si>
  <si>
    <t>SONY</t>
  </si>
  <si>
    <t>ADR - Japan, JPY</t>
  </si>
  <si>
    <t>JPY</t>
  </si>
  <si>
    <t>SSNC</t>
  </si>
  <si>
    <t>STOR</t>
  </si>
  <si>
    <t>STZ</t>
  </si>
  <si>
    <t>Sun Communities, Inc.</t>
  </si>
  <si>
    <t>SUI</t>
  </si>
  <si>
    <t>TAIT</t>
  </si>
  <si>
    <t>TFC</t>
  </si>
  <si>
    <t>TFS Financial Corporation</t>
  </si>
  <si>
    <t>TFSL</t>
  </si>
  <si>
    <t>Automobiles</t>
  </si>
  <si>
    <t>Triton International Limited</t>
  </si>
  <si>
    <t>TRTN</t>
  </si>
  <si>
    <t>TTEC</t>
  </si>
  <si>
    <t>AprOct</t>
  </si>
  <si>
    <t>UTL</t>
  </si>
  <si>
    <t>VALU</t>
  </si>
  <si>
    <t>Adj. Spinoff</t>
  </si>
  <si>
    <t>Valvoline Inc.</t>
  </si>
  <si>
    <t>VVV</t>
  </si>
  <si>
    <t>WTRG</t>
  </si>
  <si>
    <t>WU</t>
  </si>
  <si>
    <t>Bank of Hawaii Corporation</t>
  </si>
  <si>
    <t>BOH</t>
  </si>
  <si>
    <t>Highwoods Properties, Inc.</t>
  </si>
  <si>
    <t>HIW</t>
  </si>
  <si>
    <t>Lake Shore Bancorp, Inc.</t>
  </si>
  <si>
    <t>LSBK</t>
  </si>
  <si>
    <t>Averages for All</t>
  </si>
  <si>
    <t>Champions</t>
  </si>
  <si>
    <t>Contenders</t>
  </si>
  <si>
    <t>Challengers</t>
  </si>
  <si>
    <t>Averages by Sector</t>
  </si>
  <si>
    <t>IROQ</t>
  </si>
  <si>
    <t>MarSep</t>
  </si>
  <si>
    <t>Wingstop Inc.</t>
  </si>
  <si>
    <t>WING</t>
  </si>
  <si>
    <t>Agilent Technologies, Inc.</t>
  </si>
  <si>
    <t>AmerisourceBergen Corporation</t>
  </si>
  <si>
    <t>ABM Industries Incorporated</t>
  </si>
  <si>
    <t>Arbor Realty Trust, Inc.</t>
  </si>
  <si>
    <t>Agree Realty Corporation</t>
  </si>
  <si>
    <t>Analog Devices, Inc.</t>
  </si>
  <si>
    <t>Archer-Daniels-Midland Company</t>
  </si>
  <si>
    <t>Automatic Data Processing, Inc.</t>
  </si>
  <si>
    <t>Ameren Corporation</t>
  </si>
  <si>
    <t>American Equity Investment Life Holding Company</t>
  </si>
  <si>
    <t>American Electric Power Company, Inc.</t>
  </si>
  <si>
    <t>The AES Corporation</t>
  </si>
  <si>
    <t>American Financial Group, Inc.</t>
  </si>
  <si>
    <t>Aflac Incorporated</t>
  </si>
  <si>
    <t>AGCO Corporation</t>
  </si>
  <si>
    <t>Federal Agricultural Mortgage Corporation</t>
  </si>
  <si>
    <t>Applied Industrial Technologies, Inc.</t>
  </si>
  <si>
    <t>Assurant, Inc.</t>
  </si>
  <si>
    <t>Air Lease Corporation</t>
  </si>
  <si>
    <t>Albemarle Corporation</t>
  </si>
  <si>
    <t>ALLETE, Inc.</t>
  </si>
  <si>
    <t>Alamo Group Inc.</t>
  </si>
  <si>
    <t>The Allstate Corporation</t>
  </si>
  <si>
    <t>Alerus Financial Corporation</t>
  </si>
  <si>
    <t>Ameriprise Financial, Inc.</t>
  </si>
  <si>
    <t>AMERISAFE, Inc.</t>
  </si>
  <si>
    <t>American Tower Corporation (REIT)</t>
  </si>
  <si>
    <t>A. O. Smith Corporation</t>
  </si>
  <si>
    <t>Air Products and Chemicals, Inc.</t>
  </si>
  <si>
    <t>Amphenol Corporation</t>
  </si>
  <si>
    <t>Apollo Bancorp, Inc.</t>
  </si>
  <si>
    <t>Apogee Enterprises, Inc.</t>
  </si>
  <si>
    <t>Alexandria Real Estate Equities, Inc.</t>
  </si>
  <si>
    <t>Arrow Financial Corporation</t>
  </si>
  <si>
    <t>Artesian Resources Corporation</t>
  </si>
  <si>
    <t>Ames National Corporation</t>
  </si>
  <si>
    <t>Atmos Energy Corporation</t>
  </si>
  <si>
    <t>AptarGroup, Inc.</t>
  </si>
  <si>
    <t>Atrion Corporation</t>
  </si>
  <si>
    <t>Activision Blizzard, Inc.</t>
  </si>
  <si>
    <t>Atlantic Union Bankshares Corporation</t>
  </si>
  <si>
    <t>Auburn National Bancorporation, Inc.</t>
  </si>
  <si>
    <t>Avista Corporation</t>
  </si>
  <si>
    <t>Broadcom Inc.</t>
  </si>
  <si>
    <t>Avient Corporation</t>
  </si>
  <si>
    <t>Avnet, Inc.</t>
  </si>
  <si>
    <t>Avery Dennison Corporation</t>
  </si>
  <si>
    <t>American Water Works Company, Inc.</t>
  </si>
  <si>
    <t>American States Water Company</t>
  </si>
  <si>
    <t>AXIS Capital Holdings Limited</t>
  </si>
  <si>
    <t>Atlantica Sustainable Infrastructure plc</t>
  </si>
  <si>
    <t>Bank of America Corporation</t>
  </si>
  <si>
    <t>Booz Allen Hamilton Holding Corporation</t>
  </si>
  <si>
    <t>BancFirst Corporation</t>
  </si>
  <si>
    <t>Best Buy Co., Inc.</t>
  </si>
  <si>
    <t>Brunswick Corporation</t>
  </si>
  <si>
    <t>Balchem Corporation</t>
  </si>
  <si>
    <t>Becton, Dickinson and Company</t>
  </si>
  <si>
    <t>Franklin Resources, Inc.</t>
  </si>
  <si>
    <t>Brookfield Renewable Partners L.P.</t>
  </si>
  <si>
    <t>Brown-Forman Corporation</t>
  </si>
  <si>
    <t>Brookfield Infrastructure Partners L.P.</t>
  </si>
  <si>
    <t>The Bank of New York Mellon Corporation</t>
  </si>
  <si>
    <t>Black Hills Corporation</t>
  </si>
  <si>
    <t>BlackRock, Inc.</t>
  </si>
  <si>
    <t>Badger Meter, Inc.</t>
  </si>
  <si>
    <t>Bristol-Myers Squibb Company</t>
  </si>
  <si>
    <t>BOK Financial Corporation</t>
  </si>
  <si>
    <t>Broadridge Financial Solutions, Inc.</t>
  </si>
  <si>
    <t>Brady Corporation</t>
  </si>
  <si>
    <t>Brown &amp; Brown, Inc.</t>
  </si>
  <si>
    <t>Bankwell Financial Group, Inc.</t>
  </si>
  <si>
    <t>Cardinal Health, Inc.</t>
  </si>
  <si>
    <t>Cass Information Systems, Inc.</t>
  </si>
  <si>
    <t>Casey's General Stores, Inc.</t>
  </si>
  <si>
    <t>Cboe Global Markets, Inc.</t>
  </si>
  <si>
    <t>Commerce Bancshares, Inc.</t>
  </si>
  <si>
    <t>Cabot Corporation</t>
  </si>
  <si>
    <t>Community Bank System, Inc.</t>
  </si>
  <si>
    <t>Capital City Bank Group, Inc.</t>
  </si>
  <si>
    <t>CCFNB Bancorp, Inc.</t>
  </si>
  <si>
    <t>Crown Castle International Corp. (REIT)</t>
  </si>
  <si>
    <t>Cogent Communications Holdings, Inc.</t>
  </si>
  <si>
    <t>CDW Corporation</t>
  </si>
  <si>
    <t>Celanese Corporation</t>
  </si>
  <si>
    <t>C&amp;F Financial Corporation</t>
  </si>
  <si>
    <t>Cullen/Frost Bankers, Inc.</t>
  </si>
  <si>
    <t>City Holding Company</t>
  </si>
  <si>
    <t>Community Healthcare Trust Incorporated</t>
  </si>
  <si>
    <t>Church &amp; Dwight Co., Inc.</t>
  </si>
  <si>
    <t>Churchill Downs Incorporated</t>
  </si>
  <si>
    <t>Chemed Corporation</t>
  </si>
  <si>
    <t>C.H. Robinson Worldwide, Inc.</t>
  </si>
  <si>
    <t>Cincinnati Financial Corporation</t>
  </si>
  <si>
    <t>Civista Bancshares, Inc.</t>
  </si>
  <si>
    <t>Colgate-Palmolive Company</t>
  </si>
  <si>
    <t>The Clorox Company</t>
  </si>
  <si>
    <t>Comcast Corporation</t>
  </si>
  <si>
    <t>CMS Energy Corporation</t>
  </si>
  <si>
    <t>Canadian National Railway Company</t>
  </si>
  <si>
    <t>CNO Financial Group, Inc.</t>
  </si>
  <si>
    <t>Cohen &amp; Steers, Inc.</t>
  </si>
  <si>
    <t>ChoiceOne Financial Services, Inc.</t>
  </si>
  <si>
    <t>ConocoPhillips</t>
  </si>
  <si>
    <t>COP</t>
  </si>
  <si>
    <t>Costco Wholesale Corporation</t>
  </si>
  <si>
    <t>Chesapeake Utilities Corporation</t>
  </si>
  <si>
    <t>Chesapeake Financial Shares, Inc.</t>
  </si>
  <si>
    <t>Cisco Systems, Inc.</t>
  </si>
  <si>
    <t>CSG Systems International, Inc.</t>
  </si>
  <si>
    <t>Carlisle Companies Incorporated</t>
  </si>
  <si>
    <t>Computer Services, Inc.</t>
  </si>
  <si>
    <t>Capital Southwest</t>
  </si>
  <si>
    <t>CSX Corporation</t>
  </si>
  <si>
    <t>Cintas Corporation</t>
  </si>
  <si>
    <t>Community Trust Bancorp, Inc.</t>
  </si>
  <si>
    <t>CareTrust REIT, Inc.</t>
  </si>
  <si>
    <t>Chevron Corporation</t>
  </si>
  <si>
    <t>California Water Service Group</t>
  </si>
  <si>
    <t>Citizens Financial Services, Inc.</t>
  </si>
  <si>
    <t>Donaldson Company, Inc.</t>
  </si>
  <si>
    <t>Dillard's, Inc.</t>
  </si>
  <si>
    <t>Dollar General Corporation</t>
  </si>
  <si>
    <t>Quest Diagnostics Incorporated</t>
  </si>
  <si>
    <t>D.R. Horton, Inc.</t>
  </si>
  <si>
    <t>Danaher Corporation</t>
  </si>
  <si>
    <t>Delek Logistics Partners, LP</t>
  </si>
  <si>
    <t>DICK'S Sporting Goods, Inc.</t>
  </si>
  <si>
    <t>Dolby Laboratories, Inc.</t>
  </si>
  <si>
    <t>Digital Realty Trust, Inc.</t>
  </si>
  <si>
    <t>Dover Corporation</t>
  </si>
  <si>
    <t>Domino's Pizza, Inc.</t>
  </si>
  <si>
    <t>Duke Energy Corporation</t>
  </si>
  <si>
    <t>Eagle Bancorp Montana, Inc.</t>
  </si>
  <si>
    <t>Enterprise Bancorp, Inc.</t>
  </si>
  <si>
    <t>Consolidated Edison, Inc.</t>
  </si>
  <si>
    <t>Eagle Financial Services, Inc.</t>
  </si>
  <si>
    <t>EastGroup Properties, Inc.</t>
  </si>
  <si>
    <t>Equity LifeStyle Properties, Inc.</t>
  </si>
  <si>
    <t>Eastman Chemical Company</t>
  </si>
  <si>
    <t>Emerson Electric Co.</t>
  </si>
  <si>
    <t>The Ensign Group, Inc.</t>
  </si>
  <si>
    <t>Enterprise Products Partners L.P.</t>
  </si>
  <si>
    <t>Equinix, Inc. (REIT)</t>
  </si>
  <si>
    <t>Essex Property Trust, Inc.</t>
  </si>
  <si>
    <t>Eaton Corporation plc</t>
  </si>
  <si>
    <t>Enviva Partners, LP</t>
  </si>
  <si>
    <t>Evans Bancorp, Inc.</t>
  </si>
  <si>
    <t>Evergy, Inc.</t>
  </si>
  <si>
    <t>Expeditors International of Washington, Inc.</t>
  </si>
  <si>
    <t>Exponent, Inc.</t>
  </si>
  <si>
    <t>First American Financial Corporation</t>
  </si>
  <si>
    <t>Fortune Brands Home &amp; Security, Inc.</t>
  </si>
  <si>
    <t>First Business Financial Services, Inc.</t>
  </si>
  <si>
    <t>Farmers Bankshares, Inc.</t>
  </si>
  <si>
    <t>First Community Bankshares, Inc.</t>
  </si>
  <si>
    <t>FirstCash, Inc.</t>
  </si>
  <si>
    <t>FactSet Research Systems Inc.</t>
  </si>
  <si>
    <t>Franklin Electric Co., Inc.</t>
  </si>
  <si>
    <t>First Financial Bankshares, Inc.</t>
  </si>
  <si>
    <t>First Farmers Financial Corporation</t>
  </si>
  <si>
    <t>First Interstate BancSystem, Inc.</t>
  </si>
  <si>
    <t>Financial Institutions, Inc.</t>
  </si>
  <si>
    <t>Comfort Systems USA, Inc.</t>
  </si>
  <si>
    <t>The First of Long Island Corporation</t>
  </si>
  <si>
    <t>Flowers Foods, Inc.</t>
  </si>
  <si>
    <t>Farmers &amp; Merchants Bancorp, Inc.</t>
  </si>
  <si>
    <t>First Mid Bancshares, Inc.</t>
  </si>
  <si>
    <t>Fresenius Medical Care AG &amp; Co. KGaA</t>
  </si>
  <si>
    <t>Fidelity National Financial, Inc.</t>
  </si>
  <si>
    <t>The First Bancorp, Inc.</t>
  </si>
  <si>
    <t>Franco-Nevada Corporation</t>
  </si>
  <si>
    <t>First Industrial Realty Trust, Inc.</t>
  </si>
  <si>
    <t>Franklin Financial Services Corporation</t>
  </si>
  <si>
    <t>First Merchants Corporation</t>
  </si>
  <si>
    <t>Federal Realty Investment Trust</t>
  </si>
  <si>
    <t>FS Bancorp, Inc.</t>
  </si>
  <si>
    <t>First Savings Financial Group, Inc.</t>
  </si>
  <si>
    <t>FirstService Corporation</t>
  </si>
  <si>
    <t>Fulton Financial Corporation</t>
  </si>
  <si>
    <t>Forward Air Corporation</t>
  </si>
  <si>
    <t>First National Corporation</t>
  </si>
  <si>
    <t>German American Bancorp, Inc.</t>
  </si>
  <si>
    <t>Gladstone Investment</t>
  </si>
  <si>
    <t>GATX Corporation</t>
  </si>
  <si>
    <t>Glacier Bancorp, Inc.</t>
  </si>
  <si>
    <t>General Dynamics Corporation</t>
  </si>
  <si>
    <t>Griffon Corporation</t>
  </si>
  <si>
    <t>Gilead Sciences, Inc.</t>
  </si>
  <si>
    <t>Globe Life Inc.</t>
  </si>
  <si>
    <t>Corning Incorporated</t>
  </si>
  <si>
    <t>Genuine Parts Company</t>
  </si>
  <si>
    <t>The Gorman-Rupp Company</t>
  </si>
  <si>
    <t>The Goldman Sachs Group, Inc.</t>
  </si>
  <si>
    <t>Great Southern Bancorp, Inc.</t>
  </si>
  <si>
    <t>Global Water Resources, Inc.</t>
  </si>
  <si>
    <t>W.W. Grainger, Inc.</t>
  </si>
  <si>
    <t>Home Bancorp, Inc.</t>
  </si>
  <si>
    <t>Horizon Bancorp, Inc.</t>
  </si>
  <si>
    <t>The Hackett Group, Inc.</t>
  </si>
  <si>
    <t>Healthcare Services Group, Inc.</t>
  </si>
  <si>
    <t>The Home Depot, Inc.</t>
  </si>
  <si>
    <t>HEICO Corporation</t>
  </si>
  <si>
    <t>Home Federal Bancorp, Inc. of Louisiana</t>
  </si>
  <si>
    <t>Heritage Financial Corporation</t>
  </si>
  <si>
    <t>Hillenbrand, Inc.</t>
  </si>
  <si>
    <t>The Hartford Financial Services Group, Inc.</t>
  </si>
  <si>
    <t>Huntington Ingalls Industries, Inc.</t>
  </si>
  <si>
    <t>Heartland BancCorp</t>
  </si>
  <si>
    <t>Horace Mann Educators Corporation</t>
  </si>
  <si>
    <t>HNI Corporation</t>
  </si>
  <si>
    <t>Hooker Furnishings Corporation</t>
  </si>
  <si>
    <t>Home Bancshares, Inc. (Conway, AR)</t>
  </si>
  <si>
    <t>Honat Bancorp, Inc.</t>
  </si>
  <si>
    <t>Hormel Foods Corporation</t>
  </si>
  <si>
    <t>The Hershey Company</t>
  </si>
  <si>
    <t>Hubbell Incorporated</t>
  </si>
  <si>
    <t>Hurco Companies, Inc.</t>
  </si>
  <si>
    <t>Hawthorn Bancshares, Inc.</t>
  </si>
  <si>
    <t>Hawkins, Inc.</t>
  </si>
  <si>
    <t>Hyster-Yale Materials Handling, Inc.</t>
  </si>
  <si>
    <t>Independent Bank Corporation</t>
  </si>
  <si>
    <t>International Business Machines Corporation</t>
  </si>
  <si>
    <t>International Bancshares Corporation</t>
  </si>
  <si>
    <t>Independent Bank Group, Inc.</t>
  </si>
  <si>
    <t>Intercontinental Exchange, Inc.</t>
  </si>
  <si>
    <t>IDACORP, Inc.</t>
  </si>
  <si>
    <t>IDEX Corporation</t>
  </si>
  <si>
    <t>International Flavors &amp; Fragrances Inc.</t>
  </si>
  <si>
    <t>Independent Bank Corp.</t>
  </si>
  <si>
    <t>Ingredion Incorporated</t>
  </si>
  <si>
    <t>Intel Corporation</t>
  </si>
  <si>
    <t>The Interpublic Group of Companies, Inc.</t>
  </si>
  <si>
    <t>IF Bancorp, Inc.</t>
  </si>
  <si>
    <t>Investar Holding Corporation</t>
  </si>
  <si>
    <t>ITT Inc</t>
  </si>
  <si>
    <t>Illinois Tool Works Inc.</t>
  </si>
  <si>
    <t>J.B. Hunt Transport Services, Inc.</t>
  </si>
  <si>
    <t>J &amp; J Snack Foods Corp.</t>
  </si>
  <si>
    <t>Jack Henry &amp; Associates, Inc.</t>
  </si>
  <si>
    <t>John Wiley &amp; Sons, Inc.</t>
  </si>
  <si>
    <t>Kaiser Aluminum Corporation</t>
  </si>
  <si>
    <t>KLA Corporation</t>
  </si>
  <si>
    <t>Kimberly-Clark Corporation</t>
  </si>
  <si>
    <t>The Coca-Cola Company</t>
  </si>
  <si>
    <t>The Kroger Co.</t>
  </si>
  <si>
    <t>Quaker Chemical Corporation</t>
  </si>
  <si>
    <t>Lithia Motors, Inc.</t>
  </si>
  <si>
    <t>Lancaster Colony Corporation</t>
  </si>
  <si>
    <t>Gladstone Land Corporation</t>
  </si>
  <si>
    <t>Landmark Bancorp, Inc.</t>
  </si>
  <si>
    <t>Lakeland Bancorp, Inc.</t>
  </si>
  <si>
    <t>Lincoln Electric Holdings, Inc.</t>
  </si>
  <si>
    <t>Leggett &amp; Platt, Incorporated</t>
  </si>
  <si>
    <t>Littelfuse, Inc.</t>
  </si>
  <si>
    <t>L3Harris Technologies, Inc.</t>
  </si>
  <si>
    <t>Linde plc</t>
  </si>
  <si>
    <t>Lakeland Financial Corporation</t>
  </si>
  <si>
    <t>Eli Lilly and Company</t>
  </si>
  <si>
    <t>LeMaitre Vascular, Inc.</t>
  </si>
  <si>
    <t>Lockheed Martin Corporation</t>
  </si>
  <si>
    <t>Lincoln National Corporation</t>
  </si>
  <si>
    <t>Lindsay Corporation</t>
  </si>
  <si>
    <t>Alliant Energy Corporation</t>
  </si>
  <si>
    <t>Logitech International S.A.</t>
  </si>
  <si>
    <t>Lowe's Companies, Inc.</t>
  </si>
  <si>
    <t>Lam Research Corporation</t>
  </si>
  <si>
    <t>Landstar System, Inc.</t>
  </si>
  <si>
    <t>LyondellBasell Industries N.V.</t>
  </si>
  <si>
    <t>Mastercard Incorporated</t>
  </si>
  <si>
    <t>Mid-America Apartment Communities, Inc.</t>
  </si>
  <si>
    <t>Main Street Capital</t>
  </si>
  <si>
    <t>ManpowerGroup Inc</t>
  </si>
  <si>
    <t>Masco Corporation</t>
  </si>
  <si>
    <t>Matthews International Corporation</t>
  </si>
  <si>
    <t>Matson, Inc.</t>
  </si>
  <si>
    <t>Mercantile Bank Corporation</t>
  </si>
  <si>
    <t>McDonald's Corporation</t>
  </si>
  <si>
    <t>Microchip Technology Incorporated</t>
  </si>
  <si>
    <t>McKesson Corporation</t>
  </si>
  <si>
    <t>Moody's Corporation</t>
  </si>
  <si>
    <t>Mondelez International, Inc.</t>
  </si>
  <si>
    <t>MDU Resources Group, Inc.</t>
  </si>
  <si>
    <t>MetLife, Inc.</t>
  </si>
  <si>
    <t>MGE Energy, Inc.</t>
  </si>
  <si>
    <t>McGrath RentCorp</t>
  </si>
  <si>
    <t>McCormick &amp; Company, Incorporated</t>
  </si>
  <si>
    <t>Marsh &amp; McLennan Companies, Inc.</t>
  </si>
  <si>
    <t>Magellan Midstream Partners, L.P.</t>
  </si>
  <si>
    <t>Marquette National Corporation</t>
  </si>
  <si>
    <t>Monro, Inc.</t>
  </si>
  <si>
    <t>Altria Group, Inc.</t>
  </si>
  <si>
    <t>MidWestOne Financial Group, Inc.</t>
  </si>
  <si>
    <t>Morningstar, Inc.</t>
  </si>
  <si>
    <t>Mid Penn Bancorp, Inc.</t>
  </si>
  <si>
    <t>Medical Properties Trust, Inc.</t>
  </si>
  <si>
    <t>Merck &amp; Co., Inc.</t>
  </si>
  <si>
    <t>MSA Safety Incorporated</t>
  </si>
  <si>
    <t>Middlesex Water Company</t>
  </si>
  <si>
    <t>Microsoft Corporation</t>
  </si>
  <si>
    <t>Motorola Solutions, Inc.</t>
  </si>
  <si>
    <t>Materion Corporation</t>
  </si>
  <si>
    <t>Mueller Water Products, Inc</t>
  </si>
  <si>
    <t>Muncy Bank Financial, Inc.</t>
  </si>
  <si>
    <t>National Instruments Corporation</t>
  </si>
  <si>
    <t>NACCO Industries, Inc.</t>
  </si>
  <si>
    <t>Nasdaq, Inc.</t>
  </si>
  <si>
    <t>Nordson Corporation</t>
  </si>
  <si>
    <t>NextEra Energy, Inc.</t>
  </si>
  <si>
    <t>NextEra Energy Partners, LP</t>
  </si>
  <si>
    <t>NewMarket Corporation</t>
  </si>
  <si>
    <t>Northfield Bancorp, Inc. (Staten Island, NY)</t>
  </si>
  <si>
    <t>National Fuel Gas Company</t>
  </si>
  <si>
    <t>Northeast Indiana Bancorp, Inc.</t>
  </si>
  <si>
    <t>New Jersey Resources Corporation</t>
  </si>
  <si>
    <t>NIKE, Inc.</t>
  </si>
  <si>
    <t>National Retail Properties, Inc.</t>
  </si>
  <si>
    <t>Northrop Grumman Corporation</t>
  </si>
  <si>
    <t>EnPro Industries, Inc.</t>
  </si>
  <si>
    <t>Northrim BanCorp, Inc.</t>
  </si>
  <si>
    <t>Insperity, Inc.</t>
  </si>
  <si>
    <t>NetApp, Inc.</t>
  </si>
  <si>
    <t>Nucor Corporation</t>
  </si>
  <si>
    <t>Nu Skin Enterprises, Inc.</t>
  </si>
  <si>
    <t>Northwest Bancshares, Inc.</t>
  </si>
  <si>
    <t>NorthWestern Corporation</t>
  </si>
  <si>
    <t>Norwood Financial Corp.</t>
  </si>
  <si>
    <t>Northwest Natural Holding Company</t>
  </si>
  <si>
    <t>NexPoint Residential Trust, Inc.</t>
  </si>
  <si>
    <t>Nexstar Media Group, Inc.</t>
  </si>
  <si>
    <t>Realty Income Corporation</t>
  </si>
  <si>
    <t>Owens Corning</t>
  </si>
  <si>
    <t>Oil-Dri Corporation of America</t>
  </si>
  <si>
    <t>ONE Gas, Inc.</t>
  </si>
  <si>
    <t>Oracle Corporation</t>
  </si>
  <si>
    <t>Old Republic International Corporation</t>
  </si>
  <si>
    <t>Orrstown Financial Services, Inc.</t>
  </si>
  <si>
    <t>Oshkosh Corporation</t>
  </si>
  <si>
    <t>Open Text Corporation</t>
  </si>
  <si>
    <t>Otter Tail Corporation</t>
  </si>
  <si>
    <t>Paychex, Inc.</t>
  </si>
  <si>
    <t>Prosperity Bancshares, Inc.</t>
  </si>
  <si>
    <t>Peoples Bancorp of North Carolina, Inc.</t>
  </si>
  <si>
    <t>Public Service Enterprise Group Incorporated</t>
  </si>
  <si>
    <t>PepsiCo, Inc.</t>
  </si>
  <si>
    <t>PetMed Express, Inc.</t>
  </si>
  <si>
    <t>Premier Financial Corp.</t>
  </si>
  <si>
    <t>Principal Financial Group, Inc.</t>
  </si>
  <si>
    <t>The Procter &amp; Gamble Company</t>
  </si>
  <si>
    <t>Parker-Hannifin Corporation</t>
  </si>
  <si>
    <t>Polaris Inc.</t>
  </si>
  <si>
    <t>Prologis, Inc.</t>
  </si>
  <si>
    <t>Douglas Dynamics, Inc.</t>
  </si>
  <si>
    <t>Philip Morris International Inc.</t>
  </si>
  <si>
    <t>Pioneer Bankshares, Inc.</t>
  </si>
  <si>
    <t>The PNC Financial Services Group, Inc.</t>
  </si>
  <si>
    <t>PNM Resources, Inc.</t>
  </si>
  <si>
    <t>Pentair plc</t>
  </si>
  <si>
    <t>Pinnacle West Capital Corporation</t>
  </si>
  <si>
    <t>Pool Corporation</t>
  </si>
  <si>
    <t>Portland General Electric Company</t>
  </si>
  <si>
    <t>Power Integrations, Inc.</t>
  </si>
  <si>
    <t>PPG Industries, Inc.</t>
  </si>
  <si>
    <t>Primerica, Inc.</t>
  </si>
  <si>
    <t>Prudential Financial, Inc.</t>
  </si>
  <si>
    <t>PSB Holdings, Inc.</t>
  </si>
  <si>
    <t>QUALCOMM Incorporated</t>
  </si>
  <si>
    <t>Quaint Oak Bancorp, Inc.</t>
  </si>
  <si>
    <t>Ryder System, Inc.</t>
  </si>
  <si>
    <t>Ritchie Bros. Auctioneers Incorporated</t>
  </si>
  <si>
    <t>Republic Bancorp, Inc.</t>
  </si>
  <si>
    <t>Regency Centers Corporation</t>
  </si>
  <si>
    <t>Rexford Industrial Realty, Inc.</t>
  </si>
  <si>
    <t>Regions Financial Corporation</t>
  </si>
  <si>
    <t>Reinsurance Group of America, Incorporated</t>
  </si>
  <si>
    <t>RGC Resources, Inc.</t>
  </si>
  <si>
    <t>Royal Gold, Inc.</t>
  </si>
  <si>
    <t>Raymond James Financial, Inc.</t>
  </si>
  <si>
    <t>RE/MAX Holdings, Inc.</t>
  </si>
  <si>
    <t>RenaissanceRe Holdings Ltd.</t>
  </si>
  <si>
    <t>Rockwell Automation, Inc.</t>
  </si>
  <si>
    <t>Roper Technologies, Inc.</t>
  </si>
  <si>
    <t>Republic Services, Inc.</t>
  </si>
  <si>
    <t>Riverview Bancorp, Inc.</t>
  </si>
  <si>
    <t>Sonic Automotive, Inc.</t>
  </si>
  <si>
    <t>Sandy Spring Bancorp, Inc.</t>
  </si>
  <si>
    <t>SB Financial Group, Inc.</t>
  </si>
  <si>
    <t>Southside Bancshares, Inc.</t>
  </si>
  <si>
    <t>Starbucks Corporation</t>
  </si>
  <si>
    <t>Service Corporation International</t>
  </si>
  <si>
    <t>Shoe Carnival, Inc.</t>
  </si>
  <si>
    <t>ServisFirst Bancshares, Inc.</t>
  </si>
  <si>
    <t>Simmons First National Corporation</t>
  </si>
  <si>
    <t>Star Group, L.P.</t>
  </si>
  <si>
    <t>The Sherwin-Williams Company</t>
  </si>
  <si>
    <t>Selective Insurance Group, Inc.</t>
  </si>
  <si>
    <t>South Jersey Industries, Inc.</t>
  </si>
  <si>
    <t>The J. M. Smucker Company</t>
  </si>
  <si>
    <t>SJW Group</t>
  </si>
  <si>
    <t>Southern Missouri Bancorp, Inc.</t>
  </si>
  <si>
    <t>The Scotts Miracle-Gro Company</t>
  </si>
  <si>
    <t>Snap-on Incorporated</t>
  </si>
  <si>
    <t>Synovus Financial Corp.</t>
  </si>
  <si>
    <t>The Southern Company</t>
  </si>
  <si>
    <t>Southern Michigan Bancorp, Inc.</t>
  </si>
  <si>
    <t>Sonoco Products Company</t>
  </si>
  <si>
    <t>Sony Group Corporation</t>
  </si>
  <si>
    <t>1st Source Corporation</t>
  </si>
  <si>
    <t>Sempra</t>
  </si>
  <si>
    <t>SouthState Corporation</t>
  </si>
  <si>
    <t>Simpson Manufacturing Co., Inc.</t>
  </si>
  <si>
    <t>SS&amp;C Technologies Holdings, Inc.</t>
  </si>
  <si>
    <t>STAG Industrial, Inc.</t>
  </si>
  <si>
    <t>S&amp;T Bancorp, Inc.</t>
  </si>
  <si>
    <t>STERIS plc</t>
  </si>
  <si>
    <t>Steel Dynamics, Inc.</t>
  </si>
  <si>
    <t>STORE Capital Corporation</t>
  </si>
  <si>
    <t>State Street Corporation</t>
  </si>
  <si>
    <t>Constellation Brands, Inc.</t>
  </si>
  <si>
    <t>Stanley Black &amp; Decker, Inc.</t>
  </si>
  <si>
    <t>Skyworks Solutions, Inc.</t>
  </si>
  <si>
    <t>Southwest Gas Holdings, Inc.</t>
  </si>
  <si>
    <t>Standex International Corporation</t>
  </si>
  <si>
    <t>Sensient Technologies Corporation</t>
  </si>
  <si>
    <t>Stock Yards Bancorp, Inc.</t>
  </si>
  <si>
    <t>Stryker Corporation</t>
  </si>
  <si>
    <t>Sysco Corporation</t>
  </si>
  <si>
    <t>Taitron Components Incorporated</t>
  </si>
  <si>
    <t>Telephone and Data Systems, Inc.</t>
  </si>
  <si>
    <t>Truist Financial Corporation</t>
  </si>
  <si>
    <t>Target Corporation</t>
  </si>
  <si>
    <t>First Financial Corporation</t>
  </si>
  <si>
    <t>The Hanover Insurance Group, Inc.</t>
  </si>
  <si>
    <t>Thor Industries, Inc.</t>
  </si>
  <si>
    <t>The Timken Company</t>
  </si>
  <si>
    <t>Tompkins Financial Corporation</t>
  </si>
  <si>
    <t>TowneBank</t>
  </si>
  <si>
    <t>Texas Pacific Land Corporation</t>
  </si>
  <si>
    <t>Tootsie Roll Industries, Inc.</t>
  </si>
  <si>
    <t>Thomson Reuters Corporation</t>
  </si>
  <si>
    <t>Trinity Industries, Inc.</t>
  </si>
  <si>
    <t>Terreno Realty Corporation</t>
  </si>
  <si>
    <t>T. Rowe Price Group, Inc.</t>
  </si>
  <si>
    <t>Truxton Corporation</t>
  </si>
  <si>
    <t>The Travelers Companies, Inc.</t>
  </si>
  <si>
    <t>Timberland Bancorp, Inc.</t>
  </si>
  <si>
    <t>Tyson Foods, Inc.</t>
  </si>
  <si>
    <t>The Toro Company</t>
  </si>
  <si>
    <t>TTEC Holdings, Inc.</t>
  </si>
  <si>
    <t>Tetra Tech, Inc.</t>
  </si>
  <si>
    <t>Texas Instruments Incorporated</t>
  </si>
  <si>
    <t>Trinity Bank, N.A.</t>
  </si>
  <si>
    <t>Calvin B. Taylor Bankshares, Inc.</t>
  </si>
  <si>
    <t>United Bancorp, Inc.</t>
  </si>
  <si>
    <t>United Community Banks, Inc.</t>
  </si>
  <si>
    <t>UDR, Inc.</t>
  </si>
  <si>
    <t>UFP Industries, Inc.</t>
  </si>
  <si>
    <t>UGI Corporation</t>
  </si>
  <si>
    <t>Universal Health Realty Income Trust</t>
  </si>
  <si>
    <t>UMB Financial Corporation</t>
  </si>
  <si>
    <t>Union Bankshares, Inc.</t>
  </si>
  <si>
    <t>UnitedHealth Group Incorporated</t>
  </si>
  <si>
    <t>Union Pacific Corporation</t>
  </si>
  <si>
    <t>Unity Bancorp, Inc.</t>
  </si>
  <si>
    <t>United Parcel Service, Inc.</t>
  </si>
  <si>
    <t>Unitil Corporation</t>
  </si>
  <si>
    <t>Utah Medical Products, Inc.</t>
  </si>
  <si>
    <t>Universal Corporation</t>
  </si>
  <si>
    <t>Value Line, Inc.</t>
  </si>
  <si>
    <t>V.F. Corporation</t>
  </si>
  <si>
    <t>Vulcan Materials Company</t>
  </si>
  <si>
    <t>Verizon Communications Inc.</t>
  </si>
  <si>
    <t>Westamerica Bancorporation</t>
  </si>
  <si>
    <t>Washington Federal, Inc.</t>
  </si>
  <si>
    <t>Washington Trust Bancorp, Inc.</t>
  </si>
  <si>
    <t>Walgreens Boots Alliance, Inc.</t>
  </si>
  <si>
    <t>Waste Connections, Inc.</t>
  </si>
  <si>
    <t>Woodlands Financial Services Company</t>
  </si>
  <si>
    <t>WEC Energy Group, Inc.</t>
  </si>
  <si>
    <t>Whirlpool Corporation</t>
  </si>
  <si>
    <t>Westlake Chemical Corporation</t>
  </si>
  <si>
    <t>Willis Towers Watson Public Limited Company</t>
  </si>
  <si>
    <t>Waste Management, Inc.</t>
  </si>
  <si>
    <t>Advanced Drainage Systems, Inc.</t>
  </si>
  <si>
    <t>Walmart Inc.</t>
  </si>
  <si>
    <t>Worthington Industries, Inc.</t>
  </si>
  <si>
    <t>W. P. Carey Inc.</t>
  </si>
  <si>
    <t>W. R. Berkley Corporation</t>
  </si>
  <si>
    <t>WesBanco, Inc.</t>
  </si>
  <si>
    <t>WSFS Financial Corporation</t>
  </si>
  <si>
    <t>Williams-Sonoma, Inc.</t>
  </si>
  <si>
    <t>Watsco, Inc.</t>
  </si>
  <si>
    <t>West Pharmaceutical Services, Inc.</t>
  </si>
  <si>
    <t>West Bancorporation, Inc.</t>
  </si>
  <si>
    <t>Wintrust Financial Corporation</t>
  </si>
  <si>
    <t>Essential Utilities, Inc.</t>
  </si>
  <si>
    <t>Watts Water Technologies, Inc.</t>
  </si>
  <si>
    <t>The Western Union Company</t>
  </si>
  <si>
    <t>Xcel Energy Inc.</t>
  </si>
  <si>
    <t>Exxon Mobil Corporation</t>
  </si>
  <si>
    <t>DENTSPLY SIRONA Inc.</t>
  </si>
  <si>
    <t>The York Water Company</t>
  </si>
  <si>
    <t>Zions Bancorporation, National Association</t>
  </si>
  <si>
    <t>Cadence Bank</t>
  </si>
  <si>
    <t>CADE</t>
  </si>
  <si>
    <t>Coterra Energy Inc.</t>
  </si>
  <si>
    <t>CTRA</t>
  </si>
  <si>
    <t>M&amp;T Bank Corporation</t>
  </si>
  <si>
    <t>MTB</t>
  </si>
  <si>
    <t>Regal Rexnord Corporation</t>
  </si>
  <si>
    <t>RRX</t>
  </si>
  <si>
    <t>Silicon Motion Technology Corporation</t>
  </si>
  <si>
    <t>SIMO</t>
  </si>
  <si>
    <t>Sirius XM Holdings Inc.</t>
  </si>
  <si>
    <t>SIRI</t>
  </si>
  <si>
    <t>Switch, Inc.</t>
  </si>
  <si>
    <t>SWCH</t>
  </si>
  <si>
    <t>Vishay Intertechnology, Inc.</t>
  </si>
  <si>
    <t>VSH</t>
  </si>
  <si>
    <t>Numbers in Gray last updated 12/31/2021</t>
  </si>
  <si>
    <t>Last updated 12/31/2021</t>
  </si>
  <si>
    <t>2021 = Year 6</t>
  </si>
  <si>
    <t>2021 = Year 11</t>
  </si>
  <si>
    <t>2021 = Year 9</t>
  </si>
  <si>
    <t>2021 = Year 8</t>
  </si>
  <si>
    <t>2021 = Year 8 Canada CAD</t>
  </si>
  <si>
    <t>2021 = Year 32</t>
  </si>
  <si>
    <t>EOG Resources, Inc.</t>
  </si>
  <si>
    <t>EOG</t>
  </si>
  <si>
    <t>Evercore Inc.</t>
  </si>
  <si>
    <t>East West Bancorp, Inc.</t>
  </si>
  <si>
    <t>EWBC</t>
  </si>
  <si>
    <t>Diamondback Energy, Inc.</t>
  </si>
  <si>
    <t>FANG</t>
  </si>
  <si>
    <t>First Bancorp</t>
  </si>
  <si>
    <t>FBNC</t>
  </si>
  <si>
    <t>First Guaranty Bancshares, Inc.</t>
  </si>
  <si>
    <t>FGBI</t>
  </si>
  <si>
    <t>John B. Sanfilippo &amp; Son, Inc.</t>
  </si>
  <si>
    <t>JBSS</t>
  </si>
  <si>
    <t>Aug</t>
  </si>
  <si>
    <t>Kforce Inc.</t>
  </si>
  <si>
    <t>KFRC</t>
  </si>
  <si>
    <t>Louisiana-Pacific Corporation</t>
  </si>
  <si>
    <t>LPX</t>
  </si>
  <si>
    <t>Monolithic Power Systems, Inc.</t>
  </si>
  <si>
    <t>MPWR</t>
  </si>
  <si>
    <t>NXP Semiconductors N.V.</t>
  </si>
  <si>
    <t>NXPI</t>
  </si>
  <si>
    <t>Netherlands, US$</t>
  </si>
  <si>
    <t>Park National Corporation</t>
  </si>
  <si>
    <t>PRK</t>
  </si>
  <si>
    <t>Schneider National, Inc.</t>
  </si>
  <si>
    <t>SNDR</t>
  </si>
  <si>
    <t>Thermo Fisher Scientific Inc.</t>
  </si>
  <si>
    <t>TMO</t>
  </si>
  <si>
    <t>Walker &amp; Dunlop, Inc.</t>
  </si>
  <si>
    <t>WD</t>
  </si>
  <si>
    <t>The Williams Companies, Inc.</t>
  </si>
  <si>
    <t>WMB</t>
  </si>
  <si>
    <t>WTW</t>
  </si>
  <si>
    <t>Yum! Brands, Inc.</t>
  </si>
  <si>
    <t>YUM</t>
  </si>
  <si>
    <t>Bank of Montreal</t>
  </si>
  <si>
    <t>BMO</t>
  </si>
  <si>
    <t>Canada</t>
  </si>
  <si>
    <t>The Bank of Nova Scotia</t>
  </si>
  <si>
    <t>BNS</t>
  </si>
  <si>
    <t>A28</t>
  </si>
  <si>
    <t>Canadian Imperial Bank of Commerce</t>
  </si>
  <si>
    <t>CM</t>
  </si>
  <si>
    <t>The First Bancshares, Inc.</t>
  </si>
  <si>
    <t>FBMS</t>
  </si>
  <si>
    <t>Guaranty Bancshares, Inc.</t>
  </si>
  <si>
    <t>GNTY</t>
  </si>
  <si>
    <t>Merchants Bancorp</t>
  </si>
  <si>
    <t>MBIN</t>
  </si>
  <si>
    <t>Royal Bank of Canada</t>
  </si>
  <si>
    <t>RY</t>
  </si>
  <si>
    <t>The Toronto-Dominion Bank</t>
  </si>
  <si>
    <t>TD</t>
  </si>
  <si>
    <t>United Bankshares Inc.</t>
  </si>
  <si>
    <t>UBSI</t>
  </si>
  <si>
    <t>Rec Date Streak</t>
  </si>
  <si>
    <t>Applied Materials, Inc.</t>
  </si>
  <si>
    <t>AMAT</t>
  </si>
  <si>
    <t>Brookline Bancorp, Inc.</t>
  </si>
  <si>
    <t>BRKL</t>
  </si>
  <si>
    <t>First BanCorp.</t>
  </si>
  <si>
    <t>FBP</t>
  </si>
  <si>
    <t>Kinder Morgan, Inc.</t>
  </si>
  <si>
    <t>KMI</t>
  </si>
  <si>
    <t>Marten Transport, Ltd.</t>
  </si>
  <si>
    <t>MRTN</t>
  </si>
  <si>
    <t>Origin Bancorp, Inc.</t>
  </si>
  <si>
    <t>OBNK</t>
  </si>
  <si>
    <t>WLY</t>
  </si>
  <si>
    <t>Equitable Holdings, Inc.</t>
  </si>
  <si>
    <t>EQH</t>
  </si>
  <si>
    <t>Hamilton Beach Brands Holding Company</t>
  </si>
  <si>
    <t>HBB</t>
  </si>
  <si>
    <t>Elevance Health Inc.</t>
  </si>
  <si>
    <t>ELV</t>
  </si>
  <si>
    <t>Garmin Ltd.</t>
  </si>
  <si>
    <t>GRMN</t>
  </si>
  <si>
    <t>Switzerland</t>
  </si>
  <si>
    <t>https://www.ireitinvestor.com/dividend-champions/</t>
  </si>
  <si>
    <t>Armstrong World Industries, Inc.</t>
  </si>
  <si>
    <t>AWI</t>
  </si>
  <si>
    <t>Healthcare Realty Trust Inc.</t>
  </si>
  <si>
    <t>HR</t>
  </si>
  <si>
    <t>HomeTrust Bancshares, Inc.</t>
  </si>
  <si>
    <t>HTBI</t>
  </si>
  <si>
    <t>Rush Enterprises, Inc.</t>
  </si>
  <si>
    <t>RUSHA</t>
  </si>
  <si>
    <t>Silvercrest Asset Management Group Inc.</t>
  </si>
  <si>
    <t>SAMG</t>
  </si>
  <si>
    <t>VICI Properties Inc.</t>
  </si>
  <si>
    <t>VICI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</si>
</sst>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0.00_-;\-* #,##0.00_-;_-* &quot;-&quot;??_-;_-@_-"/>
    <numFmt numFmtId="165" formatCode="0.0000"/>
    <numFmt numFmtId="166" formatCode="m/d/yy"/>
    <numFmt numFmtId="167" formatCode="0.0"/>
    <numFmt numFmtId="168" formatCode="0.000"/>
    <numFmt numFmtId="169" formatCode="0.0_);[Red]\(0.0\)"/>
    <numFmt numFmtId="170" formatCode="0.000_);[Red]\(0.000\)"/>
    <numFmt numFmtId="171" formatCode="0.00_);[Red]\(0.00\)"/>
    <numFmt numFmtId="172" formatCode="0.0_);\(0.0\)"/>
    <numFmt numFmtId="173" formatCode="_-&quot;$&quot;* #,##0.00_-;\-&quot;$&quot;* #,##0.00_-;_-&quot;$&quot;* &quot;-&quot;??_-;_-@_-"/>
    <numFmt numFmtId="174" formatCode="0.0%"/>
    <numFmt numFmtId="175" formatCode="yyyy\-m\-d;@"/>
    <numFmt numFmtId="176" formatCode="m/d/yy;@"/>
  </numFmts>
  <fonts count="65" x14ac:knownFonts="1">
    <font>
      <sz val="11"/>
      <color theme="1"/>
      <name val="Calibri"/>
      <family val="2"/>
      <scheme val="minor"/>
    </font>
    <font>
      <sz val="10"/>
      <name val="Arial"/>
      <family val="2"/>
    </font>
    <font>
      <sz val="10"/>
      <color indexed="48"/>
      <name val="Arial"/>
      <family val="2"/>
    </font>
    <font>
      <b/>
      <i/>
      <u/>
      <sz val="10"/>
      <name val="Arial"/>
      <family val="2"/>
    </font>
    <font>
      <sz val="8"/>
      <name val="Arial"/>
      <family val="2"/>
    </font>
    <font>
      <b/>
      <i/>
      <u/>
      <sz val="9"/>
      <name val="Arial"/>
      <family val="2"/>
    </font>
    <font>
      <sz val="9"/>
      <name val="Arial"/>
      <family val="2"/>
    </font>
    <font>
      <i/>
      <sz val="9"/>
      <name val="Arial"/>
      <family val="2"/>
    </font>
    <font>
      <u/>
      <sz val="10"/>
      <color indexed="12"/>
      <name val="Arial"/>
      <family val="2"/>
    </font>
    <font>
      <sz val="7"/>
      <color indexed="17"/>
      <name val="Arial"/>
      <family val="2"/>
    </font>
    <font>
      <sz val="7"/>
      <color indexed="10"/>
      <name val="Arial"/>
      <family val="2"/>
    </font>
    <font>
      <b/>
      <sz val="8"/>
      <name val="Arial"/>
      <family val="2"/>
    </font>
    <font>
      <b/>
      <sz val="9"/>
      <name val="Arial"/>
      <family val="2"/>
    </font>
    <font>
      <sz val="9"/>
      <color indexed="48"/>
      <name val="Arial"/>
      <family val="2"/>
    </font>
    <font>
      <sz val="9"/>
      <color indexed="10"/>
      <name val="Arial"/>
      <family val="2"/>
    </font>
    <font>
      <i/>
      <sz val="7"/>
      <name val="Arial"/>
      <family val="2"/>
    </font>
    <font>
      <sz val="9"/>
      <color indexed="17"/>
      <name val="Arial"/>
      <family val="2"/>
    </font>
    <font>
      <sz val="7"/>
      <name val="Arial"/>
      <family val="2"/>
    </font>
    <font>
      <i/>
      <sz val="8"/>
      <name val="Arial"/>
      <family val="2"/>
    </font>
    <font>
      <sz val="8"/>
      <color indexed="17"/>
      <name val="Arial"/>
      <family val="2"/>
    </font>
    <font>
      <sz val="8"/>
      <color indexed="10"/>
      <name val="Arial"/>
      <family val="2"/>
    </font>
    <font>
      <sz val="8"/>
      <color indexed="48"/>
      <name val="Arial"/>
      <family val="2"/>
    </font>
    <font>
      <b/>
      <i/>
      <u/>
      <sz val="10"/>
      <color indexed="40"/>
      <name val="Arial"/>
      <family val="2"/>
    </font>
    <font>
      <b/>
      <sz val="16"/>
      <color theme="1"/>
      <name val="Calibri"/>
      <family val="2"/>
      <scheme val="minor"/>
    </font>
    <font>
      <b/>
      <sz val="26"/>
      <color theme="1"/>
      <name val="Calibri"/>
      <family val="2"/>
      <scheme val="minor"/>
    </font>
    <font>
      <b/>
      <sz val="13"/>
      <color theme="1"/>
      <name val="Calibri"/>
      <family val="2"/>
      <scheme val="minor"/>
    </font>
    <font>
      <sz val="11"/>
      <color theme="1"/>
      <name val="Calibri"/>
      <family val="2"/>
      <scheme val="minor"/>
    </font>
    <font>
      <sz val="11"/>
      <color theme="0"/>
      <name val="Calibri"/>
      <family val="2"/>
      <scheme val="minor"/>
    </font>
    <font>
      <b/>
      <sz val="24"/>
      <color theme="1"/>
      <name val="Calibri"/>
      <family val="2"/>
      <scheme val="minor"/>
    </font>
    <font>
      <b/>
      <sz val="13"/>
      <color theme="0"/>
      <name val="Calibri"/>
      <family val="2"/>
      <scheme val="minor"/>
    </font>
    <font>
      <b/>
      <sz val="16"/>
      <name val="Calibri"/>
      <family val="2"/>
      <scheme val="minor"/>
    </font>
    <font>
      <sz val="13"/>
      <color theme="1"/>
      <name val="Calibri"/>
      <family val="2"/>
    </font>
    <font>
      <b/>
      <sz val="11"/>
      <color theme="1"/>
      <name val="Calibri"/>
      <family val="2"/>
      <scheme val="minor"/>
    </font>
    <font>
      <sz val="14"/>
      <color theme="1"/>
      <name val="Calibri"/>
      <family val="2"/>
      <scheme val="minor"/>
    </font>
    <font>
      <b/>
      <sz val="14"/>
      <color theme="1"/>
      <name val="Calibri"/>
      <family val="2"/>
      <scheme val="minor"/>
    </font>
    <font>
      <sz val="12"/>
      <color theme="1"/>
      <name val="Calibri"/>
      <family val="2"/>
      <scheme val="minor"/>
    </font>
    <font>
      <b/>
      <sz val="24"/>
      <color rgb="FF000000"/>
      <name val="Calibri"/>
      <family val="2"/>
    </font>
    <font>
      <b/>
      <sz val="13"/>
      <color theme="1"/>
      <name val="Calibri"/>
      <family val="2"/>
    </font>
    <font>
      <sz val="9"/>
      <color rgb="FF008000"/>
      <name val="Arial"/>
      <family val="2"/>
    </font>
    <font>
      <sz val="9"/>
      <color rgb="FFFF0000"/>
      <name val="Arial"/>
      <family val="2"/>
    </font>
    <font>
      <sz val="9"/>
      <color indexed="25"/>
      <name val="Arial"/>
      <family val="2"/>
    </font>
    <font>
      <sz val="9"/>
      <color indexed="38"/>
      <name val="Arial"/>
      <family val="2"/>
    </font>
    <font>
      <sz val="9"/>
      <color rgb="FF993300"/>
      <name val="Arial"/>
      <family val="2"/>
    </font>
    <font>
      <sz val="9"/>
      <color indexed="57"/>
      <name val="Arial"/>
      <family val="2"/>
    </font>
    <font>
      <sz val="8"/>
      <color indexed="58"/>
      <name val="Arial"/>
      <family val="2"/>
    </font>
    <font>
      <b/>
      <sz val="9"/>
      <color rgb="FFFF0000"/>
      <name val="Arial"/>
      <family val="2"/>
    </font>
    <font>
      <sz val="9"/>
      <color theme="9"/>
      <name val="Arial"/>
      <family val="2"/>
    </font>
    <font>
      <sz val="9"/>
      <color theme="5" tint="-0.499984740745262"/>
      <name val="Arial"/>
      <family val="2"/>
    </font>
    <font>
      <b/>
      <i/>
      <u/>
      <sz val="10"/>
      <color theme="0" tint="-0.499984740745262"/>
      <name val="Arial"/>
      <family val="2"/>
    </font>
    <font>
      <sz val="10"/>
      <color theme="0" tint="-0.499984740745262"/>
      <name val="Arial"/>
      <family val="2"/>
    </font>
    <font>
      <sz val="9"/>
      <color rgb="FF0070C0"/>
      <name val="Arial"/>
      <family val="2"/>
    </font>
    <font>
      <sz val="10"/>
      <color rgb="FF0070C0"/>
      <name val="Arial"/>
      <family val="2"/>
    </font>
    <font>
      <i/>
      <sz val="8"/>
      <color theme="0" tint="-0.499984740745262"/>
      <name val="Arial"/>
      <family val="2"/>
    </font>
    <font>
      <sz val="7"/>
      <color theme="9"/>
      <name val="Arial"/>
      <family val="2"/>
    </font>
    <font>
      <sz val="8"/>
      <color theme="0" tint="-0.499984740745262"/>
      <name val="Arial"/>
      <family val="2"/>
    </font>
    <font>
      <sz val="7"/>
      <color theme="0" tint="-0.499984740745262"/>
      <name val="Arial"/>
      <family val="2"/>
    </font>
    <font>
      <sz val="7"/>
      <color rgb="FF0070C0"/>
      <name val="Arial"/>
      <family val="2"/>
    </font>
    <font>
      <i/>
      <sz val="7"/>
      <color indexed="10"/>
      <name val="Arial"/>
      <family val="2"/>
    </font>
    <font>
      <sz val="9"/>
      <color theme="0" tint="-0.499984740745262"/>
      <name val="Arial"/>
      <family val="2"/>
    </font>
    <font>
      <sz val="8"/>
      <color rgb="FF0070C0"/>
      <name val="Arial"/>
      <family val="2"/>
    </font>
    <font>
      <sz val="9"/>
      <color theme="1"/>
      <name val="Calibri"/>
      <family val="2"/>
    </font>
    <font>
      <i/>
      <sz val="10"/>
      <name val="Arial"/>
      <family val="2"/>
    </font>
    <font>
      <sz val="8"/>
      <color theme="5" tint="-0.499984740745262"/>
      <name val="Arial"/>
      <family val="2"/>
    </font>
    <font>
      <sz val="7"/>
      <color theme="5" tint="-0.499984740745262"/>
      <name val="Arial"/>
      <family val="2"/>
    </font>
    <font>
      <sz val="10"/>
      <color rgb="FFFF0000"/>
      <name val="Arial"/>
      <family val="2"/>
    </font>
  </fonts>
  <fills count="10">
    <fill>
      <patternFill patternType="none"/>
    </fill>
    <fill>
      <patternFill patternType="gray125"/>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59999389629810485"/>
        <bgColor indexed="65"/>
      </patternFill>
    </fill>
    <fill>
      <patternFill patternType="solid">
        <fgColor theme="8" tint="0.59999389629810485"/>
        <bgColor indexed="65"/>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5"/>
      </patternFill>
    </fill>
  </fills>
  <borders count="28">
    <border>
      <left/>
      <right/>
      <top/>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8"/>
      </left>
      <right/>
      <top/>
      <bottom/>
      <diagonal/>
    </border>
    <border>
      <left style="thin">
        <color indexed="8"/>
      </left>
      <right style="thin">
        <color indexed="8"/>
      </right>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s>
  <cellStyleXfs count="15">
    <xf numFmtId="0" fontId="0" fillId="0" borderId="0"/>
    <xf numFmtId="0" fontId="1" fillId="0" borderId="0"/>
    <xf numFmtId="173" fontId="1" fillId="0" borderId="0" applyFont="0" applyFill="0" applyBorder="0" applyAlignment="0" applyProtection="0"/>
    <xf numFmtId="9" fontId="1" fillId="0" borderId="0" applyFont="0" applyFill="0" applyBorder="0" applyAlignment="0" applyProtection="0"/>
    <xf numFmtId="173"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7" fillId="3" borderId="0" applyNumberFormat="0" applyBorder="0" applyAlignment="0" applyProtection="0"/>
    <xf numFmtId="0" fontId="27"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9" borderId="0" applyNumberFormat="0" applyBorder="0" applyAlignment="0" applyProtection="0"/>
    <xf numFmtId="0" fontId="8" fillId="0" borderId="0" applyNumberFormat="0" applyFill="0" applyBorder="0" applyAlignment="0" applyProtection="0"/>
    <xf numFmtId="0" fontId="8" fillId="0" borderId="0" applyNumberFormat="0" applyFill="0" applyBorder="0" applyAlignment="0" applyProtection="0"/>
  </cellStyleXfs>
  <cellXfs count="333">
    <xf numFmtId="0" fontId="0" fillId="0" borderId="0" xfId="0"/>
    <xf numFmtId="0" fontId="0" fillId="0" borderId="0" xfId="0" applyBorder="1" applyAlignment="1">
      <alignment horizontal="center"/>
    </xf>
    <xf numFmtId="0" fontId="29" fillId="4" borderId="3" xfId="9" applyFont="1" applyBorder="1" applyAlignment="1">
      <alignment horizontal="center"/>
    </xf>
    <xf numFmtId="0" fontId="29" fillId="4" borderId="4" xfId="9" applyFont="1" applyBorder="1" applyAlignment="1">
      <alignment horizontal="center"/>
    </xf>
    <xf numFmtId="0" fontId="29" fillId="4" borderId="2" xfId="9" applyFont="1" applyBorder="1" applyAlignment="1">
      <alignment horizontal="center"/>
    </xf>
    <xf numFmtId="0" fontId="29" fillId="4" borderId="1" xfId="9" applyFont="1" applyBorder="1" applyAlignment="1">
      <alignment horizontal="center"/>
    </xf>
    <xf numFmtId="1" fontId="23" fillId="2" borderId="12" xfId="10" applyNumberFormat="1" applyFont="1" applyFill="1" applyBorder="1" applyAlignment="1">
      <alignment horizontal="center"/>
    </xf>
    <xf numFmtId="0" fontId="0" fillId="0" borderId="0" xfId="0" applyBorder="1"/>
    <xf numFmtId="167" fontId="0" fillId="0" borderId="0" xfId="0" applyNumberFormat="1" applyBorder="1" applyAlignment="1">
      <alignment horizontal="center"/>
    </xf>
    <xf numFmtId="9" fontId="0" fillId="0" borderId="0" xfId="0" applyNumberFormat="1" applyBorder="1" applyAlignment="1">
      <alignment horizontal="center"/>
    </xf>
    <xf numFmtId="2" fontId="0" fillId="0" borderId="0" xfId="0" applyNumberFormat="1" applyBorder="1" applyAlignment="1">
      <alignment horizontal="center"/>
    </xf>
    <xf numFmtId="0" fontId="30" fillId="7" borderId="17" xfId="11" applyFont="1" applyFill="1" applyBorder="1" applyAlignment="1">
      <alignment horizontal="center"/>
    </xf>
    <xf numFmtId="0" fontId="25" fillId="2" borderId="13" xfId="10" applyFont="1" applyFill="1" applyBorder="1" applyAlignment="1">
      <alignment horizontal="center"/>
    </xf>
    <xf numFmtId="174" fontId="25" fillId="2" borderId="13" xfId="10" applyNumberFormat="1" applyFont="1" applyFill="1" applyBorder="1" applyAlignment="1">
      <alignment horizontal="center"/>
    </xf>
    <xf numFmtId="9" fontId="25" fillId="2" borderId="13" xfId="10" applyNumberFormat="1" applyFont="1" applyFill="1" applyBorder="1" applyAlignment="1">
      <alignment horizontal="center"/>
    </xf>
    <xf numFmtId="0" fontId="23" fillId="8" borderId="17" xfId="0" applyFont="1" applyFill="1" applyBorder="1" applyAlignment="1">
      <alignment horizontal="center"/>
    </xf>
    <xf numFmtId="0" fontId="25" fillId="0" borderId="3" xfId="0" applyFont="1" applyBorder="1" applyAlignment="1">
      <alignment horizontal="center"/>
    </xf>
    <xf numFmtId="0" fontId="29" fillId="3" borderId="15" xfId="8" applyFont="1" applyBorder="1" applyAlignment="1">
      <alignment horizontal="center"/>
    </xf>
    <xf numFmtId="0" fontId="29" fillId="3" borderId="16" xfId="8" applyFont="1" applyBorder="1" applyAlignment="1">
      <alignment horizontal="center" vertical="center"/>
    </xf>
    <xf numFmtId="0" fontId="29" fillId="4" borderId="11" xfId="9" applyFont="1" applyBorder="1" applyAlignment="1">
      <alignment horizontal="left"/>
    </xf>
    <xf numFmtId="0" fontId="29" fillId="4" borderId="13" xfId="9" applyFont="1" applyBorder="1" applyAlignment="1">
      <alignment horizontal="left"/>
    </xf>
    <xf numFmtId="0" fontId="29" fillId="4" borderId="12" xfId="9" applyFont="1" applyBorder="1" applyAlignment="1">
      <alignment horizontal="left"/>
    </xf>
    <xf numFmtId="0" fontId="29" fillId="3" borderId="17" xfId="8" applyFont="1" applyBorder="1" applyAlignment="1">
      <alignment horizontal="center" vertical="center"/>
    </xf>
    <xf numFmtId="1" fontId="23" fillId="2" borderId="0" xfId="10" applyNumberFormat="1" applyFont="1" applyFill="1" applyBorder="1" applyAlignment="1">
      <alignment horizontal="center"/>
    </xf>
    <xf numFmtId="0" fontId="29" fillId="4" borderId="0" xfId="9" applyFont="1" applyBorder="1" applyAlignment="1">
      <alignment horizontal="center"/>
    </xf>
    <xf numFmtId="174" fontId="0" fillId="0" borderId="0" xfId="0" applyNumberFormat="1"/>
    <xf numFmtId="174" fontId="29" fillId="4" borderId="3" xfId="9" applyNumberFormat="1" applyFont="1" applyBorder="1" applyAlignment="1">
      <alignment horizontal="center"/>
    </xf>
    <xf numFmtId="174" fontId="29" fillId="4" borderId="2" xfId="9" applyNumberFormat="1" applyFont="1" applyBorder="1" applyAlignment="1">
      <alignment horizontal="center"/>
    </xf>
    <xf numFmtId="174" fontId="0" fillId="0" borderId="0" xfId="0" applyNumberFormat="1" applyBorder="1" applyAlignment="1">
      <alignment horizontal="center"/>
    </xf>
    <xf numFmtId="9" fontId="0" fillId="0" borderId="0" xfId="0" applyNumberFormat="1"/>
    <xf numFmtId="0" fontId="29" fillId="4" borderId="7" xfId="9" applyFont="1" applyBorder="1" applyAlignment="1">
      <alignment horizontal="center"/>
    </xf>
    <xf numFmtId="0" fontId="29" fillId="4" borderId="10" xfId="9" applyFont="1" applyBorder="1" applyAlignment="1">
      <alignment horizontal="center"/>
    </xf>
    <xf numFmtId="0" fontId="25" fillId="0" borderId="7" xfId="0" applyFont="1" applyBorder="1" applyAlignment="1">
      <alignment horizontal="center"/>
    </xf>
    <xf numFmtId="3" fontId="25" fillId="2" borderId="14" xfId="10" applyNumberFormat="1" applyFont="1" applyFill="1" applyBorder="1" applyAlignment="1">
      <alignment horizontal="center"/>
    </xf>
    <xf numFmtId="0" fontId="25" fillId="2" borderId="14" xfId="10" applyFont="1" applyFill="1" applyBorder="1" applyAlignment="1">
      <alignment horizontal="center"/>
    </xf>
    <xf numFmtId="174" fontId="29" fillId="4" borderId="7" xfId="9" applyNumberFormat="1" applyFont="1" applyBorder="1" applyAlignment="1">
      <alignment horizontal="center"/>
    </xf>
    <xf numFmtId="174" fontId="25" fillId="0" borderId="7" xfId="0" applyNumberFormat="1" applyFont="1" applyBorder="1" applyAlignment="1">
      <alignment horizontal="center"/>
    </xf>
    <xf numFmtId="174" fontId="25" fillId="2" borderId="14" xfId="10" applyNumberFormat="1" applyFont="1" applyFill="1" applyBorder="1" applyAlignment="1">
      <alignment horizontal="center"/>
    </xf>
    <xf numFmtId="174" fontId="29" fillId="4" borderId="5" xfId="9" applyNumberFormat="1" applyFont="1" applyBorder="1" applyAlignment="1">
      <alignment horizontal="center"/>
    </xf>
    <xf numFmtId="174" fontId="25" fillId="0" borderId="6" xfId="0" applyNumberFormat="1" applyFont="1" applyBorder="1" applyAlignment="1">
      <alignment horizontal="center"/>
    </xf>
    <xf numFmtId="174" fontId="25" fillId="2" borderId="11" xfId="10" applyNumberFormat="1" applyFont="1" applyFill="1" applyBorder="1" applyAlignment="1">
      <alignment horizontal="center"/>
    </xf>
    <xf numFmtId="174" fontId="29" fillId="4" borderId="10" xfId="9" quotePrefix="1" applyNumberFormat="1" applyFont="1" applyBorder="1" applyAlignment="1">
      <alignment horizontal="center"/>
    </xf>
    <xf numFmtId="9" fontId="29" fillId="4" borderId="7" xfId="9" applyNumberFormat="1" applyFont="1" applyBorder="1" applyAlignment="1">
      <alignment horizontal="center"/>
    </xf>
    <xf numFmtId="9" fontId="29" fillId="4" borderId="10" xfId="9" applyNumberFormat="1" applyFont="1" applyBorder="1" applyAlignment="1">
      <alignment horizontal="center"/>
    </xf>
    <xf numFmtId="9" fontId="25" fillId="2" borderId="14" xfId="10" applyNumberFormat="1" applyFont="1" applyFill="1" applyBorder="1" applyAlignment="1">
      <alignment horizontal="center"/>
    </xf>
    <xf numFmtId="174" fontId="29" fillId="4" borderId="6" xfId="9" applyNumberFormat="1" applyFont="1" applyBorder="1" applyAlignment="1">
      <alignment horizontal="center"/>
    </xf>
    <xf numFmtId="174" fontId="25" fillId="2" borderId="5" xfId="10" applyNumberFormat="1" applyFont="1" applyFill="1" applyBorder="1" applyAlignment="1">
      <alignment horizontal="center"/>
    </xf>
    <xf numFmtId="174" fontId="25" fillId="0" borderId="13" xfId="0" applyNumberFormat="1" applyFont="1" applyBorder="1" applyAlignment="1">
      <alignment horizontal="center"/>
    </xf>
    <xf numFmtId="174" fontId="29" fillId="4" borderId="1" xfId="9" applyNumberFormat="1" applyFont="1" applyBorder="1" applyAlignment="1">
      <alignment horizontal="center"/>
    </xf>
    <xf numFmtId="0" fontId="0" fillId="2" borderId="0" xfId="0" applyFill="1"/>
    <xf numFmtId="0" fontId="32" fillId="2" borderId="0" xfId="0" applyFont="1" applyFill="1" applyAlignment="1">
      <alignment horizontal="center"/>
    </xf>
    <xf numFmtId="0" fontId="33" fillId="0" borderId="0" xfId="0" applyFont="1"/>
    <xf numFmtId="0" fontId="34" fillId="9" borderId="0" xfId="12" applyFont="1" applyAlignment="1">
      <alignment horizontal="center"/>
    </xf>
    <xf numFmtId="0" fontId="35" fillId="0" borderId="0" xfId="0" applyFont="1"/>
    <xf numFmtId="0" fontId="33" fillId="0" borderId="0" xfId="0" quotePrefix="1" applyFont="1"/>
    <xf numFmtId="0" fontId="33" fillId="0" borderId="0" xfId="0" quotePrefix="1" applyFont="1" applyAlignment="1">
      <alignment wrapText="1"/>
    </xf>
    <xf numFmtId="167" fontId="0" fillId="0" borderId="0" xfId="0" applyNumberFormat="1"/>
    <xf numFmtId="167" fontId="29" fillId="4" borderId="4" xfId="9" applyNumberFormat="1" applyFont="1" applyBorder="1" applyAlignment="1">
      <alignment horizontal="center"/>
    </xf>
    <xf numFmtId="167" fontId="29" fillId="4" borderId="1" xfId="9" applyNumberFormat="1" applyFont="1" applyBorder="1" applyAlignment="1">
      <alignment horizontal="center"/>
    </xf>
    <xf numFmtId="167" fontId="25" fillId="0" borderId="4" xfId="0" applyNumberFormat="1" applyFont="1" applyBorder="1" applyAlignment="1">
      <alignment horizontal="center"/>
    </xf>
    <xf numFmtId="167" fontId="25" fillId="2" borderId="12" xfId="10" applyNumberFormat="1" applyFont="1" applyFill="1" applyBorder="1" applyAlignment="1">
      <alignment horizontal="center"/>
    </xf>
    <xf numFmtId="167" fontId="29" fillId="4" borderId="0" xfId="9" applyNumberFormat="1" applyFont="1" applyBorder="1" applyAlignment="1">
      <alignment horizontal="center"/>
    </xf>
    <xf numFmtId="167" fontId="25" fillId="2" borderId="1" xfId="10" applyNumberFormat="1" applyFont="1" applyFill="1" applyBorder="1" applyAlignment="1">
      <alignment horizontal="center"/>
    </xf>
    <xf numFmtId="167" fontId="25" fillId="0" borderId="14" xfId="0" applyNumberFormat="1" applyFont="1" applyBorder="1" applyAlignment="1">
      <alignment horizontal="center"/>
    </xf>
    <xf numFmtId="167" fontId="29" fillId="4" borderId="7" xfId="9" applyNumberFormat="1" applyFont="1" applyBorder="1" applyAlignment="1">
      <alignment horizontal="center"/>
    </xf>
    <xf numFmtId="167" fontId="29" fillId="4" borderId="10" xfId="9" applyNumberFormat="1" applyFont="1" applyBorder="1" applyAlignment="1">
      <alignment horizontal="center"/>
    </xf>
    <xf numFmtId="167" fontId="29" fillId="4" borderId="3" xfId="9" applyNumberFormat="1" applyFont="1" applyBorder="1" applyAlignment="1">
      <alignment horizontal="center"/>
    </xf>
    <xf numFmtId="15" fontId="31" fillId="0" borderId="0" xfId="0" applyNumberFormat="1" applyFont="1" applyAlignment="1">
      <alignment horizontal="center" vertical="center" wrapText="1"/>
    </xf>
    <xf numFmtId="0" fontId="8" fillId="0" borderId="0" xfId="14" applyNumberFormat="1" applyFill="1" applyBorder="1" applyAlignment="1" applyProtection="1"/>
    <xf numFmtId="0" fontId="8" fillId="0" borderId="0" xfId="14" applyFill="1" applyBorder="1"/>
    <xf numFmtId="0" fontId="8" fillId="0" borderId="0" xfId="14" applyFill="1" applyBorder="1" applyAlignment="1">
      <alignment horizontal="left"/>
    </xf>
    <xf numFmtId="0" fontId="8" fillId="0" borderId="18" xfId="14" applyNumberFormat="1" applyFill="1" applyBorder="1" applyAlignment="1" applyProtection="1"/>
    <xf numFmtId="0" fontId="60" fillId="0" borderId="2" xfId="0" applyFont="1" applyBorder="1" applyAlignment="1">
      <alignment horizontal="center" vertical="center" wrapText="1"/>
    </xf>
    <xf numFmtId="0" fontId="22" fillId="0" borderId="0" xfId="0" applyFont="1" applyAlignment="1">
      <alignment horizontal="left"/>
    </xf>
    <xf numFmtId="0" fontId="0" fillId="0" borderId="18" xfId="0" applyBorder="1"/>
    <xf numFmtId="0" fontId="7" fillId="0" borderId="0" xfId="0" applyFont="1" applyAlignment="1">
      <alignment horizontal="left"/>
    </xf>
    <xf numFmtId="0" fontId="8" fillId="0" borderId="0" xfId="14" applyNumberFormat="1" applyFill="1" applyBorder="1" applyAlignment="1" applyProtection="1">
      <alignment horizontal="center"/>
    </xf>
    <xf numFmtId="0" fontId="0" fillId="0" borderId="0" xfId="0" applyAlignment="1">
      <alignment horizontal="center"/>
    </xf>
    <xf numFmtId="0" fontId="4" fillId="0" borderId="0" xfId="0" applyFont="1"/>
    <xf numFmtId="0" fontId="3" fillId="0" borderId="8" xfId="0" applyFont="1" applyBorder="1"/>
    <xf numFmtId="1" fontId="0" fillId="0" borderId="0" xfId="0" applyNumberFormat="1" applyAlignment="1">
      <alignment horizontal="center"/>
    </xf>
    <xf numFmtId="166" fontId="0" fillId="0" borderId="0" xfId="0" applyNumberFormat="1" applyAlignment="1">
      <alignment horizontal="center"/>
    </xf>
    <xf numFmtId="2" fontId="6" fillId="0" borderId="0" xfId="0" applyNumberFormat="1" applyFont="1" applyAlignment="1">
      <alignment horizontal="center"/>
    </xf>
    <xf numFmtId="166" fontId="0" fillId="0" borderId="0" xfId="0" applyNumberFormat="1"/>
    <xf numFmtId="0" fontId="48" fillId="0" borderId="0" xfId="0" applyFont="1" applyAlignment="1">
      <alignment horizontal="center"/>
    </xf>
    <xf numFmtId="0" fontId="49" fillId="0" borderId="0" xfId="0" applyFont="1" applyAlignment="1">
      <alignment horizontal="center"/>
    </xf>
    <xf numFmtId="0" fontId="50" fillId="0" borderId="0" xfId="0" applyFont="1" applyAlignment="1">
      <alignment horizontal="left"/>
    </xf>
    <xf numFmtId="0" fontId="51" fillId="0" borderId="0" xfId="0" applyFont="1"/>
    <xf numFmtId="0" fontId="5" fillId="0" borderId="8" xfId="0" applyFont="1" applyBorder="1"/>
    <xf numFmtId="0" fontId="3" fillId="0" borderId="0" xfId="0" applyFont="1"/>
    <xf numFmtId="0" fontId="5" fillId="0" borderId="8" xfId="0" applyFont="1" applyBorder="1" applyAlignment="1">
      <alignment horizontal="left"/>
    </xf>
    <xf numFmtId="0" fontId="6" fillId="0" borderId="0" xfId="0" applyFont="1" applyAlignment="1">
      <alignment horizontal="right"/>
    </xf>
    <xf numFmtId="0" fontId="3" fillId="0" borderId="8" xfId="0" applyFont="1" applyBorder="1" applyAlignment="1">
      <alignment horizontal="left"/>
    </xf>
    <xf numFmtId="0" fontId="5" fillId="0" borderId="8" xfId="0" applyFont="1" applyBorder="1" applyAlignment="1">
      <alignment horizontal="center"/>
    </xf>
    <xf numFmtId="0" fontId="15" fillId="0" borderId="0" xfId="0" applyFont="1" applyAlignment="1">
      <alignment horizontal="left"/>
    </xf>
    <xf numFmtId="0" fontId="17" fillId="0" borderId="8" xfId="0" applyFont="1" applyBorder="1" applyAlignment="1">
      <alignment horizontal="left"/>
    </xf>
    <xf numFmtId="0" fontId="52" fillId="0" borderId="0" xfId="0" applyFont="1" applyAlignment="1">
      <alignment horizontal="center"/>
    </xf>
    <xf numFmtId="2" fontId="52" fillId="0" borderId="0" xfId="0" applyNumberFormat="1" applyFont="1" applyAlignment="1">
      <alignment horizontal="center"/>
    </xf>
    <xf numFmtId="0" fontId="18" fillId="0" borderId="8" xfId="0" applyFont="1" applyBorder="1" applyAlignment="1">
      <alignment horizontal="left"/>
    </xf>
    <xf numFmtId="0" fontId="17" fillId="0" borderId="8" xfId="0" applyFont="1" applyBorder="1"/>
    <xf numFmtId="0" fontId="0" fillId="0" borderId="8" xfId="0" applyBorder="1" applyAlignment="1">
      <alignment horizontal="center"/>
    </xf>
    <xf numFmtId="14" fontId="61" fillId="0" borderId="0" xfId="0" applyNumberFormat="1" applyFont="1" applyAlignment="1">
      <alignment horizontal="left"/>
    </xf>
    <xf numFmtId="0" fontId="10" fillId="0" borderId="8" xfId="0" applyFont="1" applyBorder="1" applyAlignment="1">
      <alignment horizontal="left"/>
    </xf>
    <xf numFmtId="0" fontId="53" fillId="0" borderId="0" xfId="0" applyFont="1" applyAlignment="1">
      <alignment horizontal="left"/>
    </xf>
    <xf numFmtId="0" fontId="54" fillId="0" borderId="0" xfId="0" applyFont="1" applyAlignment="1">
      <alignment horizontal="center"/>
    </xf>
    <xf numFmtId="0" fontId="55" fillId="0" borderId="0" xfId="0" applyFont="1" applyAlignment="1">
      <alignment horizontal="center"/>
    </xf>
    <xf numFmtId="0" fontId="0" fillId="0" borderId="8" xfId="0" applyBorder="1"/>
    <xf numFmtId="0" fontId="56" fillId="0" borderId="0" xfId="0" applyFont="1"/>
    <xf numFmtId="0" fontId="4" fillId="0" borderId="8" xfId="0" applyFont="1" applyBorder="1"/>
    <xf numFmtId="0" fontId="57" fillId="0" borderId="8" xfId="0" applyFont="1" applyBorder="1" applyAlignment="1">
      <alignment horizontal="left"/>
    </xf>
    <xf numFmtId="0" fontId="17" fillId="0" borderId="0" xfId="0" applyFont="1"/>
    <xf numFmtId="0" fontId="18" fillId="0" borderId="0" xfId="0" applyFont="1" applyAlignment="1">
      <alignment horizontal="left"/>
    </xf>
    <xf numFmtId="0" fontId="6" fillId="0" borderId="0" xfId="0" applyFont="1"/>
    <xf numFmtId="0" fontId="2" fillId="0" borderId="0" xfId="0" applyFont="1" applyAlignment="1">
      <alignment horizontal="center"/>
    </xf>
    <xf numFmtId="0" fontId="55" fillId="0" borderId="8" xfId="0" applyFont="1" applyBorder="1" applyAlignment="1">
      <alignment horizontal="left"/>
    </xf>
    <xf numFmtId="0" fontId="7" fillId="0" borderId="8" xfId="0" applyFont="1" applyBorder="1" applyAlignment="1">
      <alignment horizontal="left"/>
    </xf>
    <xf numFmtId="0" fontId="50" fillId="0" borderId="0" xfId="0" applyFont="1"/>
    <xf numFmtId="0" fontId="7" fillId="0" borderId="0" xfId="0" applyFont="1"/>
    <xf numFmtId="0" fontId="4" fillId="0" borderId="8" xfId="0" applyFont="1" applyBorder="1" applyAlignment="1">
      <alignment horizontal="left"/>
    </xf>
    <xf numFmtId="0" fontId="4" fillId="0" borderId="0" xfId="0" applyFont="1" applyAlignment="1">
      <alignment horizontal="right"/>
    </xf>
    <xf numFmtId="0" fontId="4" fillId="0" borderId="0" xfId="0" applyFont="1" applyAlignment="1">
      <alignment horizontal="left"/>
    </xf>
    <xf numFmtId="0" fontId="6" fillId="0" borderId="18" xfId="0" applyFont="1" applyBorder="1" applyAlignment="1">
      <alignment horizontal="center"/>
    </xf>
    <xf numFmtId="0" fontId="4" fillId="0" borderId="0" xfId="0" applyFont="1" applyAlignment="1">
      <alignment horizontal="center"/>
    </xf>
    <xf numFmtId="0" fontId="11" fillId="0" borderId="0" xfId="0" applyFont="1" applyAlignment="1">
      <alignment horizontal="center"/>
    </xf>
    <xf numFmtId="166" fontId="11" fillId="0" borderId="0" xfId="0" applyNumberFormat="1" applyFont="1" applyAlignment="1">
      <alignment horizontal="center"/>
    </xf>
    <xf numFmtId="0" fontId="6" fillId="0" borderId="8" xfId="0" applyFont="1" applyBorder="1" applyAlignment="1">
      <alignment horizontal="center"/>
    </xf>
    <xf numFmtId="1" fontId="6" fillId="0" borderId="0" xfId="0" applyNumberFormat="1" applyFont="1" applyAlignment="1">
      <alignment horizontal="center"/>
    </xf>
    <xf numFmtId="0" fontId="58" fillId="0" borderId="0" xfId="0" applyFont="1" applyAlignment="1">
      <alignment horizontal="center"/>
    </xf>
    <xf numFmtId="0" fontId="17" fillId="0" borderId="0" xfId="0" applyFont="1" applyAlignment="1">
      <alignment horizontal="left"/>
    </xf>
    <xf numFmtId="0" fontId="50" fillId="0" borderId="0" xfId="0" applyFont="1" applyAlignment="1">
      <alignment horizontal="center"/>
    </xf>
    <xf numFmtId="0" fontId="4" fillId="0" borderId="8" xfId="0" applyFont="1" applyBorder="1" applyAlignment="1">
      <alignment horizontal="center"/>
    </xf>
    <xf numFmtId="0" fontId="13" fillId="0" borderId="8" xfId="0" applyFont="1" applyBorder="1" applyAlignment="1">
      <alignment horizontal="center"/>
    </xf>
    <xf numFmtId="0" fontId="21" fillId="0" borderId="8" xfId="0" applyFont="1" applyBorder="1" applyAlignment="1">
      <alignment horizontal="center"/>
    </xf>
    <xf numFmtId="0" fontId="21" fillId="0" borderId="0" xfId="0" applyFont="1" applyAlignment="1">
      <alignment horizontal="center"/>
    </xf>
    <xf numFmtId="0" fontId="21" fillId="0" borderId="18" xfId="0" applyFont="1" applyBorder="1" applyAlignment="1">
      <alignment horizontal="center"/>
    </xf>
    <xf numFmtId="0" fontId="6" fillId="0" borderId="19" xfId="0" applyFont="1" applyBorder="1"/>
    <xf numFmtId="0" fontId="6" fillId="0" borderId="20" xfId="0" applyFont="1" applyBorder="1" applyAlignment="1">
      <alignment horizontal="center"/>
    </xf>
    <xf numFmtId="0" fontId="6" fillId="0" borderId="19" xfId="0" applyFont="1" applyBorder="1" applyAlignment="1">
      <alignment horizontal="center"/>
    </xf>
    <xf numFmtId="0" fontId="11" fillId="0" borderId="19" xfId="0" applyFont="1" applyBorder="1" applyAlignment="1">
      <alignment horizontal="center"/>
    </xf>
    <xf numFmtId="0" fontId="4" fillId="0" borderId="19" xfId="0" applyFont="1" applyBorder="1" applyAlignment="1">
      <alignment horizontal="center"/>
    </xf>
    <xf numFmtId="0" fontId="6" fillId="0" borderId="21" xfId="0" applyFont="1" applyBorder="1" applyAlignment="1">
      <alignment horizontal="center"/>
    </xf>
    <xf numFmtId="1" fontId="6" fillId="0" borderId="19" xfId="0" applyNumberFormat="1" applyFont="1" applyBorder="1" applyAlignment="1">
      <alignment horizontal="center"/>
    </xf>
    <xf numFmtId="0" fontId="58" fillId="0" borderId="19" xfId="0" applyFont="1" applyBorder="1" applyAlignment="1">
      <alignment horizontal="center"/>
    </xf>
    <xf numFmtId="0" fontId="50" fillId="0" borderId="19" xfId="0" applyFont="1" applyBorder="1" applyAlignment="1">
      <alignment horizontal="center"/>
    </xf>
    <xf numFmtId="0" fontId="4" fillId="0" borderId="21" xfId="0" applyFont="1" applyBorder="1" applyAlignment="1">
      <alignment horizontal="center"/>
    </xf>
    <xf numFmtId="0" fontId="4" fillId="0" borderId="21" xfId="0" applyFont="1" applyBorder="1" applyAlignment="1">
      <alignment horizontal="right"/>
    </xf>
    <xf numFmtId="0" fontId="4" fillId="0" borderId="19" xfId="0" applyFont="1" applyBorder="1" applyAlignment="1">
      <alignment horizontal="right"/>
    </xf>
    <xf numFmtId="0" fontId="13" fillId="0" borderId="21" xfId="0" applyFont="1" applyBorder="1" applyAlignment="1">
      <alignment horizontal="center"/>
    </xf>
    <xf numFmtId="0" fontId="21" fillId="0" borderId="21" xfId="0" applyFont="1" applyBorder="1" applyAlignment="1">
      <alignment horizontal="center"/>
    </xf>
    <xf numFmtId="0" fontId="21" fillId="0" borderId="19" xfId="0" applyFont="1" applyBorder="1" applyAlignment="1">
      <alignment horizontal="center"/>
    </xf>
    <xf numFmtId="0" fontId="21" fillId="0" borderId="20" xfId="0" applyFont="1" applyBorder="1" applyAlignment="1">
      <alignment horizontal="center"/>
    </xf>
    <xf numFmtId="0" fontId="0" fillId="0" borderId="19" xfId="0" applyBorder="1" applyAlignment="1">
      <alignment horizontal="center"/>
    </xf>
    <xf numFmtId="0" fontId="0" fillId="0" borderId="19" xfId="0" applyBorder="1"/>
    <xf numFmtId="0" fontId="6" fillId="0" borderId="9" xfId="0" applyFont="1" applyBorder="1"/>
    <xf numFmtId="0" fontId="0" fillId="0" borderId="0" xfId="0" applyAlignment="1">
      <alignment vertical="center"/>
    </xf>
    <xf numFmtId="0" fontId="12" fillId="0" borderId="8" xfId="0" applyFont="1" applyBorder="1" applyAlignment="1">
      <alignment horizontal="center"/>
    </xf>
    <xf numFmtId="2" fontId="50" fillId="0" borderId="0" xfId="0" applyNumberFormat="1" applyFont="1"/>
    <xf numFmtId="2" fontId="6" fillId="0" borderId="8" xfId="0" applyNumberFormat="1" applyFont="1" applyBorder="1" applyAlignment="1">
      <alignment horizontal="right"/>
    </xf>
    <xf numFmtId="165" fontId="6" fillId="0" borderId="0" xfId="0" applyNumberFormat="1" applyFont="1"/>
    <xf numFmtId="166" fontId="6" fillId="0" borderId="0" xfId="0" applyNumberFormat="1" applyFont="1" applyAlignment="1">
      <alignment horizontal="center"/>
    </xf>
    <xf numFmtId="165" fontId="6" fillId="0" borderId="8" xfId="0" applyNumberFormat="1" applyFont="1" applyBorder="1"/>
    <xf numFmtId="176" fontId="6" fillId="0" borderId="0" xfId="0" applyNumberFormat="1" applyFont="1" applyAlignment="1">
      <alignment horizontal="left"/>
    </xf>
    <xf numFmtId="169" fontId="58" fillId="0" borderId="0" xfId="0" applyNumberFormat="1" applyFont="1" applyAlignment="1">
      <alignment horizontal="center"/>
    </xf>
    <xf numFmtId="170" fontId="58" fillId="0" borderId="0" xfId="0" applyNumberFormat="1" applyFont="1" applyAlignment="1">
      <alignment horizontal="center"/>
    </xf>
    <xf numFmtId="168" fontId="58" fillId="0" borderId="0" xfId="0" applyNumberFormat="1" applyFont="1" applyAlignment="1">
      <alignment horizontal="center"/>
    </xf>
    <xf numFmtId="0" fontId="16" fillId="0" borderId="9" xfId="0" applyFont="1" applyBorder="1" applyAlignment="1">
      <alignment horizontal="left"/>
    </xf>
    <xf numFmtId="2" fontId="6" fillId="0" borderId="0" xfId="0" applyNumberFormat="1" applyFont="1" applyAlignment="1">
      <alignment horizontal="right"/>
    </xf>
    <xf numFmtId="2" fontId="50" fillId="0" borderId="0" xfId="0" applyNumberFormat="1" applyFont="1" applyAlignment="1">
      <alignment horizontal="right"/>
    </xf>
    <xf numFmtId="3" fontId="50" fillId="0" borderId="0" xfId="0" applyNumberFormat="1" applyFont="1" applyAlignment="1">
      <alignment horizontal="right"/>
    </xf>
    <xf numFmtId="167" fontId="50" fillId="0" borderId="0" xfId="0" applyNumberFormat="1" applyFont="1" applyAlignment="1">
      <alignment horizontal="right"/>
    </xf>
    <xf numFmtId="169" fontId="6" fillId="0" borderId="8" xfId="0" applyNumberFormat="1" applyFont="1" applyBorder="1" applyAlignment="1">
      <alignment horizontal="right"/>
    </xf>
    <xf numFmtId="169" fontId="6" fillId="0" borderId="0" xfId="0" applyNumberFormat="1" applyFont="1" applyAlignment="1">
      <alignment horizontal="right"/>
    </xf>
    <xf numFmtId="172" fontId="6" fillId="0" borderId="0" xfId="0" applyNumberFormat="1" applyFont="1" applyAlignment="1">
      <alignment horizontal="right"/>
    </xf>
    <xf numFmtId="167" fontId="6" fillId="0" borderId="0" xfId="0" applyNumberFormat="1" applyFont="1" applyAlignment="1">
      <alignment horizontal="right"/>
    </xf>
    <xf numFmtId="171" fontId="50" fillId="0" borderId="8" xfId="0" applyNumberFormat="1" applyFont="1" applyBorder="1" applyAlignment="1">
      <alignment horizontal="center"/>
    </xf>
    <xf numFmtId="0" fontId="50" fillId="0" borderId="0" xfId="0" applyFont="1" applyAlignment="1">
      <alignment horizontal="right"/>
    </xf>
    <xf numFmtId="0" fontId="6" fillId="0" borderId="0" xfId="0" applyFont="1" applyAlignment="1">
      <alignment horizontal="left"/>
    </xf>
    <xf numFmtId="0" fontId="47" fillId="0" borderId="9" xfId="0" applyFont="1" applyBorder="1"/>
    <xf numFmtId="0" fontId="6" fillId="0" borderId="9" xfId="0" applyFont="1" applyBorder="1" applyAlignment="1">
      <alignment horizontal="left"/>
    </xf>
    <xf numFmtId="2" fontId="59" fillId="0" borderId="0" xfId="0" applyNumberFormat="1" applyFont="1" applyAlignment="1">
      <alignment horizontal="right"/>
    </xf>
    <xf numFmtId="0" fontId="39" fillId="0" borderId="9" xfId="0" applyFont="1" applyBorder="1" applyAlignment="1">
      <alignment horizontal="left"/>
    </xf>
    <xf numFmtId="0" fontId="16" fillId="0" borderId="9" xfId="0" applyFont="1" applyBorder="1"/>
    <xf numFmtId="176" fontId="39" fillId="0" borderId="0" xfId="0" applyNumberFormat="1" applyFont="1" applyAlignment="1">
      <alignment horizontal="right"/>
    </xf>
    <xf numFmtId="0" fontId="6" fillId="0" borderId="3" xfId="0" applyFont="1" applyBorder="1" applyAlignment="1">
      <alignment horizontal="left"/>
    </xf>
    <xf numFmtId="0" fontId="6" fillId="0" borderId="7" xfId="0" applyFont="1" applyBorder="1"/>
    <xf numFmtId="0" fontId="12" fillId="0" borderId="6" xfId="0" applyFont="1" applyBorder="1" applyAlignment="1">
      <alignment horizontal="center"/>
    </xf>
    <xf numFmtId="2" fontId="50" fillId="0" borderId="3" xfId="0" applyNumberFormat="1" applyFont="1" applyBorder="1"/>
    <xf numFmtId="2" fontId="6" fillId="0" borderId="6" xfId="0" applyNumberFormat="1" applyFont="1" applyBorder="1" applyAlignment="1">
      <alignment horizontal="right"/>
    </xf>
    <xf numFmtId="165" fontId="6" fillId="0" borderId="3" xfId="0" applyNumberFormat="1" applyFont="1" applyBorder="1"/>
    <xf numFmtId="1" fontId="6" fillId="0" borderId="3" xfId="0" applyNumberFormat="1" applyFont="1" applyBorder="1" applyAlignment="1">
      <alignment horizontal="center"/>
    </xf>
    <xf numFmtId="2" fontId="6" fillId="0" borderId="3" xfId="0" applyNumberFormat="1" applyFont="1" applyBorder="1" applyAlignment="1">
      <alignment horizontal="center"/>
    </xf>
    <xf numFmtId="166" fontId="6" fillId="0" borderId="3" xfId="0" applyNumberFormat="1" applyFont="1" applyBorder="1" applyAlignment="1">
      <alignment horizontal="center"/>
    </xf>
    <xf numFmtId="165" fontId="6" fillId="0" borderId="6" xfId="0" applyNumberFormat="1" applyFont="1" applyBorder="1"/>
    <xf numFmtId="176" fontId="6" fillId="0" borderId="3" xfId="0" applyNumberFormat="1" applyFont="1" applyBorder="1" applyAlignment="1">
      <alignment horizontal="left"/>
    </xf>
    <xf numFmtId="2" fontId="6" fillId="0" borderId="3" xfId="0" applyNumberFormat="1" applyFont="1" applyBorder="1" applyAlignment="1">
      <alignment horizontal="right"/>
    </xf>
    <xf numFmtId="2" fontId="50" fillId="0" borderId="3" xfId="0" applyNumberFormat="1" applyFont="1" applyBorder="1" applyAlignment="1">
      <alignment horizontal="right"/>
    </xf>
    <xf numFmtId="3" fontId="50" fillId="0" borderId="3" xfId="0" applyNumberFormat="1" applyFont="1" applyBorder="1" applyAlignment="1">
      <alignment horizontal="right"/>
    </xf>
    <xf numFmtId="167" fontId="50" fillId="0" borderId="3" xfId="0" applyNumberFormat="1" applyFont="1" applyBorder="1" applyAlignment="1">
      <alignment horizontal="right"/>
    </xf>
    <xf numFmtId="169" fontId="6" fillId="0" borderId="6" xfId="0" applyNumberFormat="1" applyFont="1" applyBorder="1" applyAlignment="1">
      <alignment horizontal="right"/>
    </xf>
    <xf numFmtId="169" fontId="6" fillId="0" borderId="3" xfId="0" applyNumberFormat="1" applyFont="1" applyBorder="1" applyAlignment="1">
      <alignment horizontal="right"/>
    </xf>
    <xf numFmtId="167" fontId="6" fillId="0" borderId="3" xfId="0" applyNumberFormat="1" applyFont="1" applyBorder="1" applyAlignment="1">
      <alignment horizontal="right"/>
    </xf>
    <xf numFmtId="171" fontId="50" fillId="0" borderId="6" xfId="0" applyNumberFormat="1" applyFont="1" applyBorder="1" applyAlignment="1">
      <alignment horizontal="center"/>
    </xf>
    <xf numFmtId="0" fontId="0" fillId="0" borderId="6" xfId="0" applyBorder="1" applyAlignment="1">
      <alignment horizontal="center"/>
    </xf>
    <xf numFmtId="0" fontId="50" fillId="0" borderId="3" xfId="0" applyFont="1" applyBorder="1" applyAlignment="1">
      <alignment horizontal="right"/>
    </xf>
    <xf numFmtId="2" fontId="6" fillId="0" borderId="0" xfId="0" applyNumberFormat="1" applyFont="1"/>
    <xf numFmtId="2" fontId="6" fillId="0" borderId="0" xfId="0" applyNumberFormat="1" applyFont="1" applyAlignment="1">
      <alignment horizontal="left"/>
    </xf>
    <xf numFmtId="0" fontId="16" fillId="0" borderId="7" xfId="0" applyFont="1" applyBorder="1" applyAlignment="1">
      <alignment horizontal="left"/>
    </xf>
    <xf numFmtId="0" fontId="38" fillId="0" borderId="9" xfId="0" applyFont="1" applyBorder="1"/>
    <xf numFmtId="0" fontId="6" fillId="0" borderId="3" xfId="0" applyFont="1" applyBorder="1"/>
    <xf numFmtId="165" fontId="6" fillId="0" borderId="0" xfId="0" applyNumberFormat="1" applyFont="1" applyAlignment="1">
      <alignment horizontal="right"/>
    </xf>
    <xf numFmtId="165" fontId="6" fillId="0" borderId="8" xfId="0" applyNumberFormat="1" applyFont="1" applyBorder="1" applyAlignment="1">
      <alignment horizontal="right"/>
    </xf>
    <xf numFmtId="0" fontId="9" fillId="0" borderId="9" xfId="0" applyFont="1" applyBorder="1" applyAlignment="1">
      <alignment horizontal="left"/>
    </xf>
    <xf numFmtId="0" fontId="14" fillId="0" borderId="9" xfId="0" applyFont="1" applyBorder="1" applyAlignment="1">
      <alignment horizontal="left"/>
    </xf>
    <xf numFmtId="167" fontId="59" fillId="0" borderId="0" xfId="0" applyNumberFormat="1" applyFont="1" applyAlignment="1">
      <alignment horizontal="right"/>
    </xf>
    <xf numFmtId="0" fontId="19" fillId="0" borderId="9" xfId="0" applyFont="1" applyBorder="1" applyAlignment="1">
      <alignment horizontal="left"/>
    </xf>
    <xf numFmtId="2" fontId="59" fillId="0" borderId="3" xfId="0" applyNumberFormat="1" applyFont="1" applyBorder="1" applyAlignment="1">
      <alignment horizontal="right"/>
    </xf>
    <xf numFmtId="0" fontId="17" fillId="0" borderId="9" xfId="0" applyFont="1" applyBorder="1" applyAlignment="1">
      <alignment horizontal="left"/>
    </xf>
    <xf numFmtId="165" fontId="47" fillId="0" borderId="8" xfId="0" applyNumberFormat="1" applyFont="1" applyBorder="1" applyAlignment="1">
      <alignment horizontal="right"/>
    </xf>
    <xf numFmtId="0" fontId="47" fillId="0" borderId="9" xfId="0" applyFont="1" applyBorder="1" applyAlignment="1">
      <alignment horizontal="left"/>
    </xf>
    <xf numFmtId="0" fontId="38" fillId="0" borderId="9" xfId="0" applyFont="1" applyBorder="1" applyAlignment="1">
      <alignment horizontal="left"/>
    </xf>
    <xf numFmtId="0" fontId="39" fillId="0" borderId="9" xfId="0" applyFont="1" applyBorder="1"/>
    <xf numFmtId="0" fontId="6" fillId="0" borderId="7" xfId="0" applyFont="1" applyBorder="1" applyAlignment="1">
      <alignment horizontal="left"/>
    </xf>
    <xf numFmtId="0" fontId="14" fillId="0" borderId="9" xfId="0" applyFont="1" applyBorder="1"/>
    <xf numFmtId="0" fontId="40" fillId="0" borderId="9" xfId="0" applyFont="1" applyBorder="1" applyAlignment="1">
      <alignment horizontal="left"/>
    </xf>
    <xf numFmtId="176" fontId="46" fillId="0" borderId="0" xfId="0" applyNumberFormat="1" applyFont="1" applyAlignment="1">
      <alignment horizontal="center"/>
    </xf>
    <xf numFmtId="0" fontId="50" fillId="0" borderId="8" xfId="0" applyFont="1" applyBorder="1" applyAlignment="1">
      <alignment horizontal="center"/>
    </xf>
    <xf numFmtId="165" fontId="47" fillId="0" borderId="8" xfId="0" applyNumberFormat="1" applyFont="1" applyBorder="1"/>
    <xf numFmtId="0" fontId="39" fillId="0" borderId="7" xfId="0" applyFont="1" applyBorder="1" applyAlignment="1">
      <alignment horizontal="left"/>
    </xf>
    <xf numFmtId="165" fontId="47" fillId="0" borderId="0" xfId="0" applyNumberFormat="1" applyFont="1"/>
    <xf numFmtId="0" fontId="14" fillId="0" borderId="7" xfId="0" applyFont="1" applyBorder="1" applyAlignment="1">
      <alignment horizontal="left"/>
    </xf>
    <xf numFmtId="165" fontId="42" fillId="0" borderId="8" xfId="0" applyNumberFormat="1" applyFont="1" applyBorder="1"/>
    <xf numFmtId="165" fontId="6" fillId="0" borderId="3" xfId="0" applyNumberFormat="1" applyFont="1" applyBorder="1" applyAlignment="1">
      <alignment horizontal="right"/>
    </xf>
    <xf numFmtId="165" fontId="6" fillId="0" borderId="6" xfId="0" applyNumberFormat="1" applyFont="1" applyBorder="1" applyAlignment="1">
      <alignment horizontal="right"/>
    </xf>
    <xf numFmtId="0" fontId="42" fillId="0" borderId="9" xfId="0" applyFont="1" applyBorder="1" applyAlignment="1">
      <alignment horizontal="left"/>
    </xf>
    <xf numFmtId="0" fontId="10" fillId="0" borderId="9" xfId="0" applyFont="1" applyBorder="1" applyAlignment="1">
      <alignment horizontal="left"/>
    </xf>
    <xf numFmtId="2" fontId="56" fillId="0" borderId="0" xfId="0" applyNumberFormat="1" applyFont="1" applyAlignment="1">
      <alignment horizontal="right"/>
    </xf>
    <xf numFmtId="2" fontId="6" fillId="0" borderId="3" xfId="0" applyNumberFormat="1" applyFont="1" applyBorder="1" applyAlignment="1">
      <alignment horizontal="left"/>
    </xf>
    <xf numFmtId="0" fontId="62" fillId="0" borderId="9" xfId="0" applyFont="1" applyBorder="1" applyAlignment="1">
      <alignment horizontal="left"/>
    </xf>
    <xf numFmtId="175" fontId="6" fillId="0" borderId="0" xfId="0" applyNumberFormat="1" applyFont="1"/>
    <xf numFmtId="0" fontId="6" fillId="0" borderId="8" xfId="0" applyFont="1" applyBorder="1"/>
    <xf numFmtId="0" fontId="0" fillId="0" borderId="9" xfId="0" applyBorder="1"/>
    <xf numFmtId="170" fontId="50" fillId="0" borderId="0" xfId="0" applyNumberFormat="1" applyFont="1" applyAlignment="1">
      <alignment horizontal="right"/>
    </xf>
    <xf numFmtId="0" fontId="19" fillId="0" borderId="9" xfId="0" applyFont="1" applyBorder="1"/>
    <xf numFmtId="2" fontId="6" fillId="0" borderId="3" xfId="0" applyNumberFormat="1" applyFont="1" applyBorder="1"/>
    <xf numFmtId="0" fontId="4" fillId="0" borderId="9" xfId="0" applyFont="1" applyBorder="1" applyAlignment="1">
      <alignment horizontal="left"/>
    </xf>
    <xf numFmtId="0" fontId="6" fillId="0" borderId="23" xfId="0" applyFont="1" applyBorder="1"/>
    <xf numFmtId="165" fontId="40" fillId="0" borderId="8" xfId="0" applyNumberFormat="1" applyFont="1" applyBorder="1"/>
    <xf numFmtId="176" fontId="46" fillId="0" borderId="3" xfId="0" applyNumberFormat="1" applyFont="1" applyBorder="1" applyAlignment="1">
      <alignment horizontal="center"/>
    </xf>
    <xf numFmtId="0" fontId="43" fillId="0" borderId="9" xfId="0" applyFont="1" applyBorder="1"/>
    <xf numFmtId="0" fontId="20" fillId="0" borderId="9" xfId="0" applyFont="1" applyBorder="1" applyAlignment="1">
      <alignment horizontal="left"/>
    </xf>
    <xf numFmtId="0" fontId="63" fillId="0" borderId="9" xfId="0" applyFont="1" applyBorder="1" applyAlignment="1">
      <alignment horizontal="left"/>
    </xf>
    <xf numFmtId="0" fontId="40" fillId="0" borderId="9" xfId="0" applyFont="1" applyBorder="1"/>
    <xf numFmtId="0" fontId="0" fillId="0" borderId="3" xfId="0" applyBorder="1"/>
    <xf numFmtId="0" fontId="0" fillId="0" borderId="24" xfId="0" applyBorder="1"/>
    <xf numFmtId="0" fontId="0" fillId="0" borderId="21" xfId="0" applyBorder="1" applyAlignment="1">
      <alignment horizontal="center"/>
    </xf>
    <xf numFmtId="0" fontId="0" fillId="0" borderId="21" xfId="0" applyBorder="1"/>
    <xf numFmtId="1" fontId="0" fillId="0" borderId="19" xfId="0" applyNumberFormat="1" applyBorder="1" applyAlignment="1">
      <alignment horizontal="center"/>
    </xf>
    <xf numFmtId="0" fontId="49" fillId="0" borderId="19" xfId="0" applyFont="1" applyBorder="1" applyAlignment="1">
      <alignment horizontal="center"/>
    </xf>
    <xf numFmtId="0" fontId="51" fillId="0" borderId="19" xfId="0" applyFont="1" applyBorder="1"/>
    <xf numFmtId="0" fontId="0" fillId="0" borderId="21" xfId="0" applyBorder="1" applyAlignment="1">
      <alignment horizontal="right"/>
    </xf>
    <xf numFmtId="0" fontId="0" fillId="0" borderId="19" xfId="0" applyBorder="1" applyAlignment="1">
      <alignment horizontal="right"/>
    </xf>
    <xf numFmtId="167" fontId="0" fillId="0" borderId="0" xfId="0" applyNumberFormat="1" applyAlignment="1">
      <alignment horizontal="center"/>
    </xf>
    <xf numFmtId="2" fontId="0" fillId="0" borderId="0" xfId="0" applyNumberFormat="1" applyAlignment="1">
      <alignment horizontal="center"/>
    </xf>
    <xf numFmtId="2" fontId="0" fillId="0" borderId="8" xfId="0" applyNumberFormat="1" applyBorder="1" applyAlignment="1">
      <alignment horizontal="center"/>
    </xf>
    <xf numFmtId="165" fontId="0" fillId="0" borderId="0" xfId="0" applyNumberFormat="1" applyAlignment="1">
      <alignment horizontal="center"/>
    </xf>
    <xf numFmtId="169" fontId="0" fillId="0" borderId="0" xfId="0" applyNumberFormat="1" applyAlignment="1">
      <alignment horizontal="center"/>
    </xf>
    <xf numFmtId="170" fontId="0" fillId="0" borderId="0" xfId="0" applyNumberFormat="1" applyAlignment="1">
      <alignment horizontal="center"/>
    </xf>
    <xf numFmtId="168" fontId="0" fillId="0" borderId="0" xfId="0" applyNumberFormat="1" applyAlignment="1">
      <alignment horizontal="center"/>
    </xf>
    <xf numFmtId="3" fontId="0" fillId="0" borderId="0" xfId="0" applyNumberFormat="1" applyAlignment="1">
      <alignment horizontal="center"/>
    </xf>
    <xf numFmtId="2" fontId="0" fillId="0" borderId="25" xfId="0" applyNumberFormat="1" applyBorder="1" applyAlignment="1">
      <alignment horizontal="center"/>
    </xf>
    <xf numFmtId="2" fontId="0" fillId="0" borderId="26" xfId="0" applyNumberFormat="1" applyBorder="1" applyAlignment="1">
      <alignment horizontal="center"/>
    </xf>
    <xf numFmtId="2" fontId="0" fillId="0" borderId="27" xfId="0" applyNumberFormat="1" applyBorder="1" applyAlignment="1">
      <alignment horizontal="center"/>
    </xf>
    <xf numFmtId="2" fontId="0" fillId="0" borderId="18" xfId="0" applyNumberFormat="1" applyBorder="1" applyAlignment="1">
      <alignment horizontal="center"/>
    </xf>
    <xf numFmtId="167" fontId="6" fillId="0" borderId="0" xfId="0" applyNumberFormat="1" applyFont="1"/>
    <xf numFmtId="165" fontId="0" fillId="0" borderId="0" xfId="0" applyNumberFormat="1"/>
    <xf numFmtId="168" fontId="49" fillId="0" borderId="0" xfId="0" applyNumberFormat="1" applyFont="1" applyAlignment="1">
      <alignment horizontal="center"/>
    </xf>
    <xf numFmtId="3" fontId="0" fillId="0" borderId="0" xfId="0" applyNumberFormat="1"/>
    <xf numFmtId="1" fontId="0" fillId="0" borderId="0" xfId="0" applyNumberFormat="1"/>
    <xf numFmtId="167" fontId="0" fillId="0" borderId="18" xfId="0" applyNumberFormat="1" applyBorder="1" applyAlignment="1">
      <alignment horizontal="center"/>
    </xf>
    <xf numFmtId="0" fontId="51" fillId="0" borderId="18" xfId="0" applyFont="1" applyBorder="1"/>
    <xf numFmtId="0" fontId="0" fillId="0" borderId="8" xfId="0" applyBorder="1" applyAlignment="1">
      <alignment horizontal="right"/>
    </xf>
    <xf numFmtId="0" fontId="0" fillId="0" borderId="0" xfId="0" applyAlignment="1">
      <alignment horizontal="right"/>
    </xf>
    <xf numFmtId="2" fontId="0" fillId="0" borderId="18" xfId="0" applyNumberFormat="1" applyBorder="1"/>
    <xf numFmtId="2" fontId="0" fillId="0" borderId="0" xfId="0" applyNumberFormat="1"/>
    <xf numFmtId="0" fontId="45" fillId="0" borderId="0" xfId="0" applyFont="1" applyAlignment="1">
      <alignment horizontal="center"/>
    </xf>
    <xf numFmtId="0" fontId="12" fillId="0" borderId="0" xfId="0" applyFont="1" applyAlignment="1">
      <alignment horizontal="center"/>
    </xf>
    <xf numFmtId="0" fontId="41" fillId="0" borderId="9" xfId="0" applyFont="1" applyBorder="1" applyAlignment="1">
      <alignment horizontal="left"/>
    </xf>
    <xf numFmtId="2" fontId="6" fillId="0" borderId="0" xfId="0" applyNumberFormat="1" applyFont="1" applyAlignment="1">
      <alignment horizontal="left" wrapText="1"/>
    </xf>
    <xf numFmtId="0" fontId="44" fillId="0" borderId="9" xfId="0" applyFont="1" applyBorder="1" applyAlignment="1">
      <alignment horizontal="left"/>
    </xf>
    <xf numFmtId="0" fontId="9" fillId="0" borderId="7" xfId="0" applyFont="1" applyBorder="1" applyAlignment="1">
      <alignment horizontal="left"/>
    </xf>
    <xf numFmtId="0" fontId="64" fillId="0" borderId="9" xfId="0" applyFont="1" applyBorder="1"/>
    <xf numFmtId="2" fontId="56" fillId="0" borderId="3" xfId="0" applyNumberFormat="1" applyFont="1" applyBorder="1" applyAlignment="1">
      <alignment horizontal="right"/>
    </xf>
    <xf numFmtId="0" fontId="13" fillId="0" borderId="9" xfId="0" applyFont="1" applyBorder="1" applyAlignment="1">
      <alignment horizontal="left"/>
    </xf>
    <xf numFmtId="176" fontId="39" fillId="0" borderId="3" xfId="0" applyNumberFormat="1" applyFont="1" applyBorder="1" applyAlignment="1">
      <alignment horizontal="right"/>
    </xf>
    <xf numFmtId="0" fontId="47" fillId="0" borderId="7" xfId="0" applyFont="1" applyBorder="1" applyAlignment="1">
      <alignment horizontal="left"/>
    </xf>
    <xf numFmtId="0" fontId="19" fillId="0" borderId="7" xfId="0" applyFont="1" applyBorder="1" applyAlignment="1">
      <alignment horizontal="left"/>
    </xf>
    <xf numFmtId="0" fontId="6" fillId="0" borderId="6" xfId="0" applyFont="1" applyBorder="1" applyAlignment="1">
      <alignment horizontal="center"/>
    </xf>
    <xf numFmtId="0" fontId="6" fillId="0" borderId="3" xfId="0" applyFont="1" applyBorder="1" applyAlignment="1">
      <alignment horizontal="center"/>
    </xf>
    <xf numFmtId="0" fontId="6" fillId="0" borderId="0" xfId="0" applyFont="1" applyAlignment="1">
      <alignment horizontal="center"/>
    </xf>
    <xf numFmtId="0" fontId="39" fillId="0" borderId="9" xfId="0" quotePrefix="1" applyFont="1" applyBorder="1" applyAlignment="1">
      <alignment horizontal="left"/>
    </xf>
    <xf numFmtId="165" fontId="47" fillId="0" borderId="3" xfId="0" applyNumberFormat="1" applyFont="1" applyBorder="1"/>
    <xf numFmtId="0" fontId="6" fillId="0" borderId="8" xfId="0" applyFont="1" applyBorder="1" applyAlignment="1">
      <alignment horizontal="left"/>
    </xf>
    <xf numFmtId="0" fontId="28" fillId="7" borderId="15" xfId="0" applyFont="1" applyFill="1" applyBorder="1" applyAlignment="1">
      <alignment horizontal="center" vertical="center"/>
    </xf>
    <xf numFmtId="0" fontId="28" fillId="7" borderId="16" xfId="0" applyFont="1" applyFill="1" applyBorder="1" applyAlignment="1">
      <alignment horizontal="center" vertical="center"/>
    </xf>
    <xf numFmtId="0" fontId="28" fillId="8" borderId="15" xfId="0" applyFont="1" applyFill="1" applyBorder="1" applyAlignment="1">
      <alignment horizontal="center" vertical="center"/>
    </xf>
    <xf numFmtId="0" fontId="28" fillId="8" borderId="16" xfId="0" applyFont="1" applyFill="1" applyBorder="1" applyAlignment="1">
      <alignment horizontal="center" vertical="center"/>
    </xf>
    <xf numFmtId="0" fontId="24" fillId="0" borderId="0" xfId="0" applyFont="1" applyAlignment="1">
      <alignment horizontal="center"/>
    </xf>
    <xf numFmtId="0" fontId="24" fillId="0" borderId="0" xfId="0" applyFont="1" applyBorder="1" applyAlignment="1">
      <alignment horizontal="center" vertical="center"/>
    </xf>
    <xf numFmtId="0" fontId="24" fillId="0" borderId="2" xfId="0" applyFont="1" applyBorder="1" applyAlignment="1">
      <alignment horizontal="center" vertical="center"/>
    </xf>
    <xf numFmtId="174" fontId="29" fillId="4" borderId="6" xfId="9" applyNumberFormat="1" applyFont="1" applyBorder="1" applyAlignment="1">
      <alignment horizontal="center"/>
    </xf>
    <xf numFmtId="174" fontId="29" fillId="4" borderId="3" xfId="9" applyNumberFormat="1" applyFont="1" applyBorder="1" applyAlignment="1">
      <alignment horizontal="center"/>
    </xf>
    <xf numFmtId="174" fontId="29" fillId="4" borderId="4" xfId="9" applyNumberFormat="1" applyFont="1" applyBorder="1" applyAlignment="1">
      <alignment horizontal="center"/>
    </xf>
    <xf numFmtId="0" fontId="37" fillId="0" borderId="0" xfId="0" applyFont="1" applyAlignment="1">
      <alignment horizontal="center" vertical="center" wrapText="1"/>
    </xf>
    <xf numFmtId="0" fontId="6" fillId="0" borderId="6"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0" xfId="0" applyFont="1" applyAlignment="1">
      <alignment horizontal="center"/>
    </xf>
    <xf numFmtId="0" fontId="38" fillId="0" borderId="9" xfId="0" quotePrefix="1" applyFont="1" applyBorder="1" applyAlignment="1">
      <alignment horizontal="left"/>
    </xf>
    <xf numFmtId="0" fontId="38" fillId="0" borderId="7" xfId="0" applyFont="1" applyBorder="1"/>
    <xf numFmtId="165" fontId="42" fillId="0" borderId="6" xfId="0" applyNumberFormat="1" applyFont="1" applyBorder="1"/>
    <xf numFmtId="0" fontId="42" fillId="0" borderId="7" xfId="0" applyFont="1" applyBorder="1" applyAlignment="1">
      <alignment horizontal="left"/>
    </xf>
    <xf numFmtId="165" fontId="47" fillId="0" borderId="6" xfId="0" applyNumberFormat="1" applyFont="1" applyBorder="1"/>
    <xf numFmtId="0" fontId="6" fillId="0" borderId="22" xfId="0" applyFont="1" applyBorder="1"/>
    <xf numFmtId="0" fontId="19" fillId="0" borderId="7" xfId="0" applyFont="1" applyBorder="1"/>
    <xf numFmtId="0" fontId="13" fillId="0" borderId="9" xfId="0" applyFont="1" applyBorder="1"/>
    <xf numFmtId="175" fontId="6" fillId="0" borderId="3" xfId="0" applyNumberFormat="1" applyFont="1" applyBorder="1"/>
    <xf numFmtId="0" fontId="50" fillId="0" borderId="3" xfId="0" applyFont="1" applyBorder="1"/>
    <xf numFmtId="0" fontId="6" fillId="0" borderId="6" xfId="0" applyFont="1" applyBorder="1"/>
    <xf numFmtId="170" fontId="50" fillId="0" borderId="3" xfId="0" applyNumberFormat="1" applyFont="1" applyBorder="1" applyAlignment="1">
      <alignment horizontal="right"/>
    </xf>
    <xf numFmtId="0" fontId="50" fillId="0" borderId="6" xfId="0" applyFont="1" applyBorder="1" applyAlignment="1">
      <alignment horizontal="center"/>
    </xf>
    <xf numFmtId="2" fontId="51" fillId="0" borderId="0" xfId="0" applyNumberFormat="1" applyFont="1" applyAlignment="1">
      <alignment horizontal="right"/>
    </xf>
    <xf numFmtId="3" fontId="51" fillId="0" borderId="0" xfId="0" applyNumberFormat="1" applyFont="1" applyAlignment="1">
      <alignment horizontal="right"/>
    </xf>
    <xf numFmtId="0" fontId="6" fillId="0" borderId="18" xfId="0" applyFont="1" applyBorder="1"/>
  </cellXfs>
  <cellStyles count="15">
    <cellStyle name="40% - Accent3" xfId="12" builtinId="39"/>
    <cellStyle name="40% - Accent4" xfId="10" builtinId="43"/>
    <cellStyle name="40% - Accent5" xfId="11" builtinId="47"/>
    <cellStyle name="Accent1" xfId="8" builtinId="29"/>
    <cellStyle name="Accent2" xfId="9" builtinId="33"/>
    <cellStyle name="Comma 2" xfId="5" xr:uid="{00000000-0005-0000-0000-000005000000}"/>
    <cellStyle name="Comma 3" xfId="6" xr:uid="{00000000-0005-0000-0000-000006000000}"/>
    <cellStyle name="Currency 2" xfId="2" xr:uid="{00000000-0005-0000-0000-000007000000}"/>
    <cellStyle name="Currency 5" xfId="4" xr:uid="{00000000-0005-0000-0000-000008000000}"/>
    <cellStyle name="Hyperlink" xfId="14" builtinId="8"/>
    <cellStyle name="Hyperlink 2" xfId="13" xr:uid="{00000000-0005-0000-0000-00000A000000}"/>
    <cellStyle name="Normal" xfId="0" builtinId="0"/>
    <cellStyle name="Normal 2" xfId="1" xr:uid="{00000000-0005-0000-0000-00000C000000}"/>
    <cellStyle name="Percent 2" xfId="7" xr:uid="{00000000-0005-0000-0000-00000D000000}"/>
    <cellStyle name="Percent 4" xfId="3" xr:uid="{00000000-0005-0000-0000-00000E000000}"/>
  </cellStyles>
  <dxfs count="85">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7"/>
      </font>
    </dxf>
    <dxf>
      <font>
        <b val="0"/>
        <condense val="0"/>
        <extend val="0"/>
        <color indexed="10"/>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0"/>
      </font>
    </dxf>
    <dxf>
      <font>
        <b val="0"/>
        <condense val="0"/>
        <extend val="0"/>
        <color indexed="10"/>
      </font>
    </dxf>
    <dxf>
      <font>
        <b/>
        <i val="0"/>
        <condense val="0"/>
        <extend val="0"/>
        <color indexed="10"/>
      </font>
    </dxf>
    <dxf>
      <font>
        <b val="0"/>
        <condense val="0"/>
        <extend val="0"/>
        <color indexed="10"/>
      </font>
    </dxf>
    <dxf>
      <font>
        <b val="0"/>
        <condense val="0"/>
        <extend val="0"/>
        <color indexed="17"/>
      </font>
    </dxf>
    <dxf>
      <font>
        <b val="0"/>
        <condense val="0"/>
        <extend val="0"/>
        <color indexed="17"/>
      </font>
    </dxf>
    <dxf>
      <font>
        <b val="0"/>
        <condense val="0"/>
        <extend val="0"/>
        <color indexed="10"/>
      </font>
    </dxf>
    <dxf>
      <font>
        <b val="0"/>
        <condense val="0"/>
        <extend val="0"/>
        <color indexed="10"/>
      </font>
    </dxf>
    <dxf>
      <fill>
        <patternFill>
          <bgColor theme="6" tint="0.59996337778862885"/>
        </patternFill>
      </fill>
    </dxf>
    <dxf>
      <fill>
        <patternFill>
          <bgColor theme="5"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rgb="FFFF0000"/>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theme="6" tint="0.59996337778862885"/>
        </patternFill>
      </fill>
    </dxf>
    <dxf>
      <fill>
        <patternFill>
          <bgColor theme="5" tint="0.59996337778862885"/>
        </patternFill>
      </fill>
    </dxf>
    <dxf>
      <fill>
        <patternFill>
          <bgColor rgb="FF00B050"/>
        </patternFill>
      </fill>
    </dxf>
    <dxf>
      <fill>
        <patternFill>
          <bgColor theme="0" tint="-0.24994659260841701"/>
        </patternFill>
      </fill>
    </dxf>
  </dxfs>
  <tableStyles count="0" defaultTableStyle="TableStyleMedium2" defaultPivotStyle="PivotStyleLight16"/>
  <colors>
    <mruColors>
      <color rgb="FFADEFAD"/>
      <color rgb="FF53D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63500</xdr:colOff>
          <xdr:row>0</xdr:row>
          <xdr:rowOff>76200</xdr:rowOff>
        </xdr:from>
        <xdr:to>
          <xdr:col>27</xdr:col>
          <xdr:colOff>1257300</xdr:colOff>
          <xdr:row>2</xdr:row>
          <xdr:rowOff>50800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2</xdr:row>
          <xdr:rowOff>114300</xdr:rowOff>
        </xdr:from>
        <xdr:to>
          <xdr:col>27</xdr:col>
          <xdr:colOff>1257300</xdr:colOff>
          <xdr:row>4</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on/Downloads/U.S.DividendChampions-2022-10-31-818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Champions"/>
      <sheetName val="Contenders"/>
      <sheetName val="Challengers"/>
      <sheetName val="All CCC"/>
      <sheetName val="Historical"/>
      <sheetName val="WatchList"/>
      <sheetName val="Changes"/>
      <sheetName val="Summary"/>
      <sheetName val="Revisions"/>
      <sheetName val="Notes"/>
    </sheetNames>
    <sheetDataSet>
      <sheetData sheetId="0"/>
      <sheetData sheetId="1"/>
      <sheetData sheetId="2"/>
      <sheetData sheetId="3"/>
      <sheetData sheetId="4"/>
      <sheetData sheetId="5">
        <row r="7">
          <cell r="B7" t="str">
            <v>A</v>
          </cell>
          <cell r="C7">
            <v>0.77600000000000002</v>
          </cell>
          <cell r="D7">
            <v>0.72</v>
          </cell>
          <cell r="F7">
            <v>0.59599999999999997</v>
          </cell>
          <cell r="H7">
            <v>0.46</v>
          </cell>
          <cell r="N7">
            <v>0</v>
          </cell>
        </row>
        <row r="8">
          <cell r="B8" t="str">
            <v>AAPL</v>
          </cell>
          <cell r="C8">
            <v>0.86499999999999999</v>
          </cell>
          <cell r="D8">
            <v>0.8075</v>
          </cell>
          <cell r="F8">
            <v>0.70499999999999996</v>
          </cell>
          <cell r="H8">
            <v>0.5575</v>
          </cell>
          <cell r="N8">
            <v>0</v>
          </cell>
        </row>
        <row r="9">
          <cell r="B9" t="str">
            <v>ABBV</v>
          </cell>
          <cell r="C9">
            <v>5.2</v>
          </cell>
          <cell r="D9">
            <v>4.72</v>
          </cell>
          <cell r="F9">
            <v>3.59</v>
          </cell>
          <cell r="H9">
            <v>2.2799999999999998</v>
          </cell>
          <cell r="N9">
            <v>0</v>
          </cell>
        </row>
        <row r="10">
          <cell r="B10" t="str">
            <v>ABC</v>
          </cell>
          <cell r="C10">
            <v>1.78</v>
          </cell>
          <cell r="D10">
            <v>1.7</v>
          </cell>
          <cell r="F10">
            <v>1.54</v>
          </cell>
          <cell r="H10">
            <v>1.385</v>
          </cell>
          <cell r="N10">
            <v>0.46</v>
          </cell>
        </row>
        <row r="11">
          <cell r="B11" t="str">
            <v>ABM</v>
          </cell>
          <cell r="C11">
            <v>0.76</v>
          </cell>
          <cell r="D11">
            <v>0.74</v>
          </cell>
          <cell r="F11">
            <v>0.7</v>
          </cell>
          <cell r="H11">
            <v>0.66</v>
          </cell>
          <cell r="N11">
            <v>0.56000000000000005</v>
          </cell>
        </row>
        <row r="12">
          <cell r="B12" t="str">
            <v>ABR</v>
          </cell>
          <cell r="C12">
            <v>1.38</v>
          </cell>
          <cell r="D12">
            <v>1.23</v>
          </cell>
          <cell r="F12">
            <v>0.98</v>
          </cell>
          <cell r="H12">
            <v>0.62</v>
          </cell>
          <cell r="N12">
            <v>0</v>
          </cell>
        </row>
        <row r="13">
          <cell r="B13" t="str">
            <v>ABT</v>
          </cell>
          <cell r="C13">
            <v>1.8</v>
          </cell>
          <cell r="D13">
            <v>1.44</v>
          </cell>
          <cell r="F13">
            <v>1.1200000000000001</v>
          </cell>
          <cell r="H13">
            <v>1.04</v>
          </cell>
          <cell r="N13">
            <v>0.90201000000000009</v>
          </cell>
        </row>
        <row r="14">
          <cell r="B14" t="str">
            <v>ACN</v>
          </cell>
          <cell r="C14">
            <v>3.61</v>
          </cell>
          <cell r="D14">
            <v>3.28</v>
          </cell>
          <cell r="F14">
            <v>2.79</v>
          </cell>
          <cell r="H14">
            <v>2.31</v>
          </cell>
          <cell r="N14">
            <v>1.125</v>
          </cell>
        </row>
        <row r="15">
          <cell r="B15" t="str">
            <v>ADC</v>
          </cell>
          <cell r="C15">
            <v>2.5840000000000001</v>
          </cell>
          <cell r="D15">
            <v>2.37</v>
          </cell>
          <cell r="F15">
            <v>2.12</v>
          </cell>
          <cell r="H15">
            <v>1.92</v>
          </cell>
          <cell r="N15">
            <v>1.71</v>
          </cell>
        </row>
        <row r="16">
          <cell r="B16" t="str">
            <v>ADI</v>
          </cell>
          <cell r="C16">
            <v>2.76</v>
          </cell>
          <cell r="D16">
            <v>2.48</v>
          </cell>
          <cell r="F16">
            <v>1.92</v>
          </cell>
          <cell r="H16">
            <v>1.68</v>
          </cell>
          <cell r="N16">
            <v>0.97</v>
          </cell>
        </row>
        <row r="17">
          <cell r="B17" t="str">
            <v>ADM</v>
          </cell>
          <cell r="C17">
            <v>1.48</v>
          </cell>
          <cell r="D17">
            <v>1.44</v>
          </cell>
          <cell r="F17">
            <v>1.34</v>
          </cell>
          <cell r="H17">
            <v>1.2</v>
          </cell>
          <cell r="N17">
            <v>0.65500000000000003</v>
          </cell>
        </row>
        <row r="18">
          <cell r="B18" t="str">
            <v>ADP</v>
          </cell>
          <cell r="C18">
            <v>3.72</v>
          </cell>
          <cell r="D18">
            <v>3.64</v>
          </cell>
          <cell r="F18">
            <v>2.64</v>
          </cell>
          <cell r="H18">
            <v>2.12</v>
          </cell>
          <cell r="N18">
            <v>1.257984</v>
          </cell>
        </row>
        <row r="19">
          <cell r="B19" t="str">
            <v>AEE</v>
          </cell>
          <cell r="C19">
            <v>2.2000000000000002</v>
          </cell>
          <cell r="D19">
            <v>2</v>
          </cell>
          <cell r="F19">
            <v>1.8474999999999999</v>
          </cell>
          <cell r="H19">
            <v>1.7150000000000001</v>
          </cell>
          <cell r="N19">
            <v>1.5549999999999999</v>
          </cell>
        </row>
        <row r="20">
          <cell r="B20" t="str">
            <v>AEL</v>
          </cell>
          <cell r="C20">
            <v>0.34</v>
          </cell>
          <cell r="D20">
            <v>0.32</v>
          </cell>
          <cell r="F20">
            <v>0.28000000000000003</v>
          </cell>
          <cell r="H20">
            <v>0.24</v>
          </cell>
          <cell r="N20">
            <v>0.12</v>
          </cell>
        </row>
        <row r="21">
          <cell r="B21" t="str">
            <v>AEM</v>
          </cell>
          <cell r="C21">
            <v>1.4</v>
          </cell>
          <cell r="D21">
            <v>0.95</v>
          </cell>
          <cell r="F21">
            <v>0.44</v>
          </cell>
          <cell r="H21">
            <v>0.36000000000000004</v>
          </cell>
          <cell r="N21">
            <v>0.64</v>
          </cell>
        </row>
        <row r="22">
          <cell r="B22" t="str">
            <v>AEP</v>
          </cell>
          <cell r="C22">
            <v>3</v>
          </cell>
          <cell r="D22">
            <v>2.84</v>
          </cell>
          <cell r="F22">
            <v>2.5299999999999998</v>
          </cell>
          <cell r="H22">
            <v>2.27</v>
          </cell>
          <cell r="N22">
            <v>1.85</v>
          </cell>
        </row>
        <row r="23">
          <cell r="B23" t="str">
            <v>AES</v>
          </cell>
          <cell r="C23">
            <v>0.60199999999999998</v>
          </cell>
          <cell r="D23">
            <v>0.57320000000000004</v>
          </cell>
          <cell r="F23">
            <v>0.52</v>
          </cell>
          <cell r="H23">
            <v>0.44</v>
          </cell>
          <cell r="N23">
            <v>0</v>
          </cell>
        </row>
        <row r="24">
          <cell r="B24" t="str">
            <v>AFG</v>
          </cell>
          <cell r="C24">
            <v>2.06</v>
          </cell>
          <cell r="D24">
            <v>1.85</v>
          </cell>
          <cell r="F24">
            <v>1.45</v>
          </cell>
          <cell r="H24">
            <v>1.1525000000000001</v>
          </cell>
          <cell r="N24">
            <v>0.66249999999999998</v>
          </cell>
        </row>
        <row r="25">
          <cell r="B25" t="str">
            <v>AFL</v>
          </cell>
          <cell r="C25">
            <v>1.32</v>
          </cell>
          <cell r="D25">
            <v>1.1200000000000001</v>
          </cell>
          <cell r="F25">
            <v>1.04</v>
          </cell>
          <cell r="H25">
            <v>0.83</v>
          </cell>
          <cell r="N25">
            <v>0.61499999999999999</v>
          </cell>
        </row>
        <row r="26">
          <cell r="B26" t="str">
            <v>AGCO</v>
          </cell>
          <cell r="C26">
            <v>0.76</v>
          </cell>
          <cell r="D26">
            <v>0.64</v>
          </cell>
          <cell r="F26">
            <v>0.6</v>
          </cell>
          <cell r="H26">
            <v>0.52</v>
          </cell>
          <cell r="N26">
            <v>0</v>
          </cell>
        </row>
        <row r="27">
          <cell r="B27" t="str">
            <v>AGM</v>
          </cell>
          <cell r="C27">
            <v>3.52</v>
          </cell>
          <cell r="D27">
            <v>3.2</v>
          </cell>
          <cell r="F27">
            <v>2.3199999999999998</v>
          </cell>
          <cell r="H27">
            <v>1.04</v>
          </cell>
          <cell r="N27">
            <v>0.2</v>
          </cell>
        </row>
        <row r="28">
          <cell r="B28" t="str">
            <v>AGO</v>
          </cell>
          <cell r="C28">
            <v>0.88</v>
          </cell>
          <cell r="D28">
            <v>0.8</v>
          </cell>
          <cell r="F28">
            <v>0.64</v>
          </cell>
          <cell r="H28">
            <v>0.52</v>
          </cell>
          <cell r="N28">
            <v>0.18</v>
          </cell>
        </row>
        <row r="29">
          <cell r="B29" t="str">
            <v>AIRC</v>
          </cell>
          <cell r="C29">
            <v>1.74</v>
          </cell>
          <cell r="D29">
            <v>1.64</v>
          </cell>
          <cell r="F29">
            <v>1.52</v>
          </cell>
          <cell r="H29">
            <v>1.32</v>
          </cell>
          <cell r="N29">
            <v>0.48</v>
          </cell>
        </row>
        <row r="30">
          <cell r="B30" t="str">
            <v>AIT</v>
          </cell>
          <cell r="C30">
            <v>1.32</v>
          </cell>
          <cell r="D30">
            <v>1.28</v>
          </cell>
          <cell r="F30">
            <v>1.2</v>
          </cell>
          <cell r="H30">
            <v>1.1200000000000001</v>
          </cell>
          <cell r="N30">
            <v>0.74</v>
          </cell>
        </row>
        <row r="31">
          <cell r="B31" t="str">
            <v>AIZ</v>
          </cell>
          <cell r="C31">
            <v>2.66</v>
          </cell>
          <cell r="D31">
            <v>2.5499999999999998</v>
          </cell>
          <cell r="F31">
            <v>2.2799999999999998</v>
          </cell>
          <cell r="H31">
            <v>2.0299999999999998</v>
          </cell>
          <cell r="N31">
            <v>0.7</v>
          </cell>
        </row>
        <row r="32">
          <cell r="B32" t="str">
            <v>AJG</v>
          </cell>
          <cell r="C32">
            <v>1.92</v>
          </cell>
          <cell r="D32">
            <v>1.8</v>
          </cell>
          <cell r="F32">
            <v>1.64</v>
          </cell>
          <cell r="H32">
            <v>1.52</v>
          </cell>
          <cell r="N32">
            <v>1.32</v>
          </cell>
        </row>
        <row r="33">
          <cell r="B33" t="str">
            <v>AL</v>
          </cell>
          <cell r="C33">
            <v>0.64</v>
          </cell>
          <cell r="D33">
            <v>0.6</v>
          </cell>
          <cell r="F33">
            <v>0.4</v>
          </cell>
          <cell r="H33">
            <v>0.2</v>
          </cell>
          <cell r="N33">
            <v>0</v>
          </cell>
        </row>
        <row r="34">
          <cell r="B34" t="str">
            <v>ALB</v>
          </cell>
          <cell r="C34">
            <v>1.5549999999999999</v>
          </cell>
          <cell r="D34">
            <v>1.5225</v>
          </cell>
          <cell r="F34">
            <v>1.325</v>
          </cell>
          <cell r="H34">
            <v>1.2050000000000001</v>
          </cell>
          <cell r="N34">
            <v>0.63500000000000001</v>
          </cell>
        </row>
        <row r="35">
          <cell r="B35" t="str">
            <v>ALE</v>
          </cell>
          <cell r="C35">
            <v>2.52</v>
          </cell>
          <cell r="D35">
            <v>2.4700000000000002</v>
          </cell>
          <cell r="F35">
            <v>2.2400000000000002</v>
          </cell>
          <cell r="H35">
            <v>2.08</v>
          </cell>
          <cell r="N35">
            <v>1.78</v>
          </cell>
        </row>
        <row r="36">
          <cell r="B36" t="str">
            <v>ALG</v>
          </cell>
          <cell r="C36">
            <v>0.56000000000000005</v>
          </cell>
          <cell r="D36">
            <v>0.52</v>
          </cell>
          <cell r="F36">
            <v>0.44</v>
          </cell>
          <cell r="H36">
            <v>0.36</v>
          </cell>
          <cell r="N36">
            <v>0.24</v>
          </cell>
        </row>
        <row r="37">
          <cell r="B37" t="str">
            <v>ALL</v>
          </cell>
          <cell r="C37">
            <v>2.97</v>
          </cell>
          <cell r="D37">
            <v>2.12</v>
          </cell>
          <cell r="F37">
            <v>1.75</v>
          </cell>
          <cell r="H37">
            <v>1.29</v>
          </cell>
          <cell r="N37">
            <v>0.84</v>
          </cell>
        </row>
        <row r="38">
          <cell r="B38" t="str">
            <v>ALLE</v>
          </cell>
          <cell r="C38">
            <v>1.44</v>
          </cell>
          <cell r="D38">
            <v>1.28</v>
          </cell>
          <cell r="F38">
            <v>0.84</v>
          </cell>
          <cell r="H38">
            <v>0.48</v>
          </cell>
          <cell r="N38">
            <v>0</v>
          </cell>
        </row>
        <row r="39">
          <cell r="B39" t="str">
            <v>ALLY</v>
          </cell>
          <cell r="C39">
            <v>0.88</v>
          </cell>
          <cell r="D39">
            <v>0.76</v>
          </cell>
          <cell r="F39">
            <v>0.56000000000000005</v>
          </cell>
          <cell r="H39">
            <v>0.16</v>
          </cell>
          <cell r="N39">
            <v>0</v>
          </cell>
        </row>
        <row r="40">
          <cell r="B40" t="str">
            <v>ALRS</v>
          </cell>
          <cell r="C40">
            <v>0.62</v>
          </cell>
          <cell r="D40">
            <v>0.6</v>
          </cell>
          <cell r="F40">
            <v>0.51</v>
          </cell>
          <cell r="H40">
            <v>0.44</v>
          </cell>
          <cell r="N40">
            <v>0.29333333333333333</v>
          </cell>
        </row>
        <row r="41">
          <cell r="B41" t="str">
            <v>AMAT</v>
          </cell>
          <cell r="C41">
            <v>0.94</v>
          </cell>
          <cell r="D41">
            <v>0.87</v>
          </cell>
          <cell r="F41">
            <v>0.70000000000000007</v>
          </cell>
          <cell r="H41">
            <v>0.4</v>
          </cell>
          <cell r="N41">
            <v>0.31</v>
          </cell>
        </row>
        <row r="42">
          <cell r="B42" t="str">
            <v>AMGN</v>
          </cell>
          <cell r="C42">
            <v>7.04</v>
          </cell>
          <cell r="D42">
            <v>6.4</v>
          </cell>
          <cell r="F42">
            <v>5.28</v>
          </cell>
          <cell r="H42">
            <v>4</v>
          </cell>
          <cell r="N42">
            <v>0.56000000000000005</v>
          </cell>
        </row>
        <row r="43">
          <cell r="B43" t="str">
            <v>AMNB</v>
          </cell>
          <cell r="C43">
            <v>1.0900000000000001</v>
          </cell>
          <cell r="D43">
            <v>1.08</v>
          </cell>
          <cell r="F43">
            <v>1</v>
          </cell>
          <cell r="H43">
            <v>0.96</v>
          </cell>
          <cell r="N43">
            <v>0.92</v>
          </cell>
        </row>
        <row r="44">
          <cell r="B44" t="str">
            <v>AMP</v>
          </cell>
          <cell r="C44">
            <v>4.43</v>
          </cell>
          <cell r="D44">
            <v>4.09</v>
          </cell>
          <cell r="F44">
            <v>3.53</v>
          </cell>
          <cell r="H44">
            <v>2.92</v>
          </cell>
          <cell r="N44">
            <v>0.87</v>
          </cell>
        </row>
        <row r="45">
          <cell r="B45" t="str">
            <v>AMSF</v>
          </cell>
          <cell r="C45">
            <v>1.1599999999999999</v>
          </cell>
          <cell r="D45">
            <v>1.08</v>
          </cell>
          <cell r="F45">
            <v>0.88</v>
          </cell>
          <cell r="H45">
            <v>0.72</v>
          </cell>
          <cell r="N45">
            <v>0</v>
          </cell>
        </row>
        <row r="46">
          <cell r="B46" t="str">
            <v>AMT</v>
          </cell>
          <cell r="C46">
            <v>5.03</v>
          </cell>
          <cell r="D46">
            <v>4.33</v>
          </cell>
          <cell r="F46">
            <v>3.01</v>
          </cell>
          <cell r="H46">
            <v>2.2000000000000002</v>
          </cell>
          <cell r="N46">
            <v>0.35</v>
          </cell>
        </row>
        <row r="47">
          <cell r="B47" t="str">
            <v>AON</v>
          </cell>
          <cell r="C47">
            <v>1.99</v>
          </cell>
          <cell r="D47">
            <v>1.78</v>
          </cell>
          <cell r="F47">
            <v>1.56</v>
          </cell>
          <cell r="H47">
            <v>1.29</v>
          </cell>
          <cell r="N47">
            <v>0.6</v>
          </cell>
        </row>
        <row r="48">
          <cell r="B48" t="str">
            <v>AOS</v>
          </cell>
          <cell r="C48">
            <v>1.06</v>
          </cell>
          <cell r="D48">
            <v>0.98</v>
          </cell>
          <cell r="F48">
            <v>0.76</v>
          </cell>
          <cell r="H48">
            <v>0.48</v>
          </cell>
          <cell r="N48">
            <v>0.15</v>
          </cell>
        </row>
        <row r="49">
          <cell r="B49" t="str">
            <v>APD</v>
          </cell>
          <cell r="C49">
            <v>5.84</v>
          </cell>
          <cell r="D49">
            <v>5.18</v>
          </cell>
          <cell r="F49">
            <v>4.25</v>
          </cell>
          <cell r="H49">
            <v>3.39</v>
          </cell>
          <cell r="N49">
            <v>2.23</v>
          </cell>
        </row>
        <row r="50">
          <cell r="B50" t="str">
            <v>APH</v>
          </cell>
          <cell r="C50">
            <v>0.57999999999999996</v>
          </cell>
          <cell r="D50">
            <v>0.5</v>
          </cell>
          <cell r="F50">
            <v>0.42</v>
          </cell>
          <cell r="H50">
            <v>0.28000000000000003</v>
          </cell>
          <cell r="N50">
            <v>1.4999999999999999E-2</v>
          </cell>
        </row>
        <row r="51">
          <cell r="B51" t="str">
            <v>APLO</v>
          </cell>
          <cell r="C51">
            <v>2.12</v>
          </cell>
          <cell r="D51">
            <v>2.08</v>
          </cell>
          <cell r="F51">
            <v>2</v>
          </cell>
          <cell r="H51">
            <v>1.93</v>
          </cell>
          <cell r="N51">
            <v>1.52</v>
          </cell>
        </row>
        <row r="52">
          <cell r="B52" t="str">
            <v>APOG</v>
          </cell>
          <cell r="C52">
            <v>0.8</v>
          </cell>
          <cell r="D52">
            <v>0.75</v>
          </cell>
          <cell r="F52">
            <v>0.63</v>
          </cell>
          <cell r="H52">
            <v>0.5</v>
          </cell>
          <cell r="N52">
            <v>0.32600000000000001</v>
          </cell>
        </row>
        <row r="53">
          <cell r="B53" t="str">
            <v>AQN</v>
          </cell>
          <cell r="C53">
            <v>0.65139999999999998</v>
          </cell>
          <cell r="D53">
            <v>0.59219999999999995</v>
          </cell>
          <cell r="F53">
            <v>0.4894</v>
          </cell>
          <cell r="H53">
            <v>0.40439999999999998</v>
          </cell>
          <cell r="N53">
            <v>0.2606</v>
          </cell>
        </row>
        <row r="54">
          <cell r="B54" t="str">
            <v>ARE</v>
          </cell>
          <cell r="C54">
            <v>4.42</v>
          </cell>
          <cell r="D54">
            <v>4.18</v>
          </cell>
          <cell r="F54">
            <v>3.66</v>
          </cell>
          <cell r="H54">
            <v>3.2</v>
          </cell>
          <cell r="N54">
            <v>1.82</v>
          </cell>
        </row>
        <row r="55">
          <cell r="B55" t="str">
            <v>AROW</v>
          </cell>
          <cell r="C55">
            <v>1.0172000000000001</v>
          </cell>
          <cell r="D55">
            <v>0.98765199359034772</v>
          </cell>
          <cell r="F55">
            <v>0.91318698784774499</v>
          </cell>
          <cell r="H55">
            <v>0.8437653886087817</v>
          </cell>
          <cell r="N55">
            <v>0.75680465524826002</v>
          </cell>
        </row>
        <row r="56">
          <cell r="B56" t="str">
            <v>ARTNA</v>
          </cell>
          <cell r="C56">
            <v>1.0466</v>
          </cell>
          <cell r="D56">
            <v>1.0059</v>
          </cell>
          <cell r="F56">
            <v>0.95489999999999997</v>
          </cell>
          <cell r="H56">
            <v>0.89969999999999994</v>
          </cell>
          <cell r="N56">
            <v>0.76239999999999997</v>
          </cell>
        </row>
        <row r="57">
          <cell r="B57" t="str">
            <v>ASB</v>
          </cell>
          <cell r="C57">
            <v>0.76</v>
          </cell>
          <cell r="D57">
            <v>0.72</v>
          </cell>
          <cell r="F57">
            <v>0.62</v>
          </cell>
          <cell r="H57">
            <v>0.45</v>
          </cell>
          <cell r="N57">
            <v>0.04</v>
          </cell>
        </row>
        <row r="58">
          <cell r="B58" t="str">
            <v>ASH</v>
          </cell>
          <cell r="C58">
            <v>1.175</v>
          </cell>
          <cell r="D58">
            <v>1.1000000000000001</v>
          </cell>
          <cell r="F58">
            <v>0.97499999999999998</v>
          </cell>
          <cell r="H58">
            <v>0.76329999999999998</v>
          </cell>
          <cell r="N58">
            <v>0.33029999999999998</v>
          </cell>
        </row>
        <row r="59">
          <cell r="B59" t="str">
            <v>ATLO</v>
          </cell>
          <cell r="C59">
            <v>1.03</v>
          </cell>
          <cell r="D59">
            <v>0.99</v>
          </cell>
          <cell r="F59">
            <v>0.91</v>
          </cell>
          <cell r="H59">
            <v>0.83</v>
          </cell>
          <cell r="N59">
            <v>0.5</v>
          </cell>
        </row>
        <row r="60">
          <cell r="B60" t="str">
            <v>ATO</v>
          </cell>
          <cell r="C60">
            <v>2.5550000000000002</v>
          </cell>
          <cell r="D60">
            <v>2.35</v>
          </cell>
          <cell r="F60">
            <v>1.98</v>
          </cell>
          <cell r="H60">
            <v>1.71</v>
          </cell>
          <cell r="N60">
            <v>1.365</v>
          </cell>
        </row>
        <row r="61">
          <cell r="B61" t="str">
            <v>ATR</v>
          </cell>
          <cell r="C61">
            <v>1.5</v>
          </cell>
          <cell r="D61">
            <v>1.44</v>
          </cell>
          <cell r="F61">
            <v>1.32</v>
          </cell>
          <cell r="H61">
            <v>1.22</v>
          </cell>
          <cell r="N61">
            <v>0.8</v>
          </cell>
        </row>
        <row r="62">
          <cell r="B62" t="str">
            <v>ATRI</v>
          </cell>
          <cell r="C62">
            <v>7.4</v>
          </cell>
          <cell r="D62">
            <v>6.6</v>
          </cell>
          <cell r="F62">
            <v>5.0999999999999996</v>
          </cell>
          <cell r="H62">
            <v>3.9</v>
          </cell>
          <cell r="N62">
            <v>1.82</v>
          </cell>
        </row>
        <row r="63">
          <cell r="B63" t="str">
            <v>ATVI</v>
          </cell>
          <cell r="C63">
            <v>0.47</v>
          </cell>
          <cell r="D63">
            <v>0.41</v>
          </cell>
          <cell r="F63">
            <v>0.34</v>
          </cell>
          <cell r="H63">
            <v>0.26</v>
          </cell>
          <cell r="N63">
            <v>0.16500000000000001</v>
          </cell>
        </row>
        <row r="64">
          <cell r="B64" t="str">
            <v>AUB</v>
          </cell>
          <cell r="C64">
            <v>1.0900000000000001</v>
          </cell>
          <cell r="D64">
            <v>1</v>
          </cell>
          <cell r="F64">
            <v>0.88</v>
          </cell>
          <cell r="H64">
            <v>0.77</v>
          </cell>
          <cell r="N64">
            <v>0.28000000000000003</v>
          </cell>
        </row>
        <row r="65">
          <cell r="B65" t="str">
            <v>AUBN</v>
          </cell>
          <cell r="C65">
            <v>1.04</v>
          </cell>
          <cell r="D65">
            <v>1.02</v>
          </cell>
          <cell r="F65">
            <v>0.96</v>
          </cell>
          <cell r="H65">
            <v>0.9</v>
          </cell>
          <cell r="N65">
            <v>0.8</v>
          </cell>
        </row>
        <row r="66">
          <cell r="B66" t="str">
            <v>AVA</v>
          </cell>
          <cell r="C66">
            <v>1.69</v>
          </cell>
          <cell r="D66">
            <v>1.62</v>
          </cell>
          <cell r="F66">
            <v>1.49</v>
          </cell>
          <cell r="H66">
            <v>1.37</v>
          </cell>
          <cell r="N66">
            <v>1.1000000000000001</v>
          </cell>
        </row>
        <row r="67">
          <cell r="B67" t="str">
            <v>AVGO</v>
          </cell>
          <cell r="C67">
            <v>14.9</v>
          </cell>
          <cell r="D67">
            <v>13.35</v>
          </cell>
          <cell r="F67">
            <v>7.9</v>
          </cell>
          <cell r="H67">
            <v>2.04</v>
          </cell>
          <cell r="N67">
            <v>0.4</v>
          </cell>
        </row>
        <row r="68">
          <cell r="B68" t="str">
            <v>AVNT</v>
          </cell>
          <cell r="C68">
            <v>0.85</v>
          </cell>
          <cell r="D68">
            <v>0.81</v>
          </cell>
          <cell r="F68">
            <v>0.7</v>
          </cell>
          <cell r="H68">
            <v>0.48</v>
          </cell>
          <cell r="N68">
            <v>0.12</v>
          </cell>
        </row>
        <row r="69">
          <cell r="B69" t="str">
            <v>AVT</v>
          </cell>
          <cell r="C69">
            <v>0.91</v>
          </cell>
          <cell r="D69">
            <v>0.84</v>
          </cell>
          <cell r="F69">
            <v>0.78</v>
          </cell>
          <cell r="H69">
            <v>0.68</v>
          </cell>
          <cell r="N69">
            <v>0</v>
          </cell>
        </row>
        <row r="70">
          <cell r="B70" t="str">
            <v>AVY</v>
          </cell>
          <cell r="C70">
            <v>2.66</v>
          </cell>
          <cell r="D70">
            <v>2.36</v>
          </cell>
          <cell r="F70">
            <v>2.0099999999999998</v>
          </cell>
          <cell r="H70">
            <v>1.6</v>
          </cell>
          <cell r="N70">
            <v>1</v>
          </cell>
        </row>
        <row r="71">
          <cell r="B71" t="str">
            <v>AWI</v>
          </cell>
          <cell r="C71">
            <v>0.86099999999999999</v>
          </cell>
          <cell r="D71">
            <v>0.81</v>
          </cell>
          <cell r="F71">
            <v>0.17499999999999999</v>
          </cell>
          <cell r="H71">
            <v>0</v>
          </cell>
          <cell r="N71">
            <v>0</v>
          </cell>
        </row>
        <row r="72">
          <cell r="B72" t="str">
            <v>AWK</v>
          </cell>
          <cell r="C72">
            <v>2.3574999999999999</v>
          </cell>
          <cell r="D72">
            <v>2.2000000000000002</v>
          </cell>
          <cell r="F72">
            <v>1.78</v>
          </cell>
          <cell r="H72">
            <v>1.4650000000000001</v>
          </cell>
          <cell r="N72">
            <v>0.9</v>
          </cell>
        </row>
        <row r="73">
          <cell r="B73" t="str">
            <v>AWR</v>
          </cell>
          <cell r="C73">
            <v>1.4</v>
          </cell>
          <cell r="D73">
            <v>1.28</v>
          </cell>
          <cell r="F73">
            <v>1.06</v>
          </cell>
          <cell r="H73">
            <v>0.91400000000000003</v>
          </cell>
          <cell r="N73">
            <v>0.55000000000000004</v>
          </cell>
        </row>
        <row r="74">
          <cell r="B74" t="str">
            <v>AXS</v>
          </cell>
          <cell r="C74">
            <v>1.68</v>
          </cell>
          <cell r="D74">
            <v>1.64</v>
          </cell>
          <cell r="F74">
            <v>1.56</v>
          </cell>
          <cell r="H74">
            <v>1.4</v>
          </cell>
          <cell r="N74">
            <v>0.92</v>
          </cell>
        </row>
        <row r="75">
          <cell r="B75" t="str">
            <v>AY</v>
          </cell>
          <cell r="C75">
            <v>1.7150000000000001</v>
          </cell>
          <cell r="D75">
            <v>1.66</v>
          </cell>
          <cell r="F75">
            <v>1.33</v>
          </cell>
          <cell r="H75">
            <v>0.45299999999999996</v>
          </cell>
          <cell r="N75">
            <v>0</v>
          </cell>
        </row>
        <row r="76">
          <cell r="B76" t="str">
            <v>BAC</v>
          </cell>
          <cell r="C76">
            <v>0.78</v>
          </cell>
          <cell r="D76">
            <v>0.72</v>
          </cell>
          <cell r="F76">
            <v>0.54</v>
          </cell>
          <cell r="H76">
            <v>0.25</v>
          </cell>
          <cell r="N76">
            <v>0.04</v>
          </cell>
        </row>
        <row r="77">
          <cell r="B77" t="str">
            <v>BAH</v>
          </cell>
          <cell r="C77">
            <v>1.48</v>
          </cell>
          <cell r="D77">
            <v>1.24</v>
          </cell>
          <cell r="F77">
            <v>0.76</v>
          </cell>
          <cell r="H77">
            <v>0.6</v>
          </cell>
          <cell r="N77">
            <v>0</v>
          </cell>
        </row>
        <row r="78">
          <cell r="B78" t="str">
            <v>BAM</v>
          </cell>
          <cell r="C78">
            <v>0.52</v>
          </cell>
          <cell r="D78">
            <v>0.48</v>
          </cell>
          <cell r="F78">
            <v>0.39999999999999997</v>
          </cell>
          <cell r="H78">
            <v>0.34666666666666668</v>
          </cell>
          <cell r="N78">
            <v>0.19914666666666667</v>
          </cell>
        </row>
        <row r="79">
          <cell r="B79" t="str">
            <v>BANF</v>
          </cell>
          <cell r="C79">
            <v>1.38</v>
          </cell>
          <cell r="D79">
            <v>1.3</v>
          </cell>
          <cell r="F79">
            <v>0.93</v>
          </cell>
          <cell r="H79">
            <v>0.73</v>
          </cell>
          <cell r="N79">
            <v>0.51</v>
          </cell>
        </row>
        <row r="80">
          <cell r="B80" t="str">
            <v>BAX</v>
          </cell>
          <cell r="C80">
            <v>1.05</v>
          </cell>
          <cell r="D80">
            <v>0.92999999999999994</v>
          </cell>
          <cell r="F80">
            <v>0.70000000000000007</v>
          </cell>
          <cell r="H80">
            <v>0.49</v>
          </cell>
          <cell r="N80">
            <v>1.24</v>
          </cell>
        </row>
        <row r="81">
          <cell r="B81" t="str">
            <v>BBY</v>
          </cell>
          <cell r="C81">
            <v>2.65</v>
          </cell>
          <cell r="D81">
            <v>2.15</v>
          </cell>
          <cell r="F81">
            <v>1.8</v>
          </cell>
          <cell r="H81">
            <v>1.1200000000000001</v>
          </cell>
          <cell r="N81">
            <v>0.61</v>
          </cell>
        </row>
        <row r="82">
          <cell r="B82" t="str">
            <v>BC</v>
          </cell>
          <cell r="C82">
            <v>1.2749999999999999</v>
          </cell>
          <cell r="D82">
            <v>0.99</v>
          </cell>
          <cell r="F82">
            <v>0.78</v>
          </cell>
          <cell r="H82">
            <v>0.61499999999999999</v>
          </cell>
          <cell r="N82">
            <v>0.05</v>
          </cell>
        </row>
        <row r="83">
          <cell r="B83" t="str">
            <v>BCPC</v>
          </cell>
          <cell r="C83">
            <v>0.57999999999999996</v>
          </cell>
          <cell r="D83">
            <v>0.52</v>
          </cell>
          <cell r="F83">
            <v>0.42</v>
          </cell>
          <cell r="H83">
            <v>0.34</v>
          </cell>
          <cell r="N83">
            <v>0.15</v>
          </cell>
        </row>
        <row r="84">
          <cell r="B84" t="str">
            <v>BDX</v>
          </cell>
          <cell r="C84">
            <v>3.36</v>
          </cell>
          <cell r="D84">
            <v>3.2</v>
          </cell>
          <cell r="F84">
            <v>3.02</v>
          </cell>
          <cell r="H84">
            <v>2.71</v>
          </cell>
          <cell r="N84">
            <v>1.64</v>
          </cell>
        </row>
        <row r="85">
          <cell r="B85" t="str">
            <v>BEN</v>
          </cell>
          <cell r="C85">
            <v>1.1200000000000001</v>
          </cell>
          <cell r="D85">
            <v>1.08</v>
          </cell>
          <cell r="F85">
            <v>0.92</v>
          </cell>
          <cell r="H85">
            <v>0.72</v>
          </cell>
          <cell r="N85">
            <v>0.33333333333333331</v>
          </cell>
        </row>
        <row r="86">
          <cell r="B86" t="str">
            <v>BEP</v>
          </cell>
          <cell r="C86">
            <v>1.2150000000000001</v>
          </cell>
          <cell r="D86">
            <v>1.1573333333333333</v>
          </cell>
          <cell r="F86">
            <v>1.0453333333333334</v>
          </cell>
          <cell r="H86">
            <v>0.94933333333333347</v>
          </cell>
          <cell r="N86">
            <v>0.69332266666666686</v>
          </cell>
        </row>
        <row r="87">
          <cell r="B87" t="str">
            <v>BF-B</v>
          </cell>
          <cell r="C87">
            <v>0.71799999999999997</v>
          </cell>
          <cell r="D87">
            <v>0.69720000000000004</v>
          </cell>
          <cell r="F87">
            <v>0.63200000000000001</v>
          </cell>
          <cell r="H87">
            <v>0.54400000000000004</v>
          </cell>
          <cell r="N87">
            <v>0.34933333333333338</v>
          </cell>
        </row>
        <row r="88">
          <cell r="B88" t="str">
            <v>BHB</v>
          </cell>
          <cell r="C88">
            <v>0.94</v>
          </cell>
          <cell r="D88">
            <v>0.88</v>
          </cell>
          <cell r="F88">
            <v>0.78669999999999995</v>
          </cell>
          <cell r="H88">
            <v>0.72666666666666668</v>
          </cell>
          <cell r="N88">
            <v>0.48666666666666664</v>
          </cell>
        </row>
        <row r="89">
          <cell r="B89" t="str">
            <v>BIP</v>
          </cell>
          <cell r="C89">
            <v>1.36</v>
          </cell>
          <cell r="D89">
            <v>1.2933333333333332</v>
          </cell>
          <cell r="F89">
            <v>1.1279999999999999</v>
          </cell>
          <cell r="H89">
            <v>0.92599799999999999</v>
          </cell>
          <cell r="N89">
            <v>0.52800000000000002</v>
          </cell>
        </row>
        <row r="90">
          <cell r="B90" t="str">
            <v>BK</v>
          </cell>
          <cell r="C90">
            <v>1.3</v>
          </cell>
          <cell r="D90">
            <v>1.24</v>
          </cell>
          <cell r="F90">
            <v>1.04</v>
          </cell>
          <cell r="H90">
            <v>0.72</v>
          </cell>
          <cell r="N90">
            <v>0.48</v>
          </cell>
        </row>
        <row r="91">
          <cell r="B91" t="str">
            <v>BKH</v>
          </cell>
          <cell r="C91">
            <v>2.29</v>
          </cell>
          <cell r="D91">
            <v>2.17</v>
          </cell>
          <cell r="F91">
            <v>1.93</v>
          </cell>
          <cell r="H91">
            <v>1.68</v>
          </cell>
          <cell r="N91">
            <v>1.46</v>
          </cell>
        </row>
        <row r="92">
          <cell r="B92" t="str">
            <v>BKUTK</v>
          </cell>
          <cell r="C92">
            <v>16.5</v>
          </cell>
          <cell r="D92">
            <v>15.5</v>
          </cell>
          <cell r="F92">
            <v>14.4</v>
          </cell>
          <cell r="H92">
            <v>12.8</v>
          </cell>
          <cell r="N92">
            <v>8.9</v>
          </cell>
        </row>
        <row r="93">
          <cell r="B93" t="str">
            <v>BLK</v>
          </cell>
          <cell r="C93">
            <v>16.52</v>
          </cell>
          <cell r="D93">
            <v>14.52</v>
          </cell>
          <cell r="F93">
            <v>12.02</v>
          </cell>
          <cell r="H93">
            <v>9.16</v>
          </cell>
          <cell r="N93">
            <v>5.5</v>
          </cell>
        </row>
        <row r="94">
          <cell r="B94" t="str">
            <v>BMI</v>
          </cell>
          <cell r="C94">
            <v>0.76</v>
          </cell>
          <cell r="D94">
            <v>0.7</v>
          </cell>
          <cell r="F94">
            <v>0.56000000000000005</v>
          </cell>
          <cell r="H94">
            <v>0.43</v>
          </cell>
          <cell r="N94">
            <v>0.3</v>
          </cell>
        </row>
        <row r="95">
          <cell r="B95" t="str">
            <v>BMO</v>
          </cell>
          <cell r="C95">
            <v>3.395</v>
          </cell>
          <cell r="D95">
            <v>3.1490999999999998</v>
          </cell>
          <cell r="F95">
            <v>2.9520999999999997</v>
          </cell>
          <cell r="H95">
            <v>2.5587999999999997</v>
          </cell>
          <cell r="N95">
            <v>2.8780999999999999</v>
          </cell>
        </row>
        <row r="96">
          <cell r="B96" t="str">
            <v>BMRC</v>
          </cell>
          <cell r="C96">
            <v>0.94</v>
          </cell>
          <cell r="D96">
            <v>0.92</v>
          </cell>
          <cell r="F96">
            <v>0.63500000000000001</v>
          </cell>
          <cell r="H96">
            <v>0.51</v>
          </cell>
          <cell r="N96">
            <v>0.32500000000000001</v>
          </cell>
        </row>
        <row r="97">
          <cell r="B97" t="str">
            <v>BMY</v>
          </cell>
          <cell r="C97">
            <v>1.96</v>
          </cell>
          <cell r="D97">
            <v>1.8</v>
          </cell>
          <cell r="F97">
            <v>1.6</v>
          </cell>
          <cell r="H97">
            <v>1.52</v>
          </cell>
          <cell r="N97">
            <v>1.32</v>
          </cell>
        </row>
        <row r="98">
          <cell r="B98" t="str">
            <v>BNS</v>
          </cell>
          <cell r="C98">
            <v>2.8706</v>
          </cell>
          <cell r="D98">
            <v>2.6733000000000002</v>
          </cell>
          <cell r="F98">
            <v>2.5533000000000001</v>
          </cell>
          <cell r="H98">
            <v>2.1735999999999995</v>
          </cell>
          <cell r="N98">
            <v>2.0728</v>
          </cell>
        </row>
        <row r="99">
          <cell r="B99" t="str">
            <v>BOH</v>
          </cell>
          <cell r="C99">
            <v>2.74</v>
          </cell>
          <cell r="D99">
            <v>2.68</v>
          </cell>
          <cell r="F99">
            <v>2.34</v>
          </cell>
          <cell r="H99">
            <v>1.89</v>
          </cell>
          <cell r="N99">
            <v>1.8</v>
          </cell>
        </row>
        <row r="100">
          <cell r="B100" t="str">
            <v>BOKF</v>
          </cell>
          <cell r="C100">
            <v>2.09</v>
          </cell>
          <cell r="D100">
            <v>2.0499999999999998</v>
          </cell>
          <cell r="F100">
            <v>1.9</v>
          </cell>
          <cell r="H100">
            <v>1.73</v>
          </cell>
          <cell r="N100">
            <v>1.1299999999999999</v>
          </cell>
        </row>
        <row r="101">
          <cell r="B101" t="str">
            <v>BORT</v>
          </cell>
          <cell r="C101">
            <v>0.65454545454545443</v>
          </cell>
          <cell r="D101">
            <v>0.63636363636363635</v>
          </cell>
          <cell r="F101">
            <v>0.54545454545454541</v>
          </cell>
          <cell r="H101">
            <v>0.43636363636363634</v>
          </cell>
          <cell r="N101">
            <v>3.6363636363636369E-2</v>
          </cell>
        </row>
        <row r="102">
          <cell r="B102" t="str">
            <v>BPOP</v>
          </cell>
          <cell r="C102">
            <v>1.7</v>
          </cell>
          <cell r="D102">
            <v>1.5</v>
          </cell>
          <cell r="F102">
            <v>1</v>
          </cell>
          <cell r="H102">
            <v>0.6</v>
          </cell>
          <cell r="N102">
            <v>0</v>
          </cell>
        </row>
        <row r="103">
          <cell r="B103" t="str">
            <v>BR</v>
          </cell>
          <cell r="C103">
            <v>2.3650000000000002</v>
          </cell>
          <cell r="D103">
            <v>2.1949999999999998</v>
          </cell>
          <cell r="F103">
            <v>1.58</v>
          </cell>
          <cell r="H103">
            <v>1.23</v>
          </cell>
          <cell r="N103">
            <v>0.61</v>
          </cell>
        </row>
        <row r="104">
          <cell r="B104" t="str">
            <v>BRC</v>
          </cell>
          <cell r="C104">
            <v>0.88500000000000001</v>
          </cell>
          <cell r="D104">
            <v>0.87250000000000005</v>
          </cell>
          <cell r="F104">
            <v>0.83399999999999996</v>
          </cell>
          <cell r="H104">
            <v>0.8125</v>
          </cell>
          <cell r="N104">
            <v>0.72499999999999998</v>
          </cell>
        </row>
        <row r="105">
          <cell r="B105" t="str">
            <v>BRKL</v>
          </cell>
          <cell r="C105">
            <v>0.48</v>
          </cell>
          <cell r="D105">
            <v>0.46</v>
          </cell>
          <cell r="F105">
            <v>0.39500000000000002</v>
          </cell>
          <cell r="H105">
            <v>0.36</v>
          </cell>
          <cell r="N105">
            <v>0.34</v>
          </cell>
        </row>
        <row r="106">
          <cell r="B106" t="str">
            <v>BRO</v>
          </cell>
          <cell r="C106">
            <v>0.38</v>
          </cell>
          <cell r="D106">
            <v>0.34749999999999998</v>
          </cell>
          <cell r="F106">
            <v>0.30499999999999999</v>
          </cell>
          <cell r="H106">
            <v>0.25124999999999997</v>
          </cell>
          <cell r="N106">
            <v>0.16250000000000001</v>
          </cell>
        </row>
        <row r="107">
          <cell r="B107" t="str">
            <v>BSRR</v>
          </cell>
          <cell r="C107">
            <v>0.86</v>
          </cell>
          <cell r="D107">
            <v>0.8</v>
          </cell>
          <cell r="F107">
            <v>0.64</v>
          </cell>
          <cell r="H107">
            <v>0.48</v>
          </cell>
          <cell r="N107">
            <v>0.24</v>
          </cell>
        </row>
        <row r="108">
          <cell r="B108" t="str">
            <v>BWFG</v>
          </cell>
          <cell r="C108">
            <v>0.64</v>
          </cell>
          <cell r="D108">
            <v>0.56000000000000005</v>
          </cell>
          <cell r="F108">
            <v>0.48</v>
          </cell>
          <cell r="H108">
            <v>0.22</v>
          </cell>
          <cell r="N108">
            <v>0</v>
          </cell>
        </row>
        <row r="109">
          <cell r="B109" t="str">
            <v>BWXT</v>
          </cell>
          <cell r="C109">
            <v>0.84</v>
          </cell>
          <cell r="D109">
            <v>0.76</v>
          </cell>
          <cell r="F109">
            <v>0.64</v>
          </cell>
          <cell r="H109">
            <v>0.36</v>
          </cell>
          <cell r="N109">
            <v>0</v>
          </cell>
        </row>
        <row r="110">
          <cell r="B110" t="str">
            <v>CABO</v>
          </cell>
          <cell r="C110">
            <v>10.5</v>
          </cell>
          <cell r="D110">
            <v>9.5</v>
          </cell>
          <cell r="F110">
            <v>7.5</v>
          </cell>
          <cell r="H110">
            <v>6</v>
          </cell>
          <cell r="N110">
            <v>0</v>
          </cell>
        </row>
        <row r="111">
          <cell r="B111" t="str">
            <v>CAC</v>
          </cell>
          <cell r="C111">
            <v>1.41</v>
          </cell>
          <cell r="D111">
            <v>1.32</v>
          </cell>
          <cell r="F111">
            <v>1.1000000000000001</v>
          </cell>
          <cell r="H111">
            <v>0.8</v>
          </cell>
          <cell r="N111">
            <v>0.66666700000000001</v>
          </cell>
        </row>
        <row r="112">
          <cell r="B112" t="str">
            <v>CADE</v>
          </cell>
          <cell r="C112">
            <v>0.77</v>
          </cell>
          <cell r="D112">
            <v>0.74</v>
          </cell>
          <cell r="F112">
            <v>0.59</v>
          </cell>
          <cell r="H112">
            <v>0.42499999999999999</v>
          </cell>
          <cell r="N112">
            <v>0.35</v>
          </cell>
        </row>
        <row r="113">
          <cell r="B113" t="str">
            <v>CAH</v>
          </cell>
          <cell r="C113">
            <v>1.9534</v>
          </cell>
          <cell r="D113">
            <v>1.9339999999999999</v>
          </cell>
          <cell r="F113">
            <v>1.8759999999999999</v>
          </cell>
          <cell r="H113">
            <v>1.6718000000000002</v>
          </cell>
          <cell r="N113">
            <v>0.82</v>
          </cell>
        </row>
        <row r="114">
          <cell r="B114" t="str">
            <v>CASS</v>
          </cell>
          <cell r="C114">
            <v>1.0900000000000001</v>
          </cell>
          <cell r="D114">
            <v>1.08</v>
          </cell>
          <cell r="F114">
            <v>0.85</v>
          </cell>
          <cell r="H114">
            <v>0.67424242424242431</v>
          </cell>
          <cell r="N114">
            <v>0.41760581016779263</v>
          </cell>
        </row>
        <row r="115">
          <cell r="B115" t="str">
            <v>CASY</v>
          </cell>
          <cell r="C115">
            <v>1.37</v>
          </cell>
          <cell r="D115">
            <v>1.28</v>
          </cell>
          <cell r="F115">
            <v>1.1000000000000001</v>
          </cell>
          <cell r="H115">
            <v>0.92</v>
          </cell>
          <cell r="N115">
            <v>0.56999999999999995</v>
          </cell>
        </row>
        <row r="116">
          <cell r="B116" t="str">
            <v>CAT</v>
          </cell>
          <cell r="C116">
            <v>4.28</v>
          </cell>
          <cell r="D116">
            <v>4.12</v>
          </cell>
          <cell r="F116">
            <v>3.28</v>
          </cell>
          <cell r="H116">
            <v>3.08</v>
          </cell>
          <cell r="N116">
            <v>1.8</v>
          </cell>
        </row>
        <row r="117">
          <cell r="B117" t="str">
            <v>CATC</v>
          </cell>
          <cell r="C117">
            <v>2.38</v>
          </cell>
          <cell r="D117">
            <v>2.12</v>
          </cell>
          <cell r="F117">
            <v>1.96</v>
          </cell>
          <cell r="H117">
            <v>1.84</v>
          </cell>
          <cell r="N117">
            <v>1.42</v>
          </cell>
        </row>
        <row r="118">
          <cell r="B118" t="str">
            <v>CB</v>
          </cell>
          <cell r="C118">
            <v>3.16</v>
          </cell>
          <cell r="D118">
            <v>3.06</v>
          </cell>
          <cell r="F118">
            <v>2.88</v>
          </cell>
          <cell r="H118">
            <v>2.72</v>
          </cell>
          <cell r="N118">
            <v>1.36</v>
          </cell>
        </row>
        <row r="119">
          <cell r="B119" t="str">
            <v>CBAN</v>
          </cell>
          <cell r="C119">
            <v>0.41</v>
          </cell>
          <cell r="D119">
            <v>0.4</v>
          </cell>
          <cell r="F119">
            <v>0.2</v>
          </cell>
          <cell r="H119">
            <v>0</v>
          </cell>
          <cell r="N119">
            <v>0</v>
          </cell>
        </row>
        <row r="120">
          <cell r="B120" t="str">
            <v>CBOE</v>
          </cell>
          <cell r="C120">
            <v>1.8</v>
          </cell>
          <cell r="D120">
            <v>1.56</v>
          </cell>
          <cell r="F120">
            <v>1.1599999999999999</v>
          </cell>
          <cell r="H120">
            <v>0.96</v>
          </cell>
          <cell r="N120">
            <v>0.44</v>
          </cell>
        </row>
        <row r="121">
          <cell r="B121" t="str">
            <v>CBSH</v>
          </cell>
          <cell r="C121">
            <v>1</v>
          </cell>
          <cell r="D121">
            <v>0.97959183673469397</v>
          </cell>
          <cell r="F121">
            <v>0.8120073426195874</v>
          </cell>
          <cell r="H121">
            <v>0.70517354982161295</v>
          </cell>
          <cell r="N121">
            <v>0.54454105589065327</v>
          </cell>
        </row>
        <row r="122">
          <cell r="B122" t="str">
            <v>CBT</v>
          </cell>
          <cell r="C122">
            <v>1.42</v>
          </cell>
          <cell r="D122">
            <v>1.4</v>
          </cell>
          <cell r="F122">
            <v>1.3049999999999999</v>
          </cell>
          <cell r="H122">
            <v>1.1200000000000001</v>
          </cell>
          <cell r="N122">
            <v>0.72</v>
          </cell>
        </row>
        <row r="123">
          <cell r="B123" t="str">
            <v>CBU</v>
          </cell>
          <cell r="C123">
            <v>1.69</v>
          </cell>
          <cell r="D123">
            <v>1.65</v>
          </cell>
          <cell r="F123">
            <v>1.4</v>
          </cell>
          <cell r="H123">
            <v>1.25</v>
          </cell>
          <cell r="N123">
            <v>1</v>
          </cell>
        </row>
        <row r="124">
          <cell r="B124" t="str">
            <v>CCBG</v>
          </cell>
          <cell r="C124">
            <v>0.62</v>
          </cell>
          <cell r="D124">
            <v>0.56999999999999995</v>
          </cell>
          <cell r="F124">
            <v>0.32</v>
          </cell>
          <cell r="H124">
            <v>0.17</v>
          </cell>
          <cell r="N124">
            <v>0.3</v>
          </cell>
        </row>
        <row r="125">
          <cell r="B125" t="str">
            <v>CCFN</v>
          </cell>
          <cell r="C125">
            <v>1.63</v>
          </cell>
          <cell r="D125">
            <v>1.59</v>
          </cell>
          <cell r="F125">
            <v>1.51</v>
          </cell>
          <cell r="H125">
            <v>1.4350000000000001</v>
          </cell>
          <cell r="N125">
            <v>1.24</v>
          </cell>
        </row>
        <row r="126">
          <cell r="B126" t="str">
            <v>CCI</v>
          </cell>
          <cell r="C126">
            <v>5.46</v>
          </cell>
          <cell r="D126">
            <v>4.93</v>
          </cell>
          <cell r="F126">
            <v>4.2750000000000004</v>
          </cell>
          <cell r="H126">
            <v>3.605</v>
          </cell>
          <cell r="N126">
            <v>0</v>
          </cell>
        </row>
        <row r="127">
          <cell r="B127" t="str">
            <v>CCOI</v>
          </cell>
          <cell r="C127">
            <v>3.17</v>
          </cell>
          <cell r="D127">
            <v>2.7749999999999999</v>
          </cell>
          <cell r="F127">
            <v>2.12</v>
          </cell>
          <cell r="H127">
            <v>1.51</v>
          </cell>
          <cell r="N127">
            <v>0</v>
          </cell>
        </row>
        <row r="128">
          <cell r="B128" t="str">
            <v>CDW</v>
          </cell>
          <cell r="C128">
            <v>1.7</v>
          </cell>
          <cell r="D128">
            <v>1.54</v>
          </cell>
          <cell r="F128">
            <v>0.92500000000000004</v>
          </cell>
          <cell r="H128">
            <v>0.48249999999999998</v>
          </cell>
          <cell r="N128">
            <v>0</v>
          </cell>
        </row>
        <row r="129">
          <cell r="B129" t="str">
            <v>CE</v>
          </cell>
          <cell r="C129">
            <v>2.72</v>
          </cell>
          <cell r="D129">
            <v>2.48</v>
          </cell>
          <cell r="F129">
            <v>2.08</v>
          </cell>
          <cell r="H129">
            <v>1.38</v>
          </cell>
          <cell r="N129">
            <v>0.24</v>
          </cell>
        </row>
        <row r="130">
          <cell r="B130" t="str">
            <v>CFFI</v>
          </cell>
          <cell r="C130">
            <v>1.56</v>
          </cell>
          <cell r="D130">
            <v>1.52</v>
          </cell>
          <cell r="F130">
            <v>1.38</v>
          </cell>
          <cell r="H130">
            <v>1.28</v>
          </cell>
          <cell r="N130">
            <v>1</v>
          </cell>
        </row>
        <row r="131">
          <cell r="B131" t="str">
            <v>CFR</v>
          </cell>
          <cell r="C131">
            <v>2.94</v>
          </cell>
          <cell r="D131">
            <v>2.85</v>
          </cell>
          <cell r="F131">
            <v>2.58</v>
          </cell>
          <cell r="H131">
            <v>2.15</v>
          </cell>
          <cell r="N131">
            <v>1.83</v>
          </cell>
        </row>
        <row r="132">
          <cell r="B132" t="str">
            <v>CGNX</v>
          </cell>
          <cell r="C132">
            <v>0.245</v>
          </cell>
          <cell r="D132">
            <v>0.22500000000000001</v>
          </cell>
          <cell r="F132">
            <v>0.185</v>
          </cell>
          <cell r="H132">
            <v>0.14749999999999999</v>
          </cell>
          <cell r="N132">
            <v>9.0000000000000011E-2</v>
          </cell>
        </row>
        <row r="133">
          <cell r="B133" t="str">
            <v>CHCO</v>
          </cell>
          <cell r="C133">
            <v>2.3199999999999998</v>
          </cell>
          <cell r="D133">
            <v>2.2799999999999998</v>
          </cell>
          <cell r="F133">
            <v>1.91</v>
          </cell>
          <cell r="H133">
            <v>1.71</v>
          </cell>
          <cell r="N133">
            <v>1.36</v>
          </cell>
        </row>
        <row r="134">
          <cell r="B134" t="str">
            <v>CHCT</v>
          </cell>
          <cell r="C134">
            <v>1.7250000000000001</v>
          </cell>
          <cell r="D134">
            <v>1.6850000000000001</v>
          </cell>
          <cell r="F134">
            <v>1.605</v>
          </cell>
          <cell r="H134">
            <v>1.5249999999999999</v>
          </cell>
          <cell r="N134">
            <v>0</v>
          </cell>
        </row>
        <row r="135">
          <cell r="B135" t="str">
            <v>CHD</v>
          </cell>
          <cell r="C135">
            <v>1.01</v>
          </cell>
          <cell r="D135">
            <v>0.96</v>
          </cell>
          <cell r="F135">
            <v>0.872</v>
          </cell>
          <cell r="H135">
            <v>0.71</v>
          </cell>
          <cell r="N135">
            <v>0.34</v>
          </cell>
        </row>
        <row r="136">
          <cell r="B136" t="str">
            <v>CHDN</v>
          </cell>
          <cell r="C136">
            <v>0.66700000000000004</v>
          </cell>
          <cell r="D136">
            <v>0.622</v>
          </cell>
          <cell r="F136">
            <v>0.54333333333333333</v>
          </cell>
          <cell r="H136">
            <v>0.44</v>
          </cell>
          <cell r="N136">
            <v>0.19999999999999998</v>
          </cell>
        </row>
        <row r="137">
          <cell r="B137" t="str">
            <v>CHE</v>
          </cell>
          <cell r="C137">
            <v>1.4</v>
          </cell>
          <cell r="D137">
            <v>1.32</v>
          </cell>
          <cell r="F137">
            <v>1.1599999999999999</v>
          </cell>
          <cell r="H137">
            <v>1</v>
          </cell>
          <cell r="N137">
            <v>0.6</v>
          </cell>
        </row>
        <row r="138">
          <cell r="B138" t="str">
            <v>CHRW</v>
          </cell>
          <cell r="C138">
            <v>2.04</v>
          </cell>
          <cell r="D138">
            <v>2.04</v>
          </cell>
          <cell r="F138">
            <v>1.88</v>
          </cell>
          <cell r="H138">
            <v>1.74</v>
          </cell>
          <cell r="N138">
            <v>1.2</v>
          </cell>
        </row>
        <row r="139">
          <cell r="B139" t="str">
            <v>CINF</v>
          </cell>
          <cell r="C139">
            <v>2.4900000000000002</v>
          </cell>
          <cell r="D139">
            <v>2.36</v>
          </cell>
          <cell r="F139">
            <v>2.09</v>
          </cell>
          <cell r="H139">
            <v>1.9</v>
          </cell>
          <cell r="N139">
            <v>1.6025</v>
          </cell>
        </row>
        <row r="140">
          <cell r="B140" t="str">
            <v>CIVB</v>
          </cell>
          <cell r="C140">
            <v>0.52</v>
          </cell>
          <cell r="D140">
            <v>0.44</v>
          </cell>
          <cell r="F140">
            <v>0.32</v>
          </cell>
          <cell r="H140">
            <v>0.22</v>
          </cell>
          <cell r="N140">
            <v>0.03</v>
          </cell>
        </row>
        <row r="141">
          <cell r="B141" t="str">
            <v>CL</v>
          </cell>
          <cell r="C141">
            <v>1.79</v>
          </cell>
          <cell r="D141">
            <v>1.75</v>
          </cell>
          <cell r="F141">
            <v>1.66</v>
          </cell>
          <cell r="H141">
            <v>1.55</v>
          </cell>
          <cell r="N141">
            <v>1.135</v>
          </cell>
        </row>
        <row r="142">
          <cell r="B142" t="str">
            <v>CLX</v>
          </cell>
          <cell r="C142">
            <v>4.54</v>
          </cell>
          <cell r="D142">
            <v>4.34</v>
          </cell>
          <cell r="F142">
            <v>3.72</v>
          </cell>
          <cell r="H142">
            <v>3.14</v>
          </cell>
          <cell r="N142">
            <v>2.2999999999999998</v>
          </cell>
        </row>
        <row r="143">
          <cell r="B143" t="str">
            <v>CM</v>
          </cell>
          <cell r="C143">
            <v>4.6375000000000002</v>
          </cell>
          <cell r="D143">
            <v>4.2916000000000007</v>
          </cell>
          <cell r="F143">
            <v>4.1047916584650501</v>
          </cell>
          <cell r="H143">
            <v>3.5710462774649092</v>
          </cell>
          <cell r="N143">
            <v>3.504208465604385</v>
          </cell>
        </row>
        <row r="144">
          <cell r="B144" t="str">
            <v>CMCSA</v>
          </cell>
          <cell r="C144">
            <v>0.98</v>
          </cell>
          <cell r="D144">
            <v>0.9</v>
          </cell>
          <cell r="F144">
            <v>0.72750000000000004</v>
          </cell>
          <cell r="H144">
            <v>0.53749999999999998</v>
          </cell>
          <cell r="N144">
            <v>0.21625</v>
          </cell>
        </row>
        <row r="145">
          <cell r="B145" t="str">
            <v>CME</v>
          </cell>
          <cell r="C145">
            <v>3.6</v>
          </cell>
          <cell r="D145">
            <v>3.4</v>
          </cell>
          <cell r="F145">
            <v>2.8</v>
          </cell>
          <cell r="H145">
            <v>2.4</v>
          </cell>
          <cell r="N145">
            <v>1.1200000000000001</v>
          </cell>
        </row>
        <row r="146">
          <cell r="B146" t="str">
            <v>CMI</v>
          </cell>
          <cell r="C146">
            <v>5.6</v>
          </cell>
          <cell r="D146">
            <v>5.2830000000000004</v>
          </cell>
          <cell r="F146">
            <v>4.4400000000000004</v>
          </cell>
          <cell r="H146">
            <v>4</v>
          </cell>
          <cell r="N146">
            <v>1.325</v>
          </cell>
        </row>
        <row r="147">
          <cell r="B147" t="str">
            <v>CMS</v>
          </cell>
          <cell r="C147">
            <v>1.74</v>
          </cell>
          <cell r="D147">
            <v>1.63</v>
          </cell>
          <cell r="F147">
            <v>1.4279999999999999</v>
          </cell>
          <cell r="H147">
            <v>1.24</v>
          </cell>
          <cell r="N147">
            <v>0.84</v>
          </cell>
        </row>
        <row r="148">
          <cell r="B148" t="str">
            <v>CNA</v>
          </cell>
          <cell r="C148">
            <v>1.52</v>
          </cell>
          <cell r="D148">
            <v>1.48</v>
          </cell>
          <cell r="F148">
            <v>1.3</v>
          </cell>
          <cell r="H148">
            <v>1</v>
          </cell>
          <cell r="N148">
            <v>0.4</v>
          </cell>
        </row>
        <row r="149">
          <cell r="B149" t="str">
            <v>CNI</v>
          </cell>
          <cell r="C149">
            <v>1.9646999999999999</v>
          </cell>
          <cell r="D149">
            <v>1.7172000000000001</v>
          </cell>
          <cell r="F149">
            <v>1.391</v>
          </cell>
          <cell r="H149">
            <v>1.1367400000000001</v>
          </cell>
          <cell r="N149">
            <v>0.65649999999999997</v>
          </cell>
        </row>
        <row r="150">
          <cell r="B150" t="str">
            <v>CNO</v>
          </cell>
          <cell r="C150">
            <v>0.51</v>
          </cell>
          <cell r="D150">
            <v>0.47</v>
          </cell>
          <cell r="F150">
            <v>0.39</v>
          </cell>
          <cell r="H150">
            <v>0.31</v>
          </cell>
          <cell r="N150">
            <v>0</v>
          </cell>
        </row>
        <row r="151">
          <cell r="B151" t="str">
            <v>CNS</v>
          </cell>
          <cell r="C151">
            <v>1.8</v>
          </cell>
          <cell r="D151">
            <v>1.56</v>
          </cell>
          <cell r="F151">
            <v>1.26</v>
          </cell>
          <cell r="H151">
            <v>1.04</v>
          </cell>
          <cell r="N151">
            <v>0.6</v>
          </cell>
        </row>
        <row r="152">
          <cell r="B152" t="str">
            <v>COFS</v>
          </cell>
          <cell r="C152">
            <v>0.94</v>
          </cell>
          <cell r="D152">
            <v>0.82000000000000006</v>
          </cell>
          <cell r="F152">
            <v>0.71142857142857141</v>
          </cell>
          <cell r="H152">
            <v>0.6167800453514739</v>
          </cell>
          <cell r="N152">
            <v>0.43537414965986393</v>
          </cell>
        </row>
        <row r="153">
          <cell r="B153" t="str">
            <v>COP</v>
          </cell>
          <cell r="C153">
            <v>1.75</v>
          </cell>
          <cell r="D153">
            <v>1.69</v>
          </cell>
          <cell r="F153">
            <v>1.1599999999999999</v>
          </cell>
          <cell r="H153">
            <v>1</v>
          </cell>
          <cell r="N153">
            <v>2.64</v>
          </cell>
        </row>
        <row r="154">
          <cell r="B154" t="str">
            <v>COST</v>
          </cell>
          <cell r="C154">
            <v>3.07</v>
          </cell>
          <cell r="D154">
            <v>2.75</v>
          </cell>
          <cell r="F154">
            <v>2.21</v>
          </cell>
          <cell r="H154">
            <v>1.75</v>
          </cell>
          <cell r="N154">
            <v>0.92500000000000004</v>
          </cell>
        </row>
        <row r="155">
          <cell r="B155" t="str">
            <v>CPF</v>
          </cell>
          <cell r="C155">
            <v>0.96</v>
          </cell>
          <cell r="D155">
            <v>0.92</v>
          </cell>
          <cell r="F155">
            <v>0.82</v>
          </cell>
          <cell r="H155">
            <v>0.6</v>
          </cell>
          <cell r="N155">
            <v>0</v>
          </cell>
        </row>
        <row r="156">
          <cell r="B156" t="str">
            <v>CPK</v>
          </cell>
          <cell r="C156">
            <v>1.84</v>
          </cell>
          <cell r="D156">
            <v>1.69</v>
          </cell>
          <cell r="F156">
            <v>1.39</v>
          </cell>
          <cell r="H156">
            <v>1.1850000000000001</v>
          </cell>
          <cell r="N156">
            <v>0.9</v>
          </cell>
        </row>
        <row r="157">
          <cell r="B157" t="str">
            <v>CPKF</v>
          </cell>
          <cell r="C157">
            <v>0.53</v>
          </cell>
          <cell r="D157">
            <v>0.5</v>
          </cell>
          <cell r="F157">
            <v>0.45833333333333331</v>
          </cell>
          <cell r="H157">
            <v>0.40833333333333338</v>
          </cell>
          <cell r="N157">
            <v>0.27486111111111106</v>
          </cell>
        </row>
        <row r="158">
          <cell r="B158" t="str">
            <v>CPT</v>
          </cell>
          <cell r="C158">
            <v>3.32</v>
          </cell>
          <cell r="D158">
            <v>3.29</v>
          </cell>
          <cell r="F158">
            <v>3.06</v>
          </cell>
          <cell r="H158">
            <v>2.95</v>
          </cell>
          <cell r="N158">
            <v>1.92</v>
          </cell>
        </row>
        <row r="159">
          <cell r="B159" t="str">
            <v>CQP</v>
          </cell>
          <cell r="C159">
            <v>2.66</v>
          </cell>
          <cell r="D159">
            <v>2.5649999999999999</v>
          </cell>
          <cell r="F159">
            <v>2.1900000000000004</v>
          </cell>
          <cell r="H159">
            <v>1.7</v>
          </cell>
          <cell r="N159">
            <v>1.7</v>
          </cell>
        </row>
        <row r="160">
          <cell r="B160" t="str">
            <v>CRAI</v>
          </cell>
          <cell r="C160">
            <v>1.0900000000000001</v>
          </cell>
          <cell r="D160">
            <v>0.95</v>
          </cell>
          <cell r="F160">
            <v>0.71</v>
          </cell>
          <cell r="H160">
            <v>0.14000000000000001</v>
          </cell>
          <cell r="N160">
            <v>0</v>
          </cell>
        </row>
        <row r="161">
          <cell r="B161" t="str">
            <v>CSCO</v>
          </cell>
          <cell r="C161">
            <v>1.47</v>
          </cell>
          <cell r="D161">
            <v>1.43</v>
          </cell>
          <cell r="F161">
            <v>1.28</v>
          </cell>
          <cell r="H161">
            <v>0.99</v>
          </cell>
          <cell r="N161">
            <v>0.18</v>
          </cell>
        </row>
        <row r="162">
          <cell r="B162" t="str">
            <v>CSGS</v>
          </cell>
          <cell r="C162">
            <v>1</v>
          </cell>
          <cell r="D162">
            <v>0.94</v>
          </cell>
          <cell r="F162">
            <v>0.84</v>
          </cell>
          <cell r="H162">
            <v>0.74</v>
          </cell>
          <cell r="N162">
            <v>0</v>
          </cell>
        </row>
        <row r="163">
          <cell r="B163" t="str">
            <v>CSL</v>
          </cell>
          <cell r="C163">
            <v>2.13</v>
          </cell>
          <cell r="D163">
            <v>2.0499999999999998</v>
          </cell>
          <cell r="F163">
            <v>1.54</v>
          </cell>
          <cell r="H163">
            <v>1.3</v>
          </cell>
          <cell r="N163">
            <v>0.7</v>
          </cell>
        </row>
        <row r="164">
          <cell r="B164" t="str">
            <v>CSVI</v>
          </cell>
          <cell r="C164">
            <v>1.04</v>
          </cell>
          <cell r="D164">
            <v>0.92</v>
          </cell>
          <cell r="F164">
            <v>0.67</v>
          </cell>
          <cell r="H164">
            <v>0.53</v>
          </cell>
          <cell r="N164">
            <v>0.23499999999999999</v>
          </cell>
        </row>
        <row r="165">
          <cell r="B165" t="str">
            <v>CSWC</v>
          </cell>
          <cell r="C165">
            <v>1.76</v>
          </cell>
          <cell r="D165">
            <v>1.64</v>
          </cell>
          <cell r="F165">
            <v>1.27</v>
          </cell>
          <cell r="H165">
            <v>0.38</v>
          </cell>
          <cell r="N165">
            <v>0.2</v>
          </cell>
        </row>
        <row r="166">
          <cell r="B166" t="str">
            <v>CSX</v>
          </cell>
          <cell r="C166">
            <v>0.37319999999999998</v>
          </cell>
          <cell r="D166">
            <v>0.34666666666666668</v>
          </cell>
          <cell r="F166">
            <v>0.29333333333333333</v>
          </cell>
          <cell r="H166">
            <v>0.24</v>
          </cell>
          <cell r="N166">
            <v>0.14888999999999999</v>
          </cell>
        </row>
        <row r="167">
          <cell r="B167" t="str">
            <v>CTAS</v>
          </cell>
          <cell r="C167">
            <v>3.4</v>
          </cell>
          <cell r="D167">
            <v>2.81</v>
          </cell>
          <cell r="F167">
            <v>2.0499999999999998</v>
          </cell>
          <cell r="H167">
            <v>1.33</v>
          </cell>
          <cell r="N167">
            <v>0.54</v>
          </cell>
        </row>
        <row r="168">
          <cell r="B168" t="str">
            <v>CTBI</v>
          </cell>
          <cell r="C168">
            <v>1.5549999999999999</v>
          </cell>
          <cell r="D168">
            <v>1.5249999999999999</v>
          </cell>
          <cell r="F168">
            <v>1.35</v>
          </cell>
          <cell r="H168">
            <v>1.25</v>
          </cell>
          <cell r="N168">
            <v>1.1181818181818182</v>
          </cell>
        </row>
        <row r="169">
          <cell r="B169" t="str">
            <v>CTO</v>
          </cell>
          <cell r="C169">
            <v>1.3333333333333333</v>
          </cell>
          <cell r="D169">
            <v>0.6333333333333333</v>
          </cell>
          <cell r="F169">
            <v>9.0000000000000011E-2</v>
          </cell>
          <cell r="H169">
            <v>5.3333333333333337E-2</v>
          </cell>
          <cell r="N169">
            <v>1.3333333333333334E-2</v>
          </cell>
        </row>
        <row r="170">
          <cell r="B170" t="str">
            <v>CTRA</v>
          </cell>
          <cell r="C170">
            <v>0.44500000000000001</v>
          </cell>
          <cell r="D170">
            <v>0.4</v>
          </cell>
          <cell r="F170">
            <v>0.25</v>
          </cell>
          <cell r="H170">
            <v>0.08</v>
          </cell>
          <cell r="N170">
            <v>0.03</v>
          </cell>
        </row>
        <row r="171">
          <cell r="B171" t="str">
            <v>CTRE</v>
          </cell>
          <cell r="C171">
            <v>1.0449999999999999</v>
          </cell>
          <cell r="D171">
            <v>0.97499999999999998</v>
          </cell>
          <cell r="F171">
            <v>0.8</v>
          </cell>
          <cell r="H171">
            <v>0.68</v>
          </cell>
          <cell r="N171">
            <v>0</v>
          </cell>
        </row>
        <row r="172">
          <cell r="B172" t="str">
            <v>CUBE</v>
          </cell>
          <cell r="C172">
            <v>1.36</v>
          </cell>
          <cell r="D172">
            <v>1.32</v>
          </cell>
          <cell r="F172">
            <v>1.2</v>
          </cell>
          <cell r="H172">
            <v>0.84</v>
          </cell>
          <cell r="N172">
            <v>0.28000000000000003</v>
          </cell>
        </row>
        <row r="173">
          <cell r="B173" t="str">
            <v>CVX</v>
          </cell>
          <cell r="C173">
            <v>5.31</v>
          </cell>
          <cell r="D173">
            <v>5.19</v>
          </cell>
          <cell r="F173">
            <v>4.4800000000000004</v>
          </cell>
          <cell r="H173">
            <v>4.29</v>
          </cell>
          <cell r="N173">
            <v>3.09</v>
          </cell>
        </row>
        <row r="174">
          <cell r="B174" t="str">
            <v>CW</v>
          </cell>
          <cell r="C174">
            <v>0.71</v>
          </cell>
          <cell r="D174">
            <v>0.68</v>
          </cell>
          <cell r="F174">
            <v>0.6</v>
          </cell>
          <cell r="H174">
            <v>0.52</v>
          </cell>
          <cell r="N174">
            <v>0.32</v>
          </cell>
        </row>
        <row r="175">
          <cell r="B175" t="str">
            <v>CWT</v>
          </cell>
          <cell r="C175">
            <v>0.92</v>
          </cell>
          <cell r="D175">
            <v>0.85</v>
          </cell>
          <cell r="F175">
            <v>0.752</v>
          </cell>
          <cell r="H175">
            <v>0.69</v>
          </cell>
          <cell r="N175">
            <v>0.61499999999999999</v>
          </cell>
        </row>
        <row r="176">
          <cell r="B176" t="str">
            <v>CZFS</v>
          </cell>
          <cell r="C176">
            <v>1.87</v>
          </cell>
          <cell r="D176">
            <v>1.83</v>
          </cell>
          <cell r="F176">
            <v>1.75</v>
          </cell>
          <cell r="H176">
            <v>1.6658909999999998</v>
          </cell>
          <cell r="N176">
            <v>0.99952852428099948</v>
          </cell>
        </row>
        <row r="177">
          <cell r="B177" t="str">
            <v>DCI</v>
          </cell>
          <cell r="C177">
            <v>0.87</v>
          </cell>
          <cell r="D177">
            <v>0.84</v>
          </cell>
          <cell r="F177">
            <v>0.75</v>
          </cell>
          <cell r="H177">
            <v>0.69499999999999995</v>
          </cell>
          <cell r="N177">
            <v>0.28999999999999998</v>
          </cell>
        </row>
        <row r="178">
          <cell r="B178" t="str">
            <v>DDS</v>
          </cell>
          <cell r="C178">
            <v>0.65</v>
          </cell>
          <cell r="D178">
            <v>0.6</v>
          </cell>
          <cell r="F178">
            <v>0.4</v>
          </cell>
          <cell r="H178">
            <v>0.28000000000000003</v>
          </cell>
          <cell r="N178">
            <v>0.18</v>
          </cell>
        </row>
        <row r="179">
          <cell r="B179" t="str">
            <v>DFS</v>
          </cell>
          <cell r="C179">
            <v>1.88</v>
          </cell>
          <cell r="D179">
            <v>1.76</v>
          </cell>
          <cell r="F179">
            <v>1.5</v>
          </cell>
          <cell r="H179">
            <v>1.1599999999999999</v>
          </cell>
          <cell r="N179">
            <v>0.2</v>
          </cell>
        </row>
        <row r="180">
          <cell r="B180" t="str">
            <v>DG</v>
          </cell>
          <cell r="C180">
            <v>1.62</v>
          </cell>
          <cell r="D180">
            <v>1.4</v>
          </cell>
          <cell r="F180">
            <v>1.1299999999999999</v>
          </cell>
          <cell r="H180">
            <v>0.97</v>
          </cell>
          <cell r="N180">
            <v>0</v>
          </cell>
        </row>
        <row r="181">
          <cell r="B181" t="str">
            <v>DGICA</v>
          </cell>
          <cell r="C181">
            <v>0.63</v>
          </cell>
          <cell r="D181">
            <v>0.59499999999999997</v>
          </cell>
          <cell r="F181">
            <v>0.5675</v>
          </cell>
          <cell r="H181">
            <v>0.54749999999999999</v>
          </cell>
          <cell r="N181">
            <v>0.47499999999999998</v>
          </cell>
        </row>
        <row r="182">
          <cell r="B182" t="str">
            <v>DGICB</v>
          </cell>
          <cell r="C182">
            <v>0.56000000000000005</v>
          </cell>
          <cell r="D182">
            <v>0.52500000000000002</v>
          </cell>
          <cell r="F182">
            <v>0.4975</v>
          </cell>
          <cell r="H182">
            <v>0.47749999999999998</v>
          </cell>
          <cell r="N182">
            <v>0.42499999999999999</v>
          </cell>
        </row>
        <row r="183">
          <cell r="B183" t="str">
            <v>DGX</v>
          </cell>
          <cell r="C183">
            <v>2.42</v>
          </cell>
          <cell r="D183">
            <v>2.21</v>
          </cell>
          <cell r="F183">
            <v>1.95</v>
          </cell>
          <cell r="H183">
            <v>1.6</v>
          </cell>
          <cell r="N183">
            <v>0.4</v>
          </cell>
        </row>
        <row r="184">
          <cell r="B184" t="str">
            <v>DHI</v>
          </cell>
          <cell r="C184">
            <v>0.82499999999999996</v>
          </cell>
          <cell r="D184">
            <v>0.72499999999999998</v>
          </cell>
          <cell r="F184">
            <v>0.52500000000000002</v>
          </cell>
          <cell r="H184">
            <v>0.34</v>
          </cell>
          <cell r="N184">
            <v>0.15</v>
          </cell>
        </row>
        <row r="185">
          <cell r="B185" t="str">
            <v>DHR</v>
          </cell>
          <cell r="C185">
            <v>0.81</v>
          </cell>
          <cell r="D185">
            <v>0.71</v>
          </cell>
          <cell r="F185">
            <v>0.62</v>
          </cell>
          <cell r="H185">
            <v>0.4889120545868082</v>
          </cell>
          <cell r="N185">
            <v>4.8847611827141778E-2</v>
          </cell>
        </row>
        <row r="186">
          <cell r="B186" t="str">
            <v>DKL</v>
          </cell>
          <cell r="C186">
            <v>3.72</v>
          </cell>
          <cell r="D186">
            <v>3.58</v>
          </cell>
          <cell r="F186">
            <v>3.0350000000000001</v>
          </cell>
          <cell r="H186">
            <v>2.4849999999999999</v>
          </cell>
          <cell r="N186">
            <v>0</v>
          </cell>
        </row>
        <row r="187">
          <cell r="B187" t="str">
            <v>DKS</v>
          </cell>
          <cell r="C187">
            <v>1.6</v>
          </cell>
          <cell r="D187">
            <v>1.25</v>
          </cell>
          <cell r="F187">
            <v>0.9</v>
          </cell>
          <cell r="H187">
            <v>0.60499999999999998</v>
          </cell>
          <cell r="N187">
            <v>0</v>
          </cell>
        </row>
        <row r="188">
          <cell r="B188" t="str">
            <v>DLB</v>
          </cell>
          <cell r="C188">
            <v>0.91</v>
          </cell>
          <cell r="D188">
            <v>0.88</v>
          </cell>
          <cell r="F188">
            <v>0.67</v>
          </cell>
          <cell r="H188">
            <v>0.5</v>
          </cell>
          <cell r="N188">
            <v>0</v>
          </cell>
        </row>
        <row r="189">
          <cell r="B189" t="str">
            <v>DLR</v>
          </cell>
          <cell r="C189">
            <v>4.5999999999999996</v>
          </cell>
          <cell r="D189">
            <v>4.4400000000000004</v>
          </cell>
          <cell r="F189">
            <v>3.96</v>
          </cell>
          <cell r="H189">
            <v>3.52</v>
          </cell>
          <cell r="N189">
            <v>2.72</v>
          </cell>
        </row>
        <row r="190">
          <cell r="B190" t="str">
            <v>DOV</v>
          </cell>
          <cell r="C190">
            <v>1.99</v>
          </cell>
          <cell r="D190">
            <v>1.97</v>
          </cell>
          <cell r="F190">
            <v>1.9</v>
          </cell>
          <cell r="H190">
            <v>1.72</v>
          </cell>
          <cell r="N190">
            <v>0.98565400000000003</v>
          </cell>
        </row>
        <row r="191">
          <cell r="B191" t="str">
            <v>DOX</v>
          </cell>
          <cell r="C191">
            <v>1.4075</v>
          </cell>
          <cell r="D191">
            <v>1.31</v>
          </cell>
          <cell r="F191">
            <v>0.97</v>
          </cell>
          <cell r="H191">
            <v>0.755</v>
          </cell>
          <cell r="N191">
            <v>0</v>
          </cell>
        </row>
        <row r="192">
          <cell r="B192" t="str">
            <v>DPZ</v>
          </cell>
          <cell r="C192">
            <v>3.76</v>
          </cell>
          <cell r="D192">
            <v>3.12</v>
          </cell>
          <cell r="F192">
            <v>2.2000000000000002</v>
          </cell>
          <cell r="H192">
            <v>1.52</v>
          </cell>
          <cell r="N192">
            <v>0</v>
          </cell>
        </row>
        <row r="193">
          <cell r="B193" t="str">
            <v>DTE</v>
          </cell>
          <cell r="C193">
            <v>3.3</v>
          </cell>
          <cell r="D193">
            <v>3.0794930875576036</v>
          </cell>
          <cell r="F193">
            <v>2.6825806451612904</v>
          </cell>
          <cell r="H193">
            <v>2.3419354838709676</v>
          </cell>
          <cell r="N193">
            <v>1.7450460829493086</v>
          </cell>
        </row>
        <row r="194">
          <cell r="B194" t="str">
            <v>DUK</v>
          </cell>
          <cell r="C194">
            <v>3.9</v>
          </cell>
          <cell r="D194">
            <v>3.82</v>
          </cell>
          <cell r="F194">
            <v>3.6360000000000001</v>
          </cell>
          <cell r="H194">
            <v>3.36</v>
          </cell>
          <cell r="N194">
            <v>2.97</v>
          </cell>
        </row>
        <row r="195">
          <cell r="B195" t="str">
            <v>EBMT</v>
          </cell>
          <cell r="C195">
            <v>0.44500000000000001</v>
          </cell>
          <cell r="D195">
            <v>0.38500000000000001</v>
          </cell>
          <cell r="F195">
            <v>0.36499999999999999</v>
          </cell>
          <cell r="H195">
            <v>0.315</v>
          </cell>
          <cell r="N195">
            <v>0.28249999999999997</v>
          </cell>
        </row>
        <row r="196">
          <cell r="B196" t="str">
            <v>EBTC</v>
          </cell>
          <cell r="C196">
            <v>0.74</v>
          </cell>
          <cell r="D196">
            <v>0.7</v>
          </cell>
          <cell r="F196">
            <v>0.57999999999999996</v>
          </cell>
          <cell r="H196">
            <v>0.52</v>
          </cell>
          <cell r="N196">
            <v>0.42</v>
          </cell>
        </row>
        <row r="197">
          <cell r="B197" t="str">
            <v>ECL</v>
          </cell>
          <cell r="C197">
            <v>1.92</v>
          </cell>
          <cell r="D197">
            <v>1.88</v>
          </cell>
          <cell r="F197">
            <v>1.64</v>
          </cell>
          <cell r="H197">
            <v>1.4</v>
          </cell>
          <cell r="N197">
            <v>0.7</v>
          </cell>
        </row>
        <row r="198">
          <cell r="B198" t="str">
            <v>ED</v>
          </cell>
          <cell r="C198">
            <v>3.1</v>
          </cell>
          <cell r="D198">
            <v>3.06</v>
          </cell>
          <cell r="F198">
            <v>2.86</v>
          </cell>
          <cell r="H198">
            <v>2.68</v>
          </cell>
          <cell r="N198">
            <v>2.4</v>
          </cell>
        </row>
        <row r="199">
          <cell r="B199" t="str">
            <v>EFSC</v>
          </cell>
          <cell r="C199">
            <v>0.75</v>
          </cell>
          <cell r="D199">
            <v>0.72</v>
          </cell>
          <cell r="F199">
            <v>0.47</v>
          </cell>
          <cell r="H199">
            <v>0.41000000000000003</v>
          </cell>
          <cell r="N199">
            <v>0.21</v>
          </cell>
        </row>
        <row r="200">
          <cell r="B200" t="str">
            <v>EFSI</v>
          </cell>
          <cell r="C200">
            <v>1.1000000000000001</v>
          </cell>
          <cell r="D200">
            <v>1.04</v>
          </cell>
          <cell r="F200">
            <v>0.94</v>
          </cell>
          <cell r="H200">
            <v>0.82</v>
          </cell>
          <cell r="N200">
            <v>0.72</v>
          </cell>
        </row>
        <row r="201">
          <cell r="B201" t="str">
            <v>EGP</v>
          </cell>
          <cell r="C201">
            <v>3.27</v>
          </cell>
          <cell r="D201">
            <v>3.04</v>
          </cell>
          <cell r="F201">
            <v>2.64</v>
          </cell>
          <cell r="H201">
            <v>2.44</v>
          </cell>
          <cell r="N201">
            <v>2.08</v>
          </cell>
        </row>
        <row r="202">
          <cell r="B202" t="str">
            <v>EIX</v>
          </cell>
          <cell r="C202">
            <v>2.65</v>
          </cell>
          <cell r="D202">
            <v>2.5499999999999998</v>
          </cell>
          <cell r="F202">
            <v>2.42</v>
          </cell>
          <cell r="H202">
            <v>1.92</v>
          </cell>
          <cell r="N202">
            <v>1.28</v>
          </cell>
        </row>
        <row r="203">
          <cell r="B203" t="str">
            <v>ELS</v>
          </cell>
          <cell r="C203">
            <v>1.43</v>
          </cell>
          <cell r="D203">
            <v>1.33375</v>
          </cell>
          <cell r="F203">
            <v>1.069</v>
          </cell>
          <cell r="H203">
            <v>0.82499999999999996</v>
          </cell>
          <cell r="N203">
            <v>0.35625000000000001</v>
          </cell>
        </row>
        <row r="204">
          <cell r="B204" t="str">
            <v>ELV</v>
          </cell>
          <cell r="C204">
            <v>4.5199999999999996</v>
          </cell>
          <cell r="D204">
            <v>3.8</v>
          </cell>
          <cell r="F204">
            <v>3</v>
          </cell>
          <cell r="H204">
            <v>2.6</v>
          </cell>
          <cell r="N204">
            <v>1</v>
          </cell>
        </row>
        <row r="205">
          <cell r="B205" t="str">
            <v>EMN</v>
          </cell>
          <cell r="C205">
            <v>2.76</v>
          </cell>
          <cell r="D205">
            <v>2.64</v>
          </cell>
          <cell r="F205">
            <v>2.2400000000000002</v>
          </cell>
          <cell r="H205">
            <v>1.84</v>
          </cell>
          <cell r="N205">
            <v>0.96499999999999997</v>
          </cell>
        </row>
        <row r="206">
          <cell r="B206" t="str">
            <v>EMR</v>
          </cell>
          <cell r="C206">
            <v>2.0299999999999998</v>
          </cell>
          <cell r="D206">
            <v>2.0049999999999999</v>
          </cell>
          <cell r="F206">
            <v>1.9450000000000001</v>
          </cell>
          <cell r="H206">
            <v>1.905</v>
          </cell>
          <cell r="N206">
            <v>1.4350000000000001</v>
          </cell>
        </row>
        <row r="207">
          <cell r="B207" t="str">
            <v>ENB</v>
          </cell>
          <cell r="C207">
            <v>2.6812999999999998</v>
          </cell>
          <cell r="D207">
            <v>2.4131</v>
          </cell>
          <cell r="F207">
            <v>2.0739999999999998</v>
          </cell>
          <cell r="H207">
            <v>1.59093</v>
          </cell>
          <cell r="N207">
            <v>0.99</v>
          </cell>
        </row>
        <row r="208">
          <cell r="B208" t="str">
            <v>ENSG</v>
          </cell>
          <cell r="C208">
            <v>0.21</v>
          </cell>
          <cell r="D208">
            <v>0.2</v>
          </cell>
          <cell r="F208">
            <v>0.1825</v>
          </cell>
          <cell r="H208">
            <v>0.16</v>
          </cell>
          <cell r="N208">
            <v>6.2276500000000005E-2</v>
          </cell>
        </row>
        <row r="209">
          <cell r="B209" t="str">
            <v>EOG</v>
          </cell>
          <cell r="C209">
            <v>1.6124999999999998</v>
          </cell>
          <cell r="D209">
            <v>1.4125000000000001</v>
          </cell>
          <cell r="F209">
            <v>0.75750000000000006</v>
          </cell>
          <cell r="H209">
            <v>0.67</v>
          </cell>
          <cell r="N209">
            <v>0.3175</v>
          </cell>
        </row>
        <row r="210">
          <cell r="B210" t="str">
            <v>EPD</v>
          </cell>
          <cell r="C210">
            <v>1.8</v>
          </cell>
          <cell r="D210">
            <v>1.78</v>
          </cell>
          <cell r="F210">
            <v>1.716</v>
          </cell>
          <cell r="H210">
            <v>1.59</v>
          </cell>
          <cell r="N210">
            <v>1.2024999999999999</v>
          </cell>
        </row>
        <row r="211">
          <cell r="B211" t="str">
            <v>EQH</v>
          </cell>
          <cell r="C211">
            <v>0.71000000000000008</v>
          </cell>
          <cell r="D211">
            <v>0.66</v>
          </cell>
          <cell r="F211">
            <v>0.26</v>
          </cell>
          <cell r="H211">
            <v>0</v>
          </cell>
          <cell r="N211">
            <v>0</v>
          </cell>
        </row>
        <row r="212">
          <cell r="B212" t="str">
            <v>EQIX</v>
          </cell>
          <cell r="C212">
            <v>11.48</v>
          </cell>
          <cell r="D212">
            <v>10.64</v>
          </cell>
          <cell r="F212">
            <v>9.1199999999999992</v>
          </cell>
          <cell r="H212">
            <v>7</v>
          </cell>
          <cell r="N212">
            <v>0</v>
          </cell>
        </row>
        <row r="213">
          <cell r="B213" t="str">
            <v>ERIE</v>
          </cell>
          <cell r="C213">
            <v>4.1399999999999997</v>
          </cell>
          <cell r="D213">
            <v>3.86</v>
          </cell>
          <cell r="F213">
            <v>3.36</v>
          </cell>
          <cell r="H213">
            <v>2.92</v>
          </cell>
          <cell r="N213">
            <v>2.06</v>
          </cell>
        </row>
        <row r="214">
          <cell r="B214" t="str">
            <v>ES</v>
          </cell>
          <cell r="C214">
            <v>2.41</v>
          </cell>
          <cell r="D214">
            <v>2.27</v>
          </cell>
          <cell r="F214">
            <v>2.02</v>
          </cell>
          <cell r="H214">
            <v>1.78</v>
          </cell>
          <cell r="N214">
            <v>1.1000000000000001</v>
          </cell>
        </row>
        <row r="215">
          <cell r="B215" t="str">
            <v>ESS</v>
          </cell>
          <cell r="C215">
            <v>8.3475000000000001</v>
          </cell>
          <cell r="D215">
            <v>8.1824999999999992</v>
          </cell>
          <cell r="F215">
            <v>7.33</v>
          </cell>
          <cell r="H215">
            <v>6.24</v>
          </cell>
          <cell r="N215">
            <v>4.1524999999999999</v>
          </cell>
        </row>
        <row r="216">
          <cell r="B216" t="str">
            <v>ETN</v>
          </cell>
          <cell r="C216">
            <v>3.04</v>
          </cell>
          <cell r="D216">
            <v>2.92</v>
          </cell>
          <cell r="F216">
            <v>2.64</v>
          </cell>
          <cell r="H216">
            <v>2.2799999999999998</v>
          </cell>
          <cell r="N216">
            <v>1.36</v>
          </cell>
        </row>
        <row r="217">
          <cell r="B217" t="str">
            <v>ETR</v>
          </cell>
          <cell r="C217">
            <v>3.86</v>
          </cell>
          <cell r="D217">
            <v>3.74</v>
          </cell>
          <cell r="F217">
            <v>3.58</v>
          </cell>
          <cell r="H217">
            <v>3.42</v>
          </cell>
          <cell r="N217">
            <v>3.32</v>
          </cell>
        </row>
        <row r="218">
          <cell r="B218" t="str">
            <v>EVA</v>
          </cell>
          <cell r="C218">
            <v>3.22</v>
          </cell>
          <cell r="D218">
            <v>2.895</v>
          </cell>
          <cell r="F218">
            <v>2.5099999999999998</v>
          </cell>
          <cell r="H218">
            <v>2.0249999999999999</v>
          </cell>
          <cell r="N218">
            <v>0</v>
          </cell>
        </row>
        <row r="219">
          <cell r="B219" t="str">
            <v>EVBN</v>
          </cell>
          <cell r="C219">
            <v>1.2</v>
          </cell>
          <cell r="D219">
            <v>1.1599999999999999</v>
          </cell>
          <cell r="F219">
            <v>0.92</v>
          </cell>
          <cell r="H219">
            <v>0.76</v>
          </cell>
          <cell r="N219">
            <v>0.4</v>
          </cell>
        </row>
        <row r="220">
          <cell r="B220" t="str">
            <v>EVR</v>
          </cell>
          <cell r="C220">
            <v>2.65</v>
          </cell>
          <cell r="D220">
            <v>2.35</v>
          </cell>
          <cell r="F220">
            <v>1.9</v>
          </cell>
          <cell r="H220">
            <v>1.27</v>
          </cell>
          <cell r="N220">
            <v>0.74</v>
          </cell>
        </row>
        <row r="221">
          <cell r="B221" t="str">
            <v>EVRG</v>
          </cell>
          <cell r="C221">
            <v>2.1775000000000002</v>
          </cell>
          <cell r="D221">
            <v>2.0499999999999998</v>
          </cell>
          <cell r="F221">
            <v>1.7350000000000001</v>
          </cell>
          <cell r="H221">
            <v>1.5</v>
          </cell>
          <cell r="N221">
            <v>1.27</v>
          </cell>
        </row>
        <row r="222">
          <cell r="B222" t="str">
            <v>EWBC</v>
          </cell>
          <cell r="C222">
            <v>1.32</v>
          </cell>
          <cell r="D222">
            <v>1.1000000000000001</v>
          </cell>
          <cell r="F222">
            <v>0.8600000000000001</v>
          </cell>
          <cell r="H222">
            <v>0.8</v>
          </cell>
          <cell r="N222">
            <v>0.16000000000000003</v>
          </cell>
        </row>
        <row r="223">
          <cell r="B223" t="str">
            <v>EXPD</v>
          </cell>
          <cell r="C223">
            <v>1.1599999999999999</v>
          </cell>
          <cell r="D223">
            <v>1.04</v>
          </cell>
          <cell r="F223">
            <v>0.9</v>
          </cell>
          <cell r="H223">
            <v>0.8</v>
          </cell>
          <cell r="N223">
            <v>0.5</v>
          </cell>
        </row>
        <row r="224">
          <cell r="B224" t="str">
            <v>EXPO</v>
          </cell>
          <cell r="C224">
            <v>0.8</v>
          </cell>
          <cell r="D224">
            <v>0.76</v>
          </cell>
          <cell r="F224">
            <v>0.52</v>
          </cell>
          <cell r="H224">
            <v>0.36</v>
          </cell>
          <cell r="N224">
            <v>0</v>
          </cell>
        </row>
        <row r="225">
          <cell r="B225" t="str">
            <v>EXR</v>
          </cell>
          <cell r="C225">
            <v>4.5</v>
          </cell>
          <cell r="D225">
            <v>3.6</v>
          </cell>
          <cell r="F225">
            <v>3.36</v>
          </cell>
          <cell r="H225">
            <v>2.93</v>
          </cell>
          <cell r="N225">
            <v>0.56000000000000005</v>
          </cell>
        </row>
        <row r="226">
          <cell r="B226" t="str">
            <v>FAF</v>
          </cell>
          <cell r="C226">
            <v>1.94</v>
          </cell>
          <cell r="D226">
            <v>1.78</v>
          </cell>
          <cell r="F226">
            <v>1.6</v>
          </cell>
          <cell r="H226">
            <v>1.2</v>
          </cell>
          <cell r="N226">
            <v>0.24</v>
          </cell>
        </row>
        <row r="227">
          <cell r="B227" t="str">
            <v>FANG</v>
          </cell>
          <cell r="C227">
            <v>1.75</v>
          </cell>
          <cell r="D227">
            <v>1.5</v>
          </cell>
          <cell r="F227">
            <v>0.375</v>
          </cell>
          <cell r="H227">
            <v>0</v>
          </cell>
          <cell r="N227">
            <v>0</v>
          </cell>
        </row>
        <row r="228">
          <cell r="B228" t="str">
            <v>FAST</v>
          </cell>
          <cell r="C228">
            <v>1.1200000000000001</v>
          </cell>
          <cell r="D228">
            <v>1</v>
          </cell>
          <cell r="F228">
            <v>0.77</v>
          </cell>
          <cell r="H228">
            <v>0.6</v>
          </cell>
          <cell r="N228">
            <v>0.26250000000000001</v>
          </cell>
        </row>
        <row r="229">
          <cell r="B229" t="str">
            <v>FBHS</v>
          </cell>
          <cell r="C229">
            <v>1.04</v>
          </cell>
          <cell r="D229">
            <v>0.96</v>
          </cell>
          <cell r="F229">
            <v>0.8</v>
          </cell>
          <cell r="H229">
            <v>0.64</v>
          </cell>
          <cell r="N229">
            <v>0</v>
          </cell>
        </row>
        <row r="230">
          <cell r="B230" t="str">
            <v>FBIZ</v>
          </cell>
          <cell r="C230">
            <v>0.72</v>
          </cell>
          <cell r="D230">
            <v>0.66</v>
          </cell>
          <cell r="F230">
            <v>0.56000000000000005</v>
          </cell>
          <cell r="H230">
            <v>0.48</v>
          </cell>
          <cell r="N230">
            <v>0.14000000000000001</v>
          </cell>
        </row>
        <row r="231">
          <cell r="B231" t="str">
            <v>FBMS</v>
          </cell>
          <cell r="C231">
            <v>0.58000000000000007</v>
          </cell>
          <cell r="D231">
            <v>0.42000000000000004</v>
          </cell>
          <cell r="F231">
            <v>0.2</v>
          </cell>
          <cell r="H231">
            <v>0.15</v>
          </cell>
          <cell r="N231">
            <v>0.15</v>
          </cell>
        </row>
        <row r="232">
          <cell r="B232" t="str">
            <v>FBNC</v>
          </cell>
          <cell r="C232">
            <v>0.78</v>
          </cell>
          <cell r="D232">
            <v>0.72</v>
          </cell>
          <cell r="F232">
            <v>0.38000000000000006</v>
          </cell>
          <cell r="H232">
            <v>0.32</v>
          </cell>
          <cell r="N232">
            <v>0.32</v>
          </cell>
        </row>
        <row r="233">
          <cell r="B233" t="str">
            <v>FBP</v>
          </cell>
          <cell r="C233">
            <v>0.31000000000000005</v>
          </cell>
          <cell r="D233">
            <v>0.2</v>
          </cell>
          <cell r="F233">
            <v>0.03</v>
          </cell>
          <cell r="H233">
            <v>0</v>
          </cell>
          <cell r="N233">
            <v>0</v>
          </cell>
        </row>
        <row r="234">
          <cell r="B234" t="str">
            <v>FBVA</v>
          </cell>
          <cell r="C234">
            <v>0.53</v>
          </cell>
          <cell r="D234">
            <v>0.48</v>
          </cell>
          <cell r="F234">
            <v>0.41</v>
          </cell>
          <cell r="H234">
            <v>0.32</v>
          </cell>
          <cell r="N234">
            <v>0</v>
          </cell>
        </row>
        <row r="235">
          <cell r="B235" t="str">
            <v>FCAP</v>
          </cell>
          <cell r="C235">
            <v>1.04</v>
          </cell>
          <cell r="D235">
            <v>0.96</v>
          </cell>
          <cell r="F235">
            <v>0.92</v>
          </cell>
          <cell r="H235">
            <v>0.84</v>
          </cell>
          <cell r="N235">
            <v>0.76</v>
          </cell>
        </row>
        <row r="236">
          <cell r="B236" t="str">
            <v>FCBC</v>
          </cell>
          <cell r="C236">
            <v>1.04</v>
          </cell>
          <cell r="D236">
            <v>1</v>
          </cell>
          <cell r="F236">
            <v>0.78</v>
          </cell>
          <cell r="H236">
            <v>0.6</v>
          </cell>
          <cell r="N236">
            <v>0.4</v>
          </cell>
        </row>
        <row r="237">
          <cell r="B237" t="str">
            <v>FCF</v>
          </cell>
          <cell r="C237">
            <v>0.45500000000000002</v>
          </cell>
          <cell r="D237">
            <v>0.44</v>
          </cell>
          <cell r="F237">
            <v>0.35000000000000003</v>
          </cell>
          <cell r="H237">
            <v>0.28000000000000003</v>
          </cell>
          <cell r="N237">
            <v>0.12</v>
          </cell>
        </row>
        <row r="238">
          <cell r="B238" t="str">
            <v>FCFS</v>
          </cell>
          <cell r="C238">
            <v>1.17</v>
          </cell>
          <cell r="D238">
            <v>1.08</v>
          </cell>
          <cell r="F238">
            <v>0.90999999999999992</v>
          </cell>
          <cell r="H238">
            <v>0.56499999999999995</v>
          </cell>
          <cell r="N238">
            <v>0</v>
          </cell>
        </row>
        <row r="239">
          <cell r="B239" t="str">
            <v>FCPT</v>
          </cell>
          <cell r="C239">
            <v>1.27</v>
          </cell>
          <cell r="D239">
            <v>1.22</v>
          </cell>
          <cell r="F239">
            <v>1.1000000000000001</v>
          </cell>
          <cell r="H239">
            <v>0.92749999999999999</v>
          </cell>
          <cell r="N239">
            <v>0</v>
          </cell>
        </row>
        <row r="240">
          <cell r="B240" t="str">
            <v>FDBC</v>
          </cell>
          <cell r="C240">
            <v>1.23</v>
          </cell>
          <cell r="D240">
            <v>1.1399999999999999</v>
          </cell>
          <cell r="F240">
            <v>0.98</v>
          </cell>
          <cell r="H240">
            <v>0.76</v>
          </cell>
          <cell r="N240">
            <v>0.66666666666666663</v>
          </cell>
        </row>
        <row r="241">
          <cell r="B241" t="str">
            <v>FDS</v>
          </cell>
          <cell r="C241">
            <v>3.23</v>
          </cell>
          <cell r="D241">
            <v>3.03</v>
          </cell>
          <cell r="F241">
            <v>2.48</v>
          </cell>
          <cell r="H241">
            <v>1.94</v>
          </cell>
          <cell r="N241">
            <v>1.04</v>
          </cell>
        </row>
        <row r="242">
          <cell r="B242" t="str">
            <v>FELE</v>
          </cell>
          <cell r="C242">
            <v>0.7</v>
          </cell>
          <cell r="D242">
            <v>0.62</v>
          </cell>
          <cell r="F242">
            <v>0.46750000000000003</v>
          </cell>
          <cell r="H242">
            <v>0.39750000000000002</v>
          </cell>
          <cell r="N242">
            <v>0.26750000000000002</v>
          </cell>
        </row>
        <row r="243">
          <cell r="B243" t="str">
            <v>FFIN</v>
          </cell>
          <cell r="C243">
            <v>0.56000000000000005</v>
          </cell>
          <cell r="D243">
            <v>0.5</v>
          </cell>
          <cell r="F243">
            <v>0.4</v>
          </cell>
          <cell r="H243">
            <v>0.34</v>
          </cell>
          <cell r="N243">
            <v>0.23333499999999999</v>
          </cell>
        </row>
        <row r="244">
          <cell r="B244" t="str">
            <v>FFMR</v>
          </cell>
          <cell r="C244">
            <v>1.36</v>
          </cell>
          <cell r="D244">
            <v>1.28</v>
          </cell>
          <cell r="F244">
            <v>0.91500000000000004</v>
          </cell>
          <cell r="H244">
            <v>0.63</v>
          </cell>
          <cell r="N244">
            <v>0.32500000000000001</v>
          </cell>
        </row>
        <row r="245">
          <cell r="B245" t="str">
            <v>FFNW</v>
          </cell>
          <cell r="C245">
            <v>0.44</v>
          </cell>
          <cell r="D245">
            <v>0.4</v>
          </cell>
          <cell r="F245">
            <v>0.31</v>
          </cell>
          <cell r="H245">
            <v>0.24</v>
          </cell>
          <cell r="N245">
            <v>0</v>
          </cell>
        </row>
        <row r="246">
          <cell r="B246" t="str">
            <v>FGBI</v>
          </cell>
          <cell r="C246">
            <v>0.59636363636363621</v>
          </cell>
          <cell r="D246">
            <v>0.58181818181818157</v>
          </cell>
          <cell r="F246">
            <v>0.52892561983471076</v>
          </cell>
          <cell r="H246">
            <v>0.4808414725770096</v>
          </cell>
          <cell r="N246">
            <v>0.43712861143364518</v>
          </cell>
        </row>
        <row r="247">
          <cell r="B247" t="str">
            <v>FIBK</v>
          </cell>
          <cell r="C247">
            <v>1.64</v>
          </cell>
          <cell r="D247">
            <v>1.4</v>
          </cell>
          <cell r="F247">
            <v>1.1200000000000001</v>
          </cell>
          <cell r="H247">
            <v>0.88</v>
          </cell>
          <cell r="N247">
            <v>0.45</v>
          </cell>
        </row>
        <row r="248">
          <cell r="B248" t="str">
            <v>FISI</v>
          </cell>
          <cell r="C248">
            <v>1.07</v>
          </cell>
          <cell r="D248">
            <v>1.03</v>
          </cell>
          <cell r="F248">
            <v>0.94</v>
          </cell>
          <cell r="H248">
            <v>0.81</v>
          </cell>
          <cell r="N248">
            <v>0.47</v>
          </cell>
        </row>
        <row r="249">
          <cell r="B249" t="str">
            <v>FITB</v>
          </cell>
          <cell r="C249">
            <v>1.1100000000000001</v>
          </cell>
          <cell r="D249">
            <v>1.05</v>
          </cell>
          <cell r="F249">
            <v>0.68</v>
          </cell>
          <cell r="H249">
            <v>0.53</v>
          </cell>
          <cell r="N249">
            <v>0.28000000000000003</v>
          </cell>
        </row>
        <row r="250">
          <cell r="B250" t="str">
            <v>FIX</v>
          </cell>
          <cell r="C250">
            <v>0.48</v>
          </cell>
          <cell r="D250">
            <v>0.42499999999999999</v>
          </cell>
          <cell r="F250">
            <v>0.33</v>
          </cell>
          <cell r="H250">
            <v>0.27500000000000002</v>
          </cell>
          <cell r="N250">
            <v>0.2</v>
          </cell>
        </row>
        <row r="251">
          <cell r="B251" t="str">
            <v>FLIC</v>
          </cell>
          <cell r="C251">
            <v>0.77</v>
          </cell>
          <cell r="D251">
            <v>0.73</v>
          </cell>
          <cell r="F251">
            <v>0.62</v>
          </cell>
          <cell r="H251">
            <v>0.54</v>
          </cell>
          <cell r="N251">
            <v>0.3955555555555556</v>
          </cell>
        </row>
        <row r="252">
          <cell r="B252" t="str">
            <v>FLO</v>
          </cell>
          <cell r="C252">
            <v>0.83</v>
          </cell>
          <cell r="D252">
            <v>0.79</v>
          </cell>
          <cell r="F252">
            <v>0.71</v>
          </cell>
          <cell r="H252">
            <v>0.625</v>
          </cell>
          <cell r="N252">
            <v>0.38888666666666666</v>
          </cell>
        </row>
        <row r="253">
          <cell r="B253" t="str">
            <v>FMAO</v>
          </cell>
          <cell r="C253">
            <v>0.69</v>
          </cell>
          <cell r="D253">
            <v>0.65</v>
          </cell>
          <cell r="F253">
            <v>0.54</v>
          </cell>
          <cell r="H253">
            <v>0.45</v>
          </cell>
          <cell r="N253">
            <v>0.38</v>
          </cell>
        </row>
        <row r="254">
          <cell r="B254" t="str">
            <v>FMBH</v>
          </cell>
          <cell r="C254">
            <v>0.85</v>
          </cell>
          <cell r="D254">
            <v>0.81</v>
          </cell>
          <cell r="F254">
            <v>0.72</v>
          </cell>
          <cell r="H254">
            <v>0.62</v>
          </cell>
          <cell r="N254">
            <v>0.4</v>
          </cell>
        </row>
        <row r="255">
          <cell r="B255" t="str">
            <v>FMCB</v>
          </cell>
          <cell r="C255">
            <v>15</v>
          </cell>
          <cell r="D255">
            <v>14.4</v>
          </cell>
          <cell r="F255">
            <v>13.9</v>
          </cell>
          <cell r="H255">
            <v>13.05</v>
          </cell>
          <cell r="N255">
            <v>11.65</v>
          </cell>
        </row>
        <row r="256">
          <cell r="B256" t="str">
            <v>FMNB</v>
          </cell>
          <cell r="C256">
            <v>0.47</v>
          </cell>
          <cell r="D256">
            <v>0.44</v>
          </cell>
          <cell r="F256">
            <v>0.30000000000000004</v>
          </cell>
          <cell r="H256">
            <v>0.16</v>
          </cell>
          <cell r="N256">
            <v>0.12</v>
          </cell>
        </row>
        <row r="257">
          <cell r="B257" t="str">
            <v>FMS</v>
          </cell>
          <cell r="C257">
            <v>0.81930000000000003</v>
          </cell>
          <cell r="D257">
            <v>0.71687999999999996</v>
          </cell>
          <cell r="F257">
            <v>0.62015299999999995</v>
          </cell>
          <cell r="H257">
            <v>0.45191999999999999</v>
          </cell>
          <cell r="N257">
            <v>0.46378200000000003</v>
          </cell>
        </row>
        <row r="258">
          <cell r="B258" t="str">
            <v>FNCB</v>
          </cell>
          <cell r="C258">
            <v>0.27</v>
          </cell>
          <cell r="D258">
            <v>0.22</v>
          </cell>
          <cell r="F258">
            <v>0.17</v>
          </cell>
          <cell r="H258">
            <v>9.0000000000000011E-2</v>
          </cell>
          <cell r="N258">
            <v>0</v>
          </cell>
        </row>
        <row r="259">
          <cell r="B259" t="str">
            <v>FNF</v>
          </cell>
          <cell r="C259">
            <v>1.56</v>
          </cell>
          <cell r="D259">
            <v>1.35</v>
          </cell>
          <cell r="F259">
            <v>1.2</v>
          </cell>
          <cell r="H259">
            <v>0.69220799999999993</v>
          </cell>
          <cell r="N259">
            <v>0.31048675199999998</v>
          </cell>
        </row>
        <row r="260">
          <cell r="B260" t="str">
            <v>FNLC</v>
          </cell>
          <cell r="C260">
            <v>1.26</v>
          </cell>
          <cell r="D260">
            <v>1.22</v>
          </cell>
          <cell r="F260">
            <v>1.06</v>
          </cell>
          <cell r="H260">
            <v>0.89659999999999995</v>
          </cell>
          <cell r="N260">
            <v>0.7772</v>
          </cell>
        </row>
        <row r="261">
          <cell r="B261" t="str">
            <v>FNV</v>
          </cell>
          <cell r="C261">
            <v>1.1599999999999999</v>
          </cell>
          <cell r="D261">
            <v>1.03</v>
          </cell>
          <cell r="F261">
            <v>0.95</v>
          </cell>
          <cell r="H261">
            <v>0.87</v>
          </cell>
          <cell r="N261">
            <v>0.39124199999999998</v>
          </cell>
        </row>
        <row r="262">
          <cell r="B262" t="str">
            <v>FR</v>
          </cell>
          <cell r="C262">
            <v>1.06</v>
          </cell>
          <cell r="D262">
            <v>0.98</v>
          </cell>
          <cell r="F262">
            <v>0.86399999999999999</v>
          </cell>
          <cell r="H262">
            <v>0.69699999999999995</v>
          </cell>
          <cell r="N262">
            <v>0</v>
          </cell>
        </row>
        <row r="263">
          <cell r="B263" t="str">
            <v>FRAF</v>
          </cell>
          <cell r="C263">
            <v>1.25</v>
          </cell>
          <cell r="D263">
            <v>1.2</v>
          </cell>
          <cell r="F263">
            <v>1.05</v>
          </cell>
          <cell r="H263">
            <v>0.82000000000000006</v>
          </cell>
          <cell r="N263">
            <v>1.08</v>
          </cell>
        </row>
        <row r="264">
          <cell r="B264" t="str">
            <v>FRC</v>
          </cell>
          <cell r="C264">
            <v>0.86</v>
          </cell>
          <cell r="D264">
            <v>0.79</v>
          </cell>
          <cell r="F264">
            <v>0.71</v>
          </cell>
          <cell r="H264">
            <v>0.63</v>
          </cell>
          <cell r="N264">
            <v>0</v>
          </cell>
        </row>
        <row r="265">
          <cell r="B265" t="str">
            <v>FRME</v>
          </cell>
          <cell r="C265">
            <v>1.1299999999999999</v>
          </cell>
          <cell r="D265">
            <v>1.04</v>
          </cell>
          <cell r="F265">
            <v>0.84</v>
          </cell>
          <cell r="H265">
            <v>0.54</v>
          </cell>
          <cell r="N265">
            <v>0.04</v>
          </cell>
        </row>
        <row r="266">
          <cell r="B266" t="str">
            <v>FRT</v>
          </cell>
          <cell r="C266">
            <v>4.25</v>
          </cell>
          <cell r="D266">
            <v>4.21</v>
          </cell>
          <cell r="F266">
            <v>4.0199999999999996</v>
          </cell>
          <cell r="H266">
            <v>3.8</v>
          </cell>
          <cell r="N266">
            <v>2.7</v>
          </cell>
        </row>
        <row r="267">
          <cell r="B267" t="str">
            <v>FSBW</v>
          </cell>
          <cell r="C267">
            <v>0.55500000000000005</v>
          </cell>
          <cell r="D267">
            <v>0.42</v>
          </cell>
          <cell r="F267">
            <v>0.26500000000000001</v>
          </cell>
          <cell r="H267">
            <v>0.185</v>
          </cell>
          <cell r="N267">
            <v>0</v>
          </cell>
        </row>
        <row r="268">
          <cell r="B268" t="str">
            <v>FSFG</v>
          </cell>
          <cell r="C268">
            <v>0.42</v>
          </cell>
          <cell r="D268">
            <v>0.22666666666666668</v>
          </cell>
          <cell r="F268">
            <v>0.19999999999999998</v>
          </cell>
          <cell r="H268">
            <v>0.17333333333333334</v>
          </cell>
          <cell r="N268">
            <v>0</v>
          </cell>
        </row>
        <row r="269">
          <cell r="B269" t="str">
            <v>FSV</v>
          </cell>
          <cell r="C269">
            <v>0.71250000000000002</v>
          </cell>
          <cell r="D269">
            <v>0.64500000000000002</v>
          </cell>
          <cell r="F269">
            <v>0.52749999999999997</v>
          </cell>
          <cell r="H269">
            <v>0.43</v>
          </cell>
          <cell r="N269">
            <v>0</v>
          </cell>
        </row>
        <row r="270">
          <cell r="B270" t="str">
            <v>FUL</v>
          </cell>
          <cell r="C270">
            <v>0.66500000000000004</v>
          </cell>
          <cell r="D270">
            <v>0.64749999999999996</v>
          </cell>
          <cell r="F270">
            <v>0.61499999999999999</v>
          </cell>
          <cell r="H270">
            <v>0.55000000000000004</v>
          </cell>
          <cell r="N270">
            <v>0.29499999999999998</v>
          </cell>
        </row>
        <row r="271">
          <cell r="B271" t="str">
            <v>FULT</v>
          </cell>
          <cell r="C271">
            <v>0.55000000000000004</v>
          </cell>
          <cell r="D271">
            <v>0.52</v>
          </cell>
          <cell r="F271">
            <v>0.47</v>
          </cell>
          <cell r="H271">
            <v>0.39</v>
          </cell>
          <cell r="N271">
            <v>0.17</v>
          </cell>
        </row>
        <row r="272">
          <cell r="B272" t="str">
            <v>FWRD</v>
          </cell>
          <cell r="C272">
            <v>0.84</v>
          </cell>
          <cell r="D272">
            <v>0.75</v>
          </cell>
          <cell r="F272">
            <v>0.63</v>
          </cell>
          <cell r="H272">
            <v>0.51</v>
          </cell>
          <cell r="N272">
            <v>0.28000000000000003</v>
          </cell>
        </row>
        <row r="273">
          <cell r="B273" t="str">
            <v>FXNC</v>
          </cell>
          <cell r="C273">
            <v>0.48</v>
          </cell>
          <cell r="D273">
            <v>0.44</v>
          </cell>
          <cell r="F273">
            <v>0.2</v>
          </cell>
          <cell r="H273">
            <v>0.12</v>
          </cell>
          <cell r="N273">
            <v>0.2</v>
          </cell>
        </row>
        <row r="274">
          <cell r="B274" t="str">
            <v>G</v>
          </cell>
          <cell r="C274">
            <v>0.43</v>
          </cell>
          <cell r="D274">
            <v>0.39</v>
          </cell>
          <cell r="F274">
            <v>0.3</v>
          </cell>
          <cell r="H274">
            <v>0</v>
          </cell>
          <cell r="N274">
            <v>0</v>
          </cell>
        </row>
        <row r="275">
          <cell r="B275" t="str">
            <v>GABC</v>
          </cell>
          <cell r="C275">
            <v>0.84</v>
          </cell>
          <cell r="D275">
            <v>0.76</v>
          </cell>
          <cell r="F275">
            <v>0.6</v>
          </cell>
          <cell r="H275">
            <v>0.48</v>
          </cell>
          <cell r="N275">
            <v>0.37333333333333335</v>
          </cell>
        </row>
        <row r="276">
          <cell r="B276" t="str">
            <v>GAIN</v>
          </cell>
          <cell r="C276">
            <v>0.85499999999999998</v>
          </cell>
          <cell r="D276">
            <v>0.84</v>
          </cell>
          <cell r="F276">
            <v>0.80100000000000005</v>
          </cell>
          <cell r="H276">
            <v>0.75</v>
          </cell>
          <cell r="N276">
            <v>0.55500000000000005</v>
          </cell>
        </row>
        <row r="277">
          <cell r="B277" t="str">
            <v>GATX</v>
          </cell>
          <cell r="C277">
            <v>2</v>
          </cell>
          <cell r="D277">
            <v>1.92</v>
          </cell>
          <cell r="F277">
            <v>1.76</v>
          </cell>
          <cell r="H277">
            <v>1.6</v>
          </cell>
          <cell r="N277">
            <v>1.1599999999999999</v>
          </cell>
        </row>
        <row r="278">
          <cell r="B278" t="str">
            <v>GBCI</v>
          </cell>
          <cell r="C278">
            <v>1.27</v>
          </cell>
          <cell r="D278">
            <v>1.18</v>
          </cell>
          <cell r="F278">
            <v>1.01</v>
          </cell>
          <cell r="H278">
            <v>0.79</v>
          </cell>
          <cell r="N278">
            <v>0.52</v>
          </cell>
        </row>
        <row r="279">
          <cell r="B279" t="str">
            <v>GCBC</v>
          </cell>
          <cell r="C279">
            <v>0.5</v>
          </cell>
          <cell r="D279">
            <v>0.46</v>
          </cell>
          <cell r="F279">
            <v>0.39500000000000002</v>
          </cell>
          <cell r="H279">
            <v>0.375</v>
          </cell>
          <cell r="N279">
            <v>0.35</v>
          </cell>
        </row>
        <row r="280">
          <cell r="B280" t="str">
            <v>GD</v>
          </cell>
          <cell r="C280">
            <v>4.67</v>
          </cell>
          <cell r="D280">
            <v>4.32</v>
          </cell>
          <cell r="F280">
            <v>3.63</v>
          </cell>
          <cell r="H280">
            <v>2.97</v>
          </cell>
          <cell r="N280">
            <v>1.83</v>
          </cell>
        </row>
        <row r="281">
          <cell r="B281" t="str">
            <v>GFF</v>
          </cell>
          <cell r="C281">
            <v>0.33</v>
          </cell>
          <cell r="D281">
            <v>0.30499999999999999</v>
          </cell>
          <cell r="F281">
            <v>0.28199999999999997</v>
          </cell>
          <cell r="H281">
            <v>0.21</v>
          </cell>
          <cell r="N281">
            <v>0.02</v>
          </cell>
        </row>
        <row r="282">
          <cell r="B282" t="str">
            <v>GGG</v>
          </cell>
          <cell r="C282">
            <v>0.75</v>
          </cell>
          <cell r="D282">
            <v>0.7</v>
          </cell>
          <cell r="F282">
            <v>0.52800000000000002</v>
          </cell>
          <cell r="H282">
            <v>0.44</v>
          </cell>
          <cell r="N282">
            <v>0.27999999999999997</v>
          </cell>
        </row>
        <row r="283">
          <cell r="B283" t="str">
            <v>GHC</v>
          </cell>
          <cell r="C283">
            <v>6.04</v>
          </cell>
          <cell r="D283">
            <v>5.8</v>
          </cell>
          <cell r="F283">
            <v>5.32</v>
          </cell>
          <cell r="H283">
            <v>4.84</v>
          </cell>
          <cell r="N283">
            <v>9.4</v>
          </cell>
        </row>
        <row r="284">
          <cell r="B284" t="str">
            <v>GIC</v>
          </cell>
          <cell r="C284">
            <v>0.64</v>
          </cell>
          <cell r="D284">
            <v>0.56000000000000005</v>
          </cell>
          <cell r="F284">
            <v>0.44</v>
          </cell>
          <cell r="H284">
            <v>0.1</v>
          </cell>
          <cell r="N284">
            <v>0</v>
          </cell>
        </row>
        <row r="285">
          <cell r="B285" t="str">
            <v>GILD</v>
          </cell>
          <cell r="C285">
            <v>2.84</v>
          </cell>
          <cell r="D285">
            <v>2.72</v>
          </cell>
          <cell r="F285">
            <v>2.2799999999999998</v>
          </cell>
          <cell r="H285">
            <v>1.84</v>
          </cell>
          <cell r="N285">
            <v>0</v>
          </cell>
        </row>
        <row r="286">
          <cell r="B286" t="str">
            <v>GL</v>
          </cell>
          <cell r="C286">
            <v>0.78</v>
          </cell>
          <cell r="D286">
            <v>0.73499999999999999</v>
          </cell>
          <cell r="F286">
            <v>0.63</v>
          </cell>
          <cell r="H286">
            <v>0.55500000000000005</v>
          </cell>
          <cell r="N286">
            <v>0.29555999999999999</v>
          </cell>
        </row>
        <row r="287">
          <cell r="B287" t="str">
            <v>GLW</v>
          </cell>
          <cell r="C287">
            <v>0.96</v>
          </cell>
          <cell r="D287">
            <v>0.88</v>
          </cell>
          <cell r="F287">
            <v>0.72</v>
          </cell>
          <cell r="H287">
            <v>0.54</v>
          </cell>
          <cell r="N287">
            <v>0.22500000000000001</v>
          </cell>
        </row>
        <row r="288">
          <cell r="B288" t="str">
            <v>GNTY</v>
          </cell>
          <cell r="C288">
            <v>0.78181818181818186</v>
          </cell>
          <cell r="D288">
            <v>0.69090909090909081</v>
          </cell>
          <cell r="F288">
            <v>0.5181818181818183</v>
          </cell>
          <cell r="H288">
            <v>0</v>
          </cell>
          <cell r="N288">
            <v>1.1818181818181817</v>
          </cell>
        </row>
        <row r="289">
          <cell r="B289" t="str">
            <v>GOLF</v>
          </cell>
          <cell r="C289">
            <v>0.66</v>
          </cell>
          <cell r="D289">
            <v>0.62</v>
          </cell>
          <cell r="F289">
            <v>0.52</v>
          </cell>
          <cell r="H289">
            <v>0</v>
          </cell>
          <cell r="N289">
            <v>0</v>
          </cell>
        </row>
        <row r="290">
          <cell r="B290" t="str">
            <v>GPC</v>
          </cell>
          <cell r="C290">
            <v>3.2349999999999999</v>
          </cell>
          <cell r="D290">
            <v>3.1324999999999998</v>
          </cell>
          <cell r="F290">
            <v>2.835</v>
          </cell>
          <cell r="H290">
            <v>2.5874999999999999</v>
          </cell>
          <cell r="N290">
            <v>1.8</v>
          </cell>
        </row>
        <row r="291">
          <cell r="B291" t="str">
            <v>GRC</v>
          </cell>
          <cell r="C291">
            <v>0.63500000000000001</v>
          </cell>
          <cell r="D291">
            <v>0.59</v>
          </cell>
          <cell r="F291">
            <v>0.51</v>
          </cell>
          <cell r="H291">
            <v>0.43</v>
          </cell>
          <cell r="N291">
            <v>0.28320000000000001</v>
          </cell>
        </row>
        <row r="292">
          <cell r="B292" t="str">
            <v>GRMN</v>
          </cell>
          <cell r="C292">
            <v>2.62</v>
          </cell>
          <cell r="D292">
            <v>2.4</v>
          </cell>
          <cell r="F292">
            <v>2.1</v>
          </cell>
          <cell r="H292">
            <v>2.04</v>
          </cell>
          <cell r="N292">
            <v>1.6</v>
          </cell>
        </row>
        <row r="293">
          <cell r="B293" t="str">
            <v>GS</v>
          </cell>
          <cell r="C293">
            <v>6.5</v>
          </cell>
          <cell r="D293">
            <v>5</v>
          </cell>
          <cell r="F293">
            <v>3.15</v>
          </cell>
          <cell r="H293">
            <v>2.6</v>
          </cell>
          <cell r="N293">
            <v>1.4</v>
          </cell>
        </row>
        <row r="294">
          <cell r="B294" t="str">
            <v>GSBC</v>
          </cell>
          <cell r="C294">
            <v>1.38</v>
          </cell>
          <cell r="D294">
            <v>1.36</v>
          </cell>
          <cell r="F294">
            <v>1.1200000000000001</v>
          </cell>
          <cell r="H294">
            <v>0.88</v>
          </cell>
          <cell r="N294">
            <v>0.72</v>
          </cell>
        </row>
        <row r="295">
          <cell r="B295" t="str">
            <v>GTY</v>
          </cell>
          <cell r="C295">
            <v>1.56</v>
          </cell>
          <cell r="D295">
            <v>1.48</v>
          </cell>
          <cell r="F295">
            <v>1.28</v>
          </cell>
          <cell r="H295">
            <v>1</v>
          </cell>
          <cell r="N295">
            <v>1.69</v>
          </cell>
        </row>
        <row r="296">
          <cell r="B296" t="str">
            <v>GWRS</v>
          </cell>
          <cell r="C296">
            <v>0.29232000000000002</v>
          </cell>
          <cell r="D296">
            <v>0.28944000000000003</v>
          </cell>
          <cell r="F296">
            <v>0.28373600000000004</v>
          </cell>
          <cell r="H296">
            <v>0.25589999999999996</v>
          </cell>
          <cell r="N296">
            <v>0</v>
          </cell>
        </row>
        <row r="297">
          <cell r="B297" t="str">
            <v>GWW</v>
          </cell>
          <cell r="C297">
            <v>6.39</v>
          </cell>
          <cell r="D297">
            <v>5.94</v>
          </cell>
          <cell r="F297">
            <v>5.36</v>
          </cell>
          <cell r="H297">
            <v>4.83</v>
          </cell>
          <cell r="N297">
            <v>2.52</v>
          </cell>
        </row>
        <row r="298">
          <cell r="B298" t="str">
            <v>HBB</v>
          </cell>
          <cell r="C298">
            <v>0.39500000000000002</v>
          </cell>
          <cell r="D298">
            <v>0.37</v>
          </cell>
          <cell r="F298">
            <v>0.34</v>
          </cell>
          <cell r="H298">
            <v>0</v>
          </cell>
          <cell r="N298">
            <v>0</v>
          </cell>
        </row>
        <row r="299">
          <cell r="B299" t="str">
            <v>HBCP</v>
          </cell>
          <cell r="C299">
            <v>0.91</v>
          </cell>
          <cell r="D299">
            <v>0.88</v>
          </cell>
          <cell r="F299">
            <v>0.71</v>
          </cell>
          <cell r="H299">
            <v>0.41</v>
          </cell>
          <cell r="N299">
            <v>0</v>
          </cell>
        </row>
        <row r="300">
          <cell r="B300" t="str">
            <v>HBNC</v>
          </cell>
          <cell r="C300">
            <v>0.53</v>
          </cell>
          <cell r="D300">
            <v>0.48</v>
          </cell>
          <cell r="F300">
            <v>0.38669999999999999</v>
          </cell>
          <cell r="H300">
            <v>0.26666666666666666</v>
          </cell>
          <cell r="N300">
            <v>0.13630222222222224</v>
          </cell>
        </row>
        <row r="301">
          <cell r="B301" t="str">
            <v>HCKT</v>
          </cell>
          <cell r="C301">
            <v>0.4</v>
          </cell>
          <cell r="D301">
            <v>0.37</v>
          </cell>
          <cell r="F301">
            <v>0.32</v>
          </cell>
          <cell r="H301">
            <v>0.26</v>
          </cell>
          <cell r="N301">
            <v>0</v>
          </cell>
        </row>
        <row r="302">
          <cell r="B302" t="str">
            <v>HCSG</v>
          </cell>
          <cell r="C302">
            <v>0.83250000000000002</v>
          </cell>
          <cell r="D302">
            <v>0.8125</v>
          </cell>
          <cell r="F302">
            <v>0.77249999999999996</v>
          </cell>
          <cell r="H302">
            <v>0.73250000000000004</v>
          </cell>
          <cell r="N302">
            <v>0.63249999999999995</v>
          </cell>
        </row>
        <row r="303">
          <cell r="B303" t="str">
            <v>HD</v>
          </cell>
          <cell r="C303">
            <v>6.6</v>
          </cell>
          <cell r="D303">
            <v>6</v>
          </cell>
          <cell r="F303">
            <v>4.12</v>
          </cell>
          <cell r="H303">
            <v>2.76</v>
          </cell>
          <cell r="N303">
            <v>1.04</v>
          </cell>
        </row>
        <row r="304">
          <cell r="B304" t="str">
            <v>HEI</v>
          </cell>
          <cell r="C304">
            <v>0.17</v>
          </cell>
          <cell r="D304">
            <v>0.16</v>
          </cell>
          <cell r="F304">
            <v>0.1048</v>
          </cell>
          <cell r="H304">
            <v>8.2000000000000003E-2</v>
          </cell>
          <cell r="N304">
            <v>3.5400000000000001E-2</v>
          </cell>
        </row>
        <row r="305">
          <cell r="B305" t="str">
            <v>HESM</v>
          </cell>
          <cell r="C305">
            <v>1.9142999999999999</v>
          </cell>
          <cell r="D305">
            <v>1.7347999999999999</v>
          </cell>
          <cell r="F305">
            <v>1.3578000000000001</v>
          </cell>
          <cell r="H305">
            <v>0</v>
          </cell>
          <cell r="N305">
            <v>0</v>
          </cell>
        </row>
        <row r="306">
          <cell r="B306" t="str">
            <v>HFBL</v>
          </cell>
          <cell r="C306">
            <v>0.36499999999999999</v>
          </cell>
          <cell r="D306">
            <v>0.32500000000000001</v>
          </cell>
          <cell r="F306">
            <v>0.26</v>
          </cell>
          <cell r="H306">
            <v>0.17</v>
          </cell>
          <cell r="N306">
            <v>0.12</v>
          </cell>
        </row>
        <row r="307">
          <cell r="B307" t="str">
            <v>HFWA</v>
          </cell>
          <cell r="C307">
            <v>0.81</v>
          </cell>
          <cell r="D307">
            <v>0.8</v>
          </cell>
          <cell r="F307">
            <v>0.72</v>
          </cell>
          <cell r="H307">
            <v>0.47</v>
          </cell>
          <cell r="N307">
            <v>0.13</v>
          </cell>
        </row>
        <row r="308">
          <cell r="B308" t="str">
            <v>HI</v>
          </cell>
          <cell r="C308">
            <v>0.86250000000000004</v>
          </cell>
          <cell r="D308">
            <v>0.85250000000000004</v>
          </cell>
          <cell r="F308">
            <v>0.83099999999999996</v>
          </cell>
          <cell r="H308">
            <v>0.8125</v>
          </cell>
          <cell r="N308">
            <v>0.76249999999999996</v>
          </cell>
        </row>
        <row r="309">
          <cell r="B309" t="str">
            <v>HIFS</v>
          </cell>
          <cell r="C309">
            <v>2</v>
          </cell>
          <cell r="D309">
            <v>1.71</v>
          </cell>
          <cell r="F309">
            <v>1.39</v>
          </cell>
          <cell r="H309">
            <v>1.22</v>
          </cell>
          <cell r="N309">
            <v>0.98</v>
          </cell>
        </row>
        <row r="310">
          <cell r="B310" t="str">
            <v>HIG</v>
          </cell>
          <cell r="C310">
            <v>1.375</v>
          </cell>
          <cell r="D310">
            <v>1.2749999999999999</v>
          </cell>
          <cell r="F310">
            <v>1.05</v>
          </cell>
          <cell r="H310">
            <v>0.84</v>
          </cell>
          <cell r="N310">
            <v>0.35</v>
          </cell>
        </row>
        <row r="311">
          <cell r="B311" t="str">
            <v>HII</v>
          </cell>
          <cell r="C311">
            <v>4.5999999999999996</v>
          </cell>
          <cell r="D311">
            <v>4.2300000000000004</v>
          </cell>
          <cell r="F311">
            <v>3.02</v>
          </cell>
          <cell r="H311">
            <v>2.1</v>
          </cell>
          <cell r="N311">
            <v>0</v>
          </cell>
        </row>
        <row r="312">
          <cell r="B312" t="str">
            <v>HIW</v>
          </cell>
          <cell r="C312">
            <v>1.96</v>
          </cell>
          <cell r="D312">
            <v>1.92</v>
          </cell>
          <cell r="F312">
            <v>1.85</v>
          </cell>
          <cell r="H312">
            <v>1.7</v>
          </cell>
          <cell r="N312">
            <v>1.7</v>
          </cell>
        </row>
        <row r="313">
          <cell r="B313" t="str">
            <v>HLAN</v>
          </cell>
          <cell r="C313">
            <v>2.4510000000000001</v>
          </cell>
          <cell r="D313">
            <v>2.23</v>
          </cell>
          <cell r="F313">
            <v>1.8493999999999999</v>
          </cell>
          <cell r="H313">
            <v>1.5427000000000002</v>
          </cell>
          <cell r="N313">
            <v>1.2867999999999999</v>
          </cell>
        </row>
        <row r="314">
          <cell r="B314" t="str">
            <v>HLI</v>
          </cell>
          <cell r="C314">
            <v>1.62</v>
          </cell>
          <cell r="D314">
            <v>1.28</v>
          </cell>
          <cell r="F314">
            <v>1.01</v>
          </cell>
          <cell r="H314">
            <v>0.66</v>
          </cell>
          <cell r="N314">
            <v>0</v>
          </cell>
        </row>
        <row r="315">
          <cell r="B315" t="str">
            <v>HLNE</v>
          </cell>
          <cell r="C315">
            <v>1.325</v>
          </cell>
          <cell r="D315">
            <v>1.175</v>
          </cell>
          <cell r="F315">
            <v>0.77499999999999991</v>
          </cell>
          <cell r="H315">
            <v>0</v>
          </cell>
          <cell r="N315">
            <v>0</v>
          </cell>
        </row>
        <row r="316">
          <cell r="B316" t="str">
            <v>HMN</v>
          </cell>
          <cell r="C316">
            <v>1.24</v>
          </cell>
          <cell r="D316">
            <v>1.2</v>
          </cell>
          <cell r="F316">
            <v>1.1399999999999999</v>
          </cell>
          <cell r="H316">
            <v>1.06</v>
          </cell>
          <cell r="N316">
            <v>0.46</v>
          </cell>
        </row>
        <row r="317">
          <cell r="B317" t="str">
            <v>HNI</v>
          </cell>
          <cell r="C317">
            <v>1.2350000000000001</v>
          </cell>
          <cell r="D317">
            <v>1.22</v>
          </cell>
          <cell r="F317">
            <v>1.17</v>
          </cell>
          <cell r="H317">
            <v>1.0900000000000001</v>
          </cell>
          <cell r="N317">
            <v>0.92</v>
          </cell>
        </row>
        <row r="318">
          <cell r="B318" t="str">
            <v>HOFT</v>
          </cell>
          <cell r="C318">
            <v>0.74</v>
          </cell>
          <cell r="D318">
            <v>0.66</v>
          </cell>
          <cell r="F318">
            <v>0.57000000000000006</v>
          </cell>
          <cell r="H318">
            <v>0.42000000000000004</v>
          </cell>
          <cell r="N318">
            <v>0.4</v>
          </cell>
        </row>
        <row r="319">
          <cell r="B319" t="str">
            <v>HOMB</v>
          </cell>
          <cell r="C319">
            <v>0.56000000000000005</v>
          </cell>
          <cell r="D319">
            <v>0.53</v>
          </cell>
          <cell r="F319">
            <v>0.46</v>
          </cell>
          <cell r="H319">
            <v>0.34250000000000003</v>
          </cell>
          <cell r="N319">
            <v>6.7000000000000004E-2</v>
          </cell>
        </row>
        <row r="320">
          <cell r="B320" t="str">
            <v>HON</v>
          </cell>
          <cell r="C320">
            <v>3.77</v>
          </cell>
          <cell r="D320">
            <v>3.63</v>
          </cell>
          <cell r="F320">
            <v>3.0550000000000002</v>
          </cell>
          <cell r="H320">
            <v>2.4500000000000002</v>
          </cell>
          <cell r="N320">
            <v>1.37</v>
          </cell>
        </row>
        <row r="321">
          <cell r="B321" t="str">
            <v>HONT</v>
          </cell>
          <cell r="C321">
            <v>2.06</v>
          </cell>
          <cell r="D321">
            <v>1.86</v>
          </cell>
          <cell r="F321">
            <v>1.67</v>
          </cell>
          <cell r="H321">
            <v>1.2</v>
          </cell>
          <cell r="N321">
            <v>0.66666666666666663</v>
          </cell>
        </row>
        <row r="322">
          <cell r="B322" t="str">
            <v>HPQ</v>
          </cell>
          <cell r="C322">
            <v>0.7752</v>
          </cell>
          <cell r="D322">
            <v>0.70479999999999998</v>
          </cell>
          <cell r="F322">
            <v>0.55720000000000003</v>
          </cell>
          <cell r="H322">
            <v>0.49199999999999999</v>
          </cell>
          <cell r="N322">
            <v>0.18859999999999999</v>
          </cell>
        </row>
        <row r="323">
          <cell r="B323" t="str">
            <v>HR</v>
          </cell>
          <cell r="C323">
            <v>1.2849999999999999</v>
          </cell>
          <cell r="D323">
            <v>1.2649999999999999</v>
          </cell>
          <cell r="F323">
            <v>1.2250000000000001</v>
          </cell>
          <cell r="H323">
            <v>1.1850000000000001</v>
          </cell>
          <cell r="N323">
            <v>0</v>
          </cell>
        </row>
        <row r="324">
          <cell r="B324" t="str">
            <v>HRB</v>
          </cell>
          <cell r="C324">
            <v>1.06</v>
          </cell>
          <cell r="D324">
            <v>1.04</v>
          </cell>
          <cell r="F324">
            <v>0.98</v>
          </cell>
          <cell r="H324">
            <v>0.84000000000000008</v>
          </cell>
          <cell r="N324">
            <v>0.6</v>
          </cell>
        </row>
        <row r="325">
          <cell r="B325" t="str">
            <v>HRL</v>
          </cell>
          <cell r="C325">
            <v>0.98</v>
          </cell>
          <cell r="D325">
            <v>0.93</v>
          </cell>
          <cell r="F325">
            <v>0.75</v>
          </cell>
          <cell r="H325">
            <v>0.57999999999999996</v>
          </cell>
          <cell r="N325">
            <v>0.255</v>
          </cell>
        </row>
        <row r="326">
          <cell r="B326" t="str">
            <v>HSY</v>
          </cell>
          <cell r="C326">
            <v>3.41</v>
          </cell>
          <cell r="D326">
            <v>3.1539999999999999</v>
          </cell>
          <cell r="F326">
            <v>2.7559999999999998</v>
          </cell>
          <cell r="H326">
            <v>2.4020000000000001</v>
          </cell>
          <cell r="N326">
            <v>1.38</v>
          </cell>
        </row>
        <row r="327">
          <cell r="B327" t="str">
            <v>HTBI</v>
          </cell>
          <cell r="C327">
            <v>0.33</v>
          </cell>
          <cell r="D327">
            <v>0.29000000000000004</v>
          </cell>
          <cell r="F327">
            <v>0.06</v>
          </cell>
          <cell r="H327">
            <v>0</v>
          </cell>
          <cell r="N327">
            <v>0</v>
          </cell>
        </row>
        <row r="328">
          <cell r="B328" t="str">
            <v>HTH</v>
          </cell>
          <cell r="C328">
            <v>0.48</v>
          </cell>
          <cell r="D328">
            <v>0.36</v>
          </cell>
          <cell r="F328">
            <v>0.28000000000000003</v>
          </cell>
          <cell r="H328">
            <v>0.06</v>
          </cell>
          <cell r="N328">
            <v>0</v>
          </cell>
        </row>
        <row r="329">
          <cell r="B329" t="str">
            <v>HTLF</v>
          </cell>
          <cell r="C329">
            <v>0.96</v>
          </cell>
          <cell r="D329">
            <v>0.8</v>
          </cell>
          <cell r="F329">
            <v>0.54</v>
          </cell>
          <cell r="H329">
            <v>0.4</v>
          </cell>
          <cell r="N329">
            <v>0.4</v>
          </cell>
        </row>
        <row r="330">
          <cell r="B330" t="str">
            <v>HUBB</v>
          </cell>
          <cell r="C330">
            <v>3.99</v>
          </cell>
          <cell r="D330">
            <v>3.71</v>
          </cell>
          <cell r="F330">
            <v>3.15</v>
          </cell>
          <cell r="H330">
            <v>2.59</v>
          </cell>
          <cell r="N330">
            <v>1.52</v>
          </cell>
        </row>
        <row r="331">
          <cell r="B331" t="str">
            <v>HUM</v>
          </cell>
          <cell r="C331">
            <v>2.7250000000000001</v>
          </cell>
          <cell r="D331">
            <v>2.4249999999999998</v>
          </cell>
          <cell r="F331">
            <v>1.9</v>
          </cell>
          <cell r="H331">
            <v>1.1599999999999999</v>
          </cell>
          <cell r="N331">
            <v>0.5</v>
          </cell>
        </row>
        <row r="332">
          <cell r="B332" t="str">
            <v>HURC</v>
          </cell>
          <cell r="C332">
            <v>0.55000000000000004</v>
          </cell>
          <cell r="D332">
            <v>0.51</v>
          </cell>
          <cell r="F332">
            <v>0.43</v>
          </cell>
          <cell r="H332">
            <v>0.35</v>
          </cell>
          <cell r="N332">
            <v>0</v>
          </cell>
        </row>
        <row r="333">
          <cell r="B333" t="str">
            <v>HWBK</v>
          </cell>
          <cell r="C333">
            <v>0.56000000000000005</v>
          </cell>
          <cell r="D333">
            <v>0.48</v>
          </cell>
          <cell r="F333">
            <v>0.34</v>
          </cell>
          <cell r="H333">
            <v>0.2</v>
          </cell>
          <cell r="N333">
            <v>0.15959999999999999</v>
          </cell>
        </row>
        <row r="334">
          <cell r="B334" t="str">
            <v>HWKN</v>
          </cell>
          <cell r="C334">
            <v>0.505</v>
          </cell>
          <cell r="D334">
            <v>0.46500000000000002</v>
          </cell>
          <cell r="F334">
            <v>0.44500000000000001</v>
          </cell>
          <cell r="H334">
            <v>0.41</v>
          </cell>
          <cell r="N334">
            <v>0.32</v>
          </cell>
        </row>
        <row r="335">
          <cell r="B335" t="str">
            <v>HY</v>
          </cell>
          <cell r="C335">
            <v>1.2849999999999999</v>
          </cell>
          <cell r="D335">
            <v>1.27</v>
          </cell>
          <cell r="F335">
            <v>1.2324999999999999</v>
          </cell>
          <cell r="H335">
            <v>1.17</v>
          </cell>
          <cell r="N335">
            <v>0</v>
          </cell>
        </row>
        <row r="336">
          <cell r="B336" t="str">
            <v>IBCP</v>
          </cell>
          <cell r="C336">
            <v>0.84</v>
          </cell>
          <cell r="D336">
            <v>0.8</v>
          </cell>
          <cell r="F336">
            <v>0.6</v>
          </cell>
          <cell r="H336">
            <v>0.34</v>
          </cell>
          <cell r="N336">
            <v>0</v>
          </cell>
        </row>
        <row r="337">
          <cell r="B337" t="str">
            <v>IBM</v>
          </cell>
          <cell r="C337">
            <v>6.55</v>
          </cell>
          <cell r="D337">
            <v>6.51</v>
          </cell>
          <cell r="F337">
            <v>6.21</v>
          </cell>
          <cell r="H337">
            <v>5.5</v>
          </cell>
          <cell r="N337">
            <v>2.9</v>
          </cell>
        </row>
        <row r="338">
          <cell r="B338" t="str">
            <v>IBOC</v>
          </cell>
          <cell r="C338">
            <v>1.1499999999999999</v>
          </cell>
          <cell r="D338">
            <v>1.1000000000000001</v>
          </cell>
          <cell r="F338">
            <v>0.75</v>
          </cell>
          <cell r="H338">
            <v>0.59</v>
          </cell>
          <cell r="N338">
            <v>0.38</v>
          </cell>
        </row>
        <row r="339">
          <cell r="B339" t="str">
            <v>IBTX</v>
          </cell>
          <cell r="C339">
            <v>1.32</v>
          </cell>
          <cell r="D339">
            <v>1.05</v>
          </cell>
          <cell r="F339">
            <v>0.54</v>
          </cell>
          <cell r="H339">
            <v>0.34</v>
          </cell>
          <cell r="N339">
            <v>0</v>
          </cell>
        </row>
        <row r="340">
          <cell r="B340" t="str">
            <v>ICE</v>
          </cell>
          <cell r="C340">
            <v>1.32</v>
          </cell>
          <cell r="D340">
            <v>1.2</v>
          </cell>
          <cell r="F340">
            <v>0.96</v>
          </cell>
          <cell r="H340">
            <v>0.68</v>
          </cell>
          <cell r="N340">
            <v>0</v>
          </cell>
        </row>
        <row r="341">
          <cell r="B341" t="str">
            <v>IDA</v>
          </cell>
          <cell r="C341">
            <v>2.88</v>
          </cell>
          <cell r="D341">
            <v>2.72</v>
          </cell>
          <cell r="F341">
            <v>2.4</v>
          </cell>
          <cell r="H341">
            <v>2.08</v>
          </cell>
          <cell r="N341">
            <v>1.2</v>
          </cell>
        </row>
        <row r="342">
          <cell r="B342" t="str">
            <v>IEX</v>
          </cell>
          <cell r="C342">
            <v>2.12</v>
          </cell>
          <cell r="D342">
            <v>2</v>
          </cell>
          <cell r="F342">
            <v>1.66</v>
          </cell>
          <cell r="H342">
            <v>1.34</v>
          </cell>
          <cell r="N342">
            <v>0.66</v>
          </cell>
        </row>
        <row r="343">
          <cell r="B343" t="str">
            <v>IFF</v>
          </cell>
          <cell r="C343">
            <v>3.1</v>
          </cell>
          <cell r="D343">
            <v>3.02</v>
          </cell>
          <cell r="F343">
            <v>2.8</v>
          </cell>
          <cell r="H343">
            <v>2.3199999999999998</v>
          </cell>
          <cell r="N343">
            <v>1.1200000000000001</v>
          </cell>
        </row>
        <row r="344">
          <cell r="B344" t="str">
            <v>IIPR</v>
          </cell>
          <cell r="C344">
            <v>5.46</v>
          </cell>
          <cell r="D344">
            <v>4.2300000000000004</v>
          </cell>
          <cell r="F344">
            <v>1.1000000000000001</v>
          </cell>
          <cell r="H344">
            <v>0</v>
          </cell>
          <cell r="N344">
            <v>0</v>
          </cell>
        </row>
        <row r="345">
          <cell r="B345" t="str">
            <v>INDB</v>
          </cell>
          <cell r="C345">
            <v>1.9</v>
          </cell>
          <cell r="D345">
            <v>1.82</v>
          </cell>
          <cell r="F345">
            <v>1.46</v>
          </cell>
          <cell r="H345">
            <v>1.1299999999999999</v>
          </cell>
          <cell r="N345">
            <v>0.75</v>
          </cell>
        </row>
        <row r="346">
          <cell r="B346" t="str">
            <v>INGR</v>
          </cell>
          <cell r="C346">
            <v>2.57</v>
          </cell>
          <cell r="D346">
            <v>2.5299999999999998</v>
          </cell>
          <cell r="F346">
            <v>2.4249999999999998</v>
          </cell>
          <cell r="H346">
            <v>1.85</v>
          </cell>
          <cell r="N346">
            <v>0.6</v>
          </cell>
        </row>
        <row r="347">
          <cell r="B347" t="str">
            <v>INTC</v>
          </cell>
          <cell r="C347">
            <v>1.39</v>
          </cell>
          <cell r="D347">
            <v>1.32</v>
          </cell>
          <cell r="F347">
            <v>1.2</v>
          </cell>
          <cell r="H347">
            <v>1.04</v>
          </cell>
          <cell r="N347">
            <v>0.78249999999999997</v>
          </cell>
        </row>
        <row r="348">
          <cell r="B348" t="str">
            <v>INTU</v>
          </cell>
          <cell r="C348">
            <v>2.4500000000000002</v>
          </cell>
          <cell r="D348">
            <v>2.1800000000000002</v>
          </cell>
          <cell r="F348">
            <v>1.64</v>
          </cell>
          <cell r="H348">
            <v>1.24</v>
          </cell>
          <cell r="N348">
            <v>0.15</v>
          </cell>
        </row>
        <row r="349">
          <cell r="B349" t="str">
            <v>IOSP</v>
          </cell>
          <cell r="C349">
            <v>1.1599999999999999</v>
          </cell>
          <cell r="D349">
            <v>1.04</v>
          </cell>
          <cell r="F349">
            <v>0.89</v>
          </cell>
          <cell r="H349">
            <v>0.67</v>
          </cell>
          <cell r="N349">
            <v>0</v>
          </cell>
        </row>
        <row r="350">
          <cell r="B350" t="str">
            <v>IPG</v>
          </cell>
          <cell r="C350">
            <v>1.08</v>
          </cell>
          <cell r="D350">
            <v>1.02</v>
          </cell>
          <cell r="F350">
            <v>0.84</v>
          </cell>
          <cell r="H350">
            <v>0.6</v>
          </cell>
          <cell r="N350">
            <v>0.24</v>
          </cell>
        </row>
        <row r="351">
          <cell r="B351" t="str">
            <v>IROQ</v>
          </cell>
          <cell r="C351">
            <v>0.32500000000000001</v>
          </cell>
          <cell r="D351">
            <v>0.3</v>
          </cell>
          <cell r="F351">
            <v>0.22500000000000001</v>
          </cell>
          <cell r="H351">
            <v>0.16</v>
          </cell>
          <cell r="N351">
            <v>0</v>
          </cell>
        </row>
        <row r="352">
          <cell r="B352" t="str">
            <v>ISTR</v>
          </cell>
          <cell r="C352">
            <v>0.29499999999999998</v>
          </cell>
          <cell r="D352">
            <v>0.245</v>
          </cell>
          <cell r="F352">
            <v>0.1515</v>
          </cell>
          <cell r="H352">
            <v>3.8599999999999995E-2</v>
          </cell>
          <cell r="N352">
            <v>0</v>
          </cell>
        </row>
        <row r="353">
          <cell r="B353" t="str">
            <v>ITT</v>
          </cell>
          <cell r="C353">
            <v>0.88</v>
          </cell>
          <cell r="D353">
            <v>0.67600000000000005</v>
          </cell>
          <cell r="F353">
            <v>0.53600000000000003</v>
          </cell>
          <cell r="H353">
            <v>0.496</v>
          </cell>
          <cell r="N353">
            <v>0.37824999999999998</v>
          </cell>
        </row>
        <row r="354">
          <cell r="B354" t="str">
            <v>ITW</v>
          </cell>
          <cell r="C354">
            <v>4.6399999999999997</v>
          </cell>
          <cell r="D354">
            <v>4.3499999999999996</v>
          </cell>
          <cell r="F354">
            <v>3.34</v>
          </cell>
          <cell r="H354">
            <v>2.2999999999999998</v>
          </cell>
          <cell r="N354">
            <v>1.38</v>
          </cell>
        </row>
        <row r="355">
          <cell r="B355" t="str">
            <v>JBHT</v>
          </cell>
          <cell r="C355">
            <v>1.18</v>
          </cell>
          <cell r="D355">
            <v>1.08</v>
          </cell>
          <cell r="F355">
            <v>0.96</v>
          </cell>
          <cell r="H355">
            <v>0.88</v>
          </cell>
          <cell r="N355">
            <v>0.52</v>
          </cell>
        </row>
        <row r="356">
          <cell r="B356" t="str">
            <v>JBSS</v>
          </cell>
          <cell r="C356">
            <v>0.7</v>
          </cell>
          <cell r="D356">
            <v>0.65</v>
          </cell>
          <cell r="F356">
            <v>0.55000000000000004</v>
          </cell>
          <cell r="H356">
            <v>0</v>
          </cell>
          <cell r="N356">
            <v>0</v>
          </cell>
        </row>
        <row r="357">
          <cell r="B357" t="str">
            <v>JEF</v>
          </cell>
          <cell r="C357">
            <v>0.9</v>
          </cell>
          <cell r="D357">
            <v>0.6</v>
          </cell>
          <cell r="F357">
            <v>0.44999999999999996</v>
          </cell>
          <cell r="H357">
            <v>0.25</v>
          </cell>
          <cell r="N357">
            <v>0.25</v>
          </cell>
        </row>
        <row r="358">
          <cell r="B358" t="str">
            <v>JJSF</v>
          </cell>
          <cell r="C358">
            <v>2.4159999999999999</v>
          </cell>
          <cell r="D358">
            <v>2.2999999999999998</v>
          </cell>
          <cell r="F358">
            <v>1.8</v>
          </cell>
          <cell r="H358">
            <v>1.56</v>
          </cell>
          <cell r="N358">
            <v>0.46</v>
          </cell>
        </row>
        <row r="359">
          <cell r="B359" t="str">
            <v>JKHY</v>
          </cell>
          <cell r="C359">
            <v>1.84</v>
          </cell>
          <cell r="D359">
            <v>1.72</v>
          </cell>
          <cell r="F359">
            <v>1.48</v>
          </cell>
          <cell r="H359">
            <v>1.1200000000000001</v>
          </cell>
          <cell r="N359">
            <v>0.42</v>
          </cell>
        </row>
        <row r="360">
          <cell r="B360" t="str">
            <v>JNJ</v>
          </cell>
          <cell r="C360">
            <v>4.1900000000000004</v>
          </cell>
          <cell r="D360">
            <v>3.98</v>
          </cell>
          <cell r="F360">
            <v>3.54</v>
          </cell>
          <cell r="H360">
            <v>3.15</v>
          </cell>
          <cell r="N360">
            <v>2.25</v>
          </cell>
        </row>
        <row r="361">
          <cell r="B361" t="str">
            <v>JOUT</v>
          </cell>
          <cell r="C361">
            <v>0.93</v>
          </cell>
          <cell r="D361">
            <v>0.72</v>
          </cell>
          <cell r="F361">
            <v>0.48</v>
          </cell>
          <cell r="H361">
            <v>0.33</v>
          </cell>
          <cell r="N361">
            <v>0</v>
          </cell>
        </row>
        <row r="362">
          <cell r="B362" t="str">
            <v>JPM</v>
          </cell>
          <cell r="C362">
            <v>3.7</v>
          </cell>
          <cell r="D362">
            <v>3.6</v>
          </cell>
          <cell r="F362">
            <v>2.48</v>
          </cell>
          <cell r="H362">
            <v>1.84</v>
          </cell>
          <cell r="N362">
            <v>0.8</v>
          </cell>
        </row>
        <row r="363">
          <cell r="B363" t="str">
            <v>K</v>
          </cell>
          <cell r="C363">
            <v>2.31</v>
          </cell>
          <cell r="D363">
            <v>2.2799999999999998</v>
          </cell>
          <cell r="F363">
            <v>2.2000000000000002</v>
          </cell>
          <cell r="H363">
            <v>2.04</v>
          </cell>
          <cell r="N363">
            <v>1.67</v>
          </cell>
        </row>
        <row r="364">
          <cell r="B364" t="str">
            <v>KAI</v>
          </cell>
          <cell r="C364">
            <v>0.99</v>
          </cell>
          <cell r="D364">
            <v>0.95</v>
          </cell>
          <cell r="F364">
            <v>0.87</v>
          </cell>
          <cell r="H364">
            <v>0.74</v>
          </cell>
          <cell r="N364">
            <v>0</v>
          </cell>
        </row>
        <row r="365">
          <cell r="B365" t="str">
            <v>KALU</v>
          </cell>
          <cell r="C365">
            <v>2.88</v>
          </cell>
          <cell r="D365">
            <v>2.68</v>
          </cell>
          <cell r="F365">
            <v>2.2000000000000002</v>
          </cell>
          <cell r="H365">
            <v>1.8</v>
          </cell>
          <cell r="N365">
            <v>0.96</v>
          </cell>
        </row>
        <row r="366">
          <cell r="B366" t="str">
            <v>KEY</v>
          </cell>
          <cell r="C366">
            <v>0.75</v>
          </cell>
          <cell r="D366">
            <v>0.74</v>
          </cell>
          <cell r="F366">
            <v>0.56499999999999995</v>
          </cell>
          <cell r="H366">
            <v>0.33</v>
          </cell>
          <cell r="N366">
            <v>0.1</v>
          </cell>
        </row>
        <row r="367">
          <cell r="B367" t="str">
            <v>KFRC</v>
          </cell>
          <cell r="C367">
            <v>0.98</v>
          </cell>
          <cell r="D367">
            <v>0.8</v>
          </cell>
          <cell r="F367">
            <v>0.6</v>
          </cell>
          <cell r="H367">
            <v>0.48</v>
          </cell>
          <cell r="N367">
            <v>0</v>
          </cell>
        </row>
        <row r="368">
          <cell r="B368" t="str">
            <v>KLAC</v>
          </cell>
          <cell r="C368">
            <v>3.9</v>
          </cell>
          <cell r="D368">
            <v>3.5</v>
          </cell>
          <cell r="F368">
            <v>2.84</v>
          </cell>
          <cell r="H368">
            <v>2.1</v>
          </cell>
          <cell r="N368">
            <v>1.2</v>
          </cell>
        </row>
        <row r="369">
          <cell r="B369" t="str">
            <v>KMB</v>
          </cell>
          <cell r="C369">
            <v>4.49</v>
          </cell>
          <cell r="D369">
            <v>4.24</v>
          </cell>
          <cell r="F369">
            <v>3.97</v>
          </cell>
          <cell r="H369">
            <v>3.64</v>
          </cell>
          <cell r="N369">
            <v>2.6837384000000002</v>
          </cell>
        </row>
        <row r="370">
          <cell r="B370" t="str">
            <v>KMI</v>
          </cell>
          <cell r="C370">
            <v>1.0725</v>
          </cell>
          <cell r="D370">
            <v>1.0375000000000001</v>
          </cell>
          <cell r="F370">
            <v>0.72500000000000009</v>
          </cell>
          <cell r="H370">
            <v>0.5</v>
          </cell>
          <cell r="N370">
            <v>0.74</v>
          </cell>
        </row>
        <row r="371">
          <cell r="B371" t="str">
            <v>KNSL</v>
          </cell>
          <cell r="C371">
            <v>0.44</v>
          </cell>
          <cell r="D371">
            <v>0.36</v>
          </cell>
          <cell r="F371">
            <v>0.28000000000000003</v>
          </cell>
          <cell r="H371">
            <v>0.1</v>
          </cell>
          <cell r="N371">
            <v>0</v>
          </cell>
        </row>
        <row r="372">
          <cell r="B372" t="str">
            <v>KO</v>
          </cell>
          <cell r="C372">
            <v>1.68</v>
          </cell>
          <cell r="D372">
            <v>1.64</v>
          </cell>
          <cell r="F372">
            <v>1.56</v>
          </cell>
          <cell r="H372">
            <v>1.4</v>
          </cell>
          <cell r="N372">
            <v>0.94</v>
          </cell>
        </row>
        <row r="373">
          <cell r="B373" t="str">
            <v>KR</v>
          </cell>
          <cell r="C373">
            <v>0.78</v>
          </cell>
          <cell r="D373">
            <v>0.68</v>
          </cell>
          <cell r="F373">
            <v>0.53</v>
          </cell>
          <cell r="H373">
            <v>0.45</v>
          </cell>
          <cell r="N373">
            <v>0.215</v>
          </cell>
        </row>
        <row r="374">
          <cell r="B374" t="str">
            <v>KRC</v>
          </cell>
          <cell r="C374">
            <v>2.02</v>
          </cell>
          <cell r="D374">
            <v>1.9550000000000001</v>
          </cell>
          <cell r="F374">
            <v>1.76</v>
          </cell>
          <cell r="H374">
            <v>1.45</v>
          </cell>
          <cell r="N374">
            <v>1.4</v>
          </cell>
        </row>
        <row r="375">
          <cell r="B375" t="str">
            <v>KRNY</v>
          </cell>
          <cell r="C375">
            <v>0.4</v>
          </cell>
          <cell r="D375">
            <v>0.32</v>
          </cell>
          <cell r="F375">
            <v>0.16</v>
          </cell>
          <cell r="H375">
            <v>0.08</v>
          </cell>
          <cell r="N375">
            <v>0.2</v>
          </cell>
        </row>
        <row r="376">
          <cell r="B376" t="str">
            <v>KWR</v>
          </cell>
          <cell r="C376">
            <v>1.6</v>
          </cell>
          <cell r="D376">
            <v>1.55</v>
          </cell>
          <cell r="F376">
            <v>1.45</v>
          </cell>
          <cell r="H376">
            <v>1.33</v>
          </cell>
          <cell r="N376">
            <v>0.95</v>
          </cell>
        </row>
        <row r="377">
          <cell r="B377" t="str">
            <v>LAD</v>
          </cell>
          <cell r="C377">
            <v>1.36</v>
          </cell>
          <cell r="D377">
            <v>1.22</v>
          </cell>
          <cell r="F377">
            <v>1.1399999999999999</v>
          </cell>
          <cell r="H377">
            <v>0.95</v>
          </cell>
          <cell r="N377">
            <v>0.26</v>
          </cell>
        </row>
        <row r="378">
          <cell r="B378" t="str">
            <v>LANC</v>
          </cell>
          <cell r="C378">
            <v>3.05</v>
          </cell>
          <cell r="D378">
            <v>2.85</v>
          </cell>
          <cell r="F378">
            <v>2.4500000000000002</v>
          </cell>
          <cell r="H378">
            <v>2.0499999999999998</v>
          </cell>
          <cell r="N378">
            <v>1.35</v>
          </cell>
        </row>
        <row r="379">
          <cell r="B379" t="str">
            <v>LAND</v>
          </cell>
          <cell r="C379">
            <v>0.54059999999999997</v>
          </cell>
          <cell r="D379">
            <v>0.5373</v>
          </cell>
          <cell r="F379">
            <v>0.53190000000000004</v>
          </cell>
          <cell r="H379">
            <v>0.49530000000000002</v>
          </cell>
          <cell r="N379">
            <v>0</v>
          </cell>
        </row>
        <row r="380">
          <cell r="B380" t="str">
            <v>LARK</v>
          </cell>
          <cell r="C380">
            <v>0.76200000000000001</v>
          </cell>
          <cell r="D380">
            <v>0.72562358276643979</v>
          </cell>
          <cell r="F380">
            <v>0.65816197983350533</v>
          </cell>
          <cell r="H380">
            <v>0.59697231730930178</v>
          </cell>
          <cell r="N380">
            <v>0.44435857795907358</v>
          </cell>
        </row>
        <row r="381">
          <cell r="B381" t="str">
            <v>LBAI</v>
          </cell>
          <cell r="C381">
            <v>0.53</v>
          </cell>
          <cell r="D381">
            <v>0.5</v>
          </cell>
          <cell r="F381">
            <v>0.44500000000000001</v>
          </cell>
          <cell r="H381">
            <v>0.37</v>
          </cell>
          <cell r="N381">
            <v>0.21502599999999999</v>
          </cell>
        </row>
        <row r="382">
          <cell r="B382" t="str">
            <v>LCII</v>
          </cell>
          <cell r="C382">
            <v>3.45</v>
          </cell>
          <cell r="D382">
            <v>2.8</v>
          </cell>
          <cell r="F382">
            <v>2.35</v>
          </cell>
          <cell r="H382">
            <v>1.1000000000000001</v>
          </cell>
          <cell r="N382">
            <v>0</v>
          </cell>
        </row>
        <row r="383">
          <cell r="B383" t="str">
            <v>LECO</v>
          </cell>
          <cell r="C383">
            <v>2.04</v>
          </cell>
          <cell r="D383">
            <v>1.96</v>
          </cell>
          <cell r="F383">
            <v>1.56</v>
          </cell>
          <cell r="H383">
            <v>1.28</v>
          </cell>
          <cell r="N383">
            <v>0.62</v>
          </cell>
        </row>
        <row r="384">
          <cell r="B384" t="str">
            <v>LEG</v>
          </cell>
          <cell r="C384">
            <v>1.64</v>
          </cell>
          <cell r="D384">
            <v>1.6</v>
          </cell>
          <cell r="F384">
            <v>1.48</v>
          </cell>
          <cell r="H384">
            <v>1.32</v>
          </cell>
          <cell r="N384">
            <v>1.0900000000000001</v>
          </cell>
        </row>
        <row r="385">
          <cell r="B385" t="str">
            <v>LFUS</v>
          </cell>
          <cell r="C385">
            <v>2.02</v>
          </cell>
          <cell r="D385">
            <v>1.92</v>
          </cell>
          <cell r="F385">
            <v>1.6</v>
          </cell>
          <cell r="H385">
            <v>1.24</v>
          </cell>
          <cell r="N385">
            <v>0.66</v>
          </cell>
        </row>
        <row r="386">
          <cell r="B386" t="str">
            <v>LHX</v>
          </cell>
          <cell r="C386">
            <v>4.08</v>
          </cell>
          <cell r="D386">
            <v>3.4</v>
          </cell>
          <cell r="F386">
            <v>2.5099999999999998</v>
          </cell>
          <cell r="H386">
            <v>2.06</v>
          </cell>
          <cell r="N386">
            <v>1.06</v>
          </cell>
        </row>
        <row r="387">
          <cell r="B387" t="str">
            <v>LII</v>
          </cell>
          <cell r="C387">
            <v>3.38</v>
          </cell>
          <cell r="D387">
            <v>3.08</v>
          </cell>
          <cell r="F387">
            <v>2.2999999999999998</v>
          </cell>
          <cell r="H387">
            <v>1.58</v>
          </cell>
          <cell r="N387">
            <v>0.69</v>
          </cell>
        </row>
        <row r="388">
          <cell r="B388" t="str">
            <v>LIN</v>
          </cell>
          <cell r="C388">
            <v>4.24</v>
          </cell>
          <cell r="D388">
            <v>3.8519999999999999</v>
          </cell>
          <cell r="F388">
            <v>3.3</v>
          </cell>
          <cell r="H388">
            <v>3</v>
          </cell>
          <cell r="N388">
            <v>2</v>
          </cell>
        </row>
        <row r="389">
          <cell r="B389" t="str">
            <v>LKFN</v>
          </cell>
          <cell r="C389">
            <v>1.36</v>
          </cell>
          <cell r="D389">
            <v>1.2</v>
          </cell>
          <cell r="F389">
            <v>1</v>
          </cell>
          <cell r="H389">
            <v>0.72666699999999995</v>
          </cell>
          <cell r="N389">
            <v>0.41333333333333333</v>
          </cell>
        </row>
        <row r="390">
          <cell r="B390" t="str">
            <v>LLY</v>
          </cell>
          <cell r="C390">
            <v>3.4</v>
          </cell>
          <cell r="D390">
            <v>2.96</v>
          </cell>
          <cell r="F390">
            <v>2.25</v>
          </cell>
          <cell r="H390">
            <v>2.04</v>
          </cell>
          <cell r="N390">
            <v>1.96</v>
          </cell>
        </row>
        <row r="391">
          <cell r="B391" t="str">
            <v>LMAT</v>
          </cell>
          <cell r="C391">
            <v>0.44</v>
          </cell>
          <cell r="D391">
            <v>0.38</v>
          </cell>
          <cell r="F391">
            <v>0.28000000000000003</v>
          </cell>
          <cell r="H391">
            <v>0.17499999999999999</v>
          </cell>
          <cell r="N391">
            <v>0.06</v>
          </cell>
        </row>
        <row r="392">
          <cell r="B392" t="str">
            <v>LMT</v>
          </cell>
          <cell r="C392">
            <v>10.6</v>
          </cell>
          <cell r="D392">
            <v>9.8000000000000007</v>
          </cell>
          <cell r="F392">
            <v>8.1999999999999993</v>
          </cell>
          <cell r="H392">
            <v>6.77</v>
          </cell>
          <cell r="N392">
            <v>3.25</v>
          </cell>
        </row>
        <row r="393">
          <cell r="B393" t="str">
            <v>LNC</v>
          </cell>
          <cell r="C393">
            <v>1.68</v>
          </cell>
          <cell r="D393">
            <v>1.6</v>
          </cell>
          <cell r="F393">
            <v>1.32</v>
          </cell>
          <cell r="H393">
            <v>1</v>
          </cell>
          <cell r="N393">
            <v>0.2</v>
          </cell>
        </row>
        <row r="394">
          <cell r="B394" t="str">
            <v>LNN</v>
          </cell>
          <cell r="C394">
            <v>1.31</v>
          </cell>
          <cell r="D394">
            <v>1.27</v>
          </cell>
          <cell r="F394">
            <v>1.22</v>
          </cell>
          <cell r="H394">
            <v>1.1399999999999999</v>
          </cell>
          <cell r="N394">
            <v>0.35</v>
          </cell>
        </row>
        <row r="395">
          <cell r="B395" t="str">
            <v>LNT</v>
          </cell>
          <cell r="C395">
            <v>1.61</v>
          </cell>
          <cell r="D395">
            <v>1.52</v>
          </cell>
          <cell r="F395">
            <v>1.34</v>
          </cell>
          <cell r="H395">
            <v>1.175</v>
          </cell>
          <cell r="N395">
            <v>0.85</v>
          </cell>
        </row>
        <row r="396">
          <cell r="B396" t="str">
            <v>LOGI</v>
          </cell>
          <cell r="C396">
            <v>0.94259999999999999</v>
          </cell>
          <cell r="D396">
            <v>0.87119999999999997</v>
          </cell>
          <cell r="F396">
            <v>0.68759999999999999</v>
          </cell>
          <cell r="H396">
            <v>0.56789999999999996</v>
          </cell>
          <cell r="N396">
            <v>0</v>
          </cell>
        </row>
        <row r="397">
          <cell r="B397" t="str">
            <v>LOW</v>
          </cell>
          <cell r="C397">
            <v>2.8</v>
          </cell>
          <cell r="D397">
            <v>2.25</v>
          </cell>
          <cell r="F397">
            <v>1.78</v>
          </cell>
          <cell r="H397">
            <v>1.26</v>
          </cell>
          <cell r="N397">
            <v>0.5</v>
          </cell>
        </row>
        <row r="398">
          <cell r="B398" t="str">
            <v>LPX</v>
          </cell>
          <cell r="C398">
            <v>0.68</v>
          </cell>
          <cell r="D398">
            <v>0.57999999999999996</v>
          </cell>
          <cell r="F398">
            <v>0.52</v>
          </cell>
          <cell r="H398">
            <v>0</v>
          </cell>
          <cell r="N398">
            <v>0</v>
          </cell>
        </row>
        <row r="399">
          <cell r="B399" t="str">
            <v>LRCX</v>
          </cell>
          <cell r="C399">
            <v>5.4</v>
          </cell>
          <cell r="D399">
            <v>4.75</v>
          </cell>
          <cell r="F399">
            <v>3.2</v>
          </cell>
          <cell r="H399">
            <v>1.2</v>
          </cell>
          <cell r="N399">
            <v>0</v>
          </cell>
        </row>
        <row r="400">
          <cell r="B400" t="str">
            <v>LSBK</v>
          </cell>
          <cell r="C400">
            <v>0.54</v>
          </cell>
          <cell r="D400">
            <v>0.49</v>
          </cell>
          <cell r="F400">
            <v>0.4</v>
          </cell>
          <cell r="H400">
            <v>0.28000000000000003</v>
          </cell>
          <cell r="N400">
            <v>0.28000000000000003</v>
          </cell>
        </row>
        <row r="401">
          <cell r="B401" t="str">
            <v>LSTR</v>
          </cell>
          <cell r="C401">
            <v>0.92</v>
          </cell>
          <cell r="D401">
            <v>0.79</v>
          </cell>
          <cell r="F401">
            <v>0.63</v>
          </cell>
          <cell r="H401">
            <v>0.34</v>
          </cell>
          <cell r="N401">
            <v>0.21</v>
          </cell>
        </row>
        <row r="402">
          <cell r="B402" t="str">
            <v>LW</v>
          </cell>
          <cell r="C402">
            <v>0.94</v>
          </cell>
          <cell r="D402">
            <v>0.92</v>
          </cell>
          <cell r="F402">
            <v>0.76519999999999999</v>
          </cell>
          <cell r="H402">
            <v>0</v>
          </cell>
          <cell r="N402">
            <v>0</v>
          </cell>
        </row>
        <row r="403">
          <cell r="B403" t="str">
            <v>LYB</v>
          </cell>
          <cell r="C403">
            <v>4.4400000000000004</v>
          </cell>
          <cell r="D403">
            <v>4.2</v>
          </cell>
          <cell r="F403">
            <v>4</v>
          </cell>
          <cell r="H403">
            <v>3.33</v>
          </cell>
          <cell r="N403">
            <v>0.55000000000000004</v>
          </cell>
        </row>
        <row r="404">
          <cell r="B404" t="str">
            <v>MA</v>
          </cell>
          <cell r="C404">
            <v>1.76</v>
          </cell>
          <cell r="D404">
            <v>1.6</v>
          </cell>
          <cell r="F404">
            <v>1</v>
          </cell>
          <cell r="H404">
            <v>0.76</v>
          </cell>
          <cell r="N404">
            <v>0.06</v>
          </cell>
        </row>
        <row r="405">
          <cell r="B405" t="str">
            <v>MAA</v>
          </cell>
          <cell r="C405">
            <v>4.0999999999999996</v>
          </cell>
          <cell r="D405">
            <v>4</v>
          </cell>
          <cell r="F405">
            <v>3.69</v>
          </cell>
          <cell r="H405">
            <v>3.28</v>
          </cell>
          <cell r="N405">
            <v>2.5099999999999998</v>
          </cell>
        </row>
        <row r="406">
          <cell r="B406" t="str">
            <v>MAIN</v>
          </cell>
          <cell r="C406">
            <v>2.4750000000000001</v>
          </cell>
          <cell r="D406">
            <v>2.46</v>
          </cell>
          <cell r="F406">
            <v>2.2949999999999999</v>
          </cell>
          <cell r="H406">
            <v>2.1749999999999998</v>
          </cell>
          <cell r="N406">
            <v>1.56</v>
          </cell>
        </row>
        <row r="407">
          <cell r="B407" t="str">
            <v>MAN</v>
          </cell>
          <cell r="C407">
            <v>2.52</v>
          </cell>
          <cell r="D407">
            <v>2.2599999999999998</v>
          </cell>
          <cell r="F407">
            <v>2.02</v>
          </cell>
          <cell r="H407">
            <v>1.66</v>
          </cell>
          <cell r="N407">
            <v>0.8</v>
          </cell>
        </row>
        <row r="408">
          <cell r="B408" t="str">
            <v>MAS</v>
          </cell>
          <cell r="C408">
            <v>0.84499999999999997</v>
          </cell>
          <cell r="D408">
            <v>0.54500000000000004</v>
          </cell>
          <cell r="F408">
            <v>0.435</v>
          </cell>
          <cell r="H408">
            <v>0.38500000000000001</v>
          </cell>
          <cell r="N408">
            <v>0.3</v>
          </cell>
        </row>
        <row r="409">
          <cell r="B409" t="str">
            <v>MATW</v>
          </cell>
          <cell r="C409">
            <v>0.86499999999999999</v>
          </cell>
          <cell r="D409">
            <v>0.84499999999999997</v>
          </cell>
          <cell r="F409">
            <v>0.77</v>
          </cell>
          <cell r="H409">
            <v>0.62</v>
          </cell>
          <cell r="N409">
            <v>0.33</v>
          </cell>
        </row>
        <row r="410">
          <cell r="B410" t="str">
            <v>MATX</v>
          </cell>
          <cell r="C410">
            <v>1.06</v>
          </cell>
          <cell r="D410">
            <v>0.9</v>
          </cell>
          <cell r="F410">
            <v>0.82</v>
          </cell>
          <cell r="H410">
            <v>0.74</v>
          </cell>
          <cell r="N410">
            <v>0</v>
          </cell>
        </row>
        <row r="411">
          <cell r="B411" t="str">
            <v>MBIN</v>
          </cell>
          <cell r="C411">
            <v>0.23333333333333334</v>
          </cell>
          <cell r="D411">
            <v>0.20666666666666667</v>
          </cell>
          <cell r="F411">
            <v>0.15333333333333332</v>
          </cell>
          <cell r="H411">
            <v>0</v>
          </cell>
          <cell r="N411">
            <v>0</v>
          </cell>
        </row>
        <row r="412">
          <cell r="B412" t="str">
            <v>MBWM</v>
          </cell>
          <cell r="C412">
            <v>1.18</v>
          </cell>
          <cell r="D412">
            <v>1.1200000000000001</v>
          </cell>
          <cell r="F412">
            <v>0.93</v>
          </cell>
          <cell r="H412">
            <v>0.66</v>
          </cell>
          <cell r="N412">
            <v>0</v>
          </cell>
        </row>
        <row r="413">
          <cell r="B413" t="str">
            <v>MCD</v>
          </cell>
          <cell r="C413">
            <v>5.25</v>
          </cell>
          <cell r="D413">
            <v>5.04</v>
          </cell>
          <cell r="F413">
            <v>4.1900000000000004</v>
          </cell>
          <cell r="H413">
            <v>3.61</v>
          </cell>
          <cell r="N413">
            <v>2.5299999999999998</v>
          </cell>
        </row>
        <row r="414">
          <cell r="B414" t="str">
            <v>MCHP</v>
          </cell>
          <cell r="C414">
            <v>0.85199999999999998</v>
          </cell>
          <cell r="D414">
            <v>0.73550000000000004</v>
          </cell>
          <cell r="F414">
            <v>0.72750000000000004</v>
          </cell>
          <cell r="H414">
            <v>0.71949999999999992</v>
          </cell>
          <cell r="N414">
            <v>0.69299999999999984</v>
          </cell>
        </row>
        <row r="415">
          <cell r="B415" t="str">
            <v>MCK</v>
          </cell>
          <cell r="C415">
            <v>1.73</v>
          </cell>
          <cell r="D415">
            <v>1.65</v>
          </cell>
          <cell r="F415">
            <v>1.41</v>
          </cell>
          <cell r="H415">
            <v>1.1200000000000001</v>
          </cell>
          <cell r="N415">
            <v>0.78</v>
          </cell>
        </row>
        <row r="416">
          <cell r="B416" t="str">
            <v>MCO</v>
          </cell>
          <cell r="C416">
            <v>2.48</v>
          </cell>
          <cell r="D416">
            <v>2.2400000000000002</v>
          </cell>
          <cell r="F416">
            <v>1.76</v>
          </cell>
          <cell r="H416">
            <v>1.46</v>
          </cell>
          <cell r="N416">
            <v>0.53500000000000003</v>
          </cell>
        </row>
        <row r="417">
          <cell r="B417" t="str">
            <v>MDLZ</v>
          </cell>
          <cell r="C417">
            <v>1.2949999999999999</v>
          </cell>
          <cell r="D417">
            <v>1.17</v>
          </cell>
          <cell r="F417">
            <v>0.92</v>
          </cell>
          <cell r="H417">
            <v>0.72</v>
          </cell>
          <cell r="N417">
            <v>0</v>
          </cell>
        </row>
        <row r="418">
          <cell r="B418" t="str">
            <v>MDT</v>
          </cell>
          <cell r="C418">
            <v>2.42</v>
          </cell>
          <cell r="D418">
            <v>2.2400000000000002</v>
          </cell>
          <cell r="F418">
            <v>1.92</v>
          </cell>
          <cell r="H418">
            <v>1.62</v>
          </cell>
          <cell r="N418">
            <v>0.93500000000000005</v>
          </cell>
        </row>
        <row r="419">
          <cell r="B419" t="str">
            <v>MDU</v>
          </cell>
          <cell r="C419">
            <v>0.85</v>
          </cell>
          <cell r="D419">
            <v>0.83</v>
          </cell>
          <cell r="F419">
            <v>0.79</v>
          </cell>
          <cell r="H419">
            <v>0.75</v>
          </cell>
          <cell r="N419">
            <v>0.65</v>
          </cell>
        </row>
        <row r="420">
          <cell r="B420" t="str">
            <v>MED</v>
          </cell>
          <cell r="C420">
            <v>5.39</v>
          </cell>
          <cell r="D420">
            <v>4.5199999999999996</v>
          </cell>
          <cell r="F420">
            <v>1.92</v>
          </cell>
          <cell r="H420">
            <v>1</v>
          </cell>
          <cell r="N420">
            <v>0</v>
          </cell>
        </row>
        <row r="421">
          <cell r="B421" t="str">
            <v>MET</v>
          </cell>
          <cell r="C421">
            <v>1.9</v>
          </cell>
          <cell r="D421">
            <v>1.82</v>
          </cell>
          <cell r="F421">
            <v>1.66</v>
          </cell>
          <cell r="H421">
            <v>1.575</v>
          </cell>
          <cell r="N421">
            <v>0.65954000000000002</v>
          </cell>
        </row>
        <row r="422">
          <cell r="B422" t="str">
            <v>MFC</v>
          </cell>
          <cell r="C422">
            <v>1.17</v>
          </cell>
          <cell r="D422">
            <v>1.1200000000000001</v>
          </cell>
          <cell r="F422">
            <v>0.91</v>
          </cell>
          <cell r="H422">
            <v>0.74</v>
          </cell>
          <cell r="N422">
            <v>0.52</v>
          </cell>
        </row>
        <row r="423">
          <cell r="B423" t="str">
            <v>MGA</v>
          </cell>
          <cell r="C423">
            <v>1.72</v>
          </cell>
          <cell r="D423">
            <v>1.6</v>
          </cell>
          <cell r="F423">
            <v>1.32</v>
          </cell>
          <cell r="H423">
            <v>1</v>
          </cell>
          <cell r="N423">
            <v>0.5</v>
          </cell>
        </row>
        <row r="424">
          <cell r="B424" t="str">
            <v>MGEE</v>
          </cell>
          <cell r="C424">
            <v>1.5149999999999999</v>
          </cell>
          <cell r="D424">
            <v>1.4450000000000001</v>
          </cell>
          <cell r="F424">
            <v>1.32</v>
          </cell>
          <cell r="H424">
            <v>1.2050000000000001</v>
          </cell>
          <cell r="N424">
            <v>1.0102666666666666</v>
          </cell>
        </row>
        <row r="425">
          <cell r="B425" t="str">
            <v>MGRC</v>
          </cell>
          <cell r="C425">
            <v>1.7250000000000001</v>
          </cell>
          <cell r="D425">
            <v>1.635</v>
          </cell>
          <cell r="F425">
            <v>1.28</v>
          </cell>
          <cell r="H425">
            <v>1.0149999999999999</v>
          </cell>
          <cell r="N425">
            <v>0.91500000000000004</v>
          </cell>
        </row>
        <row r="426">
          <cell r="B426" t="str">
            <v>MKC</v>
          </cell>
          <cell r="C426">
            <v>1.36</v>
          </cell>
          <cell r="D426">
            <v>1.24</v>
          </cell>
          <cell r="F426">
            <v>1.04</v>
          </cell>
          <cell r="H426">
            <v>0.86</v>
          </cell>
          <cell r="N426">
            <v>0.56000000000000005</v>
          </cell>
        </row>
        <row r="427">
          <cell r="B427" t="str">
            <v>MKTX</v>
          </cell>
          <cell r="C427">
            <v>2.64</v>
          </cell>
          <cell r="D427">
            <v>2.4</v>
          </cell>
          <cell r="F427">
            <v>1.68</v>
          </cell>
          <cell r="H427">
            <v>1.04</v>
          </cell>
          <cell r="N427">
            <v>0.36</v>
          </cell>
        </row>
        <row r="428">
          <cell r="B428" t="str">
            <v>MLM</v>
          </cell>
          <cell r="C428">
            <v>2.36</v>
          </cell>
          <cell r="D428">
            <v>2.2400000000000002</v>
          </cell>
          <cell r="F428">
            <v>1.8399999999999999</v>
          </cell>
          <cell r="H428">
            <v>1.6400000000000001</v>
          </cell>
          <cell r="N428">
            <v>1.6</v>
          </cell>
        </row>
        <row r="429">
          <cell r="B429" t="str">
            <v>MMC</v>
          </cell>
          <cell r="C429">
            <v>2</v>
          </cell>
          <cell r="D429">
            <v>1.84</v>
          </cell>
          <cell r="F429">
            <v>1.58</v>
          </cell>
          <cell r="H429">
            <v>1.3</v>
          </cell>
          <cell r="N429">
            <v>0.86</v>
          </cell>
        </row>
        <row r="430">
          <cell r="B430" t="str">
            <v>MMM</v>
          </cell>
          <cell r="C430">
            <v>5.92</v>
          </cell>
          <cell r="D430">
            <v>5.88</v>
          </cell>
          <cell r="F430">
            <v>5.44</v>
          </cell>
          <cell r="H430">
            <v>4.4400000000000004</v>
          </cell>
          <cell r="N430">
            <v>2.2000000000000002</v>
          </cell>
        </row>
        <row r="431">
          <cell r="B431" t="str">
            <v>MMP</v>
          </cell>
          <cell r="C431">
            <v>4.12</v>
          </cell>
          <cell r="D431">
            <v>4.1100000000000003</v>
          </cell>
          <cell r="F431">
            <v>3.7925</v>
          </cell>
          <cell r="H431">
            <v>3.2450000000000001</v>
          </cell>
          <cell r="N431">
            <v>1.5562499999999999</v>
          </cell>
        </row>
        <row r="432">
          <cell r="B432" t="str">
            <v>MNAT</v>
          </cell>
          <cell r="C432">
            <v>1.07</v>
          </cell>
          <cell r="D432">
            <v>1.03</v>
          </cell>
          <cell r="F432">
            <v>0.495</v>
          </cell>
          <cell r="H432">
            <v>0.366477</v>
          </cell>
          <cell r="N432">
            <v>0</v>
          </cell>
        </row>
        <row r="433">
          <cell r="B433" t="str">
            <v>MNRO</v>
          </cell>
          <cell r="C433">
            <v>0.98</v>
          </cell>
          <cell r="D433">
            <v>0.88</v>
          </cell>
          <cell r="F433">
            <v>0.78</v>
          </cell>
          <cell r="H433">
            <v>0.66</v>
          </cell>
          <cell r="N433">
            <v>0.34</v>
          </cell>
        </row>
        <row r="434">
          <cell r="B434" t="str">
            <v>MO</v>
          </cell>
          <cell r="C434">
            <v>3.48</v>
          </cell>
          <cell r="D434">
            <v>3.38</v>
          </cell>
          <cell r="F434">
            <v>2.86</v>
          </cell>
          <cell r="H434">
            <v>2.3050000000000002</v>
          </cell>
          <cell r="N434">
            <v>1.55</v>
          </cell>
        </row>
        <row r="435">
          <cell r="B435" t="str">
            <v>MOFG</v>
          </cell>
          <cell r="C435">
            <v>0.9</v>
          </cell>
          <cell r="D435">
            <v>0.88</v>
          </cell>
          <cell r="F435">
            <v>0.78</v>
          </cell>
          <cell r="H435">
            <v>0.64</v>
          </cell>
          <cell r="N435">
            <v>0.22</v>
          </cell>
        </row>
        <row r="436">
          <cell r="B436" t="str">
            <v>MORN</v>
          </cell>
          <cell r="C436">
            <v>1.44</v>
          </cell>
          <cell r="D436">
            <v>1.26</v>
          </cell>
          <cell r="F436">
            <v>1</v>
          </cell>
          <cell r="H436">
            <v>0.88</v>
          </cell>
          <cell r="N436">
            <v>0.2</v>
          </cell>
        </row>
        <row r="437">
          <cell r="B437" t="str">
            <v>MPB</v>
          </cell>
          <cell r="C437">
            <v>0.79</v>
          </cell>
          <cell r="D437">
            <v>0.72</v>
          </cell>
          <cell r="F437">
            <v>0.6</v>
          </cell>
          <cell r="H437">
            <v>0.48</v>
          </cell>
          <cell r="N437">
            <v>0.2</v>
          </cell>
        </row>
        <row r="438">
          <cell r="B438" t="str">
            <v>MPLX</v>
          </cell>
          <cell r="C438">
            <v>2.7675000000000001</v>
          </cell>
          <cell r="D438">
            <v>2.75</v>
          </cell>
          <cell r="F438">
            <v>2.4900000000000002</v>
          </cell>
          <cell r="H438">
            <v>2.0299999999999998</v>
          </cell>
          <cell r="N438">
            <v>0</v>
          </cell>
        </row>
        <row r="439">
          <cell r="B439" t="str">
            <v>MPW</v>
          </cell>
          <cell r="C439">
            <v>1.1100000000000001</v>
          </cell>
          <cell r="D439">
            <v>1.07</v>
          </cell>
          <cell r="F439">
            <v>0.99</v>
          </cell>
          <cell r="H439">
            <v>0.9</v>
          </cell>
          <cell r="N439">
            <v>0.8</v>
          </cell>
        </row>
        <row r="440">
          <cell r="B440" t="str">
            <v>MPWR</v>
          </cell>
          <cell r="C440">
            <v>2.2999999999999998</v>
          </cell>
          <cell r="D440">
            <v>1.9</v>
          </cell>
          <cell r="F440">
            <v>1.0999999999999999</v>
          </cell>
          <cell r="H440">
            <v>0.8</v>
          </cell>
          <cell r="N440">
            <v>0</v>
          </cell>
        </row>
        <row r="441">
          <cell r="B441" t="str">
            <v>MRK</v>
          </cell>
          <cell r="C441">
            <v>2.6</v>
          </cell>
          <cell r="D441">
            <v>2.44</v>
          </cell>
          <cell r="F441">
            <v>1.92</v>
          </cell>
          <cell r="H441">
            <v>1.84</v>
          </cell>
          <cell r="N441">
            <v>1.52</v>
          </cell>
        </row>
        <row r="442">
          <cell r="B442" t="str">
            <v>MRTN</v>
          </cell>
          <cell r="C442">
            <v>0.16</v>
          </cell>
          <cell r="D442">
            <v>0.13333333333333333</v>
          </cell>
          <cell r="F442">
            <v>6.666666666666668E-2</v>
          </cell>
          <cell r="H442">
            <v>0.04</v>
          </cell>
          <cell r="N442">
            <v>2.1333329066667524E-2</v>
          </cell>
        </row>
        <row r="443">
          <cell r="B443" t="str">
            <v>MS</v>
          </cell>
          <cell r="C443">
            <v>2.1</v>
          </cell>
          <cell r="D443">
            <v>1.4</v>
          </cell>
          <cell r="F443">
            <v>1.1000000000000001</v>
          </cell>
          <cell r="H443">
            <v>0.7</v>
          </cell>
          <cell r="N443">
            <v>0.2</v>
          </cell>
        </row>
        <row r="444">
          <cell r="B444" t="str">
            <v>MSA</v>
          </cell>
          <cell r="C444">
            <v>1.75</v>
          </cell>
          <cell r="D444">
            <v>1.71</v>
          </cell>
          <cell r="F444">
            <v>1.49</v>
          </cell>
          <cell r="H444">
            <v>1.31</v>
          </cell>
          <cell r="N444">
            <v>1.03</v>
          </cell>
        </row>
        <row r="445">
          <cell r="B445" t="str">
            <v>MSBI</v>
          </cell>
          <cell r="C445">
            <v>1.1200000000000001</v>
          </cell>
          <cell r="D445">
            <v>1.07</v>
          </cell>
          <cell r="F445">
            <v>0.88</v>
          </cell>
          <cell r="H445">
            <v>0.36</v>
          </cell>
          <cell r="N445">
            <v>0</v>
          </cell>
        </row>
        <row r="446">
          <cell r="B446" t="str">
            <v>MSCI</v>
          </cell>
          <cell r="C446">
            <v>3.64</v>
          </cell>
          <cell r="D446">
            <v>2.92</v>
          </cell>
          <cell r="F446">
            <v>1.92</v>
          </cell>
          <cell r="H446">
            <v>1</v>
          </cell>
          <cell r="N446">
            <v>0</v>
          </cell>
        </row>
        <row r="447">
          <cell r="B447" t="str">
            <v>MSEX</v>
          </cell>
          <cell r="C447">
            <v>1.1074999999999999</v>
          </cell>
          <cell r="D447">
            <v>1.04125</v>
          </cell>
          <cell r="F447">
            <v>0.91125</v>
          </cell>
          <cell r="H447">
            <v>0.8075</v>
          </cell>
          <cell r="N447">
            <v>0.73250000000000004</v>
          </cell>
        </row>
        <row r="448">
          <cell r="B448" t="str">
            <v>MSFT</v>
          </cell>
          <cell r="C448">
            <v>2.2999999999999998</v>
          </cell>
          <cell r="D448">
            <v>2.09</v>
          </cell>
          <cell r="F448">
            <v>1.72</v>
          </cell>
          <cell r="H448">
            <v>1.47</v>
          </cell>
          <cell r="N448">
            <v>0.68</v>
          </cell>
        </row>
        <row r="449">
          <cell r="B449" t="str">
            <v>MSI</v>
          </cell>
          <cell r="C449">
            <v>2.84</v>
          </cell>
          <cell r="D449">
            <v>2.56</v>
          </cell>
          <cell r="F449">
            <v>2.08</v>
          </cell>
          <cell r="H449">
            <v>1.64</v>
          </cell>
          <cell r="N449">
            <v>0.22</v>
          </cell>
        </row>
        <row r="450">
          <cell r="B450" t="str">
            <v>MTB</v>
          </cell>
          <cell r="C450">
            <v>4.5</v>
          </cell>
          <cell r="D450">
            <v>4.4000000000000004</v>
          </cell>
          <cell r="F450">
            <v>3.55</v>
          </cell>
          <cell r="H450">
            <v>2.8</v>
          </cell>
          <cell r="N450">
            <v>2.8</v>
          </cell>
        </row>
        <row r="451">
          <cell r="B451" t="str">
            <v>MTRN</v>
          </cell>
          <cell r="C451">
            <v>0.47499999999999998</v>
          </cell>
          <cell r="D451">
            <v>0.45500000000000002</v>
          </cell>
          <cell r="F451">
            <v>0.41499999999999998</v>
          </cell>
          <cell r="H451">
            <v>0.375</v>
          </cell>
          <cell r="N451">
            <v>0</v>
          </cell>
        </row>
        <row r="452">
          <cell r="B452" t="str">
            <v>MVBF</v>
          </cell>
          <cell r="C452">
            <v>0.51</v>
          </cell>
          <cell r="D452">
            <v>0.36</v>
          </cell>
          <cell r="F452">
            <v>0.10999999999999999</v>
          </cell>
          <cell r="H452">
            <v>0.08</v>
          </cell>
          <cell r="N452">
            <v>0.05</v>
          </cell>
        </row>
        <row r="453">
          <cell r="B453" t="str">
            <v>MWA</v>
          </cell>
          <cell r="C453">
            <v>0.223</v>
          </cell>
          <cell r="D453">
            <v>0.21249999999999999</v>
          </cell>
          <cell r="F453">
            <v>0.2</v>
          </cell>
          <cell r="H453">
            <v>0.11</v>
          </cell>
          <cell r="N453">
            <v>7.0000000000000007E-2</v>
          </cell>
        </row>
        <row r="454">
          <cell r="B454" t="str">
            <v>MYBF</v>
          </cell>
          <cell r="C454">
            <v>1.4428571428571431</v>
          </cell>
          <cell r="D454">
            <v>1.3428571428571427</v>
          </cell>
          <cell r="F454">
            <v>1.2380952380952381</v>
          </cell>
          <cell r="H454">
            <v>1.0285714285714287</v>
          </cell>
          <cell r="N454">
            <v>0.63809523809523816</v>
          </cell>
        </row>
        <row r="455">
          <cell r="B455" t="str">
            <v>NATI</v>
          </cell>
          <cell r="C455">
            <v>1.08</v>
          </cell>
          <cell r="D455">
            <v>1.04</v>
          </cell>
          <cell r="F455">
            <v>0.92</v>
          </cell>
          <cell r="H455">
            <v>0.8</v>
          </cell>
          <cell r="N455">
            <v>0.4</v>
          </cell>
        </row>
        <row r="456">
          <cell r="B456" t="str">
            <v>NBHC</v>
          </cell>
          <cell r="C456">
            <v>0.87</v>
          </cell>
          <cell r="D456">
            <v>0.8</v>
          </cell>
          <cell r="F456">
            <v>0.54</v>
          </cell>
          <cell r="H456">
            <v>0.22000000000000003</v>
          </cell>
          <cell r="N456">
            <v>0</v>
          </cell>
        </row>
        <row r="457">
          <cell r="B457" t="str">
            <v>NBTB</v>
          </cell>
          <cell r="C457">
            <v>1.1000000000000001</v>
          </cell>
          <cell r="D457">
            <v>1.08</v>
          </cell>
          <cell r="F457">
            <v>0.99</v>
          </cell>
          <cell r="H457">
            <v>0.9</v>
          </cell>
          <cell r="N457">
            <v>0.8</v>
          </cell>
        </row>
        <row r="458">
          <cell r="B458" t="str">
            <v>NC</v>
          </cell>
          <cell r="C458">
            <v>0.78500000000000003</v>
          </cell>
          <cell r="D458">
            <v>0.76749999999999996</v>
          </cell>
          <cell r="F458">
            <v>0.66</v>
          </cell>
          <cell r="H458">
            <v>0.33585201000000003</v>
          </cell>
          <cell r="N458">
            <v>0.21297019175346724</v>
          </cell>
        </row>
        <row r="459">
          <cell r="B459" t="str">
            <v>NDAQ</v>
          </cell>
          <cell r="C459">
            <v>0.70333333333333325</v>
          </cell>
          <cell r="D459">
            <v>0.64666666666666661</v>
          </cell>
          <cell r="F459">
            <v>0.56666666666666665</v>
          </cell>
          <cell r="H459">
            <v>0.40333333333333332</v>
          </cell>
          <cell r="N459">
            <v>0</v>
          </cell>
        </row>
        <row r="460">
          <cell r="B460" t="str">
            <v>NDSN</v>
          </cell>
          <cell r="C460">
            <v>1.68</v>
          </cell>
          <cell r="D460">
            <v>1.53</v>
          </cell>
          <cell r="F460">
            <v>1.25</v>
          </cell>
          <cell r="H460">
            <v>1.02</v>
          </cell>
          <cell r="N460">
            <v>0.44</v>
          </cell>
        </row>
        <row r="461">
          <cell r="B461" t="str">
            <v>NEE</v>
          </cell>
          <cell r="C461">
            <v>1.54</v>
          </cell>
          <cell r="D461">
            <v>1.4</v>
          </cell>
          <cell r="F461">
            <v>1.1100000000000001</v>
          </cell>
          <cell r="H461">
            <v>0.87</v>
          </cell>
          <cell r="N461">
            <v>0.55000000000000004</v>
          </cell>
        </row>
        <row r="462">
          <cell r="B462" t="str">
            <v>NEP</v>
          </cell>
          <cell r="C462">
            <v>2.6</v>
          </cell>
          <cell r="D462">
            <v>2.2625000000000002</v>
          </cell>
          <cell r="F462">
            <v>1.7124999999999999</v>
          </cell>
          <cell r="H462">
            <v>1.2974999999999999</v>
          </cell>
          <cell r="N462">
            <v>0</v>
          </cell>
        </row>
        <row r="463">
          <cell r="B463" t="str">
            <v>NEU</v>
          </cell>
          <cell r="C463">
            <v>7.8</v>
          </cell>
          <cell r="D463">
            <v>7.6</v>
          </cell>
          <cell r="F463">
            <v>7</v>
          </cell>
          <cell r="H463">
            <v>6.4</v>
          </cell>
          <cell r="N463">
            <v>2.08</v>
          </cell>
        </row>
        <row r="464">
          <cell r="B464" t="str">
            <v>NFBK</v>
          </cell>
          <cell r="C464">
            <v>0.5</v>
          </cell>
          <cell r="D464">
            <v>0.44</v>
          </cell>
          <cell r="F464">
            <v>0.4</v>
          </cell>
          <cell r="H464">
            <v>0.31</v>
          </cell>
          <cell r="N464">
            <v>0.16399999999999998</v>
          </cell>
        </row>
        <row r="465">
          <cell r="B465" t="str">
            <v>NFG</v>
          </cell>
          <cell r="C465">
            <v>1.8</v>
          </cell>
          <cell r="D465">
            <v>1.76</v>
          </cell>
          <cell r="F465">
            <v>1.68</v>
          </cell>
          <cell r="H465">
            <v>1.6</v>
          </cell>
          <cell r="N465">
            <v>1.4</v>
          </cell>
        </row>
        <row r="466">
          <cell r="B466" t="str">
            <v>NI</v>
          </cell>
          <cell r="C466">
            <v>0.88</v>
          </cell>
          <cell r="D466">
            <v>0.84</v>
          </cell>
          <cell r="F466">
            <v>0.78</v>
          </cell>
          <cell r="H466">
            <v>0.64</v>
          </cell>
          <cell r="N466">
            <v>0.36148000000000002</v>
          </cell>
        </row>
        <row r="467">
          <cell r="B467" t="str">
            <v>NIDB</v>
          </cell>
          <cell r="C467">
            <v>1.1399999999999999</v>
          </cell>
          <cell r="D467">
            <v>1.0900000000000001</v>
          </cell>
          <cell r="F467">
            <v>0.97</v>
          </cell>
          <cell r="H467">
            <v>0.85</v>
          </cell>
          <cell r="N467">
            <v>0.70499999999999996</v>
          </cell>
        </row>
        <row r="468">
          <cell r="B468" t="str">
            <v>NJR</v>
          </cell>
          <cell r="C468">
            <v>1.36</v>
          </cell>
          <cell r="D468">
            <v>1.27</v>
          </cell>
          <cell r="F468">
            <v>1.1100000000000001</v>
          </cell>
          <cell r="H468">
            <v>0.97499999999999998</v>
          </cell>
          <cell r="N468">
            <v>0.72</v>
          </cell>
        </row>
        <row r="469">
          <cell r="B469" t="str">
            <v>NKE</v>
          </cell>
          <cell r="C469">
            <v>1.1299999999999999</v>
          </cell>
          <cell r="D469">
            <v>0.98</v>
          </cell>
          <cell r="F469">
            <v>0.8</v>
          </cell>
          <cell r="H469">
            <v>0.64</v>
          </cell>
          <cell r="N469">
            <v>0.31</v>
          </cell>
        </row>
        <row r="470">
          <cell r="B470" t="str">
            <v>NNI</v>
          </cell>
          <cell r="C470">
            <v>0.9</v>
          </cell>
          <cell r="D470">
            <v>0.82</v>
          </cell>
          <cell r="F470">
            <v>0.66</v>
          </cell>
          <cell r="H470">
            <v>0.5</v>
          </cell>
          <cell r="N470">
            <v>0.37000000000000005</v>
          </cell>
        </row>
        <row r="471">
          <cell r="B471" t="str">
            <v>NNN</v>
          </cell>
          <cell r="C471">
            <v>2.1</v>
          </cell>
          <cell r="D471">
            <v>2.0699999999999998</v>
          </cell>
          <cell r="F471">
            <v>1.95</v>
          </cell>
          <cell r="H471">
            <v>1.78</v>
          </cell>
          <cell r="N471">
            <v>1.53</v>
          </cell>
        </row>
        <row r="472">
          <cell r="B472" t="str">
            <v>NOC</v>
          </cell>
          <cell r="C472">
            <v>6.16</v>
          </cell>
          <cell r="D472">
            <v>5.67</v>
          </cell>
          <cell r="F472">
            <v>4.7</v>
          </cell>
          <cell r="H472">
            <v>3.5</v>
          </cell>
          <cell r="N472">
            <v>1.9246449999999999</v>
          </cell>
        </row>
        <row r="473">
          <cell r="B473" t="str">
            <v>NPO</v>
          </cell>
          <cell r="C473">
            <v>1.08</v>
          </cell>
          <cell r="D473">
            <v>1.04</v>
          </cell>
          <cell r="F473">
            <v>0.96</v>
          </cell>
          <cell r="H473">
            <v>0.84</v>
          </cell>
          <cell r="N473">
            <v>0</v>
          </cell>
        </row>
        <row r="474">
          <cell r="B474" t="str">
            <v>NRIM</v>
          </cell>
          <cell r="C474">
            <v>1.5</v>
          </cell>
          <cell r="D474">
            <v>1.38</v>
          </cell>
          <cell r="F474">
            <v>1.02</v>
          </cell>
          <cell r="H474">
            <v>0.78</v>
          </cell>
          <cell r="N474">
            <v>0.5</v>
          </cell>
        </row>
        <row r="475">
          <cell r="B475" t="str">
            <v>NSA</v>
          </cell>
          <cell r="C475">
            <v>1.59</v>
          </cell>
          <cell r="D475">
            <v>1.35</v>
          </cell>
          <cell r="F475">
            <v>1.1599999999999999</v>
          </cell>
          <cell r="H475">
            <v>0.87999999999999989</v>
          </cell>
          <cell r="N475">
            <v>0</v>
          </cell>
        </row>
        <row r="476">
          <cell r="B476" t="str">
            <v>NSC</v>
          </cell>
          <cell r="C476">
            <v>4.16</v>
          </cell>
          <cell r="D476">
            <v>3.76</v>
          </cell>
          <cell r="F476">
            <v>3.04</v>
          </cell>
          <cell r="H476">
            <v>2.36</v>
          </cell>
          <cell r="N476">
            <v>1.6600000000000001</v>
          </cell>
        </row>
        <row r="477">
          <cell r="B477" t="str">
            <v>NSP</v>
          </cell>
          <cell r="C477">
            <v>1.75</v>
          </cell>
          <cell r="D477">
            <v>1.6</v>
          </cell>
          <cell r="F477">
            <v>0.8</v>
          </cell>
          <cell r="H477">
            <v>0.48499999999999999</v>
          </cell>
          <cell r="N477">
            <v>0.3</v>
          </cell>
        </row>
        <row r="478">
          <cell r="B478" t="str">
            <v>NTAP</v>
          </cell>
          <cell r="C478">
            <v>1.96</v>
          </cell>
          <cell r="D478">
            <v>1.92</v>
          </cell>
          <cell r="F478">
            <v>1.2</v>
          </cell>
          <cell r="H478">
            <v>0.74</v>
          </cell>
          <cell r="N478">
            <v>0</v>
          </cell>
        </row>
        <row r="479">
          <cell r="B479" t="str">
            <v>NUE</v>
          </cell>
          <cell r="C479">
            <v>1.62</v>
          </cell>
          <cell r="D479">
            <v>1.61</v>
          </cell>
          <cell r="F479">
            <v>1.52</v>
          </cell>
          <cell r="H479">
            <v>1.5</v>
          </cell>
          <cell r="N479">
            <v>1.45</v>
          </cell>
        </row>
        <row r="480">
          <cell r="B480" t="str">
            <v>NUS</v>
          </cell>
          <cell r="C480">
            <v>1.52</v>
          </cell>
          <cell r="D480">
            <v>1.5</v>
          </cell>
          <cell r="F480">
            <v>1.46</v>
          </cell>
          <cell r="H480">
            <v>1.42</v>
          </cell>
          <cell r="N480">
            <v>0.59</v>
          </cell>
        </row>
        <row r="481">
          <cell r="B481" t="str">
            <v>NWBI</v>
          </cell>
          <cell r="C481">
            <v>0.79</v>
          </cell>
          <cell r="D481">
            <v>0.76</v>
          </cell>
          <cell r="F481">
            <v>0.68</v>
          </cell>
          <cell r="H481">
            <v>0.6</v>
          </cell>
          <cell r="N481">
            <v>0.43</v>
          </cell>
        </row>
        <row r="482">
          <cell r="B482" t="str">
            <v>NWE</v>
          </cell>
          <cell r="C482">
            <v>2.48</v>
          </cell>
          <cell r="D482">
            <v>2.4</v>
          </cell>
          <cell r="F482">
            <v>2.2000000000000002</v>
          </cell>
          <cell r="H482">
            <v>2</v>
          </cell>
          <cell r="N482">
            <v>1.44</v>
          </cell>
        </row>
        <row r="483">
          <cell r="B483" t="str">
            <v>NWFL</v>
          </cell>
          <cell r="C483">
            <v>1.04</v>
          </cell>
          <cell r="D483">
            <v>1</v>
          </cell>
          <cell r="F483">
            <v>0.88</v>
          </cell>
          <cell r="H483">
            <v>0.82666666666666666</v>
          </cell>
          <cell r="N483">
            <v>0.70303030303030301</v>
          </cell>
        </row>
        <row r="484">
          <cell r="B484" t="str">
            <v>NWN</v>
          </cell>
          <cell r="C484">
            <v>1.9225000000000001</v>
          </cell>
          <cell r="D484">
            <v>1.9125000000000001</v>
          </cell>
          <cell r="F484">
            <v>1.8925000000000001</v>
          </cell>
          <cell r="H484">
            <v>1.8725000000000001</v>
          </cell>
          <cell r="N484">
            <v>1.75</v>
          </cell>
        </row>
        <row r="485">
          <cell r="B485" t="str">
            <v>NXPI</v>
          </cell>
          <cell r="C485">
            <v>2.0625</v>
          </cell>
          <cell r="D485">
            <v>1.5</v>
          </cell>
          <cell r="F485">
            <v>0.25</v>
          </cell>
          <cell r="H485">
            <v>0</v>
          </cell>
          <cell r="N485">
            <v>0</v>
          </cell>
        </row>
        <row r="486">
          <cell r="B486" t="str">
            <v>NXRT</v>
          </cell>
          <cell r="C486">
            <v>1.4037500000000001</v>
          </cell>
          <cell r="D486">
            <v>1.2787500000000001</v>
          </cell>
          <cell r="F486">
            <v>1.0249999999999999</v>
          </cell>
          <cell r="H486">
            <v>0.83799999999999997</v>
          </cell>
          <cell r="N486">
            <v>0</v>
          </cell>
        </row>
        <row r="487">
          <cell r="B487" t="str">
            <v>NXST</v>
          </cell>
          <cell r="C487">
            <v>2.8</v>
          </cell>
          <cell r="D487">
            <v>2.2400000000000002</v>
          </cell>
          <cell r="F487">
            <v>1.5</v>
          </cell>
          <cell r="H487">
            <v>0.96</v>
          </cell>
          <cell r="N487">
            <v>0</v>
          </cell>
        </row>
        <row r="488">
          <cell r="B488" t="str">
            <v>O</v>
          </cell>
          <cell r="C488">
            <v>2.8330000000000002</v>
          </cell>
          <cell r="D488">
            <v>2.794</v>
          </cell>
          <cell r="F488">
            <v>2.6305000000000001</v>
          </cell>
          <cell r="H488">
            <v>2.3914999999999997</v>
          </cell>
          <cell r="N488">
            <v>1.7366250000000003</v>
          </cell>
        </row>
        <row r="489">
          <cell r="B489" t="str">
            <v>OBNK</v>
          </cell>
          <cell r="C489">
            <v>0.49</v>
          </cell>
          <cell r="D489">
            <v>0.37750000000000006</v>
          </cell>
          <cell r="F489">
            <v>9.7500000000000003E-2</v>
          </cell>
          <cell r="H489">
            <v>0</v>
          </cell>
          <cell r="N489">
            <v>0</v>
          </cell>
        </row>
        <row r="490">
          <cell r="B490" t="str">
            <v>OC</v>
          </cell>
          <cell r="C490">
            <v>1.04</v>
          </cell>
          <cell r="D490">
            <v>0.96</v>
          </cell>
          <cell r="F490">
            <v>0.84</v>
          </cell>
          <cell r="H490">
            <v>0.71</v>
          </cell>
          <cell r="N490">
            <v>0</v>
          </cell>
        </row>
        <row r="491">
          <cell r="B491" t="str">
            <v>ODC</v>
          </cell>
          <cell r="C491">
            <v>1.06</v>
          </cell>
          <cell r="D491">
            <v>1.02</v>
          </cell>
          <cell r="F491">
            <v>0.94</v>
          </cell>
          <cell r="H491">
            <v>0.86</v>
          </cell>
          <cell r="N491">
            <v>0.66</v>
          </cell>
        </row>
        <row r="492">
          <cell r="B492" t="str">
            <v>ODFL</v>
          </cell>
          <cell r="C492">
            <v>0.8</v>
          </cell>
          <cell r="D492">
            <v>0.60329999999999995</v>
          </cell>
          <cell r="F492">
            <v>0.3468</v>
          </cell>
          <cell r="H492">
            <v>0</v>
          </cell>
          <cell r="N492">
            <v>0</v>
          </cell>
        </row>
        <row r="493">
          <cell r="B493" t="str">
            <v>OGE</v>
          </cell>
          <cell r="C493">
            <v>1.6174999999999999</v>
          </cell>
          <cell r="D493">
            <v>1.5649999999999999</v>
          </cell>
          <cell r="F493">
            <v>1.3625</v>
          </cell>
          <cell r="H493">
            <v>1.1274999999999999</v>
          </cell>
          <cell r="N493">
            <v>0.75</v>
          </cell>
        </row>
        <row r="494">
          <cell r="B494" t="str">
            <v>OGS</v>
          </cell>
          <cell r="C494">
            <v>2.3199999999999998</v>
          </cell>
          <cell r="D494">
            <v>2.16</v>
          </cell>
          <cell r="F494">
            <v>1.84</v>
          </cell>
          <cell r="H494">
            <v>1.4</v>
          </cell>
          <cell r="N494">
            <v>0</v>
          </cell>
        </row>
        <row r="495">
          <cell r="B495" t="str">
            <v>OLED</v>
          </cell>
          <cell r="C495">
            <v>0.8</v>
          </cell>
          <cell r="D495">
            <v>0.6</v>
          </cell>
          <cell r="F495">
            <v>0.24</v>
          </cell>
          <cell r="H495">
            <v>0</v>
          </cell>
          <cell r="N495">
            <v>0</v>
          </cell>
        </row>
        <row r="496">
          <cell r="B496" t="str">
            <v>OMC</v>
          </cell>
          <cell r="C496">
            <v>2.75</v>
          </cell>
          <cell r="D496">
            <v>2.6</v>
          </cell>
          <cell r="F496">
            <v>2.4</v>
          </cell>
          <cell r="H496">
            <v>2.1</v>
          </cell>
          <cell r="N496">
            <v>0.95</v>
          </cell>
        </row>
        <row r="497">
          <cell r="B497" t="str">
            <v>ORCL</v>
          </cell>
          <cell r="C497">
            <v>1.2</v>
          </cell>
          <cell r="D497">
            <v>0.96</v>
          </cell>
          <cell r="F497">
            <v>0.76</v>
          </cell>
          <cell r="H497">
            <v>0.6</v>
          </cell>
          <cell r="N497">
            <v>0.23</v>
          </cell>
        </row>
        <row r="498">
          <cell r="B498" t="str">
            <v>ORI</v>
          </cell>
          <cell r="C498">
            <v>0.88</v>
          </cell>
          <cell r="D498">
            <v>0.84</v>
          </cell>
          <cell r="F498">
            <v>0.78</v>
          </cell>
          <cell r="H498">
            <v>0.75</v>
          </cell>
          <cell r="N498">
            <v>0.7</v>
          </cell>
        </row>
        <row r="499">
          <cell r="B499" t="str">
            <v>ORRF</v>
          </cell>
          <cell r="C499">
            <v>0.74</v>
          </cell>
          <cell r="D499">
            <v>0.68</v>
          </cell>
          <cell r="F499">
            <v>0.5</v>
          </cell>
          <cell r="H499">
            <v>0.35</v>
          </cell>
          <cell r="N499">
            <v>0.69</v>
          </cell>
        </row>
        <row r="500">
          <cell r="B500" t="str">
            <v>OSK</v>
          </cell>
          <cell r="C500">
            <v>1.36</v>
          </cell>
          <cell r="D500">
            <v>1.23</v>
          </cell>
          <cell r="F500">
            <v>0.99</v>
          </cell>
          <cell r="H500">
            <v>0.78</v>
          </cell>
          <cell r="N500">
            <v>0</v>
          </cell>
        </row>
        <row r="501">
          <cell r="B501" t="str">
            <v>OTEX</v>
          </cell>
          <cell r="C501">
            <v>0.84340000000000004</v>
          </cell>
          <cell r="D501">
            <v>0.72460000000000002</v>
          </cell>
          <cell r="F501">
            <v>0.58740000000000003</v>
          </cell>
          <cell r="H501">
            <v>0.44500000000000001</v>
          </cell>
          <cell r="N501">
            <v>0</v>
          </cell>
        </row>
        <row r="502">
          <cell r="B502" t="str">
            <v>OTTR</v>
          </cell>
          <cell r="C502">
            <v>1.56</v>
          </cell>
          <cell r="D502">
            <v>1.48</v>
          </cell>
          <cell r="F502">
            <v>1.34</v>
          </cell>
          <cell r="H502">
            <v>1.25</v>
          </cell>
          <cell r="N502">
            <v>1.19</v>
          </cell>
        </row>
        <row r="503">
          <cell r="B503" t="str">
            <v>OVLY</v>
          </cell>
          <cell r="C503">
            <v>0.28999999999999998</v>
          </cell>
          <cell r="D503">
            <v>0.28000000000000003</v>
          </cell>
          <cell r="F503">
            <v>0.26</v>
          </cell>
          <cell r="H503">
            <v>0.24</v>
          </cell>
          <cell r="N503">
            <v>0</v>
          </cell>
        </row>
        <row r="504">
          <cell r="B504" t="str">
            <v>OZK</v>
          </cell>
          <cell r="C504">
            <v>1.1325000000000001</v>
          </cell>
          <cell r="D504">
            <v>1.0774999999999999</v>
          </cell>
          <cell r="F504">
            <v>0.79500000000000004</v>
          </cell>
          <cell r="H504">
            <v>0.63</v>
          </cell>
          <cell r="N504">
            <v>0.185</v>
          </cell>
        </row>
        <row r="505">
          <cell r="B505" t="str">
            <v>PAYX</v>
          </cell>
          <cell r="C505">
            <v>2.6</v>
          </cell>
          <cell r="D505">
            <v>2.48</v>
          </cell>
          <cell r="F505">
            <v>2.1800000000000002</v>
          </cell>
          <cell r="H505">
            <v>1.76</v>
          </cell>
          <cell r="N505">
            <v>1.25</v>
          </cell>
        </row>
        <row r="506">
          <cell r="B506" t="str">
            <v>PB</v>
          </cell>
          <cell r="C506">
            <v>1.96</v>
          </cell>
          <cell r="D506">
            <v>1.84</v>
          </cell>
          <cell r="F506">
            <v>1.44</v>
          </cell>
          <cell r="H506">
            <v>1.2</v>
          </cell>
          <cell r="N506">
            <v>0.7</v>
          </cell>
        </row>
        <row r="507">
          <cell r="B507" t="str">
            <v>PEBK</v>
          </cell>
          <cell r="C507">
            <v>0.66</v>
          </cell>
          <cell r="D507">
            <v>0.6</v>
          </cell>
          <cell r="F507">
            <v>0.52</v>
          </cell>
          <cell r="H507">
            <v>0.3454545454545454</v>
          </cell>
          <cell r="N507">
            <v>7.2727272727272724E-2</v>
          </cell>
        </row>
        <row r="508">
          <cell r="B508" t="str">
            <v>PEBO</v>
          </cell>
          <cell r="C508">
            <v>1.43</v>
          </cell>
          <cell r="D508">
            <v>1.37</v>
          </cell>
          <cell r="F508">
            <v>1.1200000000000001</v>
          </cell>
          <cell r="H508">
            <v>0.64</v>
          </cell>
          <cell r="N508">
            <v>0.4</v>
          </cell>
        </row>
        <row r="509">
          <cell r="B509" t="str">
            <v>PEG</v>
          </cell>
          <cell r="C509">
            <v>2.04</v>
          </cell>
          <cell r="D509">
            <v>1.96</v>
          </cell>
          <cell r="F509">
            <v>1.8</v>
          </cell>
          <cell r="H509">
            <v>1.64</v>
          </cell>
          <cell r="N509">
            <v>1.37</v>
          </cell>
        </row>
        <row r="510">
          <cell r="B510" t="str">
            <v>PEP</v>
          </cell>
          <cell r="C510">
            <v>4.1950000000000003</v>
          </cell>
          <cell r="D510">
            <v>3.9550000000000001</v>
          </cell>
          <cell r="F510">
            <v>3.4649999999999999</v>
          </cell>
          <cell r="H510">
            <v>2.91</v>
          </cell>
          <cell r="N510">
            <v>1.99</v>
          </cell>
        </row>
        <row r="511">
          <cell r="B511" t="str">
            <v>PETS</v>
          </cell>
          <cell r="C511">
            <v>1.18</v>
          </cell>
          <cell r="D511">
            <v>1.1100000000000001</v>
          </cell>
          <cell r="F511">
            <v>1.04</v>
          </cell>
          <cell r="H511">
            <v>0.75</v>
          </cell>
          <cell r="N511">
            <v>0.5</v>
          </cell>
        </row>
        <row r="512">
          <cell r="B512" t="str">
            <v>PFC</v>
          </cell>
          <cell r="C512">
            <v>1.05</v>
          </cell>
          <cell r="D512">
            <v>0.88</v>
          </cell>
          <cell r="F512">
            <v>0.64</v>
          </cell>
          <cell r="H512">
            <v>0.44</v>
          </cell>
          <cell r="N512">
            <v>2.5000000000000001E-2</v>
          </cell>
        </row>
        <row r="513">
          <cell r="B513" t="str">
            <v>PFE</v>
          </cell>
          <cell r="C513">
            <v>1.56</v>
          </cell>
          <cell r="D513">
            <v>1.52</v>
          </cell>
          <cell r="F513">
            <v>1.36</v>
          </cell>
          <cell r="H513">
            <v>1.2</v>
          </cell>
          <cell r="N513">
            <v>0.8</v>
          </cell>
        </row>
        <row r="514">
          <cell r="B514" t="str">
            <v>PFG</v>
          </cell>
          <cell r="C514">
            <v>2.44</v>
          </cell>
          <cell r="D514">
            <v>2.2400000000000002</v>
          </cell>
          <cell r="F514">
            <v>2.1</v>
          </cell>
          <cell r="H514">
            <v>1.61</v>
          </cell>
          <cell r="N514">
            <v>0.7</v>
          </cell>
        </row>
        <row r="515">
          <cell r="B515" t="str">
            <v>PFIS</v>
          </cell>
          <cell r="C515">
            <v>1.5</v>
          </cell>
          <cell r="D515">
            <v>1.44</v>
          </cell>
          <cell r="F515">
            <v>1.31</v>
          </cell>
          <cell r="H515">
            <v>1.24</v>
          </cell>
          <cell r="N515">
            <v>0.8</v>
          </cell>
        </row>
        <row r="516">
          <cell r="B516" t="str">
            <v>PG</v>
          </cell>
          <cell r="C516">
            <v>3.4001000000000001</v>
          </cell>
          <cell r="D516">
            <v>3.1179999999999999</v>
          </cell>
          <cell r="F516">
            <v>2.8412000000000002</v>
          </cell>
          <cell r="H516">
            <v>2.6713999999999998</v>
          </cell>
          <cell r="N516">
            <v>2.0568</v>
          </cell>
        </row>
        <row r="517">
          <cell r="B517" t="str">
            <v>PH</v>
          </cell>
          <cell r="C517">
            <v>3.97</v>
          </cell>
          <cell r="D517">
            <v>3.52</v>
          </cell>
          <cell r="F517">
            <v>2.94</v>
          </cell>
          <cell r="H517">
            <v>2.52</v>
          </cell>
          <cell r="N517">
            <v>1.43</v>
          </cell>
        </row>
        <row r="518">
          <cell r="B518" t="str">
            <v>PII</v>
          </cell>
          <cell r="C518">
            <v>2.52</v>
          </cell>
          <cell r="D518">
            <v>2.48</v>
          </cell>
          <cell r="F518">
            <v>2.4</v>
          </cell>
          <cell r="H518">
            <v>2.2000000000000002</v>
          </cell>
          <cell r="N518">
            <v>0.9</v>
          </cell>
        </row>
        <row r="519">
          <cell r="B519" t="str">
            <v>PLD</v>
          </cell>
          <cell r="C519">
            <v>2.52</v>
          </cell>
          <cell r="D519">
            <v>2.3199999999999998</v>
          </cell>
          <cell r="F519">
            <v>1.92</v>
          </cell>
          <cell r="H519">
            <v>1.68</v>
          </cell>
          <cell r="N519">
            <v>1.1200000000000001</v>
          </cell>
        </row>
        <row r="520">
          <cell r="B520" t="str">
            <v>PLOW</v>
          </cell>
          <cell r="C520">
            <v>1.1399999999999999</v>
          </cell>
          <cell r="D520">
            <v>1.1200000000000001</v>
          </cell>
          <cell r="F520">
            <v>1.06</v>
          </cell>
          <cell r="H520">
            <v>0.94</v>
          </cell>
          <cell r="N520">
            <v>0.80500000000000005</v>
          </cell>
        </row>
        <row r="521">
          <cell r="B521" t="str">
            <v>PM</v>
          </cell>
          <cell r="C521">
            <v>4.8499999999999996</v>
          </cell>
          <cell r="D521">
            <v>4.71</v>
          </cell>
          <cell r="F521">
            <v>4.42</v>
          </cell>
          <cell r="H521">
            <v>4.0999999999999996</v>
          </cell>
          <cell r="N521">
            <v>2.69</v>
          </cell>
        </row>
        <row r="522">
          <cell r="B522" t="str">
            <v>PNBI</v>
          </cell>
          <cell r="C522">
            <v>0.96</v>
          </cell>
          <cell r="D522">
            <v>0.92</v>
          </cell>
          <cell r="F522">
            <v>0.84</v>
          </cell>
          <cell r="H522">
            <v>0.76</v>
          </cell>
          <cell r="N522">
            <v>0.59</v>
          </cell>
        </row>
        <row r="523">
          <cell r="B523" t="str">
            <v>PNC</v>
          </cell>
          <cell r="C523">
            <v>4.8</v>
          </cell>
          <cell r="D523">
            <v>4.5999999999999996</v>
          </cell>
          <cell r="F523">
            <v>3.4</v>
          </cell>
          <cell r="H523">
            <v>2.12</v>
          </cell>
          <cell r="N523">
            <v>1.06</v>
          </cell>
        </row>
        <row r="524">
          <cell r="B524" t="str">
            <v>PNM</v>
          </cell>
          <cell r="C524">
            <v>1.31</v>
          </cell>
          <cell r="D524">
            <v>1.23</v>
          </cell>
          <cell r="F524">
            <v>1.06</v>
          </cell>
          <cell r="H524">
            <v>0.88</v>
          </cell>
          <cell r="N524">
            <v>0.5</v>
          </cell>
        </row>
        <row r="525">
          <cell r="B525" t="str">
            <v>PNR</v>
          </cell>
          <cell r="C525">
            <v>0.8</v>
          </cell>
          <cell r="D525">
            <v>0.76</v>
          </cell>
          <cell r="F525">
            <v>0.82</v>
          </cell>
          <cell r="H525">
            <v>0.91336467427803891</v>
          </cell>
          <cell r="N525">
            <v>0.53727333781061115</v>
          </cell>
        </row>
        <row r="526">
          <cell r="B526" t="str">
            <v>PNW</v>
          </cell>
          <cell r="C526">
            <v>3.34</v>
          </cell>
          <cell r="D526">
            <v>3.1775000000000002</v>
          </cell>
          <cell r="F526">
            <v>2.8224999999999998</v>
          </cell>
          <cell r="H526">
            <v>2.5299999999999998</v>
          </cell>
          <cell r="N526">
            <v>2.1</v>
          </cell>
        </row>
        <row r="527">
          <cell r="B527" t="str">
            <v>POOL</v>
          </cell>
          <cell r="C527">
            <v>2.98</v>
          </cell>
          <cell r="D527">
            <v>2.29</v>
          </cell>
          <cell r="F527">
            <v>1.72</v>
          </cell>
          <cell r="H527">
            <v>1.19</v>
          </cell>
          <cell r="N527">
            <v>0.55000000000000004</v>
          </cell>
        </row>
        <row r="528">
          <cell r="B528" t="str">
            <v>POR</v>
          </cell>
          <cell r="C528">
            <v>1.675</v>
          </cell>
          <cell r="D528">
            <v>1.5625</v>
          </cell>
          <cell r="F528">
            <v>1.405</v>
          </cell>
          <cell r="H528">
            <v>1.24</v>
          </cell>
          <cell r="N528">
            <v>1.05</v>
          </cell>
        </row>
        <row r="529">
          <cell r="B529" t="str">
            <v>POWI</v>
          </cell>
          <cell r="C529">
            <v>0.54</v>
          </cell>
          <cell r="D529">
            <v>0.42</v>
          </cell>
          <cell r="F529">
            <v>0.32</v>
          </cell>
          <cell r="H529">
            <v>0.26</v>
          </cell>
          <cell r="N529">
            <v>0.1</v>
          </cell>
        </row>
        <row r="530">
          <cell r="B530" t="str">
            <v>PPG</v>
          </cell>
          <cell r="C530">
            <v>2.2599999999999998</v>
          </cell>
          <cell r="D530">
            <v>2.1</v>
          </cell>
          <cell r="F530">
            <v>1.86</v>
          </cell>
          <cell r="H530">
            <v>1.56</v>
          </cell>
          <cell r="N530">
            <v>1.1299999999999999</v>
          </cell>
        </row>
        <row r="531">
          <cell r="B531" t="str">
            <v>PPLL</v>
          </cell>
          <cell r="C531">
            <v>2.1904761904761902</v>
          </cell>
          <cell r="D531">
            <v>2.0045351473922901</v>
          </cell>
          <cell r="F531">
            <v>1.6783130485754389</v>
          </cell>
          <cell r="H531">
            <v>1.4028849456768597</v>
          </cell>
          <cell r="N531">
            <v>0</v>
          </cell>
        </row>
        <row r="532">
          <cell r="B532" t="str">
            <v>PRGO</v>
          </cell>
          <cell r="C532">
            <v>0.96</v>
          </cell>
          <cell r="D532">
            <v>0.9</v>
          </cell>
          <cell r="F532">
            <v>0.76</v>
          </cell>
          <cell r="H532">
            <v>0.57999999999999996</v>
          </cell>
          <cell r="N532">
            <v>0.28999999999999998</v>
          </cell>
        </row>
        <row r="533">
          <cell r="B533" t="str">
            <v>PRI</v>
          </cell>
          <cell r="C533">
            <v>1.88</v>
          </cell>
          <cell r="D533">
            <v>1.6</v>
          </cell>
          <cell r="F533">
            <v>1</v>
          </cell>
          <cell r="H533">
            <v>0.7</v>
          </cell>
          <cell r="N533">
            <v>0.1</v>
          </cell>
        </row>
        <row r="534">
          <cell r="B534" t="str">
            <v>PRK</v>
          </cell>
          <cell r="C534">
            <v>4.12</v>
          </cell>
          <cell r="D534">
            <v>4.08</v>
          </cell>
          <cell r="F534">
            <v>3.82</v>
          </cell>
          <cell r="H534">
            <v>3.76</v>
          </cell>
          <cell r="N534">
            <v>3.76</v>
          </cell>
        </row>
        <row r="535">
          <cell r="B535" t="str">
            <v>PRU</v>
          </cell>
          <cell r="C535">
            <v>4.5999999999999996</v>
          </cell>
          <cell r="D535">
            <v>4.4000000000000004</v>
          </cell>
          <cell r="F535">
            <v>3.6</v>
          </cell>
          <cell r="H535">
            <v>2.8</v>
          </cell>
          <cell r="N535">
            <v>1.45</v>
          </cell>
        </row>
        <row r="536">
          <cell r="B536" t="str">
            <v>PSBQ</v>
          </cell>
          <cell r="C536">
            <v>0.44</v>
          </cell>
          <cell r="D536">
            <v>0.41</v>
          </cell>
          <cell r="F536">
            <v>0.3367</v>
          </cell>
          <cell r="H536">
            <v>0.27999999999999997</v>
          </cell>
          <cell r="N536">
            <v>0.22073015873015875</v>
          </cell>
        </row>
        <row r="537">
          <cell r="B537" t="str">
            <v>PSX</v>
          </cell>
          <cell r="C537">
            <v>3.62</v>
          </cell>
          <cell r="D537">
            <v>3.6</v>
          </cell>
          <cell r="F537">
            <v>3.1</v>
          </cell>
          <cell r="H537">
            <v>2.4500000000000002</v>
          </cell>
          <cell r="N537">
            <v>0</v>
          </cell>
        </row>
        <row r="538">
          <cell r="B538" t="str">
            <v>QCOM</v>
          </cell>
          <cell r="C538">
            <v>2.72</v>
          </cell>
          <cell r="D538">
            <v>2.57</v>
          </cell>
          <cell r="F538">
            <v>2.4300000000000002</v>
          </cell>
          <cell r="H538">
            <v>2.0699999999999998</v>
          </cell>
          <cell r="N538">
            <v>0.83499999999999996</v>
          </cell>
        </row>
        <row r="539">
          <cell r="B539" t="str">
            <v>QNBC</v>
          </cell>
          <cell r="C539">
            <v>1.4</v>
          </cell>
          <cell r="D539">
            <v>1.36</v>
          </cell>
          <cell r="F539">
            <v>1.28</v>
          </cell>
          <cell r="H539">
            <v>1.2</v>
          </cell>
          <cell r="N539">
            <v>1</v>
          </cell>
        </row>
        <row r="540">
          <cell r="B540" t="str">
            <v>QNTO</v>
          </cell>
          <cell r="C540">
            <v>0.42</v>
          </cell>
          <cell r="D540">
            <v>0.36</v>
          </cell>
          <cell r="F540">
            <v>0.26</v>
          </cell>
          <cell r="H540">
            <v>0.1575</v>
          </cell>
          <cell r="N540">
            <v>6.7500000000000004E-2</v>
          </cell>
        </row>
        <row r="541">
          <cell r="B541" t="str">
            <v>QSR</v>
          </cell>
          <cell r="C541">
            <v>2.11</v>
          </cell>
          <cell r="D541">
            <v>2.06</v>
          </cell>
          <cell r="F541">
            <v>1.8</v>
          </cell>
          <cell r="H541">
            <v>0.62</v>
          </cell>
          <cell r="N541">
            <v>0</v>
          </cell>
        </row>
        <row r="542">
          <cell r="B542" t="str">
            <v>R</v>
          </cell>
          <cell r="C542">
            <v>2.2799999999999998</v>
          </cell>
          <cell r="D542">
            <v>2.2400000000000002</v>
          </cell>
          <cell r="F542">
            <v>2.12</v>
          </cell>
          <cell r="H542">
            <v>1.7</v>
          </cell>
          <cell r="N542">
            <v>1.1200000000000001</v>
          </cell>
        </row>
        <row r="543">
          <cell r="B543" t="str">
            <v>RBA</v>
          </cell>
          <cell r="C543">
            <v>0.94</v>
          </cell>
          <cell r="D543">
            <v>0.84</v>
          </cell>
          <cell r="F543">
            <v>0.7</v>
          </cell>
          <cell r="H543">
            <v>0.66</v>
          </cell>
          <cell r="N543">
            <v>0.435</v>
          </cell>
        </row>
        <row r="544">
          <cell r="B544" t="str">
            <v>RBCAA</v>
          </cell>
          <cell r="C544">
            <v>1.21</v>
          </cell>
          <cell r="D544">
            <v>1.1220000000000001</v>
          </cell>
          <cell r="F544">
            <v>0.94599999999999995</v>
          </cell>
          <cell r="H544">
            <v>0.81400000000000006</v>
          </cell>
          <cell r="N544">
            <v>0.60499999999999998</v>
          </cell>
        </row>
        <row r="545">
          <cell r="B545" t="str">
            <v>REG</v>
          </cell>
          <cell r="C545">
            <v>2.41</v>
          </cell>
          <cell r="D545">
            <v>2.38</v>
          </cell>
          <cell r="F545">
            <v>2.2200000000000002</v>
          </cell>
          <cell r="H545">
            <v>2</v>
          </cell>
          <cell r="N545">
            <v>1.85</v>
          </cell>
        </row>
        <row r="546">
          <cell r="B546" t="str">
            <v>REXR</v>
          </cell>
          <cell r="C546">
            <v>0.93500000000000005</v>
          </cell>
          <cell r="D546">
            <v>0.83</v>
          </cell>
          <cell r="F546">
            <v>0.625</v>
          </cell>
          <cell r="H546">
            <v>0.54</v>
          </cell>
          <cell r="N546">
            <v>0</v>
          </cell>
        </row>
        <row r="547">
          <cell r="B547" t="str">
            <v>RF</v>
          </cell>
          <cell r="C547">
            <v>0.63500000000000001</v>
          </cell>
          <cell r="D547">
            <v>0.62</v>
          </cell>
          <cell r="F547">
            <v>0.41</v>
          </cell>
          <cell r="H547">
            <v>0.25</v>
          </cell>
          <cell r="N547">
            <v>0.04</v>
          </cell>
        </row>
        <row r="548">
          <cell r="B548" t="str">
            <v>RGA</v>
          </cell>
          <cell r="C548">
            <v>2.86</v>
          </cell>
          <cell r="D548">
            <v>2.8</v>
          </cell>
          <cell r="F548">
            <v>2.2000000000000002</v>
          </cell>
          <cell r="H548">
            <v>1.56</v>
          </cell>
          <cell r="N548">
            <v>0.6</v>
          </cell>
        </row>
        <row r="549">
          <cell r="B549" t="str">
            <v>RGCO</v>
          </cell>
          <cell r="C549">
            <v>0.74</v>
          </cell>
          <cell r="D549">
            <v>0.7</v>
          </cell>
          <cell r="F549">
            <v>0.62</v>
          </cell>
          <cell r="H549">
            <v>0.54</v>
          </cell>
          <cell r="N549">
            <v>0.45333333333333337</v>
          </cell>
        </row>
        <row r="550">
          <cell r="B550" t="str">
            <v>RGLD</v>
          </cell>
          <cell r="C550">
            <v>1.2</v>
          </cell>
          <cell r="D550">
            <v>1.1200000000000001</v>
          </cell>
          <cell r="F550">
            <v>1</v>
          </cell>
          <cell r="H550">
            <v>0.92</v>
          </cell>
          <cell r="N550">
            <v>0.44</v>
          </cell>
        </row>
        <row r="551">
          <cell r="B551" t="str">
            <v>RHI</v>
          </cell>
          <cell r="C551">
            <v>1.52</v>
          </cell>
          <cell r="D551">
            <v>1.36</v>
          </cell>
          <cell r="F551">
            <v>1.1200000000000001</v>
          </cell>
          <cell r="H551">
            <v>0.88</v>
          </cell>
          <cell r="N551">
            <v>0.56000000000000005</v>
          </cell>
        </row>
        <row r="552">
          <cell r="B552" t="str">
            <v>RJF</v>
          </cell>
          <cell r="C552">
            <v>1.04</v>
          </cell>
          <cell r="D552">
            <v>0.98666666666666669</v>
          </cell>
          <cell r="F552">
            <v>0.73333333333333339</v>
          </cell>
          <cell r="H552">
            <v>0.53333333333333333</v>
          </cell>
          <cell r="N552">
            <v>0.34666666666666668</v>
          </cell>
        </row>
        <row r="553">
          <cell r="B553" t="str">
            <v>RLI</v>
          </cell>
          <cell r="C553">
            <v>0.99</v>
          </cell>
          <cell r="D553">
            <v>0.95</v>
          </cell>
          <cell r="F553">
            <v>0.87</v>
          </cell>
          <cell r="H553">
            <v>0.79</v>
          </cell>
          <cell r="N553">
            <v>0.59499999999999997</v>
          </cell>
        </row>
        <row r="554">
          <cell r="B554" t="str">
            <v>RMAX</v>
          </cell>
          <cell r="C554">
            <v>0.92</v>
          </cell>
          <cell r="D554">
            <v>0.88</v>
          </cell>
          <cell r="F554">
            <v>0.8</v>
          </cell>
          <cell r="H554">
            <v>0.6</v>
          </cell>
          <cell r="N554">
            <v>0</v>
          </cell>
        </row>
        <row r="555">
          <cell r="B555" t="str">
            <v>RMD</v>
          </cell>
          <cell r="C555">
            <v>1.62</v>
          </cell>
          <cell r="D555">
            <v>1.56</v>
          </cell>
          <cell r="F555">
            <v>1.44</v>
          </cell>
          <cell r="H555">
            <v>1.26</v>
          </cell>
          <cell r="N555">
            <v>0</v>
          </cell>
        </row>
        <row r="556">
          <cell r="B556" t="str">
            <v>RNR</v>
          </cell>
          <cell r="C556">
            <v>1.44</v>
          </cell>
          <cell r="D556">
            <v>1.4</v>
          </cell>
          <cell r="F556">
            <v>1.32</v>
          </cell>
          <cell r="H556">
            <v>1.24</v>
          </cell>
          <cell r="N556">
            <v>1.04</v>
          </cell>
        </row>
        <row r="557">
          <cell r="B557" t="str">
            <v>ROK</v>
          </cell>
          <cell r="C557">
            <v>4.33</v>
          </cell>
          <cell r="D557">
            <v>4.13</v>
          </cell>
          <cell r="F557">
            <v>3.645</v>
          </cell>
          <cell r="H557">
            <v>2.9350000000000001</v>
          </cell>
          <cell r="N557">
            <v>1.55</v>
          </cell>
        </row>
        <row r="558">
          <cell r="B558" t="str">
            <v>ROP</v>
          </cell>
          <cell r="C558">
            <v>2.25</v>
          </cell>
          <cell r="D558">
            <v>2.0499999999999998</v>
          </cell>
          <cell r="F558">
            <v>1.65</v>
          </cell>
          <cell r="H558">
            <v>1.2</v>
          </cell>
          <cell r="N558">
            <v>0.44</v>
          </cell>
        </row>
        <row r="559">
          <cell r="B559" t="str">
            <v>RPM</v>
          </cell>
          <cell r="C559">
            <v>1.54</v>
          </cell>
          <cell r="D559">
            <v>1.46</v>
          </cell>
          <cell r="F559">
            <v>1.31</v>
          </cell>
          <cell r="H559">
            <v>1.125</v>
          </cell>
          <cell r="N559">
            <v>0.84499999999999997</v>
          </cell>
        </row>
        <row r="560">
          <cell r="B560" t="str">
            <v>RRX</v>
          </cell>
          <cell r="C560">
            <v>1.26</v>
          </cell>
          <cell r="D560">
            <v>1.2</v>
          </cell>
          <cell r="F560">
            <v>1.08</v>
          </cell>
          <cell r="H560">
            <v>0.94</v>
          </cell>
          <cell r="N560">
            <v>0.7</v>
          </cell>
        </row>
        <row r="561">
          <cell r="B561" t="str">
            <v>RS</v>
          </cell>
          <cell r="C561">
            <v>2.75</v>
          </cell>
          <cell r="D561">
            <v>2.5</v>
          </cell>
          <cell r="F561">
            <v>2</v>
          </cell>
          <cell r="H561">
            <v>1.65</v>
          </cell>
          <cell r="N561">
            <v>0.48</v>
          </cell>
        </row>
        <row r="562">
          <cell r="B562" t="str">
            <v>RSG</v>
          </cell>
          <cell r="C562">
            <v>1.7350000000000001</v>
          </cell>
          <cell r="D562">
            <v>1.64</v>
          </cell>
          <cell r="F562">
            <v>1.41</v>
          </cell>
          <cell r="H562">
            <v>1.22</v>
          </cell>
          <cell r="N562">
            <v>0.82</v>
          </cell>
        </row>
        <row r="563">
          <cell r="B563" t="str">
            <v>RUSHA</v>
          </cell>
          <cell r="C563">
            <v>0.74</v>
          </cell>
          <cell r="D563">
            <v>0.40666666666666668</v>
          </cell>
          <cell r="F563">
            <v>0.16</v>
          </cell>
          <cell r="H563">
            <v>0</v>
          </cell>
          <cell r="N563">
            <v>0</v>
          </cell>
        </row>
        <row r="564">
          <cell r="B564" t="str">
            <v>RVSB</v>
          </cell>
          <cell r="C564">
            <v>0.20499999999999999</v>
          </cell>
          <cell r="D564">
            <v>0.2</v>
          </cell>
          <cell r="F564">
            <v>0.13</v>
          </cell>
          <cell r="H564">
            <v>7.7499999999999999E-2</v>
          </cell>
          <cell r="N564">
            <v>0</v>
          </cell>
        </row>
        <row r="565">
          <cell r="B565" t="str">
            <v>RY</v>
          </cell>
          <cell r="C565">
            <v>3.4434</v>
          </cell>
          <cell r="D565">
            <v>3.1890999999999998</v>
          </cell>
          <cell r="F565">
            <v>2.9415</v>
          </cell>
          <cell r="H565">
            <v>2.4308000000000001</v>
          </cell>
          <cell r="N565">
            <v>2.1347</v>
          </cell>
        </row>
        <row r="566">
          <cell r="B566" t="str">
            <v>SAH</v>
          </cell>
          <cell r="C566">
            <v>0.44</v>
          </cell>
          <cell r="D566">
            <v>0.4</v>
          </cell>
          <cell r="F566">
            <v>0.22999999999999998</v>
          </cell>
          <cell r="H566">
            <v>0.18750000000000003</v>
          </cell>
          <cell r="N566">
            <v>0.1</v>
          </cell>
        </row>
        <row r="567">
          <cell r="B567" t="str">
            <v>SAMG</v>
          </cell>
          <cell r="C567">
            <v>0.66</v>
          </cell>
          <cell r="D567">
            <v>0.64</v>
          </cell>
          <cell r="F567">
            <v>0.56000000000000005</v>
          </cell>
          <cell r="H567">
            <v>0.48</v>
          </cell>
          <cell r="N567">
            <v>0</v>
          </cell>
        </row>
        <row r="568">
          <cell r="B568" t="str">
            <v>SAP</v>
          </cell>
          <cell r="C568">
            <v>2.2599</v>
          </cell>
          <cell r="D568">
            <v>1.7337</v>
          </cell>
          <cell r="F568">
            <v>1.6546000000000001</v>
          </cell>
          <cell r="H568">
            <v>1.3051999999999999</v>
          </cell>
          <cell r="N568">
            <v>0.85</v>
          </cell>
        </row>
        <row r="569">
          <cell r="B569" t="str">
            <v>SASR</v>
          </cell>
          <cell r="C569">
            <v>1.28</v>
          </cell>
          <cell r="D569">
            <v>1.2</v>
          </cell>
          <cell r="F569">
            <v>1.1000000000000001</v>
          </cell>
          <cell r="H569">
            <v>0.98</v>
          </cell>
          <cell r="N569">
            <v>0.34</v>
          </cell>
        </row>
        <row r="570">
          <cell r="B570" t="str">
            <v>SBFG</v>
          </cell>
          <cell r="C570">
            <v>0.44</v>
          </cell>
          <cell r="D570">
            <v>0.4</v>
          </cell>
          <cell r="F570">
            <v>0.32</v>
          </cell>
          <cell r="H570">
            <v>0.24</v>
          </cell>
          <cell r="N570">
            <v>0</v>
          </cell>
        </row>
        <row r="571">
          <cell r="B571" t="str">
            <v>SBSI</v>
          </cell>
          <cell r="C571">
            <v>1.31</v>
          </cell>
          <cell r="D571">
            <v>1.25</v>
          </cell>
          <cell r="F571">
            <v>1.2</v>
          </cell>
          <cell r="H571">
            <v>0.91475024390243909</v>
          </cell>
          <cell r="N571">
            <v>0.52885722989304484</v>
          </cell>
        </row>
        <row r="572">
          <cell r="B572" t="str">
            <v>SBUX</v>
          </cell>
          <cell r="C572">
            <v>1.84</v>
          </cell>
          <cell r="D572">
            <v>1.68</v>
          </cell>
          <cell r="F572">
            <v>1.32</v>
          </cell>
          <cell r="H572">
            <v>0.85</v>
          </cell>
          <cell r="N572">
            <v>0.28000000000000003</v>
          </cell>
        </row>
        <row r="573">
          <cell r="B573" t="str">
            <v>SCI</v>
          </cell>
          <cell r="C573">
            <v>0.88</v>
          </cell>
          <cell r="D573">
            <v>0.78</v>
          </cell>
          <cell r="F573">
            <v>0.68</v>
          </cell>
          <cell r="H573">
            <v>0.51</v>
          </cell>
          <cell r="N573">
            <v>0.19</v>
          </cell>
        </row>
        <row r="574">
          <cell r="B574" t="str">
            <v>SCL</v>
          </cell>
          <cell r="C574">
            <v>1.25</v>
          </cell>
          <cell r="D574">
            <v>1.1299999999999999</v>
          </cell>
          <cell r="F574">
            <v>0.92500000000000004</v>
          </cell>
          <cell r="H574">
            <v>0.78500000000000003</v>
          </cell>
          <cell r="N574">
            <v>0.53</v>
          </cell>
        </row>
        <row r="575">
          <cell r="B575" t="str">
            <v>SCVL</v>
          </cell>
          <cell r="C575">
            <v>0.255</v>
          </cell>
          <cell r="D575">
            <v>0.17499999999999999</v>
          </cell>
          <cell r="F575">
            <v>0.155</v>
          </cell>
          <cell r="H575">
            <v>0.13500000000000001</v>
          </cell>
          <cell r="N575">
            <v>0</v>
          </cell>
        </row>
        <row r="576">
          <cell r="B576" t="str">
            <v>SEIC</v>
          </cell>
          <cell r="C576">
            <v>0.74</v>
          </cell>
          <cell r="D576">
            <v>0.7</v>
          </cell>
          <cell r="F576">
            <v>0.6</v>
          </cell>
          <cell r="H576">
            <v>0.52</v>
          </cell>
          <cell r="N576">
            <v>0.22</v>
          </cell>
        </row>
        <row r="577">
          <cell r="B577" t="str">
            <v>SF</v>
          </cell>
          <cell r="C577">
            <v>0.6</v>
          </cell>
          <cell r="D577">
            <v>0.45333333333333337</v>
          </cell>
          <cell r="F577">
            <v>0.32</v>
          </cell>
          <cell r="H577">
            <v>0</v>
          </cell>
          <cell r="N577">
            <v>0</v>
          </cell>
        </row>
        <row r="578">
          <cell r="B578" t="str">
            <v>SFBS</v>
          </cell>
          <cell r="C578">
            <v>0.8</v>
          </cell>
          <cell r="D578">
            <v>0.7</v>
          </cell>
          <cell r="F578">
            <v>0.38</v>
          </cell>
          <cell r="H578">
            <v>0.15</v>
          </cell>
          <cell r="N578">
            <v>0</v>
          </cell>
        </row>
        <row r="579">
          <cell r="B579" t="str">
            <v>SFNC</v>
          </cell>
          <cell r="C579">
            <v>0.71</v>
          </cell>
          <cell r="D579">
            <v>0.67</v>
          </cell>
          <cell r="F579">
            <v>0.57499999999999996</v>
          </cell>
          <cell r="H579">
            <v>0.47499999999999998</v>
          </cell>
          <cell r="N579">
            <v>0.39</v>
          </cell>
        </row>
        <row r="580">
          <cell r="B580" t="str">
            <v>SGU</v>
          </cell>
          <cell r="C580">
            <v>0.56000000000000005</v>
          </cell>
          <cell r="D580">
            <v>0.52249999999999996</v>
          </cell>
          <cell r="F580">
            <v>0.46250000000000002</v>
          </cell>
          <cell r="H580">
            <v>0.40250000000000002</v>
          </cell>
          <cell r="N580">
            <v>0.31</v>
          </cell>
        </row>
        <row r="581">
          <cell r="B581" t="str">
            <v>SHW</v>
          </cell>
          <cell r="C581">
            <v>2.2000000000000002</v>
          </cell>
          <cell r="D581">
            <v>1.7866666666666668</v>
          </cell>
          <cell r="F581">
            <v>1.1466666666666667</v>
          </cell>
          <cell r="H581">
            <v>1.1199999999999999</v>
          </cell>
          <cell r="N581">
            <v>0.48666666666666664</v>
          </cell>
        </row>
        <row r="582">
          <cell r="B582" t="str">
            <v>SIGI</v>
          </cell>
          <cell r="C582">
            <v>1.03</v>
          </cell>
          <cell r="D582">
            <v>0.94</v>
          </cell>
          <cell r="F582">
            <v>0.74</v>
          </cell>
          <cell r="H582">
            <v>0.61</v>
          </cell>
          <cell r="N582">
            <v>0.52</v>
          </cell>
        </row>
        <row r="583">
          <cell r="B583" t="str">
            <v>SIMO</v>
          </cell>
          <cell r="C583">
            <v>1.55</v>
          </cell>
          <cell r="D583">
            <v>1.4</v>
          </cell>
          <cell r="F583">
            <v>1.2</v>
          </cell>
          <cell r="H583">
            <v>0.65</v>
          </cell>
          <cell r="N583">
            <v>0</v>
          </cell>
        </row>
        <row r="584">
          <cell r="B584" t="str">
            <v>SIRI</v>
          </cell>
          <cell r="C584">
            <v>6.5823000000000007E-2</v>
          </cell>
          <cell r="D584">
            <v>5.4571000000000001E-2</v>
          </cell>
          <cell r="F584">
            <v>4.5100000000000001E-2</v>
          </cell>
          <cell r="H584">
            <v>0.01</v>
          </cell>
          <cell r="N584">
            <v>0</v>
          </cell>
        </row>
        <row r="585">
          <cell r="B585" t="str">
            <v>SJI</v>
          </cell>
          <cell r="C585">
            <v>1.2175</v>
          </cell>
          <cell r="D585">
            <v>1.1875</v>
          </cell>
          <cell r="F585">
            <v>1.1274999999999999</v>
          </cell>
          <cell r="H585">
            <v>1.06375</v>
          </cell>
          <cell r="N585">
            <v>0.74875000000000003</v>
          </cell>
        </row>
        <row r="586">
          <cell r="B586" t="str">
            <v>SJM</v>
          </cell>
          <cell r="C586">
            <v>3.78</v>
          </cell>
          <cell r="D586">
            <v>3.56</v>
          </cell>
          <cell r="F586">
            <v>3.26</v>
          </cell>
          <cell r="H586">
            <v>2.84</v>
          </cell>
          <cell r="N586">
            <v>1.84</v>
          </cell>
        </row>
        <row r="587">
          <cell r="B587" t="str">
            <v>SJW</v>
          </cell>
          <cell r="C587">
            <v>1.36</v>
          </cell>
          <cell r="D587">
            <v>1.28</v>
          </cell>
          <cell r="F587">
            <v>1.1200000000000001</v>
          </cell>
          <cell r="H587">
            <v>0.81</v>
          </cell>
          <cell r="N587">
            <v>0.69</v>
          </cell>
        </row>
        <row r="588">
          <cell r="B588" t="str">
            <v>SLG</v>
          </cell>
          <cell r="C588">
            <v>3.6396000000000002</v>
          </cell>
          <cell r="D588">
            <v>3.54</v>
          </cell>
          <cell r="F588">
            <v>3.25</v>
          </cell>
          <cell r="H588">
            <v>2.88</v>
          </cell>
          <cell r="N588">
            <v>0.4</v>
          </cell>
        </row>
        <row r="589">
          <cell r="B589" t="str">
            <v>SLGN</v>
          </cell>
          <cell r="C589">
            <v>0.56000000000000005</v>
          </cell>
          <cell r="D589">
            <v>0.48</v>
          </cell>
          <cell r="F589">
            <v>0.4</v>
          </cell>
          <cell r="H589">
            <v>0.34</v>
          </cell>
          <cell r="N589">
            <v>0.22</v>
          </cell>
        </row>
        <row r="590">
          <cell r="B590" t="str">
            <v>SMBC</v>
          </cell>
          <cell r="C590">
            <v>0.72</v>
          </cell>
          <cell r="D590">
            <v>0.6</v>
          </cell>
          <cell r="F590">
            <v>0.48</v>
          </cell>
          <cell r="H590">
            <v>0.38</v>
          </cell>
          <cell r="N590">
            <v>0.24</v>
          </cell>
        </row>
        <row r="591">
          <cell r="B591" t="str">
            <v>SMG</v>
          </cell>
          <cell r="C591">
            <v>2.56</v>
          </cell>
          <cell r="D591">
            <v>2.4</v>
          </cell>
          <cell r="F591">
            <v>2.16</v>
          </cell>
          <cell r="H591">
            <v>1.94</v>
          </cell>
          <cell r="N591">
            <v>1.1000000000000001</v>
          </cell>
        </row>
        <row r="592">
          <cell r="B592" t="str">
            <v>SMMF</v>
          </cell>
          <cell r="C592">
            <v>0.7</v>
          </cell>
          <cell r="D592">
            <v>0.68</v>
          </cell>
          <cell r="F592">
            <v>0.53</v>
          </cell>
          <cell r="H592">
            <v>0.4</v>
          </cell>
          <cell r="N592">
            <v>0</v>
          </cell>
        </row>
        <row r="593">
          <cell r="B593" t="str">
            <v>SNA</v>
          </cell>
          <cell r="C593">
            <v>5.1100000000000003</v>
          </cell>
          <cell r="D593">
            <v>4.47</v>
          </cell>
          <cell r="F593">
            <v>3.41</v>
          </cell>
          <cell r="H593">
            <v>2.54</v>
          </cell>
          <cell r="N593">
            <v>1.3</v>
          </cell>
        </row>
        <row r="594">
          <cell r="B594" t="str">
            <v>SNDR</v>
          </cell>
          <cell r="C594">
            <v>0.27500000000000002</v>
          </cell>
          <cell r="D594">
            <v>0.255</v>
          </cell>
          <cell r="F594">
            <v>0.22999999999999998</v>
          </cell>
          <cell r="H594">
            <v>0</v>
          </cell>
          <cell r="N594">
            <v>0</v>
          </cell>
        </row>
        <row r="595">
          <cell r="B595" t="str">
            <v>SNV</v>
          </cell>
          <cell r="C595">
            <v>1.32</v>
          </cell>
          <cell r="D595">
            <v>1.29</v>
          </cell>
          <cell r="F595">
            <v>0.9</v>
          </cell>
          <cell r="H595">
            <v>0.48</v>
          </cell>
          <cell r="N595">
            <v>0.04</v>
          </cell>
        </row>
        <row r="596">
          <cell r="B596" t="str">
            <v>SO</v>
          </cell>
          <cell r="C596">
            <v>2.62</v>
          </cell>
          <cell r="D596">
            <v>2.54</v>
          </cell>
          <cell r="F596">
            <v>2.38</v>
          </cell>
          <cell r="H596">
            <v>2.2225000000000001</v>
          </cell>
          <cell r="N596">
            <v>1.8725000000000001</v>
          </cell>
        </row>
        <row r="597">
          <cell r="B597" t="str">
            <v>SOMC</v>
          </cell>
          <cell r="C597">
            <v>0.47499999999999998</v>
          </cell>
          <cell r="D597">
            <v>0.46</v>
          </cell>
          <cell r="F597">
            <v>0.43</v>
          </cell>
          <cell r="H597">
            <v>0.35</v>
          </cell>
          <cell r="N597">
            <v>0.1</v>
          </cell>
        </row>
        <row r="598">
          <cell r="B598" t="str">
            <v>SON</v>
          </cell>
          <cell r="C598">
            <v>1.8</v>
          </cell>
          <cell r="D598">
            <v>1.72</v>
          </cell>
          <cell r="F598">
            <v>1.62</v>
          </cell>
          <cell r="H598">
            <v>1.46</v>
          </cell>
          <cell r="N598">
            <v>1.1499999999999999</v>
          </cell>
        </row>
        <row r="599">
          <cell r="B599" t="str">
            <v>SONY</v>
          </cell>
          <cell r="C599">
            <v>0.53839999999999999</v>
          </cell>
          <cell r="D599">
            <v>0.4667</v>
          </cell>
          <cell r="F599">
            <v>0.26929999999999998</v>
          </cell>
          <cell r="H599">
            <v>0.17799999999999999</v>
          </cell>
          <cell r="N599">
            <v>0.31640000000000001</v>
          </cell>
        </row>
        <row r="600">
          <cell r="B600" t="str">
            <v>SPGI</v>
          </cell>
          <cell r="C600">
            <v>3.08</v>
          </cell>
          <cell r="D600">
            <v>2.68</v>
          </cell>
          <cell r="F600">
            <v>2</v>
          </cell>
          <cell r="H600">
            <v>1.44</v>
          </cell>
          <cell r="N600">
            <v>1</v>
          </cell>
        </row>
        <row r="601">
          <cell r="B601" t="str">
            <v>SPTN</v>
          </cell>
          <cell r="C601">
            <v>0.8</v>
          </cell>
          <cell r="D601">
            <v>0.77</v>
          </cell>
          <cell r="F601">
            <v>0.72</v>
          </cell>
          <cell r="H601">
            <v>0.6</v>
          </cell>
          <cell r="N601">
            <v>0.245</v>
          </cell>
        </row>
        <row r="602">
          <cell r="B602" t="str">
            <v>SR</v>
          </cell>
          <cell r="C602">
            <v>2.6</v>
          </cell>
          <cell r="D602">
            <v>2.4900000000000002</v>
          </cell>
          <cell r="F602">
            <v>2.25</v>
          </cell>
          <cell r="H602">
            <v>1.96</v>
          </cell>
          <cell r="N602">
            <v>1.62</v>
          </cell>
        </row>
        <row r="603">
          <cell r="B603" t="str">
            <v>SRCE</v>
          </cell>
          <cell r="C603">
            <v>1.21</v>
          </cell>
          <cell r="D603">
            <v>1.1299999999999999</v>
          </cell>
          <cell r="F603">
            <v>0.96</v>
          </cell>
          <cell r="H603">
            <v>0.72</v>
          </cell>
          <cell r="N603">
            <v>0.58181818181818179</v>
          </cell>
        </row>
        <row r="604">
          <cell r="B604" t="str">
            <v>SRE</v>
          </cell>
          <cell r="C604">
            <v>4.3449999999999998</v>
          </cell>
          <cell r="D604">
            <v>4.1025</v>
          </cell>
          <cell r="F604">
            <v>3.5074999999999998</v>
          </cell>
          <cell r="H604">
            <v>2.9649999999999999</v>
          </cell>
          <cell r="N604">
            <v>1.83</v>
          </cell>
        </row>
        <row r="605">
          <cell r="B605" t="str">
            <v>SSB</v>
          </cell>
          <cell r="C605">
            <v>1.92</v>
          </cell>
          <cell r="D605">
            <v>1.88</v>
          </cell>
          <cell r="F605">
            <v>1.38</v>
          </cell>
          <cell r="H605">
            <v>1.21</v>
          </cell>
          <cell r="N605">
            <v>0.68</v>
          </cell>
        </row>
        <row r="606">
          <cell r="B606" t="str">
            <v>SSD</v>
          </cell>
          <cell r="C606">
            <v>0.96</v>
          </cell>
          <cell r="D606">
            <v>0.92</v>
          </cell>
          <cell r="F606">
            <v>0.86</v>
          </cell>
          <cell r="H606">
            <v>0.68</v>
          </cell>
          <cell r="N606">
            <v>0.47499999999999998</v>
          </cell>
        </row>
        <row r="607">
          <cell r="B607" t="str">
            <v>SSNC</v>
          </cell>
          <cell r="C607">
            <v>0.68</v>
          </cell>
          <cell r="D607">
            <v>0.53</v>
          </cell>
          <cell r="F607">
            <v>0.3</v>
          </cell>
          <cell r="H607">
            <v>0.25</v>
          </cell>
          <cell r="N607">
            <v>0</v>
          </cell>
        </row>
        <row r="608">
          <cell r="B608" t="str">
            <v>STAG</v>
          </cell>
          <cell r="C608">
            <v>1.4499960000000001</v>
          </cell>
          <cell r="D608">
            <v>1.4392</v>
          </cell>
          <cell r="F608">
            <v>1.42</v>
          </cell>
          <cell r="H608">
            <v>1.3908</v>
          </cell>
          <cell r="N608">
            <v>0.46600000000000003</v>
          </cell>
        </row>
        <row r="609">
          <cell r="B609" t="str">
            <v>STBA</v>
          </cell>
          <cell r="C609">
            <v>1.1299999999999999</v>
          </cell>
          <cell r="D609">
            <v>1.1200000000000001</v>
          </cell>
          <cell r="F609">
            <v>0.99</v>
          </cell>
          <cell r="H609">
            <v>0.77</v>
          </cell>
          <cell r="N609">
            <v>0.6</v>
          </cell>
        </row>
        <row r="610">
          <cell r="B610" t="str">
            <v>STE</v>
          </cell>
          <cell r="C610">
            <v>1.66</v>
          </cell>
          <cell r="D610">
            <v>1.54</v>
          </cell>
          <cell r="F610">
            <v>1.3</v>
          </cell>
          <cell r="H610">
            <v>1.06</v>
          </cell>
          <cell r="N610">
            <v>0.64</v>
          </cell>
        </row>
        <row r="611">
          <cell r="B611" t="str">
            <v>STLD</v>
          </cell>
          <cell r="C611">
            <v>1.03</v>
          </cell>
          <cell r="D611">
            <v>0.99</v>
          </cell>
          <cell r="F611">
            <v>0.71750000000000003</v>
          </cell>
          <cell r="H611">
            <v>0.5575</v>
          </cell>
          <cell r="N611">
            <v>0.375</v>
          </cell>
        </row>
        <row r="612">
          <cell r="B612" t="str">
            <v>STOR</v>
          </cell>
          <cell r="C612">
            <v>1.4650000000000001</v>
          </cell>
          <cell r="D612">
            <v>1.41</v>
          </cell>
          <cell r="F612">
            <v>1.26</v>
          </cell>
          <cell r="H612">
            <v>1.1000000000000001</v>
          </cell>
          <cell r="N612">
            <v>0</v>
          </cell>
        </row>
        <row r="613">
          <cell r="B613" t="str">
            <v>STT</v>
          </cell>
          <cell r="C613">
            <v>2.13</v>
          </cell>
          <cell r="D613">
            <v>2.08</v>
          </cell>
          <cell r="F613">
            <v>1.78</v>
          </cell>
          <cell r="H613">
            <v>1.4</v>
          </cell>
          <cell r="N613">
            <v>0.55000000000000004</v>
          </cell>
        </row>
        <row r="614">
          <cell r="B614" t="str">
            <v>STZ</v>
          </cell>
          <cell r="C614">
            <v>3.03</v>
          </cell>
          <cell r="D614">
            <v>3</v>
          </cell>
          <cell r="F614">
            <v>2.74</v>
          </cell>
          <cell r="H614">
            <v>1.51</v>
          </cell>
          <cell r="N614">
            <v>0</v>
          </cell>
        </row>
        <row r="615">
          <cell r="B615" t="str">
            <v>SUI</v>
          </cell>
          <cell r="C615">
            <v>3.28</v>
          </cell>
          <cell r="D615">
            <v>3.12</v>
          </cell>
          <cell r="F615">
            <v>2.8</v>
          </cell>
          <cell r="H615">
            <v>2.6</v>
          </cell>
          <cell r="N615">
            <v>2.52</v>
          </cell>
        </row>
        <row r="616">
          <cell r="B616" t="str">
            <v>SWCH</v>
          </cell>
          <cell r="C616">
            <v>0.20499999999999999</v>
          </cell>
          <cell r="D616">
            <v>0.15880000000000002</v>
          </cell>
          <cell r="F616">
            <v>5.8799999999999998E-2</v>
          </cell>
          <cell r="H616">
            <v>0</v>
          </cell>
          <cell r="N616">
            <v>0</v>
          </cell>
        </row>
        <row r="617">
          <cell r="B617" t="str">
            <v>SWK</v>
          </cell>
          <cell r="C617">
            <v>2.98</v>
          </cell>
          <cell r="D617">
            <v>2.78</v>
          </cell>
          <cell r="F617">
            <v>2.58</v>
          </cell>
          <cell r="H617">
            <v>2.2599999999999998</v>
          </cell>
          <cell r="N617">
            <v>1.64</v>
          </cell>
        </row>
        <row r="618">
          <cell r="B618" t="str">
            <v>SWKS</v>
          </cell>
          <cell r="C618">
            <v>2.12</v>
          </cell>
          <cell r="D618">
            <v>1.88</v>
          </cell>
          <cell r="F618">
            <v>1.4</v>
          </cell>
          <cell r="H618">
            <v>1.08</v>
          </cell>
          <cell r="N618">
            <v>0</v>
          </cell>
        </row>
        <row r="619">
          <cell r="B619" t="str">
            <v>SWX</v>
          </cell>
          <cell r="C619">
            <v>2.355</v>
          </cell>
          <cell r="D619">
            <v>2.2549999999999999</v>
          </cell>
          <cell r="F619">
            <v>2.0550000000000002</v>
          </cell>
          <cell r="H619">
            <v>1.7549999999999999</v>
          </cell>
          <cell r="N619">
            <v>1.0549999999999999</v>
          </cell>
        </row>
        <row r="620">
          <cell r="B620" t="str">
            <v>SXI</v>
          </cell>
          <cell r="C620">
            <v>0.98</v>
          </cell>
          <cell r="D620">
            <v>0.9</v>
          </cell>
          <cell r="F620">
            <v>0.74</v>
          </cell>
          <cell r="H620">
            <v>0.57999999999999996</v>
          </cell>
          <cell r="N620">
            <v>0.25</v>
          </cell>
        </row>
        <row r="621">
          <cell r="B621" t="str">
            <v>SXT</v>
          </cell>
          <cell r="C621">
            <v>1.58</v>
          </cell>
          <cell r="D621">
            <v>1.56</v>
          </cell>
          <cell r="F621">
            <v>1.35</v>
          </cell>
          <cell r="H621">
            <v>1.1100000000000001</v>
          </cell>
          <cell r="N621">
            <v>0.84</v>
          </cell>
        </row>
        <row r="622">
          <cell r="B622" t="str">
            <v>SYBT</v>
          </cell>
          <cell r="C622">
            <v>1.1000000000000001</v>
          </cell>
          <cell r="D622">
            <v>1.08</v>
          </cell>
          <cell r="F622">
            <v>0.96</v>
          </cell>
          <cell r="H622">
            <v>0.71666700000000005</v>
          </cell>
          <cell r="N622">
            <v>0.48</v>
          </cell>
        </row>
        <row r="623">
          <cell r="B623" t="str">
            <v>SYK</v>
          </cell>
          <cell r="C623">
            <v>2.52</v>
          </cell>
          <cell r="D623">
            <v>2.2999999999999998</v>
          </cell>
          <cell r="F623">
            <v>1.88</v>
          </cell>
          <cell r="H623">
            <v>1.52</v>
          </cell>
          <cell r="N623">
            <v>0.72</v>
          </cell>
        </row>
        <row r="624">
          <cell r="B624" t="str">
            <v>SYY</v>
          </cell>
          <cell r="C624">
            <v>1.84</v>
          </cell>
          <cell r="D624">
            <v>1.8</v>
          </cell>
          <cell r="F624">
            <v>1.44</v>
          </cell>
          <cell r="H624">
            <v>1.24</v>
          </cell>
          <cell r="N624">
            <v>1.04</v>
          </cell>
        </row>
        <row r="625">
          <cell r="B625" t="str">
            <v>TAIT</v>
          </cell>
          <cell r="C625">
            <v>0.16500000000000001</v>
          </cell>
          <cell r="D625">
            <v>0.14499999999999999</v>
          </cell>
          <cell r="F625">
            <v>0.10500000000000001</v>
          </cell>
          <cell r="H625">
            <v>7.5000000000000011E-2</v>
          </cell>
          <cell r="N625">
            <v>0</v>
          </cell>
        </row>
        <row r="626">
          <cell r="B626" t="str">
            <v>TCBK</v>
          </cell>
          <cell r="C626">
            <v>1</v>
          </cell>
          <cell r="D626">
            <v>0.88</v>
          </cell>
          <cell r="F626">
            <v>0.7</v>
          </cell>
          <cell r="H626">
            <v>0.6</v>
          </cell>
          <cell r="N626">
            <v>0.36</v>
          </cell>
        </row>
        <row r="627">
          <cell r="B627" t="str">
            <v>TD</v>
          </cell>
          <cell r="C627">
            <v>2.5091000000000001</v>
          </cell>
          <cell r="D627">
            <v>2.3077999999999999</v>
          </cell>
          <cell r="F627">
            <v>2.0369999999999999</v>
          </cell>
          <cell r="H627">
            <v>1.6227999999999998</v>
          </cell>
          <cell r="N627">
            <v>1.31765</v>
          </cell>
        </row>
        <row r="628">
          <cell r="B628" t="str">
            <v>TDS</v>
          </cell>
          <cell r="C628">
            <v>0.7</v>
          </cell>
          <cell r="D628">
            <v>0.68</v>
          </cell>
          <cell r="F628">
            <v>0.64</v>
          </cell>
          <cell r="H628">
            <v>0.59199999999999997</v>
          </cell>
          <cell r="N628">
            <v>0.47</v>
          </cell>
        </row>
        <row r="629">
          <cell r="B629" t="str">
            <v>TEL</v>
          </cell>
          <cell r="C629">
            <v>1.98</v>
          </cell>
          <cell r="D629">
            <v>1.9</v>
          </cell>
          <cell r="F629">
            <v>1.72</v>
          </cell>
          <cell r="H629">
            <v>1.44</v>
          </cell>
          <cell r="N629">
            <v>0.7</v>
          </cell>
        </row>
        <row r="630">
          <cell r="B630" t="str">
            <v>TFC</v>
          </cell>
          <cell r="C630">
            <v>1.86</v>
          </cell>
          <cell r="D630">
            <v>1.8</v>
          </cell>
          <cell r="F630">
            <v>1.5149999999999999</v>
          </cell>
          <cell r="H630">
            <v>1.1499999999999999</v>
          </cell>
          <cell r="N630">
            <v>0.64</v>
          </cell>
        </row>
        <row r="631">
          <cell r="B631" t="str">
            <v>TFSL</v>
          </cell>
          <cell r="C631">
            <v>1.125</v>
          </cell>
          <cell r="D631">
            <v>1.1200000000000001</v>
          </cell>
          <cell r="F631">
            <v>0.84</v>
          </cell>
          <cell r="H631">
            <v>0.45</v>
          </cell>
          <cell r="N631">
            <v>0</v>
          </cell>
        </row>
        <row r="632">
          <cell r="B632" t="str">
            <v>TGT</v>
          </cell>
          <cell r="C632">
            <v>3.16</v>
          </cell>
          <cell r="D632">
            <v>2.68</v>
          </cell>
          <cell r="F632">
            <v>2.52</v>
          </cell>
          <cell r="H632">
            <v>2.3199999999999998</v>
          </cell>
          <cell r="N632">
            <v>1.1000000000000001</v>
          </cell>
        </row>
        <row r="633">
          <cell r="B633" t="str">
            <v>THFF</v>
          </cell>
          <cell r="C633">
            <v>1.06</v>
          </cell>
          <cell r="D633">
            <v>1.04</v>
          </cell>
          <cell r="F633">
            <v>1.02</v>
          </cell>
          <cell r="H633">
            <v>0.99</v>
          </cell>
          <cell r="N633">
            <v>0.93</v>
          </cell>
        </row>
        <row r="634">
          <cell r="B634" t="str">
            <v>THG</v>
          </cell>
          <cell r="C634">
            <v>2.85</v>
          </cell>
          <cell r="D634">
            <v>2.65</v>
          </cell>
          <cell r="F634">
            <v>2.2200000000000002</v>
          </cell>
          <cell r="H634">
            <v>1.88</v>
          </cell>
          <cell r="N634">
            <v>1.125</v>
          </cell>
        </row>
        <row r="635">
          <cell r="B635" t="str">
            <v>THO</v>
          </cell>
          <cell r="C635">
            <v>1.66</v>
          </cell>
          <cell r="D635">
            <v>1.61</v>
          </cell>
          <cell r="F635">
            <v>1.5</v>
          </cell>
          <cell r="H635">
            <v>1.26</v>
          </cell>
          <cell r="N635">
            <v>0.45</v>
          </cell>
        </row>
        <row r="636">
          <cell r="B636" t="str">
            <v>TKR</v>
          </cell>
          <cell r="C636">
            <v>1.19</v>
          </cell>
          <cell r="D636">
            <v>1.1299999999999999</v>
          </cell>
          <cell r="F636">
            <v>1.1100000000000001</v>
          </cell>
          <cell r="H636">
            <v>1.04</v>
          </cell>
          <cell r="N636">
            <v>0.78</v>
          </cell>
        </row>
        <row r="637">
          <cell r="B637" t="str">
            <v>TMO</v>
          </cell>
          <cell r="C637">
            <v>1</v>
          </cell>
          <cell r="D637">
            <v>0.85000000000000009</v>
          </cell>
          <cell r="F637">
            <v>0.66</v>
          </cell>
          <cell r="H637">
            <v>0.6</v>
          </cell>
          <cell r="N637">
            <v>0</v>
          </cell>
        </row>
        <row r="638">
          <cell r="B638" t="str">
            <v>TMP</v>
          </cell>
          <cell r="C638">
            <v>2.19</v>
          </cell>
          <cell r="D638">
            <v>2.1</v>
          </cell>
          <cell r="F638">
            <v>1.94</v>
          </cell>
          <cell r="H638">
            <v>1.77</v>
          </cell>
          <cell r="N638">
            <v>1.4</v>
          </cell>
        </row>
        <row r="639">
          <cell r="B639" t="str">
            <v>TNC</v>
          </cell>
          <cell r="C639">
            <v>0.94</v>
          </cell>
          <cell r="D639">
            <v>0.89</v>
          </cell>
          <cell r="F639">
            <v>0.85</v>
          </cell>
          <cell r="H639">
            <v>0.81</v>
          </cell>
          <cell r="N639">
            <v>0.68</v>
          </cell>
        </row>
        <row r="640">
          <cell r="B640" t="str">
            <v>TOWN</v>
          </cell>
          <cell r="C640">
            <v>0.76</v>
          </cell>
          <cell r="D640">
            <v>0.72</v>
          </cell>
          <cell r="F640">
            <v>0.6</v>
          </cell>
          <cell r="H640">
            <v>0.5</v>
          </cell>
          <cell r="N640">
            <v>0.31068000000000001</v>
          </cell>
        </row>
        <row r="641">
          <cell r="B641" t="str">
            <v>TPL</v>
          </cell>
          <cell r="C641">
            <v>11</v>
          </cell>
          <cell r="D641">
            <v>10</v>
          </cell>
          <cell r="F641">
            <v>1.05</v>
          </cell>
          <cell r="H641">
            <v>0.31</v>
          </cell>
          <cell r="N641">
            <v>0.21</v>
          </cell>
        </row>
        <row r="642">
          <cell r="B642" t="str">
            <v>TR</v>
          </cell>
          <cell r="C642">
            <v>0.35475728155339803</v>
          </cell>
          <cell r="D642">
            <v>0.34442454519747379</v>
          </cell>
          <cell r="F642">
            <v>0.32465316730839261</v>
          </cell>
          <cell r="H642">
            <v>0.30601674739220719</v>
          </cell>
          <cell r="N642">
            <v>0.23117480851160388</v>
          </cell>
        </row>
        <row r="643">
          <cell r="B643" t="str">
            <v>TRI</v>
          </cell>
          <cell r="C643">
            <v>1.62</v>
          </cell>
          <cell r="D643">
            <v>1.52</v>
          </cell>
          <cell r="F643">
            <v>1.385</v>
          </cell>
          <cell r="H643">
            <v>1.36</v>
          </cell>
          <cell r="N643">
            <v>1.24</v>
          </cell>
        </row>
        <row r="644">
          <cell r="B644" t="str">
            <v>TRN</v>
          </cell>
          <cell r="C644">
            <v>0.84</v>
          </cell>
          <cell r="D644">
            <v>0.76</v>
          </cell>
          <cell r="F644">
            <v>0.52</v>
          </cell>
          <cell r="H644">
            <v>0.44</v>
          </cell>
          <cell r="N644">
            <v>0.17</v>
          </cell>
        </row>
        <row r="645">
          <cell r="B645" t="str">
            <v>TRNO</v>
          </cell>
          <cell r="C645">
            <v>1.21</v>
          </cell>
          <cell r="D645">
            <v>1.1000000000000001</v>
          </cell>
          <cell r="F645">
            <v>0.9</v>
          </cell>
          <cell r="H645">
            <v>0.76</v>
          </cell>
          <cell r="N645">
            <v>0.3</v>
          </cell>
        </row>
        <row r="646">
          <cell r="B646" t="str">
            <v>TROW</v>
          </cell>
          <cell r="C646">
            <v>4.32</v>
          </cell>
          <cell r="D646">
            <v>3.6</v>
          </cell>
          <cell r="F646">
            <v>2.8</v>
          </cell>
          <cell r="H646">
            <v>2.16</v>
          </cell>
          <cell r="N646">
            <v>1.24</v>
          </cell>
        </row>
        <row r="647">
          <cell r="B647" t="str">
            <v>TRTN</v>
          </cell>
          <cell r="C647">
            <v>2.36</v>
          </cell>
          <cell r="D647">
            <v>2.13</v>
          </cell>
          <cell r="F647">
            <v>2.0099999999999998</v>
          </cell>
          <cell r="H647">
            <v>0.9</v>
          </cell>
          <cell r="N647">
            <v>0</v>
          </cell>
        </row>
        <row r="648">
          <cell r="B648" t="str">
            <v>TRUX</v>
          </cell>
          <cell r="C648">
            <v>1.2</v>
          </cell>
          <cell r="D648">
            <v>1.1200000000000001</v>
          </cell>
          <cell r="F648">
            <v>0.88</v>
          </cell>
          <cell r="H648">
            <v>0.72</v>
          </cell>
          <cell r="N648">
            <v>0</v>
          </cell>
        </row>
        <row r="649">
          <cell r="B649" t="str">
            <v>TRV</v>
          </cell>
          <cell r="C649">
            <v>3.49</v>
          </cell>
          <cell r="D649">
            <v>3.37</v>
          </cell>
          <cell r="F649">
            <v>3.03</v>
          </cell>
          <cell r="H649">
            <v>2.62</v>
          </cell>
          <cell r="N649">
            <v>1.59</v>
          </cell>
        </row>
        <row r="650">
          <cell r="B650" t="str">
            <v>TSBK</v>
          </cell>
          <cell r="C650">
            <v>0.84</v>
          </cell>
          <cell r="D650">
            <v>0.8</v>
          </cell>
          <cell r="F650">
            <v>0.52</v>
          </cell>
          <cell r="H650">
            <v>0.34</v>
          </cell>
          <cell r="N650">
            <v>0</v>
          </cell>
        </row>
        <row r="651">
          <cell r="B651" t="str">
            <v>TSCO</v>
          </cell>
          <cell r="C651">
            <v>2.08</v>
          </cell>
          <cell r="D651">
            <v>1.5</v>
          </cell>
          <cell r="F651">
            <v>1.2</v>
          </cell>
          <cell r="H651">
            <v>0.92</v>
          </cell>
          <cell r="N651">
            <v>0.215</v>
          </cell>
        </row>
        <row r="652">
          <cell r="B652" t="str">
            <v>TSN</v>
          </cell>
          <cell r="C652">
            <v>1.7949999999999999</v>
          </cell>
          <cell r="D652">
            <v>1.7050000000000001</v>
          </cell>
          <cell r="F652">
            <v>1.2749999999999999</v>
          </cell>
          <cell r="H652">
            <v>0.6</v>
          </cell>
          <cell r="N652">
            <v>0.16</v>
          </cell>
        </row>
        <row r="653">
          <cell r="B653" t="str">
            <v>TTC</v>
          </cell>
          <cell r="C653">
            <v>1.05</v>
          </cell>
          <cell r="D653">
            <v>1</v>
          </cell>
          <cell r="F653">
            <v>0.8</v>
          </cell>
          <cell r="H653">
            <v>0.6</v>
          </cell>
          <cell r="N653">
            <v>0.2</v>
          </cell>
        </row>
        <row r="654">
          <cell r="B654" t="str">
            <v>TTEC</v>
          </cell>
          <cell r="C654">
            <v>0.9</v>
          </cell>
          <cell r="D654">
            <v>0.74</v>
          </cell>
          <cell r="F654">
            <v>0.55000000000000004</v>
          </cell>
          <cell r="H654">
            <v>0.38500000000000001</v>
          </cell>
          <cell r="N654">
            <v>0</v>
          </cell>
        </row>
        <row r="655">
          <cell r="B655" t="str">
            <v>TTEK</v>
          </cell>
          <cell r="C655">
            <v>0.77</v>
          </cell>
          <cell r="D655">
            <v>0.66</v>
          </cell>
          <cell r="F655">
            <v>0.46</v>
          </cell>
          <cell r="H655">
            <v>0.35</v>
          </cell>
          <cell r="N655">
            <v>0</v>
          </cell>
        </row>
        <row r="656">
          <cell r="B656" t="str">
            <v>TXN</v>
          </cell>
          <cell r="C656">
            <v>4.21</v>
          </cell>
          <cell r="D656">
            <v>3.72</v>
          </cell>
          <cell r="F656">
            <v>2.63</v>
          </cell>
          <cell r="H656">
            <v>1.64</v>
          </cell>
          <cell r="N656">
            <v>0.56000000000000005</v>
          </cell>
        </row>
        <row r="657">
          <cell r="B657" t="str">
            <v>TYBT</v>
          </cell>
          <cell r="C657">
            <v>1.42</v>
          </cell>
          <cell r="D657">
            <v>1.31</v>
          </cell>
          <cell r="F657">
            <v>1.1100000000000001</v>
          </cell>
          <cell r="H657">
            <v>0.9</v>
          </cell>
          <cell r="N657">
            <v>0</v>
          </cell>
        </row>
        <row r="658">
          <cell r="B658" t="str">
            <v>TYCB</v>
          </cell>
          <cell r="C658">
            <v>1.1599999999999999</v>
          </cell>
          <cell r="D658">
            <v>1.1200000000000001</v>
          </cell>
          <cell r="F658">
            <v>0.99</v>
          </cell>
          <cell r="H658">
            <v>0.97</v>
          </cell>
          <cell r="N658">
            <v>0.92</v>
          </cell>
        </row>
        <row r="659">
          <cell r="B659" t="str">
            <v>UBCP</v>
          </cell>
          <cell r="C659">
            <v>0.58499999999999996</v>
          </cell>
          <cell r="D659">
            <v>0.56999999999999995</v>
          </cell>
          <cell r="F659">
            <v>0.52</v>
          </cell>
          <cell r="H659">
            <v>0.42</v>
          </cell>
          <cell r="N659">
            <v>0.56000000000000005</v>
          </cell>
        </row>
        <row r="660">
          <cell r="B660" t="str">
            <v>UBSI</v>
          </cell>
          <cell r="C660">
            <v>1.4</v>
          </cell>
          <cell r="D660">
            <v>1.4</v>
          </cell>
          <cell r="F660">
            <v>1.36</v>
          </cell>
          <cell r="H660">
            <v>1.32</v>
          </cell>
          <cell r="N660">
            <v>1.2</v>
          </cell>
        </row>
        <row r="661">
          <cell r="B661" t="str">
            <v>UCBI</v>
          </cell>
          <cell r="C661">
            <v>0.76</v>
          </cell>
          <cell r="D661">
            <v>0.72</v>
          </cell>
          <cell r="F661">
            <v>0.52</v>
          </cell>
          <cell r="H661">
            <v>0.28000000000000003</v>
          </cell>
          <cell r="N661">
            <v>0</v>
          </cell>
        </row>
        <row r="662">
          <cell r="B662" t="str">
            <v>UDR</v>
          </cell>
          <cell r="C662">
            <v>1.4475</v>
          </cell>
          <cell r="D662">
            <v>1.4225000000000001</v>
          </cell>
          <cell r="F662">
            <v>1.2775000000000001</v>
          </cell>
          <cell r="H662">
            <v>1.1625000000000001</v>
          </cell>
          <cell r="N662">
            <v>0.77</v>
          </cell>
        </row>
        <row r="663">
          <cell r="B663" t="str">
            <v>UFPI</v>
          </cell>
          <cell r="C663">
            <v>0.65</v>
          </cell>
          <cell r="D663">
            <v>0.5</v>
          </cell>
          <cell r="F663">
            <v>0.36</v>
          </cell>
          <cell r="H663">
            <v>0.28999999999999998</v>
          </cell>
          <cell r="N663">
            <v>0.13333333333333333</v>
          </cell>
        </row>
        <row r="664">
          <cell r="B664" t="str">
            <v>UGI</v>
          </cell>
          <cell r="C664">
            <v>1.35</v>
          </cell>
          <cell r="D664">
            <v>1.31</v>
          </cell>
          <cell r="F664">
            <v>1.02</v>
          </cell>
          <cell r="H664">
            <v>0.93</v>
          </cell>
          <cell r="N664">
            <v>0.68</v>
          </cell>
        </row>
        <row r="665">
          <cell r="B665" t="str">
            <v>UHT</v>
          </cell>
          <cell r="C665">
            <v>2.8</v>
          </cell>
          <cell r="D665">
            <v>2.76</v>
          </cell>
          <cell r="F665">
            <v>2.68</v>
          </cell>
          <cell r="H665">
            <v>2.6124999999999998</v>
          </cell>
          <cell r="N665">
            <v>2.4249999999999998</v>
          </cell>
        </row>
        <row r="666">
          <cell r="B666" t="str">
            <v>UMBF</v>
          </cell>
          <cell r="C666">
            <v>1.33</v>
          </cell>
          <cell r="D666">
            <v>1.24</v>
          </cell>
          <cell r="F666">
            <v>1.145</v>
          </cell>
          <cell r="H666">
            <v>0.98</v>
          </cell>
          <cell r="N666">
            <v>0.78</v>
          </cell>
        </row>
        <row r="667">
          <cell r="B667" t="str">
            <v>UNB</v>
          </cell>
          <cell r="C667">
            <v>1.32</v>
          </cell>
          <cell r="D667">
            <v>1.28</v>
          </cell>
          <cell r="F667">
            <v>1.2</v>
          </cell>
          <cell r="H667">
            <v>1.1100000000000001</v>
          </cell>
          <cell r="N667">
            <v>1</v>
          </cell>
        </row>
        <row r="668">
          <cell r="B668" t="str">
            <v>UNH</v>
          </cell>
          <cell r="C668">
            <v>5.6</v>
          </cell>
          <cell r="D668">
            <v>4.83</v>
          </cell>
          <cell r="F668">
            <v>3.45</v>
          </cell>
          <cell r="H668">
            <v>2.375</v>
          </cell>
          <cell r="N668">
            <v>0.61250000000000004</v>
          </cell>
        </row>
        <row r="669">
          <cell r="B669" t="str">
            <v>UNM</v>
          </cell>
          <cell r="C669">
            <v>1.17</v>
          </cell>
          <cell r="D669">
            <v>1.1399999999999999</v>
          </cell>
          <cell r="F669">
            <v>0.98</v>
          </cell>
          <cell r="H669">
            <v>0.77</v>
          </cell>
          <cell r="N669">
            <v>0.39500000000000002</v>
          </cell>
        </row>
        <row r="670">
          <cell r="B670" t="str">
            <v>UNP</v>
          </cell>
          <cell r="C670">
            <v>4.29</v>
          </cell>
          <cell r="D670">
            <v>3.88</v>
          </cell>
          <cell r="F670">
            <v>3.06</v>
          </cell>
          <cell r="H670">
            <v>2.2549999999999999</v>
          </cell>
          <cell r="N670">
            <v>0.96499999999999997</v>
          </cell>
        </row>
        <row r="671">
          <cell r="B671" t="str">
            <v>UNTY</v>
          </cell>
          <cell r="C671">
            <v>0.36</v>
          </cell>
          <cell r="D671">
            <v>0.32</v>
          </cell>
          <cell r="F671">
            <v>0.27</v>
          </cell>
          <cell r="H671">
            <v>0.18</v>
          </cell>
          <cell r="N671">
            <v>0</v>
          </cell>
        </row>
        <row r="672">
          <cell r="B672" t="str">
            <v>UPS</v>
          </cell>
          <cell r="C672">
            <v>4.08</v>
          </cell>
          <cell r="D672">
            <v>4.04</v>
          </cell>
          <cell r="F672">
            <v>3.64</v>
          </cell>
          <cell r="H672">
            <v>3.12</v>
          </cell>
          <cell r="N672">
            <v>2.08</v>
          </cell>
        </row>
        <row r="673">
          <cell r="B673" t="str">
            <v>USB</v>
          </cell>
          <cell r="C673">
            <v>1.72</v>
          </cell>
          <cell r="D673">
            <v>1.68</v>
          </cell>
          <cell r="F673">
            <v>1.27</v>
          </cell>
          <cell r="H673">
            <v>1.0449999999999999</v>
          </cell>
          <cell r="N673">
            <v>0.42499999999999999</v>
          </cell>
        </row>
        <row r="674">
          <cell r="B674" t="str">
            <v>UTL</v>
          </cell>
          <cell r="C674">
            <v>1.52</v>
          </cell>
          <cell r="D674">
            <v>1.5</v>
          </cell>
          <cell r="F674">
            <v>1.46</v>
          </cell>
          <cell r="H674">
            <v>1.42</v>
          </cell>
          <cell r="N674">
            <v>1.38</v>
          </cell>
        </row>
        <row r="675">
          <cell r="B675" t="str">
            <v>UTMD</v>
          </cell>
          <cell r="C675">
            <v>1.1399999999999999</v>
          </cell>
          <cell r="D675">
            <v>1.1200000000000001</v>
          </cell>
          <cell r="F675">
            <v>1.08</v>
          </cell>
          <cell r="H675">
            <v>1.0449999999999999</v>
          </cell>
          <cell r="N675">
            <v>0.94499999999999995</v>
          </cell>
        </row>
        <row r="676">
          <cell r="B676" t="str">
            <v>UVV</v>
          </cell>
          <cell r="C676">
            <v>3.1</v>
          </cell>
          <cell r="D676">
            <v>3.06</v>
          </cell>
          <cell r="F676">
            <v>2.6</v>
          </cell>
          <cell r="H676">
            <v>2.12</v>
          </cell>
          <cell r="N676">
            <v>1.92</v>
          </cell>
        </row>
        <row r="677">
          <cell r="B677" t="str">
            <v>V</v>
          </cell>
          <cell r="C677">
            <v>1.335</v>
          </cell>
          <cell r="D677">
            <v>1.22</v>
          </cell>
          <cell r="F677">
            <v>0.88</v>
          </cell>
          <cell r="H677">
            <v>0.58499999999999996</v>
          </cell>
          <cell r="N677">
            <v>0.16750000000000001</v>
          </cell>
        </row>
        <row r="678">
          <cell r="B678" t="str">
            <v>VALU</v>
          </cell>
          <cell r="C678">
            <v>0.87</v>
          </cell>
          <cell r="D678">
            <v>0.83</v>
          </cell>
          <cell r="F678">
            <v>0.75</v>
          </cell>
          <cell r="H678">
            <v>0.67</v>
          </cell>
          <cell r="N678">
            <v>0.8</v>
          </cell>
        </row>
        <row r="679">
          <cell r="B679" t="str">
            <v>VFC</v>
          </cell>
          <cell r="C679">
            <v>1.97</v>
          </cell>
          <cell r="D679">
            <v>1.93</v>
          </cell>
          <cell r="F679">
            <v>1.7788235294117647</v>
          </cell>
          <cell r="H679">
            <v>1.44</v>
          </cell>
          <cell r="N679">
            <v>0.61411764705882355</v>
          </cell>
        </row>
        <row r="680">
          <cell r="B680" t="str">
            <v>VICI</v>
          </cell>
          <cell r="C680">
            <v>1.35</v>
          </cell>
          <cell r="D680">
            <v>1.2224999999999999</v>
          </cell>
          <cell r="F680">
            <v>0.71000000000000008</v>
          </cell>
          <cell r="H680">
            <v>0</v>
          </cell>
          <cell r="N680">
            <v>0</v>
          </cell>
        </row>
        <row r="681">
          <cell r="B681" t="str">
            <v>VMC</v>
          </cell>
          <cell r="C681">
            <v>1.48</v>
          </cell>
          <cell r="D681">
            <v>1.36</v>
          </cell>
          <cell r="F681">
            <v>1.1200000000000001</v>
          </cell>
          <cell r="H681">
            <v>0.8</v>
          </cell>
          <cell r="N681">
            <v>0.76</v>
          </cell>
        </row>
        <row r="682">
          <cell r="B682" t="str">
            <v>VSH</v>
          </cell>
          <cell r="C682">
            <v>0.38500000000000001</v>
          </cell>
          <cell r="D682">
            <v>0.38</v>
          </cell>
          <cell r="F682">
            <v>0.32250000000000001</v>
          </cell>
          <cell r="H682">
            <v>0.25</v>
          </cell>
          <cell r="N682">
            <v>0</v>
          </cell>
        </row>
        <row r="683">
          <cell r="B683" t="str">
            <v>VVV</v>
          </cell>
          <cell r="C683">
            <v>0.5</v>
          </cell>
          <cell r="D683">
            <v>0.46400000000000002</v>
          </cell>
          <cell r="F683">
            <v>0.32950000000000002</v>
          </cell>
          <cell r="H683">
            <v>4.9000000000000002E-2</v>
          </cell>
          <cell r="N683">
            <v>0</v>
          </cell>
        </row>
        <row r="684">
          <cell r="B684" t="str">
            <v>VZ</v>
          </cell>
          <cell r="C684">
            <v>2.5225</v>
          </cell>
          <cell r="D684">
            <v>2.4725000000000001</v>
          </cell>
          <cell r="F684">
            <v>2.3725000000000001</v>
          </cell>
          <cell r="H684">
            <v>2.2725</v>
          </cell>
          <cell r="N684">
            <v>1.9624999999999999</v>
          </cell>
        </row>
        <row r="685">
          <cell r="B685" t="str">
            <v>WABC</v>
          </cell>
          <cell r="C685">
            <v>1.65</v>
          </cell>
          <cell r="D685">
            <v>1.64</v>
          </cell>
          <cell r="F685">
            <v>1.6</v>
          </cell>
          <cell r="H685">
            <v>1.56</v>
          </cell>
          <cell r="N685">
            <v>1.45</v>
          </cell>
        </row>
        <row r="686">
          <cell r="B686" t="str">
            <v>WAFD</v>
          </cell>
          <cell r="C686">
            <v>0.92</v>
          </cell>
          <cell r="D686">
            <v>0.88</v>
          </cell>
          <cell r="F686">
            <v>0.7</v>
          </cell>
          <cell r="H686">
            <v>0.56000000000000005</v>
          </cell>
          <cell r="N686">
            <v>0.24</v>
          </cell>
        </row>
        <row r="687">
          <cell r="B687" t="str">
            <v>WASH</v>
          </cell>
          <cell r="C687">
            <v>2.08</v>
          </cell>
          <cell r="D687">
            <v>2.04</v>
          </cell>
          <cell r="F687">
            <v>1.68</v>
          </cell>
          <cell r="H687">
            <v>1.46</v>
          </cell>
          <cell r="N687">
            <v>0.87</v>
          </cell>
        </row>
        <row r="688">
          <cell r="B688" t="str">
            <v>WBA</v>
          </cell>
          <cell r="C688">
            <v>1.89</v>
          </cell>
          <cell r="D688">
            <v>1.85</v>
          </cell>
          <cell r="F688">
            <v>1.68</v>
          </cell>
          <cell r="H688">
            <v>1.47</v>
          </cell>
          <cell r="N688">
            <v>0.8</v>
          </cell>
        </row>
        <row r="689">
          <cell r="B689" t="str">
            <v>WCN</v>
          </cell>
          <cell r="C689">
            <v>0.84499999999999997</v>
          </cell>
          <cell r="D689">
            <v>0.76</v>
          </cell>
          <cell r="F689">
            <v>0.57999999999999996</v>
          </cell>
          <cell r="H689">
            <v>0.41</v>
          </cell>
          <cell r="N689">
            <v>0.21</v>
          </cell>
        </row>
        <row r="690">
          <cell r="B690" t="str">
            <v>WD</v>
          </cell>
          <cell r="C690">
            <v>2</v>
          </cell>
          <cell r="D690">
            <v>1.44</v>
          </cell>
          <cell r="F690">
            <v>1</v>
          </cell>
          <cell r="H690">
            <v>0</v>
          </cell>
          <cell r="N690">
            <v>0</v>
          </cell>
        </row>
        <row r="691">
          <cell r="B691" t="str">
            <v>WDFC</v>
          </cell>
          <cell r="C691">
            <v>2.83</v>
          </cell>
          <cell r="D691">
            <v>2.68</v>
          </cell>
          <cell r="F691">
            <v>2.16</v>
          </cell>
          <cell r="H691">
            <v>1.68</v>
          </cell>
          <cell r="N691">
            <v>1.08</v>
          </cell>
        </row>
        <row r="692">
          <cell r="B692" t="str">
            <v>WDFN</v>
          </cell>
          <cell r="C692">
            <v>1.06</v>
          </cell>
          <cell r="D692">
            <v>1.04</v>
          </cell>
          <cell r="F692">
            <v>0.94</v>
          </cell>
          <cell r="H692">
            <v>0.8</v>
          </cell>
          <cell r="N692">
            <v>0.56999999999999995</v>
          </cell>
        </row>
        <row r="693">
          <cell r="B693" t="str">
            <v>WEC</v>
          </cell>
          <cell r="C693">
            <v>2.71</v>
          </cell>
          <cell r="D693">
            <v>2.5299999999999998</v>
          </cell>
          <cell r="F693">
            <v>2.21</v>
          </cell>
          <cell r="H693">
            <v>1.98</v>
          </cell>
          <cell r="N693">
            <v>1.04</v>
          </cell>
        </row>
        <row r="694">
          <cell r="B694" t="str">
            <v>WHR</v>
          </cell>
          <cell r="C694">
            <v>5.45</v>
          </cell>
          <cell r="D694">
            <v>4.8499999999999996</v>
          </cell>
          <cell r="F694">
            <v>4.55</v>
          </cell>
          <cell r="H694">
            <v>3.9</v>
          </cell>
          <cell r="N694">
            <v>1.93</v>
          </cell>
        </row>
        <row r="695">
          <cell r="B695" t="str">
            <v>WING</v>
          </cell>
          <cell r="C695">
            <v>0.62</v>
          </cell>
          <cell r="D695">
            <v>0.5</v>
          </cell>
          <cell r="F695">
            <v>0.32</v>
          </cell>
          <cell r="H695">
            <v>0</v>
          </cell>
          <cell r="N695">
            <v>0</v>
          </cell>
        </row>
        <row r="696">
          <cell r="B696" t="str">
            <v>WLK</v>
          </cell>
          <cell r="C696">
            <v>1.135</v>
          </cell>
          <cell r="D696">
            <v>1.0649999999999999</v>
          </cell>
          <cell r="F696">
            <v>0.92</v>
          </cell>
          <cell r="H696">
            <v>0.74419999999999997</v>
          </cell>
          <cell r="N696">
            <v>0.13724999999999998</v>
          </cell>
        </row>
        <row r="697">
          <cell r="B697" t="str">
            <v>WLY</v>
          </cell>
          <cell r="C697">
            <v>1.375</v>
          </cell>
          <cell r="D697">
            <v>1.365</v>
          </cell>
          <cell r="F697">
            <v>1.3</v>
          </cell>
          <cell r="H697">
            <v>1.22</v>
          </cell>
          <cell r="N697">
            <v>0.72</v>
          </cell>
        </row>
        <row r="698">
          <cell r="B698" t="str">
            <v>WM</v>
          </cell>
          <cell r="C698">
            <v>2.2999999999999998</v>
          </cell>
          <cell r="D698">
            <v>2.1800000000000002</v>
          </cell>
          <cell r="F698">
            <v>1.86</v>
          </cell>
          <cell r="H698">
            <v>1.64</v>
          </cell>
          <cell r="N698">
            <v>1.36</v>
          </cell>
        </row>
        <row r="699">
          <cell r="B699" t="str">
            <v>WMB</v>
          </cell>
          <cell r="C699">
            <v>1.64</v>
          </cell>
          <cell r="D699">
            <v>1.6</v>
          </cell>
          <cell r="F699">
            <v>1.36</v>
          </cell>
          <cell r="H699">
            <v>1.6800000000000002</v>
          </cell>
          <cell r="N699">
            <v>0.63355037542969017</v>
          </cell>
        </row>
        <row r="700">
          <cell r="B700" t="str">
            <v>WMS</v>
          </cell>
          <cell r="C700">
            <v>0.42</v>
          </cell>
          <cell r="D700">
            <v>0.36</v>
          </cell>
          <cell r="F700">
            <v>0.31</v>
          </cell>
          <cell r="H700">
            <v>0.22</v>
          </cell>
          <cell r="N700">
            <v>0</v>
          </cell>
        </row>
        <row r="701">
          <cell r="B701" t="str">
            <v>WMT</v>
          </cell>
          <cell r="C701">
            <v>2.19</v>
          </cell>
          <cell r="D701">
            <v>2.15</v>
          </cell>
          <cell r="F701">
            <v>2.0699999999999998</v>
          </cell>
          <cell r="H701">
            <v>1.99</v>
          </cell>
          <cell r="N701">
            <v>1.3975</v>
          </cell>
        </row>
        <row r="702">
          <cell r="B702" t="str">
            <v>WOR</v>
          </cell>
          <cell r="C702">
            <v>1.0900000000000001</v>
          </cell>
          <cell r="D702">
            <v>0.98</v>
          </cell>
          <cell r="F702">
            <v>0.88</v>
          </cell>
          <cell r="H702">
            <v>0.78</v>
          </cell>
          <cell r="N702">
            <v>0.44</v>
          </cell>
        </row>
        <row r="703">
          <cell r="B703" t="str">
            <v>WPC</v>
          </cell>
          <cell r="C703">
            <v>4.1959999999999997</v>
          </cell>
          <cell r="D703">
            <v>4.1639999999999997</v>
          </cell>
          <cell r="F703">
            <v>4.07</v>
          </cell>
          <cell r="H703">
            <v>3.94</v>
          </cell>
          <cell r="N703">
            <v>2.1320000000000001</v>
          </cell>
        </row>
        <row r="704">
          <cell r="B704" t="str">
            <v>WRB</v>
          </cell>
          <cell r="C704">
            <v>0.34</v>
          </cell>
          <cell r="D704">
            <v>0.3133333333333333</v>
          </cell>
          <cell r="F704">
            <v>0.26222222222222219</v>
          </cell>
          <cell r="H704">
            <v>0.22666666666666668</v>
          </cell>
          <cell r="N704">
            <v>0.13333333333333333</v>
          </cell>
        </row>
        <row r="705">
          <cell r="B705" t="str">
            <v>WSBC</v>
          </cell>
          <cell r="C705">
            <v>1.31</v>
          </cell>
          <cell r="D705">
            <v>1.27</v>
          </cell>
          <cell r="F705">
            <v>1.1299999999999999</v>
          </cell>
          <cell r="H705">
            <v>0.95</v>
          </cell>
          <cell r="N705">
            <v>0.6</v>
          </cell>
        </row>
        <row r="706">
          <cell r="B706" t="str">
            <v>WSFS</v>
          </cell>
          <cell r="C706">
            <v>0.51</v>
          </cell>
          <cell r="D706">
            <v>0.48</v>
          </cell>
          <cell r="F706">
            <v>0.42</v>
          </cell>
          <cell r="H706">
            <v>0.25</v>
          </cell>
          <cell r="N706">
            <v>0.16</v>
          </cell>
        </row>
        <row r="707">
          <cell r="B707" t="str">
            <v>WSM</v>
          </cell>
          <cell r="C707">
            <v>2.42</v>
          </cell>
          <cell r="D707">
            <v>1.97</v>
          </cell>
          <cell r="F707">
            <v>1.68</v>
          </cell>
          <cell r="H707">
            <v>1.46</v>
          </cell>
          <cell r="N707">
            <v>0.66</v>
          </cell>
        </row>
        <row r="708">
          <cell r="B708" t="str">
            <v>WSO</v>
          </cell>
          <cell r="C708">
            <v>7.625</v>
          </cell>
          <cell r="D708">
            <v>6.9249999999999998</v>
          </cell>
          <cell r="F708">
            <v>5.6</v>
          </cell>
          <cell r="H708">
            <v>3.8</v>
          </cell>
          <cell r="N708">
            <v>2.23</v>
          </cell>
        </row>
        <row r="709">
          <cell r="B709" t="str">
            <v>WST</v>
          </cell>
          <cell r="C709">
            <v>0.69</v>
          </cell>
          <cell r="D709">
            <v>0.65</v>
          </cell>
          <cell r="F709">
            <v>0.56999999999999995</v>
          </cell>
          <cell r="H709">
            <v>0.49</v>
          </cell>
          <cell r="N709">
            <v>0.34499999999999997</v>
          </cell>
        </row>
        <row r="710">
          <cell r="B710" t="str">
            <v>WTBA</v>
          </cell>
          <cell r="C710">
            <v>0.94</v>
          </cell>
          <cell r="D710">
            <v>0.84</v>
          </cell>
          <cell r="F710">
            <v>0.78</v>
          </cell>
          <cell r="H710">
            <v>0.67</v>
          </cell>
          <cell r="N710">
            <v>0.22</v>
          </cell>
        </row>
        <row r="711">
          <cell r="B711" t="str">
            <v>WTFC</v>
          </cell>
          <cell r="C711">
            <v>1.24</v>
          </cell>
          <cell r="D711">
            <v>1.1200000000000001</v>
          </cell>
          <cell r="F711">
            <v>0.76</v>
          </cell>
          <cell r="H711">
            <v>0.48</v>
          </cell>
          <cell r="N711">
            <v>0.18</v>
          </cell>
        </row>
        <row r="712">
          <cell r="B712" t="str">
            <v>WTRG</v>
          </cell>
          <cell r="C712">
            <v>1.0378000000000001</v>
          </cell>
          <cell r="D712">
            <v>0.97</v>
          </cell>
          <cell r="F712">
            <v>0.84799999999999998</v>
          </cell>
          <cell r="H712">
            <v>0.73859999999999992</v>
          </cell>
          <cell r="N712">
            <v>0.504</v>
          </cell>
        </row>
        <row r="713">
          <cell r="B713" t="str">
            <v>WTS</v>
          </cell>
          <cell r="C713">
            <v>1.01</v>
          </cell>
          <cell r="D713">
            <v>0.92</v>
          </cell>
          <cell r="F713">
            <v>0.82</v>
          </cell>
          <cell r="H713">
            <v>0.71</v>
          </cell>
          <cell r="N713">
            <v>0.44</v>
          </cell>
        </row>
        <row r="714">
          <cell r="B714" t="str">
            <v>WTW</v>
          </cell>
          <cell r="C714">
            <v>3.02</v>
          </cell>
          <cell r="D714">
            <v>2.69</v>
          </cell>
          <cell r="F714">
            <v>2.33</v>
          </cell>
          <cell r="H714">
            <v>2.2611920529801326</v>
          </cell>
          <cell r="N714">
            <v>2.7549668874172184</v>
          </cell>
        </row>
        <row r="715">
          <cell r="B715" t="str">
            <v>WU</v>
          </cell>
          <cell r="C715">
            <v>0.94</v>
          </cell>
          <cell r="D715">
            <v>0.9</v>
          </cell>
          <cell r="F715">
            <v>0.76</v>
          </cell>
          <cell r="H715">
            <v>0.64</v>
          </cell>
          <cell r="N715">
            <v>0.31</v>
          </cell>
        </row>
        <row r="716">
          <cell r="B716" t="str">
            <v>XEL</v>
          </cell>
          <cell r="C716">
            <v>1.8025</v>
          </cell>
          <cell r="D716">
            <v>1.6950000000000001</v>
          </cell>
          <cell r="F716">
            <v>1.5</v>
          </cell>
          <cell r="H716">
            <v>1.34</v>
          </cell>
          <cell r="N716">
            <v>1.0249999999999999</v>
          </cell>
        </row>
        <row r="717">
          <cell r="B717" t="str">
            <v>XOM</v>
          </cell>
          <cell r="C717">
            <v>3.49</v>
          </cell>
          <cell r="D717">
            <v>3.48</v>
          </cell>
          <cell r="F717">
            <v>3.23</v>
          </cell>
          <cell r="H717">
            <v>2.98</v>
          </cell>
          <cell r="N717">
            <v>1.85</v>
          </cell>
        </row>
        <row r="718">
          <cell r="B718" t="str">
            <v>XRAY</v>
          </cell>
          <cell r="C718">
            <v>0.42</v>
          </cell>
          <cell r="D718">
            <v>0.4</v>
          </cell>
          <cell r="F718">
            <v>0.35</v>
          </cell>
          <cell r="H718">
            <v>0.30499999999999999</v>
          </cell>
          <cell r="N718">
            <v>0.2</v>
          </cell>
        </row>
        <row r="719">
          <cell r="B719" t="str">
            <v>XYL</v>
          </cell>
          <cell r="C719">
            <v>1.1200000000000001</v>
          </cell>
          <cell r="D719">
            <v>1.04</v>
          </cell>
          <cell r="F719">
            <v>0.84</v>
          </cell>
          <cell r="H719">
            <v>0.61960000000000004</v>
          </cell>
          <cell r="N719">
            <v>0.10100000000000001</v>
          </cell>
        </row>
        <row r="720">
          <cell r="B720" t="str">
            <v>YORW</v>
          </cell>
          <cell r="C720">
            <v>0.74960000000000004</v>
          </cell>
          <cell r="D720">
            <v>0.7208</v>
          </cell>
          <cell r="F720">
            <v>0.66639999999999999</v>
          </cell>
          <cell r="H720">
            <v>0.622</v>
          </cell>
          <cell r="N720">
            <v>0.52400000000000002</v>
          </cell>
        </row>
        <row r="721">
          <cell r="B721" t="str">
            <v>YUM</v>
          </cell>
          <cell r="C721">
            <v>2</v>
          </cell>
          <cell r="D721">
            <v>1.88</v>
          </cell>
          <cell r="F721">
            <v>1.44</v>
          </cell>
          <cell r="H721">
            <v>1.3590121922808107</v>
          </cell>
          <cell r="N721">
            <v>0.74422096243949132</v>
          </cell>
        </row>
        <row r="722">
          <cell r="B722" t="str">
            <v>ZION</v>
          </cell>
          <cell r="C722">
            <v>1.44</v>
          </cell>
          <cell r="D722">
            <v>1.36</v>
          </cell>
          <cell r="F722">
            <v>1.04</v>
          </cell>
          <cell r="H722">
            <v>0.28000000000000003</v>
          </cell>
          <cell r="N722">
            <v>0.04</v>
          </cell>
        </row>
        <row r="723">
          <cell r="B723" t="str">
            <v>ZTS</v>
          </cell>
          <cell r="C723">
            <v>1</v>
          </cell>
          <cell r="D723">
            <v>0.8</v>
          </cell>
          <cell r="F723">
            <v>0.504</v>
          </cell>
          <cell r="H723">
            <v>0.38</v>
          </cell>
          <cell r="N723">
            <v>0</v>
          </cell>
        </row>
      </sheetData>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ireitinvestor.com/dividend-champ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B142"/>
  <sheetViews>
    <sheetView zoomScaleNormal="100" workbookViewId="0">
      <selection activeCell="E9" sqref="E9"/>
    </sheetView>
  </sheetViews>
  <sheetFormatPr baseColWidth="10" defaultColWidth="8.83203125" defaultRowHeight="15" x14ac:dyDescent="0.2"/>
  <cols>
    <col min="1" max="1" width="1.83203125" customWidth="1"/>
    <col min="2" max="2" width="157.33203125" bestFit="1" customWidth="1"/>
  </cols>
  <sheetData>
    <row r="2" spans="2:2" ht="19" x14ac:dyDescent="0.25">
      <c r="B2" s="52" t="s">
        <v>584</v>
      </c>
    </row>
    <row r="3" spans="2:2" ht="19" x14ac:dyDescent="0.25">
      <c r="B3" s="54" t="s">
        <v>588</v>
      </c>
    </row>
    <row r="4" spans="2:2" ht="19" x14ac:dyDescent="0.25">
      <c r="B4" s="54" t="s">
        <v>589</v>
      </c>
    </row>
    <row r="5" spans="2:2" ht="19" x14ac:dyDescent="0.25">
      <c r="B5" s="54" t="s">
        <v>585</v>
      </c>
    </row>
    <row r="6" spans="2:2" ht="19" x14ac:dyDescent="0.25">
      <c r="B6" s="54" t="s">
        <v>586</v>
      </c>
    </row>
    <row r="7" spans="2:2" ht="19" x14ac:dyDescent="0.25">
      <c r="B7" s="54" t="s">
        <v>587</v>
      </c>
    </row>
    <row r="8" spans="2:2" ht="19" x14ac:dyDescent="0.25">
      <c r="B8" s="54" t="s">
        <v>783</v>
      </c>
    </row>
    <row r="9" spans="2:2" ht="19" x14ac:dyDescent="0.25">
      <c r="B9" s="54" t="s">
        <v>595</v>
      </c>
    </row>
    <row r="10" spans="2:2" ht="19" x14ac:dyDescent="0.25">
      <c r="B10" s="54" t="s">
        <v>596</v>
      </c>
    </row>
    <row r="11" spans="2:2" ht="19" x14ac:dyDescent="0.25">
      <c r="B11" s="54" t="s">
        <v>597</v>
      </c>
    </row>
    <row r="12" spans="2:2" ht="19" x14ac:dyDescent="0.25">
      <c r="B12" s="51"/>
    </row>
    <row r="13" spans="2:2" ht="19" x14ac:dyDescent="0.25">
      <c r="B13" s="52" t="s">
        <v>583</v>
      </c>
    </row>
    <row r="14" spans="2:2" ht="19" x14ac:dyDescent="0.25">
      <c r="B14" s="54" t="s">
        <v>590</v>
      </c>
    </row>
    <row r="15" spans="2:2" ht="19" x14ac:dyDescent="0.25">
      <c r="B15" s="54" t="s">
        <v>591</v>
      </c>
    </row>
    <row r="16" spans="2:2" ht="19" x14ac:dyDescent="0.25">
      <c r="B16" s="54" t="s">
        <v>592</v>
      </c>
    </row>
    <row r="17" spans="2:2" ht="19" x14ac:dyDescent="0.25">
      <c r="B17" s="54" t="s">
        <v>742</v>
      </c>
    </row>
    <row r="18" spans="2:2" ht="40" x14ac:dyDescent="0.25">
      <c r="B18" s="55" t="s">
        <v>784</v>
      </c>
    </row>
    <row r="19" spans="2:2" ht="19" x14ac:dyDescent="0.25">
      <c r="B19" s="54" t="s">
        <v>785</v>
      </c>
    </row>
    <row r="20" spans="2:2" ht="19" x14ac:dyDescent="0.25">
      <c r="B20" s="51"/>
    </row>
    <row r="21" spans="2:2" ht="19" x14ac:dyDescent="0.25">
      <c r="B21" s="52" t="s">
        <v>593</v>
      </c>
    </row>
    <row r="22" spans="2:2" ht="19" x14ac:dyDescent="0.25">
      <c r="B22" s="54" t="s">
        <v>786</v>
      </c>
    </row>
    <row r="23" spans="2:2" ht="19" x14ac:dyDescent="0.25">
      <c r="B23" s="54" t="s">
        <v>594</v>
      </c>
    </row>
    <row r="24" spans="2:2" ht="19" x14ac:dyDescent="0.25">
      <c r="B24" s="54" t="s">
        <v>658</v>
      </c>
    </row>
    <row r="25" spans="2:2" ht="19" x14ac:dyDescent="0.25">
      <c r="B25" s="54" t="s">
        <v>787</v>
      </c>
    </row>
    <row r="26" spans="2:2" ht="40" x14ac:dyDescent="0.25">
      <c r="B26" s="55" t="s">
        <v>659</v>
      </c>
    </row>
    <row r="27" spans="2:2" ht="19" x14ac:dyDescent="0.25">
      <c r="B27" s="51"/>
    </row>
    <row r="28" spans="2:2" ht="19" x14ac:dyDescent="0.25">
      <c r="B28" s="51"/>
    </row>
    <row r="29" spans="2:2" ht="19" x14ac:dyDescent="0.25">
      <c r="B29" s="51"/>
    </row>
    <row r="30" spans="2:2" ht="19" x14ac:dyDescent="0.25">
      <c r="B30" s="51"/>
    </row>
    <row r="31" spans="2:2" ht="19" x14ac:dyDescent="0.25">
      <c r="B31" s="51"/>
    </row>
    <row r="32" spans="2:2" ht="19" x14ac:dyDescent="0.25">
      <c r="B32" s="51"/>
    </row>
    <row r="33" spans="2:2" ht="19" x14ac:dyDescent="0.25">
      <c r="B33" s="51"/>
    </row>
    <row r="34" spans="2:2" ht="19" x14ac:dyDescent="0.25">
      <c r="B34" s="51"/>
    </row>
    <row r="35" spans="2:2" ht="19" x14ac:dyDescent="0.25">
      <c r="B35" s="51"/>
    </row>
    <row r="36" spans="2:2" ht="19" x14ac:dyDescent="0.25">
      <c r="B36" s="51"/>
    </row>
    <row r="37" spans="2:2" ht="16" x14ac:dyDescent="0.2">
      <c r="B37" s="53"/>
    </row>
    <row r="38" spans="2:2" ht="16" x14ac:dyDescent="0.2">
      <c r="B38" s="53"/>
    </row>
    <row r="39" spans="2:2" ht="16" x14ac:dyDescent="0.2">
      <c r="B39" s="53"/>
    </row>
    <row r="40" spans="2:2" ht="16" x14ac:dyDescent="0.2">
      <c r="B40" s="53"/>
    </row>
    <row r="41" spans="2:2" ht="16" x14ac:dyDescent="0.2">
      <c r="B41" s="53"/>
    </row>
    <row r="42" spans="2:2" ht="16" x14ac:dyDescent="0.2">
      <c r="B42" s="53"/>
    </row>
    <row r="43" spans="2:2" ht="16" x14ac:dyDescent="0.2">
      <c r="B43" s="53"/>
    </row>
    <row r="44" spans="2:2" ht="16" x14ac:dyDescent="0.2">
      <c r="B44" s="53"/>
    </row>
    <row r="45" spans="2:2" ht="16" x14ac:dyDescent="0.2">
      <c r="B45" s="53"/>
    </row>
    <row r="46" spans="2:2" ht="16" x14ac:dyDescent="0.2">
      <c r="B46" s="53"/>
    </row>
    <row r="47" spans="2:2" ht="16" x14ac:dyDescent="0.2">
      <c r="B47" s="53"/>
    </row>
    <row r="48" spans="2:2" ht="16" x14ac:dyDescent="0.2">
      <c r="B48" s="53"/>
    </row>
    <row r="49" spans="2:2" ht="16" x14ac:dyDescent="0.2">
      <c r="B49" s="53"/>
    </row>
    <row r="50" spans="2:2" ht="16" x14ac:dyDescent="0.2">
      <c r="B50" s="53"/>
    </row>
    <row r="51" spans="2:2" ht="16" x14ac:dyDescent="0.2">
      <c r="B51" s="53"/>
    </row>
    <row r="52" spans="2:2" ht="16" x14ac:dyDescent="0.2">
      <c r="B52" s="53"/>
    </row>
    <row r="53" spans="2:2" ht="16" x14ac:dyDescent="0.2">
      <c r="B53" s="53"/>
    </row>
    <row r="54" spans="2:2" ht="16" x14ac:dyDescent="0.2">
      <c r="B54" s="53"/>
    </row>
    <row r="55" spans="2:2" ht="16" x14ac:dyDescent="0.2">
      <c r="B55" s="53"/>
    </row>
    <row r="56" spans="2:2" ht="16" x14ac:dyDescent="0.2">
      <c r="B56" s="53"/>
    </row>
    <row r="57" spans="2:2" ht="16" x14ac:dyDescent="0.2">
      <c r="B57" s="53"/>
    </row>
    <row r="58" spans="2:2" ht="16" x14ac:dyDescent="0.2">
      <c r="B58" s="53"/>
    </row>
    <row r="59" spans="2:2" ht="16" x14ac:dyDescent="0.2">
      <c r="B59" s="53"/>
    </row>
    <row r="60" spans="2:2" ht="16" x14ac:dyDescent="0.2">
      <c r="B60" s="53"/>
    </row>
    <row r="61" spans="2:2" ht="16" x14ac:dyDescent="0.2">
      <c r="B61" s="53"/>
    </row>
    <row r="62" spans="2:2" ht="16" x14ac:dyDescent="0.2">
      <c r="B62" s="53"/>
    </row>
    <row r="63" spans="2:2" ht="16" x14ac:dyDescent="0.2">
      <c r="B63" s="53"/>
    </row>
    <row r="64" spans="2:2" ht="16" x14ac:dyDescent="0.2">
      <c r="B64" s="53"/>
    </row>
    <row r="65" spans="2:2" ht="16" x14ac:dyDescent="0.2">
      <c r="B65" s="53"/>
    </row>
    <row r="66" spans="2:2" ht="16" x14ac:dyDescent="0.2">
      <c r="B66" s="53"/>
    </row>
    <row r="67" spans="2:2" ht="16" x14ac:dyDescent="0.2">
      <c r="B67" s="53"/>
    </row>
    <row r="68" spans="2:2" ht="16" x14ac:dyDescent="0.2">
      <c r="B68" s="53"/>
    </row>
    <row r="69" spans="2:2" ht="16" x14ac:dyDescent="0.2">
      <c r="B69" s="53"/>
    </row>
    <row r="70" spans="2:2" ht="16" x14ac:dyDescent="0.2">
      <c r="B70" s="53"/>
    </row>
    <row r="71" spans="2:2" ht="16" x14ac:dyDescent="0.2">
      <c r="B71" s="53"/>
    </row>
    <row r="72" spans="2:2" ht="16" x14ac:dyDescent="0.2">
      <c r="B72" s="53"/>
    </row>
    <row r="73" spans="2:2" ht="16" x14ac:dyDescent="0.2">
      <c r="B73" s="53"/>
    </row>
    <row r="74" spans="2:2" ht="16" x14ac:dyDescent="0.2">
      <c r="B74" s="53"/>
    </row>
    <row r="75" spans="2:2" ht="16" x14ac:dyDescent="0.2">
      <c r="B75" s="53"/>
    </row>
    <row r="76" spans="2:2" ht="16" x14ac:dyDescent="0.2">
      <c r="B76" s="53"/>
    </row>
    <row r="77" spans="2:2" ht="16" x14ac:dyDescent="0.2">
      <c r="B77" s="53"/>
    </row>
    <row r="78" spans="2:2" ht="16" x14ac:dyDescent="0.2">
      <c r="B78" s="53"/>
    </row>
    <row r="79" spans="2:2" ht="16" x14ac:dyDescent="0.2">
      <c r="B79" s="53"/>
    </row>
    <row r="80" spans="2:2" ht="16" x14ac:dyDescent="0.2">
      <c r="B80" s="53"/>
    </row>
    <row r="81" spans="2:2" ht="16" x14ac:dyDescent="0.2">
      <c r="B81" s="53"/>
    </row>
    <row r="82" spans="2:2" ht="16" x14ac:dyDescent="0.2">
      <c r="B82" s="53"/>
    </row>
    <row r="83" spans="2:2" ht="16" x14ac:dyDescent="0.2">
      <c r="B83" s="53"/>
    </row>
    <row r="84" spans="2:2" ht="16" x14ac:dyDescent="0.2">
      <c r="B84" s="53"/>
    </row>
    <row r="85" spans="2:2" ht="16" x14ac:dyDescent="0.2">
      <c r="B85" s="53"/>
    </row>
    <row r="86" spans="2:2" ht="16" x14ac:dyDescent="0.2">
      <c r="B86" s="53"/>
    </row>
    <row r="87" spans="2:2" ht="16" x14ac:dyDescent="0.2">
      <c r="B87" s="53"/>
    </row>
    <row r="88" spans="2:2" ht="16" x14ac:dyDescent="0.2">
      <c r="B88" s="53"/>
    </row>
    <row r="89" spans="2:2" ht="16" x14ac:dyDescent="0.2">
      <c r="B89" s="53"/>
    </row>
    <row r="90" spans="2:2" ht="16" x14ac:dyDescent="0.2">
      <c r="B90" s="53"/>
    </row>
    <row r="91" spans="2:2" ht="16" x14ac:dyDescent="0.2">
      <c r="B91" s="53"/>
    </row>
    <row r="92" spans="2:2" ht="16" x14ac:dyDescent="0.2">
      <c r="B92" s="53"/>
    </row>
    <row r="93" spans="2:2" ht="16" x14ac:dyDescent="0.2">
      <c r="B93" s="53"/>
    </row>
    <row r="94" spans="2:2" ht="16" x14ac:dyDescent="0.2">
      <c r="B94" s="53"/>
    </row>
    <row r="95" spans="2:2" ht="16" x14ac:dyDescent="0.2">
      <c r="B95" s="53"/>
    </row>
    <row r="96" spans="2:2" ht="16" x14ac:dyDescent="0.2">
      <c r="B96" s="53"/>
    </row>
    <row r="97" spans="2:2" ht="16" x14ac:dyDescent="0.2">
      <c r="B97" s="53"/>
    </row>
    <row r="98" spans="2:2" ht="16" x14ac:dyDescent="0.2">
      <c r="B98" s="53"/>
    </row>
    <row r="99" spans="2:2" ht="16" x14ac:dyDescent="0.2">
      <c r="B99" s="53"/>
    </row>
    <row r="100" spans="2:2" ht="16" x14ac:dyDescent="0.2">
      <c r="B100" s="53"/>
    </row>
    <row r="101" spans="2:2" ht="16" x14ac:dyDescent="0.2">
      <c r="B101" s="53"/>
    </row>
    <row r="102" spans="2:2" ht="16" x14ac:dyDescent="0.2">
      <c r="B102" s="53"/>
    </row>
    <row r="103" spans="2:2" ht="16" x14ac:dyDescent="0.2">
      <c r="B103" s="53"/>
    </row>
    <row r="104" spans="2:2" ht="16" x14ac:dyDescent="0.2">
      <c r="B104" s="53"/>
    </row>
    <row r="105" spans="2:2" ht="16" x14ac:dyDescent="0.2">
      <c r="B105" s="53"/>
    </row>
    <row r="106" spans="2:2" ht="16" x14ac:dyDescent="0.2">
      <c r="B106" s="53"/>
    </row>
    <row r="107" spans="2:2" ht="16" x14ac:dyDescent="0.2">
      <c r="B107" s="53"/>
    </row>
    <row r="108" spans="2:2" ht="16" x14ac:dyDescent="0.2">
      <c r="B108" s="53"/>
    </row>
    <row r="109" spans="2:2" ht="16" x14ac:dyDescent="0.2">
      <c r="B109" s="53"/>
    </row>
    <row r="110" spans="2:2" ht="16" x14ac:dyDescent="0.2">
      <c r="B110" s="53"/>
    </row>
    <row r="111" spans="2:2" ht="16" x14ac:dyDescent="0.2">
      <c r="B111" s="53"/>
    </row>
    <row r="112" spans="2:2" ht="16" x14ac:dyDescent="0.2">
      <c r="B112" s="53"/>
    </row>
    <row r="113" spans="2:2" ht="16" x14ac:dyDescent="0.2">
      <c r="B113" s="53"/>
    </row>
    <row r="114" spans="2:2" ht="16" x14ac:dyDescent="0.2">
      <c r="B114" s="53"/>
    </row>
    <row r="115" spans="2:2" ht="16" x14ac:dyDescent="0.2">
      <c r="B115" s="53"/>
    </row>
    <row r="116" spans="2:2" ht="16" x14ac:dyDescent="0.2">
      <c r="B116" s="53"/>
    </row>
    <row r="117" spans="2:2" ht="16" x14ac:dyDescent="0.2">
      <c r="B117" s="53"/>
    </row>
    <row r="118" spans="2:2" ht="16" x14ac:dyDescent="0.2">
      <c r="B118" s="53"/>
    </row>
    <row r="119" spans="2:2" ht="16" x14ac:dyDescent="0.2">
      <c r="B119" s="53"/>
    </row>
    <row r="120" spans="2:2" ht="16" x14ac:dyDescent="0.2">
      <c r="B120" s="53"/>
    </row>
    <row r="121" spans="2:2" ht="16" x14ac:dyDescent="0.2">
      <c r="B121" s="53"/>
    </row>
    <row r="122" spans="2:2" ht="16" x14ac:dyDescent="0.2">
      <c r="B122" s="53"/>
    </row>
    <row r="123" spans="2:2" ht="16" x14ac:dyDescent="0.2">
      <c r="B123" s="53"/>
    </row>
    <row r="124" spans="2:2" ht="16" x14ac:dyDescent="0.2">
      <c r="B124" s="53"/>
    </row>
    <row r="125" spans="2:2" ht="16" x14ac:dyDescent="0.2">
      <c r="B125" s="53"/>
    </row>
    <row r="126" spans="2:2" ht="16" x14ac:dyDescent="0.2">
      <c r="B126" s="53"/>
    </row>
    <row r="127" spans="2:2" ht="16" x14ac:dyDescent="0.2">
      <c r="B127" s="53"/>
    </row>
    <row r="128" spans="2:2" ht="16" x14ac:dyDescent="0.2">
      <c r="B128" s="53"/>
    </row>
    <row r="129" spans="2:2" ht="16" x14ac:dyDescent="0.2">
      <c r="B129" s="53"/>
    </row>
    <row r="130" spans="2:2" ht="16" x14ac:dyDescent="0.2">
      <c r="B130" s="53"/>
    </row>
    <row r="131" spans="2:2" ht="16" x14ac:dyDescent="0.2">
      <c r="B131" s="53"/>
    </row>
    <row r="132" spans="2:2" ht="16" x14ac:dyDescent="0.2">
      <c r="B132" s="53"/>
    </row>
    <row r="133" spans="2:2" ht="16" x14ac:dyDescent="0.2">
      <c r="B133" s="53"/>
    </row>
    <row r="134" spans="2:2" ht="16" x14ac:dyDescent="0.2">
      <c r="B134" s="53"/>
    </row>
    <row r="135" spans="2:2" ht="16" x14ac:dyDescent="0.2">
      <c r="B135" s="53"/>
    </row>
    <row r="136" spans="2:2" ht="16" x14ac:dyDescent="0.2">
      <c r="B136" s="53"/>
    </row>
    <row r="137" spans="2:2" ht="16" x14ac:dyDescent="0.2">
      <c r="B137" s="53"/>
    </row>
    <row r="138" spans="2:2" ht="16" x14ac:dyDescent="0.2">
      <c r="B138" s="53"/>
    </row>
    <row r="139" spans="2:2" ht="16" x14ac:dyDescent="0.2">
      <c r="B139" s="53"/>
    </row>
    <row r="140" spans="2:2" ht="16" x14ac:dyDescent="0.2">
      <c r="B140" s="53"/>
    </row>
    <row r="141" spans="2:2" ht="16" x14ac:dyDescent="0.2">
      <c r="B141" s="53"/>
    </row>
    <row r="142" spans="2:2" ht="16" x14ac:dyDescent="0.2">
      <c r="B142" s="5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A925"/>
  <sheetViews>
    <sheetView tabSelected="1" zoomScaleNormal="100" workbookViewId="0">
      <pane ySplit="5" topLeftCell="A249" activePane="bottomLeft" state="frozen"/>
      <selection pane="bottomLeft" activeCell="C905" sqref="C905"/>
    </sheetView>
  </sheetViews>
  <sheetFormatPr baseColWidth="10" defaultColWidth="8.83203125" defaultRowHeight="15" x14ac:dyDescent="0.2"/>
  <cols>
    <col min="1" max="1" width="44.5" bestFit="1" customWidth="1"/>
    <col min="2" max="2" width="7.5" bestFit="1" customWidth="1"/>
    <col min="3" max="3" width="35.5" bestFit="1" customWidth="1"/>
    <col min="4" max="4" width="13" bestFit="1" customWidth="1"/>
    <col min="5" max="5" width="8.5" bestFit="1" customWidth="1"/>
    <col min="6" max="6" width="12.83203125" style="25" bestFit="1" customWidth="1"/>
    <col min="7" max="10" width="11.6640625" style="25" bestFit="1" customWidth="1"/>
    <col min="11" max="11" width="11.1640625" bestFit="1" customWidth="1"/>
    <col min="12" max="12" width="10.33203125" customWidth="1"/>
    <col min="13" max="13" width="7.5" customWidth="1"/>
    <col min="14" max="14" width="11.5" style="25" bestFit="1" customWidth="1"/>
    <col min="15" max="15" width="10.5" style="25" bestFit="1" customWidth="1"/>
    <col min="16" max="16" width="9.83203125" style="29" bestFit="1" customWidth="1"/>
    <col min="17" max="17" width="8.5" style="56" customWidth="1"/>
    <col min="18" max="18" width="10.1640625" style="56" bestFit="1" customWidth="1"/>
    <col min="19" max="21" width="10.5" style="56" hidden="1" customWidth="1"/>
    <col min="22" max="22" width="5.83203125" hidden="1" customWidth="1"/>
    <col min="23" max="23" width="5" hidden="1" customWidth="1"/>
    <col min="24" max="24" width="3" hidden="1" customWidth="1"/>
    <col min="25" max="25" width="14.1640625" bestFit="1" customWidth="1"/>
    <col min="26" max="27" width="10.5" customWidth="1"/>
    <col min="28" max="28" width="20" customWidth="1"/>
    <col min="29" max="29" width="12.5" customWidth="1"/>
  </cols>
  <sheetData>
    <row r="1" spans="1:27" ht="15.75" customHeight="1" thickBot="1" x14ac:dyDescent="0.25">
      <c r="A1" s="306" t="s">
        <v>514</v>
      </c>
      <c r="B1" s="306"/>
      <c r="C1" s="312" t="s">
        <v>660</v>
      </c>
    </row>
    <row r="2" spans="1:27" ht="21.75" customHeight="1" thickBot="1" x14ac:dyDescent="0.3">
      <c r="A2" s="306"/>
      <c r="B2" s="306"/>
      <c r="C2" s="312"/>
      <c r="D2" s="30" t="s">
        <v>513</v>
      </c>
      <c r="E2" s="30" t="s">
        <v>55</v>
      </c>
      <c r="F2" s="45" t="s">
        <v>58</v>
      </c>
      <c r="G2" s="309" t="s">
        <v>580</v>
      </c>
      <c r="H2" s="310"/>
      <c r="I2" s="310"/>
      <c r="J2" s="311"/>
      <c r="K2" s="2" t="s">
        <v>59</v>
      </c>
      <c r="L2" s="30" t="s">
        <v>565</v>
      </c>
      <c r="M2" s="2" t="s">
        <v>565</v>
      </c>
      <c r="N2" s="35" t="s">
        <v>568</v>
      </c>
      <c r="O2" s="26" t="s">
        <v>574</v>
      </c>
      <c r="P2" s="42" t="s">
        <v>575</v>
      </c>
      <c r="Q2" s="57" t="s">
        <v>33</v>
      </c>
      <c r="R2" s="64" t="s">
        <v>37</v>
      </c>
      <c r="S2" s="66"/>
      <c r="T2" s="64"/>
      <c r="U2" s="64"/>
      <c r="V2" s="6">
        <f>COUNT(D5:U5)-IF(D4="+",0,1)-IF(E4="+",0,1)-IF(F4="+",0,1)-IF(G4="+",0,1)-IF(H4="+",0,1)-IF(I4="+",0,1)-IF(J4="+",0,1)-IF(K4="+",0,1)-IF(L4="+",0,1)-IF(M4="+",0,1)-IF(N4="+",0,1)-IF(O4="+",0,1)-IF(P4="+",0,1)-IF(Q4="+",0,1)-IF(R4="+",0,1)</f>
        <v>12</v>
      </c>
      <c r="W2" s="23"/>
      <c r="Y2" s="17" t="s">
        <v>571</v>
      </c>
      <c r="Z2" s="15" t="s">
        <v>515</v>
      </c>
      <c r="AA2" s="11" t="s">
        <v>516</v>
      </c>
    </row>
    <row r="3" spans="1:27" ht="18" customHeight="1" thickBot="1" x14ac:dyDescent="0.25">
      <c r="A3" s="307" t="s">
        <v>512</v>
      </c>
      <c r="B3" s="307"/>
      <c r="C3" s="67">
        <v>43342</v>
      </c>
      <c r="D3" s="31" t="s">
        <v>581</v>
      </c>
      <c r="E3" s="31" t="s">
        <v>564</v>
      </c>
      <c r="F3" s="38" t="s">
        <v>52</v>
      </c>
      <c r="G3" s="38" t="s">
        <v>579</v>
      </c>
      <c r="H3" s="27" t="s">
        <v>576</v>
      </c>
      <c r="I3" s="27" t="s">
        <v>577</v>
      </c>
      <c r="J3" s="48" t="s">
        <v>578</v>
      </c>
      <c r="K3" s="4" t="s">
        <v>64</v>
      </c>
      <c r="L3" s="31" t="s">
        <v>566</v>
      </c>
      <c r="M3" s="4" t="s">
        <v>567</v>
      </c>
      <c r="N3" s="41" t="s">
        <v>569</v>
      </c>
      <c r="O3" s="27" t="s">
        <v>68</v>
      </c>
      <c r="P3" s="43" t="s">
        <v>68</v>
      </c>
      <c r="Q3" s="58" t="s">
        <v>72</v>
      </c>
      <c r="R3" s="65" t="s">
        <v>80</v>
      </c>
      <c r="S3" s="61"/>
      <c r="T3" s="65"/>
      <c r="U3" s="65"/>
      <c r="V3" s="50">
        <f>COUNT(V6:V998)</f>
        <v>894</v>
      </c>
      <c r="W3" s="49"/>
      <c r="Y3" s="18" t="s">
        <v>570</v>
      </c>
      <c r="Z3" s="304">
        <f>V3-COUNTIF(W:W,"0")</f>
        <v>3</v>
      </c>
      <c r="AA3" s="302">
        <f>V3-Z3</f>
        <v>891</v>
      </c>
    </row>
    <row r="4" spans="1:27" ht="18" customHeight="1" thickBot="1" x14ac:dyDescent="0.25">
      <c r="A4" s="308"/>
      <c r="B4" s="308"/>
      <c r="C4" s="72" t="s">
        <v>927</v>
      </c>
      <c r="D4" s="32" t="s">
        <v>582</v>
      </c>
      <c r="E4" s="32" t="s">
        <v>582</v>
      </c>
      <c r="F4" s="39" t="s">
        <v>582</v>
      </c>
      <c r="G4" s="47" t="s">
        <v>582</v>
      </c>
      <c r="H4" s="47" t="s">
        <v>582</v>
      </c>
      <c r="I4" s="47" t="s">
        <v>582</v>
      </c>
      <c r="J4" s="47" t="s">
        <v>582</v>
      </c>
      <c r="K4" s="47" t="s">
        <v>582</v>
      </c>
      <c r="L4" s="47" t="s">
        <v>582</v>
      </c>
      <c r="M4" s="16" t="s">
        <v>88</v>
      </c>
      <c r="N4" s="36" t="s">
        <v>88</v>
      </c>
      <c r="O4" s="47" t="s">
        <v>582</v>
      </c>
      <c r="P4" s="47" t="s">
        <v>582</v>
      </c>
      <c r="Q4" s="47" t="s">
        <v>582</v>
      </c>
      <c r="R4" s="63" t="s">
        <v>88</v>
      </c>
      <c r="S4" s="59" t="s">
        <v>88</v>
      </c>
      <c r="T4" s="59" t="s">
        <v>88</v>
      </c>
      <c r="U4" s="59" t="s">
        <v>88</v>
      </c>
      <c r="V4" s="3" t="s">
        <v>572</v>
      </c>
      <c r="W4" s="24"/>
      <c r="Y4" s="22">
        <v>0</v>
      </c>
      <c r="Z4" s="305"/>
      <c r="AA4" s="303"/>
    </row>
    <row r="5" spans="1:27" ht="17" x14ac:dyDescent="0.2">
      <c r="A5" s="19" t="str">
        <f>Data!A5</f>
        <v>Company</v>
      </c>
      <c r="B5" s="20" t="str">
        <f>Data!B5</f>
        <v>Ticker</v>
      </c>
      <c r="C5" s="21" t="str">
        <f>Data!C6</f>
        <v>Sector</v>
      </c>
      <c r="D5" s="33">
        <v>2</v>
      </c>
      <c r="E5" s="34">
        <v>20</v>
      </c>
      <c r="F5" s="40">
        <v>1.9800000000000002E-2</v>
      </c>
      <c r="G5" s="46">
        <v>0.05</v>
      </c>
      <c r="H5" s="46">
        <v>0.05</v>
      </c>
      <c r="I5" s="46">
        <v>0.05</v>
      </c>
      <c r="J5" s="46">
        <v>0.05</v>
      </c>
      <c r="K5" s="14">
        <v>0.6</v>
      </c>
      <c r="L5" s="34">
        <v>19.329999999999998</v>
      </c>
      <c r="M5" s="12">
        <v>2</v>
      </c>
      <c r="N5" s="37">
        <v>0.1</v>
      </c>
      <c r="O5" s="13">
        <v>0</v>
      </c>
      <c r="P5" s="44">
        <v>0</v>
      </c>
      <c r="Q5" s="60">
        <v>0.7</v>
      </c>
      <c r="R5" s="62">
        <v>11</v>
      </c>
      <c r="S5" s="62"/>
      <c r="T5" s="62"/>
      <c r="U5" s="62"/>
      <c r="V5" s="5" t="s">
        <v>573</v>
      </c>
      <c r="W5" s="24"/>
    </row>
    <row r="6" spans="1:27" hidden="1" x14ac:dyDescent="0.2">
      <c r="A6" s="7" t="str">
        <f>Data!A730</f>
        <v>Averages by Sector</v>
      </c>
      <c r="B6" s="7">
        <f>Data!B730</f>
        <v>0</v>
      </c>
      <c r="C6" s="7">
        <f>Data!C730</f>
        <v>0</v>
      </c>
      <c r="D6" s="8" t="str">
        <f>IF(ISNUMBER(Data!AL730),Data!AL730/1000,"n/a")</f>
        <v>n/a</v>
      </c>
      <c r="E6" s="1">
        <f>Data!E730</f>
        <v>0</v>
      </c>
      <c r="F6" s="28">
        <f>Data!J730/100</f>
        <v>0</v>
      </c>
      <c r="G6" s="28" t="str">
        <f>IF(ISNUMBER(Data!S730),Data!S730/100,"n/a")</f>
        <v>n/a</v>
      </c>
      <c r="H6" s="28" t="str">
        <f>IF(ISNUMBER(Data!T730),Data!T730/100,"n/a")</f>
        <v>n/a</v>
      </c>
      <c r="I6" s="28" t="str">
        <f>IF(ISNUMBER(Data!U730),Data!U730/100,"n/a")</f>
        <v>n/a</v>
      </c>
      <c r="J6" s="28" t="str">
        <f>IF(ISNUMBER(Data!V730),Data!V730/100,"n/a")</f>
        <v>n/a</v>
      </c>
      <c r="K6" s="9">
        <f>IF(ISNUMBER(Data!Z730),Data!Z730/100,99)</f>
        <v>99</v>
      </c>
      <c r="L6" s="10">
        <f>Data!AA730</f>
        <v>0</v>
      </c>
      <c r="M6" s="10">
        <f>Data!AF730</f>
        <v>0</v>
      </c>
      <c r="N6" s="28" t="str">
        <f>IF(ISNUMBER(Data!AG730),Data!AG730/100,"n/a")</f>
        <v>n/a</v>
      </c>
      <c r="O6" s="28" t="str">
        <f>IF(ISNUMBER(Data!AJ730),Data!AJ730/100,"n/a")</f>
        <v>n/a</v>
      </c>
      <c r="P6" s="9" t="str">
        <f>IF(ISNUMBER(Data!AK730),Data!AK730/100,"n/a")</f>
        <v>n/a</v>
      </c>
      <c r="Q6" s="8">
        <f>Data!AN730</f>
        <v>0</v>
      </c>
      <c r="R6" s="8">
        <f>Data!AP730</f>
        <v>0</v>
      </c>
      <c r="S6" s="8"/>
      <c r="T6" s="8"/>
      <c r="U6" s="8"/>
      <c r="V6" s="1">
        <f t="shared" ref="V6:V68" si="0">IF($D$4="+",IF(D6="n/a",0,IF(D6&gt;=$D$5,1,0)),0)+IF($E$4="+",IF(E6="n/a",0,IF(E6&gt;=$E$5,1,0)),0)+IF($F$4="+",IF(F6="n/a",0,IF(F6&gt;=$F$5,1,0)),0)+IF($G$4="+",IF(G6="n/a",0,IF(G6&gt;=$G$5,1,0)),0)+IF($H$4="+",IF(H6="n/a",0,IF(H6&gt;=$H$5,1,0)),0)+IF($I$4="+",IF(I6="n/a",0,IF(I6&gt;=$I$5,1,0)),0)+IF($J$4="+",IF(J6="n/a",0,IF(J6&gt;=$J$5,1,0)),0)+IF($K$4="+",IF(K6="n/a",0,IF(K6&lt;=$K$5,1,0)),0)+IF($L$4="+",IF(L6="n/a",0,IF(L6&lt;=$L$5,1,0)),0)+IF($M$4="+",IF(M6="n/a",0,IF(M6&lt;=$M$5,1,0)),0)+IF($N$4="+",IF(N6="n/a",0,IF(N6&gt;=$N$5,1,0)),0)+IF($O$4="+",IF(O6="n/a",0,IF(O6&gt;=$O$5,1,0)),0)+IF($P$4="+",IF(P6="n/a",0,IF(P6&gt;=$P$5,1,0)),0)+IF($Q$4="+",IF(Q6="n/a",0,IF(Q6&lt;=$Q$5,1,0)),0)+IF($R$4="+",IF(R6="n/a",0,IF(R6&gt;=$R$5,1,0)),0)+$Y$4</f>
        <v>2</v>
      </c>
      <c r="W6" s="1">
        <f t="shared" ref="W6:W68" si="1">IF(V6&gt;=$V$2,"",0)</f>
        <v>0</v>
      </c>
    </row>
    <row r="7" spans="1:27" hidden="1" x14ac:dyDescent="0.2">
      <c r="A7" s="7">
        <f>Data!A729</f>
        <v>0</v>
      </c>
      <c r="B7" s="7">
        <f>Data!B729</f>
        <v>0</v>
      </c>
      <c r="C7" s="7">
        <f>Data!C729</f>
        <v>0</v>
      </c>
      <c r="D7" s="8" t="str">
        <f>IF(ISNUMBER(Data!AL729),Data!AL729/1000,"n/a")</f>
        <v>n/a</v>
      </c>
      <c r="E7" s="1">
        <f>Data!E729</f>
        <v>0</v>
      </c>
      <c r="F7" s="28">
        <f>Data!J729/100</f>
        <v>0</v>
      </c>
      <c r="G7" s="28" t="str">
        <f>IF(ISNUMBER(Data!S729),Data!S729/100,"n/a")</f>
        <v>n/a</v>
      </c>
      <c r="H7" s="28" t="str">
        <f>IF(ISNUMBER(Data!T729),Data!T729/100,"n/a")</f>
        <v>n/a</v>
      </c>
      <c r="I7" s="28" t="str">
        <f>IF(ISNUMBER(Data!U729),Data!U729/100,"n/a")</f>
        <v>n/a</v>
      </c>
      <c r="J7" s="28" t="str">
        <f>IF(ISNUMBER(Data!V729),Data!V729/100,"n/a")</f>
        <v>n/a</v>
      </c>
      <c r="K7" s="9" t="str">
        <f>IF(ISNUMBER(Data!Z729),Data!Z729/100,"n/a")</f>
        <v>n/a</v>
      </c>
      <c r="L7" s="10">
        <f>Data!AA729</f>
        <v>0</v>
      </c>
      <c r="M7" s="10">
        <f>Data!AF729</f>
        <v>0</v>
      </c>
      <c r="N7" s="28" t="str">
        <f>IF(ISNUMBER(Data!AG729),Data!AG729/100,"n/a")</f>
        <v>n/a</v>
      </c>
      <c r="O7" s="28" t="str">
        <f>IF(ISNUMBER(Data!AJ729),Data!AJ729/100,"n/a")</f>
        <v>n/a</v>
      </c>
      <c r="P7" s="9" t="str">
        <f>IF(ISNUMBER(Data!AK729),Data!AK729/100,"n/a")</f>
        <v>n/a</v>
      </c>
      <c r="Q7" s="8">
        <f>Data!AN729</f>
        <v>0</v>
      </c>
      <c r="R7" s="8">
        <f>Data!AP729</f>
        <v>0</v>
      </c>
      <c r="S7" s="8"/>
      <c r="T7" s="8"/>
      <c r="U7" s="8"/>
      <c r="V7" s="1">
        <f t="shared" si="0"/>
        <v>2</v>
      </c>
      <c r="W7" s="1">
        <f t="shared" si="1"/>
        <v>0</v>
      </c>
    </row>
    <row r="8" spans="1:27" hidden="1" x14ac:dyDescent="0.2">
      <c r="A8" s="7" t="str">
        <f>Data!A728</f>
        <v>Challengers</v>
      </c>
      <c r="B8" s="7">
        <f>Data!B728</f>
        <v>210</v>
      </c>
      <c r="C8" s="7">
        <f>Data!C728</f>
        <v>0</v>
      </c>
      <c r="D8" s="8">
        <f>IF(ISNUMBER(Data!AL728),Data!AL728/1000,"n/a")</f>
        <v>19.987834057971014</v>
      </c>
      <c r="E8" s="1">
        <f>Data!E728</f>
        <v>7.2095238095238097</v>
      </c>
      <c r="F8" s="28">
        <f>Data!J728/100</f>
        <v>2.9063745254972958E-2</v>
      </c>
      <c r="G8" s="28">
        <f>IF(ISNUMBER(Data!S728),Data!S728/100,"n/a")</f>
        <v>0.12382198641651844</v>
      </c>
      <c r="H8" s="28">
        <f>IF(ISNUMBER(Data!T728),Data!T728/100,"n/a")</f>
        <v>0.15873684973221802</v>
      </c>
      <c r="I8" s="28">
        <f>IF(ISNUMBER(Data!U728),Data!U728/100,"n/a")</f>
        <v>0.15724605659083812</v>
      </c>
      <c r="J8" s="28">
        <f>IF(ISNUMBER(Data!V728),Data!V728/100,"n/a")</f>
        <v>9.0420642962262848E-2</v>
      </c>
      <c r="K8" s="9">
        <f>IF(ISNUMBER(Data!Z728),Data!Z728/100,"n/a")</f>
        <v>0.55305778866230559</v>
      </c>
      <c r="L8" s="10">
        <f>Data!AA728</f>
        <v>19.597266846927319</v>
      </c>
      <c r="M8" s="10">
        <f>Data!AF728</f>
        <v>3.7127722772277223</v>
      </c>
      <c r="N8" s="28">
        <f>IF(ISNUMBER(Data!AG728),Data!AG728/100,"n/a")</f>
        <v>0.19248080808080797</v>
      </c>
      <c r="O8" s="28">
        <f>IF(ISNUMBER(Data!AJ728),Data!AJ728/100,"n/a")</f>
        <v>0.20822780487804876</v>
      </c>
      <c r="P8" s="9">
        <f>IF(ISNUMBER(Data!AK728),Data!AK728/100,"n/a")</f>
        <v>9.657278106508875E-2</v>
      </c>
      <c r="Q8" s="8">
        <f>Data!AN728</f>
        <v>0.94020202020201993</v>
      </c>
      <c r="R8" s="8">
        <f>Data!AP728</f>
        <v>18.730652906598657</v>
      </c>
      <c r="S8" s="8"/>
      <c r="T8" s="8"/>
      <c r="U8" s="8"/>
      <c r="V8" s="1">
        <f t="shared" si="0"/>
        <v>9</v>
      </c>
      <c r="W8" s="1">
        <f t="shared" si="1"/>
        <v>0</v>
      </c>
    </row>
    <row r="9" spans="1:27" hidden="1" x14ac:dyDescent="0.2">
      <c r="A9" s="7" t="str">
        <f>Data!A726</f>
        <v>Champions</v>
      </c>
      <c r="B9" s="7">
        <f>Data!B726</f>
        <v>144</v>
      </c>
      <c r="C9" s="7">
        <f>Data!C726</f>
        <v>0</v>
      </c>
      <c r="D9" s="8">
        <f>IF(ISNUMBER(Data!AL726),Data!AL726/1000,"n/a")</f>
        <v>43.649135220588242</v>
      </c>
      <c r="E9" s="1">
        <f>Data!E726</f>
        <v>40.854166666666664</v>
      </c>
      <c r="F9" s="28">
        <f>Data!J726/100</f>
        <v>2.6176092206005631E-2</v>
      </c>
      <c r="G9" s="28">
        <f>IF(ISNUMBER(Data!S726),Data!S726/100,"n/a")</f>
        <v>5.6207808362355706E-2</v>
      </c>
      <c r="H9" s="28">
        <f>IF(ISNUMBER(Data!T726),Data!T726/100,"n/a")</f>
        <v>6.4315184057718786E-2</v>
      </c>
      <c r="I9" s="28">
        <f>IF(ISNUMBER(Data!U726),Data!U726/100,"n/a")</f>
        <v>6.888690376263161E-2</v>
      </c>
      <c r="J9" s="28">
        <f>IF(ISNUMBER(Data!V726),Data!V726/100,"n/a")</f>
        <v>7.7575347972066375E-2</v>
      </c>
      <c r="K9" s="9">
        <f>IF(ISNUMBER(Data!Z726),Data!Z726/100,"n/a")</f>
        <v>0.6087501403290847</v>
      </c>
      <c r="L9" s="10">
        <f>Data!AA726</f>
        <v>25.333121776095926</v>
      </c>
      <c r="M9" s="10">
        <f>Data!AF726</f>
        <v>6.1309090909090891</v>
      </c>
      <c r="N9" s="28">
        <f>IF(ISNUMBER(Data!AG726),Data!AG726/100,"n/a")</f>
        <v>0.18857099236641225</v>
      </c>
      <c r="O9" s="28">
        <f>IF(ISNUMBER(Data!AJ726),Data!AJ726/100,"n/a")</f>
        <v>0.11558518518518519</v>
      </c>
      <c r="P9" s="9">
        <f>IF(ISNUMBER(Data!AK726),Data!AK726/100,"n/a")</f>
        <v>9.7799186991869902E-2</v>
      </c>
      <c r="Q9" s="8">
        <f>Data!AN726</f>
        <v>1.0848439393939397</v>
      </c>
      <c r="R9" s="8">
        <f>Data!AP726</f>
        <v>9.5062995968637267</v>
      </c>
      <c r="S9" s="8"/>
      <c r="T9" s="8"/>
      <c r="U9" s="8"/>
      <c r="V9" s="1">
        <f t="shared" si="0"/>
        <v>9</v>
      </c>
      <c r="W9" s="1">
        <f t="shared" si="1"/>
        <v>0</v>
      </c>
    </row>
    <row r="10" spans="1:27" hidden="1" x14ac:dyDescent="0.2">
      <c r="A10" s="7" t="str">
        <f>Data!A723</f>
        <v>Zoetis Inc.</v>
      </c>
      <c r="B10" s="7" t="str">
        <f>Data!B723</f>
        <v>ZTS</v>
      </c>
      <c r="C10" s="7" t="str">
        <f>Data!C723</f>
        <v>Health Care</v>
      </c>
      <c r="D10" s="8">
        <f>IF(ISNUMBER(Data!AL723),Data!AL723/1000,"n/a")</f>
        <v>70.75</v>
      </c>
      <c r="E10" s="1">
        <f>Data!E723</f>
        <v>10</v>
      </c>
      <c r="F10" s="28">
        <f>Data!J723/100</f>
        <v>8.6218331343679531E-3</v>
      </c>
      <c r="G10" s="28">
        <f>IF(ISNUMBER(Data!S723),Data!S723/100,"n/a")</f>
        <v>0.25</v>
      </c>
      <c r="H10" s="28">
        <f>IF(ISNUMBER(Data!T723),Data!T723/100,"n/a")</f>
        <v>0.25657906854858958</v>
      </c>
      <c r="I10" s="28">
        <f>IF(ISNUMBER(Data!U723),Data!U723/100,"n/a")</f>
        <v>0.21350977971820975</v>
      </c>
      <c r="J10" s="28" t="str">
        <f>IF(ISNUMBER(Data!V723),Data!V723/100,"n/a")</f>
        <v>n/a</v>
      </c>
      <c r="K10" s="9">
        <f>IF(ISNUMBER(Data!Z723),Data!Z723/100,"n/a")</f>
        <v>0.29478458049886619</v>
      </c>
      <c r="L10" s="10">
        <f>Data!AA723</f>
        <v>34.19047619047619</v>
      </c>
      <c r="M10" s="10">
        <f>Data!AF723</f>
        <v>15.74</v>
      </c>
      <c r="N10" s="28">
        <f>IF(ISNUMBER(Data!AG723),Data!AG723/100,"n/a")</f>
        <v>0.45300000000000007</v>
      </c>
      <c r="O10" s="28">
        <f>IF(ISNUMBER(Data!AJ723),Data!AJ723/100,"n/a")</f>
        <v>0.21</v>
      </c>
      <c r="P10" s="9">
        <f>IF(ISNUMBER(Data!AK723),Data!AK723/100,"n/a")</f>
        <v>0.1072</v>
      </c>
      <c r="Q10" s="8">
        <f>Data!AN723</f>
        <v>1.44</v>
      </c>
      <c r="R10" s="8">
        <f>Data!AP723</f>
        <v>22.213161285257769</v>
      </c>
      <c r="S10" s="8"/>
      <c r="T10" s="8"/>
      <c r="U10" s="8"/>
      <c r="V10" s="1">
        <f t="shared" si="0"/>
        <v>7</v>
      </c>
      <c r="W10" s="1">
        <f t="shared" si="1"/>
        <v>0</v>
      </c>
    </row>
    <row r="11" spans="1:27" hidden="1" x14ac:dyDescent="0.2">
      <c r="A11" s="7" t="str">
        <f>Data!A713</f>
        <v>Watts Water Technologies, Inc.</v>
      </c>
      <c r="B11" s="7" t="str">
        <f>Data!B713</f>
        <v>WTS</v>
      </c>
      <c r="C11" s="7" t="str">
        <f>Data!C713</f>
        <v>Industrials</v>
      </c>
      <c r="D11" s="8">
        <f>IF(ISNUMBER(Data!AL713),Data!AL713/1000,"n/a")</f>
        <v>4.63</v>
      </c>
      <c r="E11" s="1">
        <f>Data!E713</f>
        <v>10</v>
      </c>
      <c r="F11" s="28">
        <f>Data!J713/100</f>
        <v>8.1989614648811139E-3</v>
      </c>
      <c r="G11" s="28">
        <f>IF(ISNUMBER(Data!S713),Data!S713/100,"n/a")</f>
        <v>9.7826086956521716E-2</v>
      </c>
      <c r="H11" s="28">
        <f>IF(ISNUMBER(Data!T713),Data!T713/100,"n/a")</f>
        <v>7.193678303359885E-2</v>
      </c>
      <c r="I11" s="28">
        <f>IF(ISNUMBER(Data!U713),Data!U713/100,"n/a")</f>
        <v>7.3031830278270871E-2</v>
      </c>
      <c r="J11" s="28">
        <f>IF(ISNUMBER(Data!V713),Data!V713/100,"n/a")</f>
        <v>8.664295757753028E-2</v>
      </c>
      <c r="K11" s="9">
        <f>IF(ISNUMBER(Data!Z713),Data!Z713/100,"n/a")</f>
        <v>0.19230769230769229</v>
      </c>
      <c r="L11" s="10">
        <f>Data!AA713</f>
        <v>23.455128205128208</v>
      </c>
      <c r="M11" s="10">
        <f>Data!AF713</f>
        <v>4.03</v>
      </c>
      <c r="N11" s="28">
        <f>IF(ISNUMBER(Data!AG713),Data!AG713/100,"n/a")</f>
        <v>0.18</v>
      </c>
      <c r="O11" s="28">
        <f>IF(ISNUMBER(Data!AJ713),Data!AJ713/100,"n/a")</f>
        <v>0.14899999999999999</v>
      </c>
      <c r="P11" s="9">
        <f>IF(ISNUMBER(Data!AK713),Data!AK713/100,"n/a")</f>
        <v>0.08</v>
      </c>
      <c r="Q11" s="8">
        <f>Data!AN713</f>
        <v>0.17</v>
      </c>
      <c r="R11" s="8">
        <f>Data!AP713</f>
        <v>8.1230791743151975</v>
      </c>
      <c r="S11" s="8"/>
      <c r="T11" s="8"/>
      <c r="U11" s="8"/>
      <c r="V11" s="1">
        <f t="shared" si="0"/>
        <v>9</v>
      </c>
      <c r="W11" s="1">
        <f t="shared" si="1"/>
        <v>0</v>
      </c>
    </row>
    <row r="12" spans="1:27" hidden="1" x14ac:dyDescent="0.2">
      <c r="A12" s="7" t="str">
        <f>Data!A709</f>
        <v>West Pharmaceutical Services, Inc.</v>
      </c>
      <c r="B12" s="7" t="str">
        <f>Data!B709</f>
        <v>WST</v>
      </c>
      <c r="C12" s="7" t="str">
        <f>Data!C709</f>
        <v>Health Care</v>
      </c>
      <c r="D12" s="8">
        <f>IF(ISNUMBER(Data!AL709),Data!AL709/1000,"n/a")</f>
        <v>16.38</v>
      </c>
      <c r="E12" s="1">
        <f>Data!E709</f>
        <v>30</v>
      </c>
      <c r="F12" s="28">
        <f>Data!J709/100</f>
        <v>3.3029117774880492E-3</v>
      </c>
      <c r="G12" s="28">
        <f>IF(ISNUMBER(Data!S709),Data!S709/100,"n/a")</f>
        <v>6.153846153846132E-2</v>
      </c>
      <c r="H12" s="28">
        <f>IF(ISNUMBER(Data!T709),Data!T709/100,"n/a")</f>
        <v>6.5756716652330516E-2</v>
      </c>
      <c r="I12" s="28">
        <f>IF(ISNUMBER(Data!U709),Data!U709/100,"n/a")</f>
        <v>7.0854835608517686E-2</v>
      </c>
      <c r="J12" s="28">
        <f>IF(ISNUMBER(Data!V709),Data!V709/100,"n/a")</f>
        <v>7.1773462536293131E-2</v>
      </c>
      <c r="K12" s="9">
        <f>IF(ISNUMBER(Data!Z709),Data!Z709/100,"n/a")</f>
        <v>9.1898428053204362E-2</v>
      </c>
      <c r="L12" s="10">
        <f>Data!AA709</f>
        <v>27.823458282950423</v>
      </c>
      <c r="M12" s="10">
        <f>Data!AF709</f>
        <v>6.79</v>
      </c>
      <c r="N12" s="28">
        <f>IF(ISNUMBER(Data!AG709),Data!AG709/100,"n/a")</f>
        <v>0.26400000000000001</v>
      </c>
      <c r="O12" s="28">
        <f>IF(ISNUMBER(Data!AJ709),Data!AJ709/100,"n/a")</f>
        <v>0.35199999999999998</v>
      </c>
      <c r="P12" s="9">
        <f>IF(ISNUMBER(Data!AK709),Data!AK709/100,"n/a")</f>
        <v>0.10400000000000001</v>
      </c>
      <c r="Q12" s="8">
        <f>Data!AN709</f>
        <v>0.08</v>
      </c>
      <c r="R12" s="8">
        <f>Data!AP709</f>
        <v>7.4157747386005735</v>
      </c>
      <c r="S12" s="8"/>
      <c r="T12" s="8"/>
      <c r="U12" s="8"/>
      <c r="V12" s="1">
        <f t="shared" si="0"/>
        <v>10</v>
      </c>
      <c r="W12" s="1">
        <f t="shared" si="1"/>
        <v>0</v>
      </c>
    </row>
    <row r="13" spans="1:27" hidden="1" x14ac:dyDescent="0.2">
      <c r="A13" s="7" t="str">
        <f>Data!A699</f>
        <v>The Williams Companies, Inc.</v>
      </c>
      <c r="B13" s="7" t="str">
        <f>Data!B699</f>
        <v>WMB</v>
      </c>
      <c r="C13" s="7" t="str">
        <f>Data!C699</f>
        <v>Energy</v>
      </c>
      <c r="D13" s="8">
        <f>IF(ISNUMBER(Data!AL699),Data!AL699/1000,"n/a")</f>
        <v>39.6</v>
      </c>
      <c r="E13" s="1">
        <f>Data!E699</f>
        <v>5</v>
      </c>
      <c r="F13" s="28">
        <f>Data!J699/100</f>
        <v>5.1940116101435993E-2</v>
      </c>
      <c r="G13" s="28">
        <f>IF(ISNUMBER(Data!S699),Data!S699/100,"n/a")</f>
        <v>2.4999999999999911E-2</v>
      </c>
      <c r="H13" s="28">
        <f>IF(ISNUMBER(Data!T699),Data!T699/100,"n/a")</f>
        <v>6.4392109888903093E-2</v>
      </c>
      <c r="I13" s="28">
        <f>IF(ISNUMBER(Data!U699),Data!U699/100,"n/a")</f>
        <v>-4.8079151111850571E-3</v>
      </c>
      <c r="J13" s="28">
        <f>IF(ISNUMBER(Data!V699),Data!V699/100,"n/a")</f>
        <v>9.9781144538994226E-2</v>
      </c>
      <c r="K13" s="9">
        <f>IF(ISNUMBER(Data!Z699),Data!Z699/100,"n/a")</f>
        <v>1.328125</v>
      </c>
      <c r="L13" s="10">
        <f>Data!AA699</f>
        <v>25.570312499999996</v>
      </c>
      <c r="M13" s="10">
        <f>Data!AF699</f>
        <v>3.56</v>
      </c>
      <c r="N13" s="28">
        <f>IF(ISNUMBER(Data!AG699),Data!AG699/100,"n/a")</f>
        <v>0.13900000000000001</v>
      </c>
      <c r="O13" s="28">
        <f>IF(ISNUMBER(Data!AJ699),Data!AJ699/100,"n/a")</f>
        <v>0.33200000000000002</v>
      </c>
      <c r="P13" s="9">
        <f>IF(ISNUMBER(Data!AK699),Data!AK699/100,"n/a")</f>
        <v>9.0800000000000006E-2</v>
      </c>
      <c r="Q13" s="8">
        <f>Data!AN699</f>
        <v>2.0299999999999998</v>
      </c>
      <c r="R13" s="8">
        <f>Data!AP699</f>
        <v>4.7132200990250936</v>
      </c>
      <c r="S13" s="8"/>
      <c r="T13" s="8"/>
      <c r="U13" s="8"/>
      <c r="V13" s="1">
        <f t="shared" si="0"/>
        <v>6</v>
      </c>
      <c r="W13" s="1">
        <f t="shared" si="1"/>
        <v>0</v>
      </c>
    </row>
    <row r="14" spans="1:27" hidden="1" x14ac:dyDescent="0.2">
      <c r="A14" s="7" t="str">
        <f>Data!A718</f>
        <v>DENTSPLY SIRONA Inc.</v>
      </c>
      <c r="B14" s="7" t="str">
        <f>Data!B718</f>
        <v>XRAY</v>
      </c>
      <c r="C14" s="7" t="str">
        <f>Data!C718</f>
        <v>Health Care</v>
      </c>
      <c r="D14" s="8">
        <f>IF(ISNUMBER(Data!AL718),Data!AL718/1000,"n/a")</f>
        <v>6.57</v>
      </c>
      <c r="E14" s="1">
        <f>Data!E718</f>
        <v>11</v>
      </c>
      <c r="F14" s="28">
        <f>Data!J718/100</f>
        <v>1.6223231667748216E-2</v>
      </c>
      <c r="G14" s="28">
        <f>IF(ISNUMBER(Data!S718),Data!S718/100,"n/a")</f>
        <v>4.9999999999999822E-2</v>
      </c>
      <c r="H14" s="28">
        <f>IF(ISNUMBER(Data!T718),Data!T718/100,"n/a")</f>
        <v>6.2658569182611146E-2</v>
      </c>
      <c r="I14" s="28">
        <f>IF(ISNUMBER(Data!U718),Data!U718/100,"n/a")</f>
        <v>6.6080231448029991E-2</v>
      </c>
      <c r="J14" s="28">
        <f>IF(ISNUMBER(Data!V718),Data!V718/100,"n/a")</f>
        <v>7.7015440304363247E-2</v>
      </c>
      <c r="K14" s="9">
        <f>IF(ISNUMBER(Data!Z718),Data!Z718/100,"n/a")</f>
        <v>0.29761904761904762</v>
      </c>
      <c r="L14" s="10">
        <f>Data!AA718</f>
        <v>18.345238095238095</v>
      </c>
      <c r="M14" s="10">
        <f>Data!AF718</f>
        <v>1.33</v>
      </c>
      <c r="N14" s="28">
        <f>IF(ISNUMBER(Data!AG718),Data!AG718/100,"n/a")</f>
        <v>8.3000000000000004E-2</v>
      </c>
      <c r="O14" s="28">
        <f>IF(ISNUMBER(Data!AJ718),Data!AJ718/100,"n/a")</f>
        <v>-3.0000000000000001E-3</v>
      </c>
      <c r="P14" s="9">
        <f>IF(ISNUMBER(Data!AK718),Data!AK718/100,"n/a")</f>
        <v>3.9E-2</v>
      </c>
      <c r="Q14" s="8">
        <f>Data!AN718</f>
        <v>0.42</v>
      </c>
      <c r="R14" s="8">
        <f>Data!AP718</f>
        <v>8.2303463115778204</v>
      </c>
      <c r="S14" s="8"/>
      <c r="T14" s="8"/>
      <c r="U14" s="8"/>
      <c r="V14" s="1">
        <f t="shared" si="0"/>
        <v>8</v>
      </c>
      <c r="W14" s="1">
        <f t="shared" si="1"/>
        <v>0</v>
      </c>
    </row>
    <row r="15" spans="1:27" hidden="1" x14ac:dyDescent="0.2">
      <c r="A15" s="7" t="str">
        <f>Data!A702</f>
        <v>Worthington Industries, Inc.</v>
      </c>
      <c r="B15" s="7" t="str">
        <f>Data!B702</f>
        <v>WOR</v>
      </c>
      <c r="C15" s="7" t="str">
        <f>Data!C702</f>
        <v>Materials</v>
      </c>
      <c r="D15" s="8">
        <f>IF(ISNUMBER(Data!AL702),Data!AL702/1000,"n/a")</f>
        <v>2.31</v>
      </c>
      <c r="E15" s="1">
        <f>Data!E702</f>
        <v>12</v>
      </c>
      <c r="F15" s="28">
        <f>Data!J702/100</f>
        <v>2.6072329688814132E-2</v>
      </c>
      <c r="G15" s="28">
        <f>IF(ISNUMBER(Data!S702),Data!S702/100,"n/a")</f>
        <v>0.1122448979591837</v>
      </c>
      <c r="H15" s="28">
        <f>IF(ISNUMBER(Data!T702),Data!T702/100,"n/a")</f>
        <v>7.3943107964647314E-2</v>
      </c>
      <c r="I15" s="28">
        <f>IF(ISNUMBER(Data!U702),Data!U702/100,"n/a")</f>
        <v>6.9218289704823022E-2</v>
      </c>
      <c r="J15" s="28">
        <f>IF(ISNUMBER(Data!V702),Data!V702/100,"n/a")</f>
        <v>9.4957801224216029E-2</v>
      </c>
      <c r="K15" s="9">
        <f>IF(ISNUMBER(Data!Z702),Data!Z702/100,"n/a")</f>
        <v>0.20097244732576985</v>
      </c>
      <c r="L15" s="10">
        <f>Data!AA702</f>
        <v>7.708265802269044</v>
      </c>
      <c r="M15" s="10">
        <f>Data!AF702</f>
        <v>1.5</v>
      </c>
      <c r="N15" s="28">
        <f>IF(ISNUMBER(Data!AG702),Data!AG702/100,"n/a")</f>
        <v>0.21</v>
      </c>
      <c r="O15" s="28">
        <f>IF(ISNUMBER(Data!AJ702),Data!AJ702/100,"n/a")</f>
        <v>0.187</v>
      </c>
      <c r="P15" s="9">
        <f>IF(ISNUMBER(Data!AK702),Data!AK702/100,"n/a")</f>
        <v>0.41499999999999998</v>
      </c>
      <c r="Q15" s="8">
        <f>Data!AN702</f>
        <v>0.47</v>
      </c>
      <c r="R15" s="8">
        <f>Data!AP702</f>
        <v>9.5290619393637144</v>
      </c>
      <c r="S15" s="8"/>
      <c r="T15" s="8"/>
      <c r="U15" s="8"/>
      <c r="V15" s="1">
        <f t="shared" si="0"/>
        <v>11</v>
      </c>
      <c r="W15" s="1">
        <f t="shared" si="1"/>
        <v>0</v>
      </c>
    </row>
    <row r="16" spans="1:27" hidden="1" x14ac:dyDescent="0.2">
      <c r="A16" s="7" t="str">
        <f>Data!A721</f>
        <v>Yum! Brands, Inc.</v>
      </c>
      <c r="B16" s="7" t="str">
        <f>Data!B721</f>
        <v>YUM</v>
      </c>
      <c r="C16" s="7" t="str">
        <f>Data!C721</f>
        <v>Consumer Discretionary</v>
      </c>
      <c r="D16" s="8">
        <f>IF(ISNUMBER(Data!AL721),Data!AL721/1000,"n/a")</f>
        <v>32.409999999999997</v>
      </c>
      <c r="E16" s="1">
        <f>Data!E721</f>
        <v>5</v>
      </c>
      <c r="F16" s="28">
        <f>Data!J721/100</f>
        <v>1.9281183932346721E-2</v>
      </c>
      <c r="G16" s="28">
        <f>IF(ISNUMBER(Data!S721),Data!S721/100,"n/a")</f>
        <v>6.3829787234042534E-2</v>
      </c>
      <c r="H16" s="28">
        <f>IF(ISNUMBER(Data!T721),Data!T721/100,"n/a")</f>
        <v>0.1157215834702825</v>
      </c>
      <c r="I16" s="28">
        <f>IF(ISNUMBER(Data!U721),Data!U721/100,"n/a")</f>
        <v>8.0342169732476196E-2</v>
      </c>
      <c r="J16" s="28">
        <f>IF(ISNUMBER(Data!V721),Data!V721/100,"n/a")</f>
        <v>0.10390781959769058</v>
      </c>
      <c r="K16" s="9">
        <f>IF(ISNUMBER(Data!Z721),Data!Z721/100,"n/a")</f>
        <v>0.45691382765531058</v>
      </c>
      <c r="L16" s="10">
        <f>Data!AA721</f>
        <v>23.697394789579157</v>
      </c>
      <c r="M16" s="10" t="str">
        <f>Data!AF721</f>
        <v>n/a</v>
      </c>
      <c r="N16" s="28">
        <f>IF(ISNUMBER(Data!AG721),Data!AG721/100,"n/a")</f>
        <v>-0.17800000000000002</v>
      </c>
      <c r="O16" s="28">
        <f>IF(ISNUMBER(Data!AJ721),Data!AJ721/100,"n/a")</f>
        <v>0.154</v>
      </c>
      <c r="P16" s="9">
        <f>IF(ISNUMBER(Data!AK721),Data!AK721/100,"n/a")</f>
        <v>0.10150000000000001</v>
      </c>
      <c r="Q16" s="8" t="str">
        <f>Data!AN721</f>
        <v>n/a</v>
      </c>
      <c r="R16" s="8">
        <f>Data!AP721</f>
        <v>9.9623353664822929</v>
      </c>
      <c r="S16" s="8"/>
      <c r="T16" s="8"/>
      <c r="U16" s="8"/>
      <c r="V16" s="1">
        <f t="shared" si="0"/>
        <v>8</v>
      </c>
      <c r="W16" s="1">
        <f t="shared" si="1"/>
        <v>0</v>
      </c>
    </row>
    <row r="17" spans="1:23" hidden="1" x14ac:dyDescent="0.2">
      <c r="A17" s="7" t="str">
        <f>Data!A714</f>
        <v>Willis Towers Watson Public Limited Company</v>
      </c>
      <c r="B17" s="7" t="str">
        <f>Data!B714</f>
        <v>WTW</v>
      </c>
      <c r="C17" s="7" t="str">
        <f>Data!C714</f>
        <v>Financials</v>
      </c>
      <c r="D17" s="8">
        <f>IF(ISNUMBER(Data!AL714),Data!AL714/1000,"n/a")</f>
        <v>23.39</v>
      </c>
      <c r="E17" s="1">
        <f>Data!E714</f>
        <v>6</v>
      </c>
      <c r="F17" s="28">
        <f>Data!J714/100</f>
        <v>1.5031391778561934E-2</v>
      </c>
      <c r="G17" s="28">
        <f>IF(ISNUMBER(Data!S714),Data!S714/100,"n/a")</f>
        <v>0.12267657992565063</v>
      </c>
      <c r="H17" s="28">
        <f>IF(ISNUMBER(Data!T714),Data!T714/100,"n/a")</f>
        <v>9.0310866935630951E-2</v>
      </c>
      <c r="I17" s="28">
        <f>IF(ISNUMBER(Data!U714),Data!U714/100,"n/a")</f>
        <v>5.9580356895434061E-2</v>
      </c>
      <c r="J17" s="28">
        <f>IF(ISNUMBER(Data!V714),Data!V714/100,"n/a")</f>
        <v>9.2274536503729188E-3</v>
      </c>
      <c r="K17" s="9">
        <f>IF(ISNUMBER(Data!Z714),Data!Z714/100,"n/a")</f>
        <v>0.38679245283018865</v>
      </c>
      <c r="L17" s="10">
        <f>Data!AA714</f>
        <v>25.732311320754718</v>
      </c>
      <c r="M17" s="10">
        <f>Data!AF714</f>
        <v>2.48</v>
      </c>
      <c r="N17" s="28">
        <f>IF(ISNUMBER(Data!AG714),Data!AG714/100,"n/a")</f>
        <v>0.254</v>
      </c>
      <c r="O17" s="28">
        <f>IF(ISNUMBER(Data!AJ714),Data!AJ714/100,"n/a")</f>
        <v>0.40400000000000008</v>
      </c>
      <c r="P17" s="9">
        <f>IF(ISNUMBER(Data!AK714),Data!AK714/100,"n/a")</f>
        <v>0.18310000000000001</v>
      </c>
      <c r="Q17" s="8">
        <f>Data!AN714</f>
        <v>0.48</v>
      </c>
      <c r="R17" s="8">
        <f>Data!AP714</f>
        <v>7.461174867399599</v>
      </c>
      <c r="S17" s="8"/>
      <c r="T17" s="8"/>
      <c r="U17" s="8"/>
      <c r="V17" s="1">
        <f t="shared" si="0"/>
        <v>8</v>
      </c>
      <c r="W17" s="1">
        <f t="shared" si="1"/>
        <v>0</v>
      </c>
    </row>
    <row r="18" spans="1:23" hidden="1" x14ac:dyDescent="0.2">
      <c r="A18" s="7" t="str">
        <f>Data!A701</f>
        <v>Walmart Inc.</v>
      </c>
      <c r="B18" s="7" t="str">
        <f>Data!B701</f>
        <v>WMT</v>
      </c>
      <c r="C18" s="7" t="str">
        <f>Data!C701</f>
        <v>Consumer Staples</v>
      </c>
      <c r="D18" s="8">
        <f>IF(ISNUMBER(Data!AL701),Data!AL701/1000,"n/a")</f>
        <v>381.98</v>
      </c>
      <c r="E18" s="1">
        <f>Data!E701</f>
        <v>49</v>
      </c>
      <c r="F18" s="28">
        <f>Data!J701/100</f>
        <v>1.5738073491182464E-2</v>
      </c>
      <c r="G18" s="28">
        <f>IF(ISNUMBER(Data!S701),Data!S701/100,"n/a")</f>
        <v>1.8604651162790642E-2</v>
      </c>
      <c r="H18" s="28">
        <f>IF(ISNUMBER(Data!T701),Data!T701/100,"n/a")</f>
        <v>1.8961847258305076E-2</v>
      </c>
      <c r="I18" s="28">
        <f>IF(ISNUMBER(Data!U701),Data!U701/100,"n/a")</f>
        <v>1.933798372572193E-2</v>
      </c>
      <c r="J18" s="28">
        <f>IF(ISNUMBER(Data!V701),Data!V701/100,"n/a")</f>
        <v>4.5945919155732762E-2</v>
      </c>
      <c r="K18" s="9">
        <f>IF(ISNUMBER(Data!Z701),Data!Z701/100,"n/a")</f>
        <v>0.44710578842315374</v>
      </c>
      <c r="L18" s="10">
        <f>Data!AA701</f>
        <v>28.409181636726551</v>
      </c>
      <c r="M18" s="10">
        <f>Data!AF701</f>
        <v>5.03</v>
      </c>
      <c r="N18" s="28">
        <f>IF(ISNUMBER(Data!AG701),Data!AG701/100,"n/a")</f>
        <v>0.17299999999999996</v>
      </c>
      <c r="O18" s="28">
        <f>IF(ISNUMBER(Data!AJ701),Data!AJ701/100,"n/a")</f>
        <v>2.1000000000000001E-2</v>
      </c>
      <c r="P18" s="9">
        <f>IF(ISNUMBER(Data!AK701),Data!AK701/100,"n/a")</f>
        <v>0.06</v>
      </c>
      <c r="Q18" s="8">
        <f>Data!AN701</f>
        <v>0.65</v>
      </c>
      <c r="R18" s="8">
        <f>Data!AP701</f>
        <v>3.5076057216904397</v>
      </c>
      <c r="S18" s="8"/>
      <c r="T18" s="8"/>
      <c r="U18" s="8"/>
      <c r="V18" s="1">
        <f t="shared" si="0"/>
        <v>6</v>
      </c>
      <c r="W18" s="1">
        <f t="shared" si="1"/>
        <v>0</v>
      </c>
    </row>
    <row r="19" spans="1:23" hidden="1" x14ac:dyDescent="0.2">
      <c r="A19" s="7" t="str">
        <f>Data!A703</f>
        <v>W. P. Carey Inc.</v>
      </c>
      <c r="B19" s="7" t="str">
        <f>Data!B703</f>
        <v>WPC</v>
      </c>
      <c r="C19" s="7" t="str">
        <f>Data!C703</f>
        <v>Real Estate</v>
      </c>
      <c r="D19" s="8">
        <f>IF(ISNUMBER(Data!AL703),Data!AL703/1000,"n/a")</f>
        <v>15.47</v>
      </c>
      <c r="E19" s="1">
        <f>Data!E703</f>
        <v>25</v>
      </c>
      <c r="F19" s="28">
        <f>Data!J703/100</f>
        <v>5.5622542595019663E-2</v>
      </c>
      <c r="G19" s="28">
        <f>IF(ISNUMBER(Data!S703),Data!S703/100,"n/a")</f>
        <v>7.684918347742542E-3</v>
      </c>
      <c r="H19" s="28">
        <f>IF(ISNUMBER(Data!T703),Data!T703/100,"n/a")</f>
        <v>1.0214714654808832E-2</v>
      </c>
      <c r="I19" s="28">
        <f>IF(ISNUMBER(Data!U703),Data!U703/100,"n/a")</f>
        <v>1.2669783598065809E-2</v>
      </c>
      <c r="J19" s="28">
        <f>IF(ISNUMBER(Data!V703),Data!V703/100,"n/a")</f>
        <v>7.0051864102591566E-2</v>
      </c>
      <c r="K19" s="9">
        <f>IF(ISNUMBER(Data!Z703),Data!Z703/100,"n/a")</f>
        <v>1.5489051094890511</v>
      </c>
      <c r="L19" s="10">
        <f>Data!AA703</f>
        <v>27.846715328467152</v>
      </c>
      <c r="M19" s="10">
        <f>Data!AF703</f>
        <v>1.93</v>
      </c>
      <c r="N19" s="28">
        <f>IF(ISNUMBER(Data!AG703),Data!AG703/100,"n/a")</f>
        <v>6.9000000000000006E-2</v>
      </c>
      <c r="O19" s="28">
        <f>IF(ISNUMBER(Data!AJ703),Data!AJ703/100,"n/a")</f>
        <v>-2.1000000000000001E-2</v>
      </c>
      <c r="P19" s="9" t="str">
        <f>IF(ISNUMBER(Data!AK703),Data!AK703/100,"n/a")</f>
        <v>n/a</v>
      </c>
      <c r="Q19" s="8">
        <f>Data!AN703</f>
        <v>0.89</v>
      </c>
      <c r="R19" s="8">
        <f>Data!AP703</f>
        <v>6.8292326193085469</v>
      </c>
      <c r="S19" s="8"/>
      <c r="T19" s="8"/>
      <c r="U19" s="8"/>
      <c r="V19" s="1">
        <f t="shared" si="0"/>
        <v>4</v>
      </c>
      <c r="W19" s="1">
        <f t="shared" si="1"/>
        <v>0</v>
      </c>
    </row>
    <row r="20" spans="1:23" hidden="1" x14ac:dyDescent="0.2">
      <c r="A20" s="7" t="str">
        <f>Data!A692</f>
        <v>Woodlands Financial Services Company</v>
      </c>
      <c r="B20" s="7" t="str">
        <f>Data!B692</f>
        <v>WDFN</v>
      </c>
      <c r="C20" s="7" t="str">
        <f>Data!C692</f>
        <v>Financials</v>
      </c>
      <c r="D20" s="8" t="str">
        <f>IF(ISNUMBER(Data!AL692),Data!AL692/1000,"n/a")</f>
        <v>n/a</v>
      </c>
      <c r="E20" s="1">
        <f>Data!E692</f>
        <v>9</v>
      </c>
      <c r="F20" s="28">
        <f>Data!J692/100</f>
        <v>0.04</v>
      </c>
      <c r="G20" s="28">
        <f>IF(ISNUMBER(Data!S692),Data!S692/100,"n/a")</f>
        <v>1.9230769230769162E-2</v>
      </c>
      <c r="H20" s="28">
        <f>IF(ISNUMBER(Data!T692),Data!T692/100,"n/a")</f>
        <v>4.0860842503307904E-2</v>
      </c>
      <c r="I20" s="28">
        <f>IF(ISNUMBER(Data!U692),Data!U692/100,"n/a")</f>
        <v>5.7896488705653448E-2</v>
      </c>
      <c r="J20" s="28">
        <f>IF(ISNUMBER(Data!V692),Data!V692/100,"n/a")</f>
        <v>6.400360878375011E-2</v>
      </c>
      <c r="K20" s="9" t="str">
        <f>IF(ISNUMBER(Data!Z692),Data!Z692/100,"n/a")</f>
        <v>n/a</v>
      </c>
      <c r="L20" s="10" t="str">
        <f>Data!AA692</f>
        <v>n/a</v>
      </c>
      <c r="M20" s="10" t="str">
        <f>Data!AF692</f>
        <v>n/a</v>
      </c>
      <c r="N20" s="28" t="str">
        <f>IF(ISNUMBER(Data!AG692),Data!AG692/100,"n/a")</f>
        <v>n/a</v>
      </c>
      <c r="O20" s="28" t="str">
        <f>IF(ISNUMBER(Data!AJ692),Data!AJ692/100,"n/a")</f>
        <v>n/a</v>
      </c>
      <c r="P20" s="9" t="str">
        <f>IF(ISNUMBER(Data!AK692),Data!AK692/100,"n/a")</f>
        <v>n/a</v>
      </c>
      <c r="Q20" s="8" t="str">
        <f>Data!AN692</f>
        <v>n/a</v>
      </c>
      <c r="R20" s="8">
        <f>Data!AP692</f>
        <v>9.7896488705653439</v>
      </c>
      <c r="S20" s="8"/>
      <c r="T20" s="8"/>
      <c r="U20" s="8"/>
      <c r="V20" s="1">
        <f t="shared" si="0"/>
        <v>3</v>
      </c>
      <c r="W20" s="1">
        <f t="shared" si="1"/>
        <v>0</v>
      </c>
    </row>
    <row r="21" spans="1:23" hidden="1" x14ac:dyDescent="0.2">
      <c r="A21" s="7" t="str">
        <f>Data!A716</f>
        <v>Xcel Energy Inc.</v>
      </c>
      <c r="B21" s="7" t="str">
        <f>Data!B716</f>
        <v>XEL</v>
      </c>
      <c r="C21" s="7" t="str">
        <f>Data!C716</f>
        <v>Utilities</v>
      </c>
      <c r="D21" s="8">
        <f>IF(ISNUMBER(Data!AL716),Data!AL716/1000,"n/a")</f>
        <v>34.6</v>
      </c>
      <c r="E21" s="1">
        <f>Data!E716</f>
        <v>19</v>
      </c>
      <c r="F21" s="28">
        <f>Data!J716/100</f>
        <v>2.9949316541237905E-2</v>
      </c>
      <c r="G21" s="28">
        <f>IF(ISNUMBER(Data!S716),Data!S716/100,"n/a")</f>
        <v>6.3421828908554634E-2</v>
      </c>
      <c r="H21" s="28">
        <f>IF(ISNUMBER(Data!T716),Data!T716/100,"n/a")</f>
        <v>6.3150313153388593E-2</v>
      </c>
      <c r="I21" s="28">
        <f>IF(ISNUMBER(Data!U716),Data!U716/100,"n/a")</f>
        <v>6.1094577098284475E-2</v>
      </c>
      <c r="J21" s="28">
        <f>IF(ISNUMBER(Data!V716),Data!V716/100,"n/a")</f>
        <v>5.8071802889659629E-2</v>
      </c>
      <c r="K21" s="9">
        <f>IF(ISNUMBER(Data!Z716),Data!Z716/100,"n/a")</f>
        <v>0.63725490196078427</v>
      </c>
      <c r="L21" s="10">
        <f>Data!AA716</f>
        <v>21.277777777777779</v>
      </c>
      <c r="M21" s="10">
        <f>Data!AF716</f>
        <v>2.19</v>
      </c>
      <c r="N21" s="28">
        <f>IF(ISNUMBER(Data!AG716),Data!AG716/100,"n/a")</f>
        <v>0.105</v>
      </c>
      <c r="O21" s="28">
        <f>IF(ISNUMBER(Data!AJ716),Data!AJ716/100,"n/a")</f>
        <v>0.06</v>
      </c>
      <c r="P21" s="9">
        <f>IF(ISNUMBER(Data!AK716),Data!AK716/100,"n/a")</f>
        <v>6.7199999999999996E-2</v>
      </c>
      <c r="Q21" s="8">
        <f>Data!AN716</f>
        <v>1.48</v>
      </c>
      <c r="R21" s="8">
        <f>Data!AP716</f>
        <v>9.1043893639522384</v>
      </c>
      <c r="S21" s="8"/>
      <c r="T21" s="8"/>
      <c r="U21" s="8"/>
      <c r="V21" s="1">
        <f t="shared" si="0"/>
        <v>8</v>
      </c>
      <c r="W21" s="1">
        <f t="shared" si="1"/>
        <v>0</v>
      </c>
    </row>
    <row r="22" spans="1:23" hidden="1" x14ac:dyDescent="0.2">
      <c r="A22" s="7" t="str">
        <f>Data!A717</f>
        <v>Exxon Mobil Corporation</v>
      </c>
      <c r="B22" s="7" t="str">
        <f>Data!B717</f>
        <v>XOM</v>
      </c>
      <c r="C22" s="7" t="str">
        <f>Data!C717</f>
        <v>Energy</v>
      </c>
      <c r="D22" s="8">
        <f>IF(ISNUMBER(Data!AL717),Data!AL717/1000,"n/a")</f>
        <v>448.23</v>
      </c>
      <c r="E22" s="1">
        <f>Data!E717</f>
        <v>40</v>
      </c>
      <c r="F22" s="28">
        <f>Data!J717/100</f>
        <v>3.2849020846494E-2</v>
      </c>
      <c r="G22" s="28">
        <f>IF(ISNUMBER(Data!S717),Data!S717/100,"n/a")</f>
        <v>2.8735632183909399E-3</v>
      </c>
      <c r="H22" s="28">
        <f>IF(ISNUMBER(Data!T717),Data!T717/100,"n/a")</f>
        <v>2.6142404568709754E-2</v>
      </c>
      <c r="I22" s="28">
        <f>IF(ISNUMBER(Data!U717),Data!U717/100,"n/a")</f>
        <v>3.2100129579806014E-2</v>
      </c>
      <c r="J22" s="28">
        <f>IF(ISNUMBER(Data!V717),Data!V717/100,"n/a")</f>
        <v>6.5529234690641758E-2</v>
      </c>
      <c r="K22" s="9">
        <f>IF(ISNUMBER(Data!Z717),Data!Z717/100,"n/a")</f>
        <v>0.39824945295404812</v>
      </c>
      <c r="L22" s="10">
        <f>Data!AA717</f>
        <v>12.12363238512035</v>
      </c>
      <c r="M22" s="10">
        <f>Data!AF717</f>
        <v>2.64</v>
      </c>
      <c r="N22" s="28">
        <f>IF(ISNUMBER(Data!AG717),Data!AG717/100,"n/a")</f>
        <v>0.153</v>
      </c>
      <c r="O22" s="28">
        <f>IF(ISNUMBER(Data!AJ717),Data!AJ717/100,"n/a")</f>
        <v>0.23400000000000001</v>
      </c>
      <c r="P22" s="9">
        <f>IF(ISNUMBER(Data!AK717),Data!AK717/100,"n/a")</f>
        <v>0.25519999999999998</v>
      </c>
      <c r="Q22" s="8">
        <f>Data!AN717</f>
        <v>0.26</v>
      </c>
      <c r="R22" s="8">
        <f>Data!AP717</f>
        <v>6.4949150426300015</v>
      </c>
      <c r="S22" s="8"/>
      <c r="T22" s="8"/>
      <c r="U22" s="8"/>
      <c r="V22" s="1">
        <f t="shared" si="0"/>
        <v>9</v>
      </c>
      <c r="W22" s="1">
        <f t="shared" si="1"/>
        <v>0</v>
      </c>
    </row>
    <row r="23" spans="1:23" hidden="1" x14ac:dyDescent="0.2">
      <c r="A23" s="7" t="str">
        <f>Data!A712</f>
        <v>Essential Utilities, Inc.</v>
      </c>
      <c r="B23" s="7" t="str">
        <f>Data!B712</f>
        <v>WTRG</v>
      </c>
      <c r="C23" s="7" t="str">
        <f>Data!C712</f>
        <v>Utilities</v>
      </c>
      <c r="D23" s="8">
        <f>IF(ISNUMBER(Data!AL712),Data!AL712/1000,"n/a")</f>
        <v>11.43</v>
      </c>
      <c r="E23" s="1">
        <f>Data!E712</f>
        <v>30</v>
      </c>
      <c r="F23" s="28">
        <f>Data!J712/100</f>
        <v>2.5961103573043869E-2</v>
      </c>
      <c r="G23" s="28">
        <f>IF(ISNUMBER(Data!S712),Data!S712/100,"n/a")</f>
        <v>6.9896907216494997E-2</v>
      </c>
      <c r="H23" s="28">
        <f>IF(ISNUMBER(Data!T712),Data!T712/100,"n/a")</f>
        <v>6.9644029466000124E-2</v>
      </c>
      <c r="I23" s="28">
        <f>IF(ISNUMBER(Data!U712),Data!U712/100,"n/a")</f>
        <v>7.0387115149548318E-2</v>
      </c>
      <c r="J23" s="28">
        <f>IF(ISNUMBER(Data!V712),Data!V712/100,"n/a")</f>
        <v>7.4900619023636539E-2</v>
      </c>
      <c r="K23" s="9">
        <f>IF(ISNUMBER(Data!Z712),Data!Z712/100,"n/a")</f>
        <v>0.68742514970059876</v>
      </c>
      <c r="L23" s="10">
        <f>Data!AA712</f>
        <v>26.479041916167667</v>
      </c>
      <c r="M23" s="10">
        <f>Data!AF712</f>
        <v>2.17</v>
      </c>
      <c r="N23" s="28">
        <f>IF(ISNUMBER(Data!AG712),Data!AG712/100,"n/a")</f>
        <v>8.5999999999999993E-2</v>
      </c>
      <c r="O23" s="28">
        <f>IF(ISNUMBER(Data!AJ712),Data!AJ712/100,"n/a")</f>
        <v>4.2999999999999997E-2</v>
      </c>
      <c r="P23" s="9">
        <f>IF(ISNUMBER(Data!AK712),Data!AK712/100,"n/a")</f>
        <v>6.8000000000000005E-2</v>
      </c>
      <c r="Q23" s="8">
        <f>Data!AN712</f>
        <v>1.1599999999999999</v>
      </c>
      <c r="R23" s="8">
        <f>Data!AP712</f>
        <v>9.6348218722592183</v>
      </c>
      <c r="S23" s="8"/>
      <c r="T23" s="8"/>
      <c r="U23" s="8"/>
      <c r="V23" s="1">
        <f t="shared" si="0"/>
        <v>9</v>
      </c>
      <c r="W23" s="1">
        <f t="shared" si="1"/>
        <v>0</v>
      </c>
    </row>
    <row r="24" spans="1:23" hidden="1" x14ac:dyDescent="0.2">
      <c r="A24" s="7" t="str">
        <f>Data!A700</f>
        <v>Advanced Drainage Systems, Inc.</v>
      </c>
      <c r="B24" s="7" t="str">
        <f>Data!B700</f>
        <v>WMS</v>
      </c>
      <c r="C24" s="7" t="str">
        <f>Data!C700</f>
        <v>Industrials</v>
      </c>
      <c r="D24" s="8">
        <f>IF(ISNUMBER(Data!AL700),Data!AL700/1000,"n/a")</f>
        <v>10.38</v>
      </c>
      <c r="E24" s="1">
        <f>Data!E700</f>
        <v>9</v>
      </c>
      <c r="F24" s="28">
        <f>Data!J700/100</f>
        <v>4.1422160856057991E-3</v>
      </c>
      <c r="G24" s="28">
        <f>IF(ISNUMBER(Data!S700),Data!S700/100,"n/a")</f>
        <v>0.16666666666666674</v>
      </c>
      <c r="H24" s="28">
        <f>IF(ISNUMBER(Data!T700),Data!T700/100,"n/a")</f>
        <v>0.10652831653505768</v>
      </c>
      <c r="I24" s="28">
        <f>IF(ISNUMBER(Data!U700),Data!U700/100,"n/a")</f>
        <v>0.13806042630985371</v>
      </c>
      <c r="J24" s="28" t="str">
        <f>IF(ISNUMBER(Data!V700),Data!V700/100,"n/a")</f>
        <v>n/a</v>
      </c>
      <c r="K24" s="9">
        <f>IF(ISNUMBER(Data!Z700),Data!Z700/100,"n/a")</f>
        <v>0.10690423162583518</v>
      </c>
      <c r="L24" s="10">
        <f>Data!AA700</f>
        <v>25.808463251670375</v>
      </c>
      <c r="M24" s="10">
        <f>Data!AF700</f>
        <v>8.3800000000000008</v>
      </c>
      <c r="N24" s="28" t="str">
        <f>IF(ISNUMBER(Data!AG700),Data!AG700/100,"n/a")</f>
        <v>n/a</v>
      </c>
      <c r="O24" s="28">
        <f>IF(ISNUMBER(Data!AJ700),Data!AJ700/100,"n/a")</f>
        <v>0.44299999999999995</v>
      </c>
      <c r="P24" s="9">
        <f>IF(ISNUMBER(Data!AK700),Data!AK700/100,"n/a")</f>
        <v>0.495</v>
      </c>
      <c r="Q24" s="8">
        <f>Data!AN700</f>
        <v>1.1100000000000001</v>
      </c>
      <c r="R24" s="8">
        <f>Data!AP700</f>
        <v>14.22026423954595</v>
      </c>
      <c r="S24" s="8"/>
      <c r="T24" s="8"/>
      <c r="U24" s="8"/>
      <c r="V24" s="1">
        <f t="shared" si="0"/>
        <v>7</v>
      </c>
      <c r="W24" s="1">
        <f t="shared" si="1"/>
        <v>0</v>
      </c>
    </row>
    <row r="25" spans="1:23" hidden="1" x14ac:dyDescent="0.2">
      <c r="A25" s="7" t="str">
        <f>Data!A698</f>
        <v>Waste Management, Inc.</v>
      </c>
      <c r="B25" s="7" t="str">
        <f>Data!B698</f>
        <v>WM</v>
      </c>
      <c r="C25" s="7" t="str">
        <f>Data!C698</f>
        <v>Industrials</v>
      </c>
      <c r="D25" s="8">
        <f>IF(ISNUMBER(Data!AL698),Data!AL698/1000,"n/a")</f>
        <v>64.98</v>
      </c>
      <c r="E25" s="1">
        <f>Data!E698</f>
        <v>19</v>
      </c>
      <c r="F25" s="28">
        <f>Data!J698/100</f>
        <v>1.6417250741933447E-2</v>
      </c>
      <c r="G25" s="28">
        <f>IF(ISNUMBER(Data!S698),Data!S698/100,"n/a")</f>
        <v>5.504587155963292E-2</v>
      </c>
      <c r="H25" s="28">
        <f>IF(ISNUMBER(Data!T698),Data!T698/100,"n/a")</f>
        <v>7.3342428993661057E-2</v>
      </c>
      <c r="I25" s="28">
        <f>IF(ISNUMBER(Data!U698),Data!U698/100,"n/a")</f>
        <v>6.9982802826402457E-2</v>
      </c>
      <c r="J25" s="28">
        <f>IF(ISNUMBER(Data!V698),Data!V698/100,"n/a")</f>
        <v>5.394729309620816E-2</v>
      </c>
      <c r="K25" s="9">
        <f>IF(ISNUMBER(Data!Z698),Data!Z698/100,"n/a")</f>
        <v>0.48327137546468402</v>
      </c>
      <c r="L25" s="10">
        <f>Data!AA698</f>
        <v>29.436802973977695</v>
      </c>
      <c r="M25" s="10">
        <f>Data!AF698</f>
        <v>9.2799999999999994</v>
      </c>
      <c r="N25" s="28">
        <f>IF(ISNUMBER(Data!AG698),Data!AG698/100,"n/a")</f>
        <v>0.315</v>
      </c>
      <c r="O25" s="28">
        <f>IF(ISNUMBER(Data!AJ698),Data!AJ698/100,"n/a")</f>
        <v>0.10199999999999999</v>
      </c>
      <c r="P25" s="9">
        <f>IF(ISNUMBER(Data!AK698),Data!AK698/100,"n/a")</f>
        <v>0.1166</v>
      </c>
      <c r="Q25" s="8">
        <f>Data!AN698</f>
        <v>2.0099999999999998</v>
      </c>
      <c r="R25" s="8">
        <f>Data!AP698</f>
        <v>8.6400053568335906</v>
      </c>
      <c r="S25" s="8"/>
      <c r="T25" s="8"/>
      <c r="U25" s="8"/>
      <c r="V25" s="1">
        <f t="shared" si="0"/>
        <v>8</v>
      </c>
      <c r="W25" s="1">
        <f t="shared" si="1"/>
        <v>0</v>
      </c>
    </row>
    <row r="26" spans="1:23" hidden="1" x14ac:dyDescent="0.2">
      <c r="A26" s="7" t="str">
        <f>Data!A720</f>
        <v>The York Water Company</v>
      </c>
      <c r="B26" s="7" t="str">
        <f>Data!B720</f>
        <v>YORW</v>
      </c>
      <c r="C26" s="7" t="str">
        <f>Data!C720</f>
        <v>Utilities</v>
      </c>
      <c r="D26" s="8">
        <f>IF(ISNUMBER(Data!AL720),Data!AL720/1000,"n/a")</f>
        <v>0.61169000000000007</v>
      </c>
      <c r="E26" s="1">
        <f>Data!E720</f>
        <v>24</v>
      </c>
      <c r="F26" s="28">
        <f>Data!J720/100</f>
        <v>1.7897153351698804E-2</v>
      </c>
      <c r="G26" s="28">
        <f>IF(ISNUMBER(Data!S720),Data!S720/100,"n/a")</f>
        <v>3.9955604883462836E-2</v>
      </c>
      <c r="H26" s="28">
        <f>IF(ISNUMBER(Data!T720),Data!T720/100,"n/a")</f>
        <v>3.9995666887761905E-2</v>
      </c>
      <c r="I26" s="28">
        <f>IF(ISNUMBER(Data!U720),Data!U720/100,"n/a")</f>
        <v>3.8025060625772156E-2</v>
      </c>
      <c r="J26" s="28">
        <f>IF(ISNUMBER(Data!V720),Data!V720/100,"n/a")</f>
        <v>3.6453515848475337E-2</v>
      </c>
      <c r="K26" s="9">
        <f>IF(ISNUMBER(Data!Z720),Data!Z720/100,"n/a")</f>
        <v>0.59060606060606058</v>
      </c>
      <c r="L26" s="10">
        <f>Data!AA720</f>
        <v>33</v>
      </c>
      <c r="M26" s="10">
        <f>Data!AF720</f>
        <v>3.08</v>
      </c>
      <c r="N26" s="28">
        <f>IF(ISNUMBER(Data!AG720),Data!AG720/100,"n/a")</f>
        <v>0.107</v>
      </c>
      <c r="O26" s="28">
        <f>IF(ISNUMBER(Data!AJ720),Data!AJ720/100,"n/a")</f>
        <v>7.0999999999999994E-2</v>
      </c>
      <c r="P26" s="9">
        <f>IF(ISNUMBER(Data!AK720),Data!AK720/100,"n/a")</f>
        <v>4.9000000000000002E-2</v>
      </c>
      <c r="Q26" s="8">
        <f>Data!AN720</f>
        <v>0.57999999999999996</v>
      </c>
      <c r="R26" s="8">
        <f>Data!AP720</f>
        <v>5.592221397747096</v>
      </c>
      <c r="S26" s="8"/>
      <c r="T26" s="8"/>
      <c r="U26" s="8"/>
      <c r="V26" s="1">
        <f t="shared" si="0"/>
        <v>5</v>
      </c>
      <c r="W26" s="1">
        <f t="shared" si="1"/>
        <v>0</v>
      </c>
    </row>
    <row r="27" spans="1:23" hidden="1" x14ac:dyDescent="0.2">
      <c r="A27" s="7" t="str">
        <f>Data!A715</f>
        <v>The Western Union Company</v>
      </c>
      <c r="B27" s="7" t="str">
        <f>Data!B715</f>
        <v>WU</v>
      </c>
      <c r="C27" s="7" t="str">
        <f>Data!C715</f>
        <v>Information Technology</v>
      </c>
      <c r="D27" s="8">
        <f>IF(ISNUMBER(Data!AL715),Data!AL715/1000,"n/a")</f>
        <v>5.35</v>
      </c>
      <c r="E27" s="1">
        <f>Data!E715</f>
        <v>7</v>
      </c>
      <c r="F27" s="28">
        <f>Data!J715/100</f>
        <v>6.9578090303478904E-2</v>
      </c>
      <c r="G27" s="28">
        <f>IF(ISNUMBER(Data!S715),Data!S715/100,"n/a")</f>
        <v>4.4444444444444287E-2</v>
      </c>
      <c r="H27" s="28">
        <f>IF(ISNUMBER(Data!T715),Data!T715/100,"n/a")</f>
        <v>7.3424294788273059E-2</v>
      </c>
      <c r="I27" s="28">
        <f>IF(ISNUMBER(Data!U715),Data!U715/100,"n/a")</f>
        <v>7.9915005882233103E-2</v>
      </c>
      <c r="J27" s="28">
        <f>IF(ISNUMBER(Data!V715),Data!V715/100,"n/a")</f>
        <v>0.11731753862740391</v>
      </c>
      <c r="K27" s="9">
        <f>IF(ISNUMBER(Data!Z715),Data!Z715/100,"n/a")</f>
        <v>0.42152466367713004</v>
      </c>
      <c r="L27" s="10">
        <f>Data!AA715</f>
        <v>6.0582959641255609</v>
      </c>
      <c r="M27" s="10">
        <f>Data!AF715</f>
        <v>11.99</v>
      </c>
      <c r="N27" s="28">
        <f>IF(ISNUMBER(Data!AG715),Data!AG715/100,"n/a")</f>
        <v>2.331</v>
      </c>
      <c r="O27" s="28">
        <f>IF(ISNUMBER(Data!AJ715),Data!AJ715/100,"n/a")</f>
        <v>0.309</v>
      </c>
      <c r="P27" s="9">
        <f>IF(ISNUMBER(Data!AK715),Data!AK715/100,"n/a")</f>
        <v>-2.7400000000000001E-2</v>
      </c>
      <c r="Q27" s="8">
        <f>Data!AN715</f>
        <v>6.01</v>
      </c>
      <c r="R27" s="8">
        <f>Data!AP715</f>
        <v>14.949309618571201</v>
      </c>
      <c r="S27" s="8"/>
      <c r="T27" s="8"/>
      <c r="U27" s="8"/>
      <c r="V27" s="1">
        <f t="shared" si="0"/>
        <v>8</v>
      </c>
      <c r="W27" s="1">
        <f t="shared" si="1"/>
        <v>0</v>
      </c>
    </row>
    <row r="28" spans="1:23" hidden="1" x14ac:dyDescent="0.2">
      <c r="A28" s="7" t="str">
        <f>Data!A705</f>
        <v>WesBanco, Inc.</v>
      </c>
      <c r="B28" s="7" t="str">
        <f>Data!B705</f>
        <v>WSBC</v>
      </c>
      <c r="C28" s="7" t="str">
        <f>Data!C705</f>
        <v>Financials</v>
      </c>
      <c r="D28" s="8">
        <f>IF(ISNUMBER(Data!AL705),Data!AL705/1000,"n/a")</f>
        <v>2.34</v>
      </c>
      <c r="E28" s="1">
        <f>Data!E705</f>
        <v>12</v>
      </c>
      <c r="F28" s="28">
        <f>Data!J705/100</f>
        <v>3.3630069238377851E-2</v>
      </c>
      <c r="G28" s="28">
        <f>IF(ISNUMBER(Data!S705),Data!S705/100,"n/a")</f>
        <v>3.1496062992125928E-2</v>
      </c>
      <c r="H28" s="28">
        <f>IF(ISNUMBER(Data!T705),Data!T705/100,"n/a")</f>
        <v>5.0503775006565998E-2</v>
      </c>
      <c r="I28" s="28">
        <f>IF(ISNUMBER(Data!U705),Data!U705/100,"n/a")</f>
        <v>6.6373976358763631E-2</v>
      </c>
      <c r="J28" s="28">
        <f>IF(ISNUMBER(Data!V705),Data!V705/100,"n/a")</f>
        <v>8.1214856522852083E-2</v>
      </c>
      <c r="K28" s="9">
        <f>IF(ISNUMBER(Data!Z705),Data!Z705/100,"n/a")</f>
        <v>0.45182724252491702</v>
      </c>
      <c r="L28" s="10">
        <f>Data!AA705</f>
        <v>13.435215946843854</v>
      </c>
      <c r="M28" s="10">
        <f>Data!AF705</f>
        <v>1.04</v>
      </c>
      <c r="N28" s="28">
        <f>IF(ISNUMBER(Data!AG705),Data!AG705/100,"n/a")</f>
        <v>8.2000000000000017E-2</v>
      </c>
      <c r="O28" s="28">
        <f>IF(ISNUMBER(Data!AJ705),Data!AJ705/100,"n/a")</f>
        <v>0.10400000000000001</v>
      </c>
      <c r="P28" s="9">
        <f>IF(ISNUMBER(Data!AK705),Data!AK705/100,"n/a")</f>
        <v>0.1</v>
      </c>
      <c r="Q28" s="8">
        <f>Data!AN705</f>
        <v>0.12</v>
      </c>
      <c r="R28" s="8">
        <f>Data!AP705</f>
        <v>10.000404559714148</v>
      </c>
      <c r="S28" s="8"/>
      <c r="T28" s="8"/>
      <c r="U28" s="8"/>
      <c r="V28" s="1">
        <f t="shared" si="0"/>
        <v>10</v>
      </c>
      <c r="W28" s="1">
        <f t="shared" si="1"/>
        <v>0</v>
      </c>
    </row>
    <row r="29" spans="1:23" hidden="1" x14ac:dyDescent="0.2">
      <c r="A29" s="7" t="str">
        <f>Data!A696</f>
        <v>Westlake Chemical Corporation</v>
      </c>
      <c r="B29" s="7" t="str">
        <f>Data!B696</f>
        <v>WLK</v>
      </c>
      <c r="C29" s="7" t="str">
        <f>Data!C696</f>
        <v>Materials</v>
      </c>
      <c r="D29" s="8">
        <f>IF(ISNUMBER(Data!AL696),Data!AL696/1000,"n/a")</f>
        <v>12.58</v>
      </c>
      <c r="E29" s="1">
        <f>Data!E696</f>
        <v>19</v>
      </c>
      <c r="F29" s="28">
        <f>Data!J696/100</f>
        <v>1.4774961200206931E-2</v>
      </c>
      <c r="G29" s="28">
        <f>IF(ISNUMBER(Data!S696),Data!S696/100,"n/a")</f>
        <v>6.5727699530516492E-2</v>
      </c>
      <c r="H29" s="28">
        <f>IF(ISNUMBER(Data!T696),Data!T696/100,"n/a")</f>
        <v>7.2513279209609482E-2</v>
      </c>
      <c r="I29" s="28">
        <f>IF(ISNUMBER(Data!U696),Data!U696/100,"n/a")</f>
        <v>8.8081031128461232E-2</v>
      </c>
      <c r="J29" s="28">
        <f>IF(ISNUMBER(Data!V696),Data!V696/100,"n/a")</f>
        <v>0.23523147905834918</v>
      </c>
      <c r="K29" s="9">
        <f>IF(ISNUMBER(Data!Z696),Data!Z696/100,"n/a")</f>
        <v>6.4615384615384602E-2</v>
      </c>
      <c r="L29" s="10">
        <f>Data!AA696</f>
        <v>4.373303167420814</v>
      </c>
      <c r="M29" s="10">
        <f>Data!AF696</f>
        <v>1.34</v>
      </c>
      <c r="N29" s="28">
        <f>IF(ISNUMBER(Data!AG696),Data!AG696/100,"n/a")</f>
        <v>0.34200000000000003</v>
      </c>
      <c r="O29" s="28">
        <f>IF(ISNUMBER(Data!AJ696),Data!AJ696/100,"n/a")</f>
        <v>0.38500000000000001</v>
      </c>
      <c r="P29" s="9">
        <f>IF(ISNUMBER(Data!AK696),Data!AK696/100,"n/a")</f>
        <v>0.31900000000000001</v>
      </c>
      <c r="Q29" s="8">
        <f>Data!AN696</f>
        <v>0.52</v>
      </c>
      <c r="R29" s="8">
        <f>Data!AP696</f>
        <v>10.285599232866815</v>
      </c>
      <c r="S29" s="8"/>
      <c r="T29" s="8"/>
      <c r="U29" s="8"/>
      <c r="V29" s="1">
        <f t="shared" si="0"/>
        <v>10</v>
      </c>
      <c r="W29" s="1">
        <f t="shared" si="1"/>
        <v>0</v>
      </c>
    </row>
    <row r="30" spans="1:23" hidden="1" x14ac:dyDescent="0.2">
      <c r="A30" s="7" t="str">
        <f>Data!A694</f>
        <v>Whirlpool Corporation</v>
      </c>
      <c r="B30" s="7" t="str">
        <f>Data!B694</f>
        <v>WHR</v>
      </c>
      <c r="C30" s="7" t="str">
        <f>Data!C694</f>
        <v>Consumer Discretionary</v>
      </c>
      <c r="D30" s="8">
        <f>IF(ISNUMBER(Data!AL694),Data!AL694/1000,"n/a")</f>
        <v>7.36</v>
      </c>
      <c r="E30" s="1">
        <f>Data!E694</f>
        <v>12</v>
      </c>
      <c r="F30" s="28">
        <f>Data!J694/100</f>
        <v>5.0636574074074063E-2</v>
      </c>
      <c r="G30" s="28">
        <f>IF(ISNUMBER(Data!S694),Data!S694/100,"n/a")</f>
        <v>0.12371134020618581</v>
      </c>
      <c r="H30" s="28">
        <f>IF(ISNUMBER(Data!T694),Data!T694/100,"n/a")</f>
        <v>6.200941900934942E-2</v>
      </c>
      <c r="I30" s="28">
        <f>IF(ISNUMBER(Data!U694),Data!U694/100,"n/a")</f>
        <v>6.9218289704823022E-2</v>
      </c>
      <c r="J30" s="28">
        <f>IF(ISNUMBER(Data!V694),Data!V694/100,"n/a")</f>
        <v>0.10938916336365544</v>
      </c>
      <c r="K30" s="9">
        <f>IF(ISNUMBER(Data!Z694),Data!Z694/100,"n/a")</f>
        <v>1.1884550084889645</v>
      </c>
      <c r="L30" s="10">
        <f>Data!AA694</f>
        <v>23.470288624787777</v>
      </c>
      <c r="M30" s="10">
        <f>Data!AF694</f>
        <v>1.83</v>
      </c>
      <c r="N30" s="28">
        <f>IF(ISNUMBER(Data!AG694),Data!AG694/100,"n/a")</f>
        <v>8.6999999999999994E-2</v>
      </c>
      <c r="O30" s="28">
        <f>IF(ISNUMBER(Data!AJ694),Data!AJ694/100,"n/a")</f>
        <v>0.19600000000000001</v>
      </c>
      <c r="P30" s="9">
        <f>IF(ISNUMBER(Data!AK694),Data!AK694/100,"n/a")</f>
        <v>-0.1167</v>
      </c>
      <c r="Q30" s="8">
        <f>Data!AN694</f>
        <v>1.19</v>
      </c>
      <c r="R30" s="8">
        <f>Data!AP694</f>
        <v>11.985486377889709</v>
      </c>
      <c r="S30" s="8"/>
      <c r="T30" s="8"/>
      <c r="U30" s="8"/>
      <c r="V30" s="1">
        <f t="shared" si="0"/>
        <v>7</v>
      </c>
      <c r="W30" s="1">
        <f t="shared" si="1"/>
        <v>0</v>
      </c>
    </row>
    <row r="31" spans="1:23" hidden="1" x14ac:dyDescent="0.2">
      <c r="A31" s="7" t="str">
        <f>Data!A693</f>
        <v>WEC Energy Group, Inc.</v>
      </c>
      <c r="B31" s="7" t="str">
        <f>Data!B693</f>
        <v>WEC</v>
      </c>
      <c r="C31" s="7" t="str">
        <f>Data!C693</f>
        <v>Utilities</v>
      </c>
      <c r="D31" s="8">
        <f>IF(ISNUMBER(Data!AL693),Data!AL693/1000,"n/a")</f>
        <v>27.99</v>
      </c>
      <c r="E31" s="1">
        <f>Data!E693</f>
        <v>19</v>
      </c>
      <c r="F31" s="28">
        <f>Data!J693/100</f>
        <v>3.1862476732727477E-2</v>
      </c>
      <c r="G31" s="28">
        <f>IF(ISNUMBER(Data!S693),Data!S693/100,"n/a")</f>
        <v>7.1146245059288571E-2</v>
      </c>
      <c r="H31" s="28">
        <f>IF(ISNUMBER(Data!T693),Data!T693/100,"n/a")</f>
        <v>7.0349652489045678E-2</v>
      </c>
      <c r="I31" s="28">
        <f>IF(ISNUMBER(Data!U693),Data!U693/100,"n/a")</f>
        <v>6.4782292457507218E-2</v>
      </c>
      <c r="J31" s="28">
        <f>IF(ISNUMBER(Data!V693),Data!V693/100,"n/a")</f>
        <v>0.10050899133022394</v>
      </c>
      <c r="K31" s="9">
        <f>IF(ISNUMBER(Data!Z693),Data!Z693/100,"n/a")</f>
        <v>0.67205542725173217</v>
      </c>
      <c r="L31" s="10">
        <f>Data!AA693</f>
        <v>21.092378752886834</v>
      </c>
      <c r="M31" s="10">
        <f>Data!AF693</f>
        <v>2.56</v>
      </c>
      <c r="N31" s="28">
        <f>IF(ISNUMBER(Data!AG693),Data!AG693/100,"n/a")</f>
        <v>0.12300000000000001</v>
      </c>
      <c r="O31" s="28">
        <f>IF(ISNUMBER(Data!AJ693),Data!AJ693/100,"n/a")</f>
        <v>6.8000000000000005E-2</v>
      </c>
      <c r="P31" s="9">
        <f>IF(ISNUMBER(Data!AK693),Data!AK693/100,"n/a")</f>
        <v>6.3100000000000003E-2</v>
      </c>
      <c r="Q31" s="8">
        <f>Data!AN693</f>
        <v>1.36</v>
      </c>
      <c r="R31" s="8">
        <f>Data!AP693</f>
        <v>9.6644769190234694</v>
      </c>
      <c r="S31" s="8"/>
      <c r="T31" s="8"/>
      <c r="U31" s="8"/>
      <c r="V31" s="1">
        <f t="shared" si="0"/>
        <v>8</v>
      </c>
      <c r="W31" s="1">
        <f t="shared" si="1"/>
        <v>0</v>
      </c>
    </row>
    <row r="32" spans="1:23" hidden="1" x14ac:dyDescent="0.2">
      <c r="A32" s="7" t="str">
        <f>Data!A708</f>
        <v>Watsco, Inc.</v>
      </c>
      <c r="B32" s="7" t="str">
        <f>Data!B708</f>
        <v>WSO</v>
      </c>
      <c r="C32" s="7" t="str">
        <f>Data!C708</f>
        <v>Industrials</v>
      </c>
      <c r="D32" s="8">
        <f>IF(ISNUMBER(Data!AL708),Data!AL708/1000,"n/a")</f>
        <v>10.1</v>
      </c>
      <c r="E32" s="1">
        <f>Data!E708</f>
        <v>9</v>
      </c>
      <c r="F32" s="28">
        <f>Data!J708/100</f>
        <v>3.2477118393858875E-2</v>
      </c>
      <c r="G32" s="28">
        <f>IF(ISNUMBER(Data!S708),Data!S708/100,"n/a")</f>
        <v>0.10108303249097483</v>
      </c>
      <c r="H32" s="28">
        <f>IF(ISNUMBER(Data!T708),Data!T708/100,"n/a")</f>
        <v>0.10836790221026217</v>
      </c>
      <c r="I32" s="28">
        <f>IF(ISNUMBER(Data!U708),Data!U708/100,"n/a")</f>
        <v>0.14945308518523026</v>
      </c>
      <c r="J32" s="28">
        <f>IF(ISNUMBER(Data!V708),Data!V708/100,"n/a")</f>
        <v>0.1308200457164419</v>
      </c>
      <c r="K32" s="9">
        <f>IF(ISNUMBER(Data!Z708),Data!Z708/100,"n/a")</f>
        <v>0.63446286950252351</v>
      </c>
      <c r="L32" s="10">
        <f>Data!AA708</f>
        <v>19.535688536409516</v>
      </c>
      <c r="M32" s="10">
        <f>Data!AF708</f>
        <v>5.26</v>
      </c>
      <c r="N32" s="28" t="str">
        <f>IF(ISNUMBER(Data!AG708),Data!AG708/100,"n/a")</f>
        <v>n/a</v>
      </c>
      <c r="O32" s="28">
        <f>IF(ISNUMBER(Data!AJ708),Data!AJ708/100,"n/a")</f>
        <v>0.159</v>
      </c>
      <c r="P32" s="9">
        <f>IF(ISNUMBER(Data!AK708),Data!AK708/100,"n/a")</f>
        <v>0.15</v>
      </c>
      <c r="Q32" s="8">
        <f>Data!AN708</f>
        <v>0.16</v>
      </c>
      <c r="R32" s="8">
        <f>Data!AP708</f>
        <v>18.193020357908914</v>
      </c>
      <c r="S32" s="8"/>
      <c r="T32" s="8"/>
      <c r="U32" s="8"/>
      <c r="V32" s="1">
        <f t="shared" si="0"/>
        <v>9</v>
      </c>
      <c r="W32" s="1">
        <f t="shared" si="1"/>
        <v>0</v>
      </c>
    </row>
    <row r="33" spans="1:23" hidden="1" x14ac:dyDescent="0.2">
      <c r="A33" s="7" t="str">
        <f>Data!A697</f>
        <v>John Wiley &amp; Sons, Inc.</v>
      </c>
      <c r="B33" s="7" t="str">
        <f>Data!B697</f>
        <v>WLY</v>
      </c>
      <c r="C33" s="7" t="str">
        <f>Data!C697</f>
        <v>Communication Services</v>
      </c>
      <c r="D33" s="8">
        <f>IF(ISNUMBER(Data!AL697),Data!AL697/1000,"n/a")</f>
        <v>2.29</v>
      </c>
      <c r="E33" s="1">
        <f>Data!E697</f>
        <v>29</v>
      </c>
      <c r="F33" s="28">
        <f>Data!J697/100</f>
        <v>3.2946195780990756E-2</v>
      </c>
      <c r="G33" s="28">
        <f>IF(ISNUMBER(Data!S697),Data!S697/100,"n/a")</f>
        <v>7.3260073260073E-3</v>
      </c>
      <c r="H33" s="28">
        <f>IF(ISNUMBER(Data!T697),Data!T697/100,"n/a")</f>
        <v>1.8872362595751646E-2</v>
      </c>
      <c r="I33" s="28">
        <f>IF(ISNUMBER(Data!U697),Data!U697/100,"n/a")</f>
        <v>2.4208966324774872E-2</v>
      </c>
      <c r="J33" s="28">
        <f>IF(ISNUMBER(Data!V697),Data!V697/100,"n/a")</f>
        <v>6.683442243976434E-2</v>
      </c>
      <c r="K33" s="9">
        <f>IF(ISNUMBER(Data!Z697),Data!Z697/100,"n/a")</f>
        <v>0.67475728155339798</v>
      </c>
      <c r="L33" s="10">
        <f>Data!AA697</f>
        <v>20.480582524271842</v>
      </c>
      <c r="M33" s="10">
        <f>Data!AF697</f>
        <v>2.16</v>
      </c>
      <c r="N33" s="28">
        <f>IF(ISNUMBER(Data!AG697),Data!AG697/100,"n/a")</f>
        <v>0.105</v>
      </c>
      <c r="O33" s="28">
        <f>IF(ISNUMBER(Data!AJ697),Data!AJ697/100,"n/a")</f>
        <v>6.0999999999999999E-2</v>
      </c>
      <c r="P33" s="9">
        <f>IF(ISNUMBER(Data!AK697),Data!AK697/100,"n/a")</f>
        <v>2.6000000000000002E-2</v>
      </c>
      <c r="Q33" s="8">
        <f>Data!AN697</f>
        <v>0.87</v>
      </c>
      <c r="R33" s="8">
        <f>Data!AP697</f>
        <v>5.7155162105765633</v>
      </c>
      <c r="S33" s="8"/>
      <c r="T33" s="8"/>
      <c r="U33" s="8"/>
      <c r="V33" s="1">
        <f t="shared" si="0"/>
        <v>6</v>
      </c>
      <c r="W33" s="1">
        <f t="shared" si="1"/>
        <v>0</v>
      </c>
    </row>
    <row r="34" spans="1:23" hidden="1" x14ac:dyDescent="0.2">
      <c r="A34" s="7" t="str">
        <f>Data!A695</f>
        <v>Wingstop Inc.</v>
      </c>
      <c r="B34" s="7" t="str">
        <f>Data!B695</f>
        <v>WING</v>
      </c>
      <c r="C34" s="7" t="str">
        <f>Data!C695</f>
        <v>Consumer Discretionary</v>
      </c>
      <c r="D34" s="8">
        <f>IF(ISNUMBER(Data!AL695),Data!AL695/1000,"n/a")</f>
        <v>4.74</v>
      </c>
      <c r="E34" s="1">
        <f>Data!E695</f>
        <v>6</v>
      </c>
      <c r="F34" s="28">
        <f>Data!J695/100</f>
        <v>4.7982827198686786E-3</v>
      </c>
      <c r="G34" s="28">
        <f>IF(ISNUMBER(Data!S695),Data!S695/100,"n/a")</f>
        <v>0.24</v>
      </c>
      <c r="H34" s="28">
        <f>IF(ISNUMBER(Data!T695),Data!T695/100,"n/a")</f>
        <v>0.24665773805966151</v>
      </c>
      <c r="I34" s="28" t="str">
        <f>IF(ISNUMBER(Data!U695),Data!U695/100,"n/a")</f>
        <v>n/a</v>
      </c>
      <c r="J34" s="28" t="str">
        <f>IF(ISNUMBER(Data!V695),Data!V695/100,"n/a")</f>
        <v>n/a</v>
      </c>
      <c r="K34" s="9">
        <f>IF(ISNUMBER(Data!Z695),Data!Z695/100,"n/a")</f>
        <v>0.53900709219858156</v>
      </c>
      <c r="L34" s="10">
        <f>Data!AA695</f>
        <v>112.33333333333333</v>
      </c>
      <c r="M34" s="10" t="str">
        <f>Data!AF695</f>
        <v>n/a</v>
      </c>
      <c r="N34" s="28">
        <f>IF(ISNUMBER(Data!AG695),Data!AG695/100,"n/a")</f>
        <v>-0.109</v>
      </c>
      <c r="O34" s="28">
        <f>IF(ISNUMBER(Data!AJ695),Data!AJ695/100,"n/a")</f>
        <v>0.24600000000000002</v>
      </c>
      <c r="P34" s="9">
        <f>IF(ISNUMBER(Data!AK695),Data!AK695/100,"n/a")</f>
        <v>0.19699999999999998</v>
      </c>
      <c r="Q34" s="8" t="str">
        <f>Data!AN695</f>
        <v>n/a</v>
      </c>
      <c r="R34" s="8" t="str">
        <f>Data!AP695</f>
        <v>n/a</v>
      </c>
      <c r="S34" s="8"/>
      <c r="T34" s="8"/>
      <c r="U34" s="8"/>
      <c r="V34" s="1">
        <f t="shared" si="0"/>
        <v>6</v>
      </c>
      <c r="W34" s="1">
        <f t="shared" si="1"/>
        <v>0</v>
      </c>
    </row>
    <row r="35" spans="1:23" hidden="1" x14ac:dyDescent="0.2">
      <c r="A35" s="7" t="str">
        <f>Data!A303</f>
        <v>The Home Depot, Inc.</v>
      </c>
      <c r="B35" s="7" t="str">
        <f>Data!B303</f>
        <v>HD</v>
      </c>
      <c r="C35" s="7" t="str">
        <f>Data!C303</f>
        <v>Consumer Discretionary</v>
      </c>
      <c r="D35" s="8">
        <f>IF(ISNUMBER(Data!AL303),Data!AL303/1000,"n/a")</f>
        <v>297.97000000000003</v>
      </c>
      <c r="E35" s="1">
        <f>Data!E303</f>
        <v>13</v>
      </c>
      <c r="F35" s="28">
        <f>Data!J303/100</f>
        <v>2.5664404146827406E-2</v>
      </c>
      <c r="G35" s="28">
        <f>IF(ISNUMBER(Data!S303),Data!S303/100,"n/a")</f>
        <v>9.9999999999999853E-2</v>
      </c>
      <c r="H35" s="28">
        <f>IF(ISNUMBER(Data!T303),Data!T303/100,"n/a")</f>
        <v>0.17008004604242763</v>
      </c>
      <c r="I35" s="28">
        <f>IF(ISNUMBER(Data!U303),Data!U303/100,"n/a")</f>
        <v>0.19049334145198071</v>
      </c>
      <c r="J35" s="28">
        <f>IF(ISNUMBER(Data!V303),Data!V303/100,"n/a")</f>
        <v>0.20295964796100385</v>
      </c>
      <c r="K35" s="9">
        <f>IF(ISNUMBER(Data!Z303),Data!Z303/100,"n/a")</f>
        <v>0.46711739397664415</v>
      </c>
      <c r="L35" s="10">
        <f>Data!AA303</f>
        <v>18.200983405039953</v>
      </c>
      <c r="M35" s="10">
        <f>Data!AF303</f>
        <v>1298.48</v>
      </c>
      <c r="N35" s="28" t="str">
        <f>IF(ISNUMBER(Data!AG303),Data!AG303/100,"n/a")</f>
        <v>n/a</v>
      </c>
      <c r="O35" s="28">
        <f>IF(ISNUMBER(Data!AJ303),Data!AJ303/100,"n/a")</f>
        <v>0.192</v>
      </c>
      <c r="P35" s="9">
        <f>IF(ISNUMBER(Data!AK303),Data!AK303/100,"n/a")</f>
        <v>0.157</v>
      </c>
      <c r="Q35" s="8">
        <f>Data!AN303</f>
        <v>173.11</v>
      </c>
      <c r="R35" s="8">
        <f>Data!AP303</f>
        <v>21.615774559880812</v>
      </c>
      <c r="S35" s="8"/>
      <c r="T35" s="8"/>
      <c r="U35" s="8"/>
      <c r="V35" s="1">
        <f t="shared" si="0"/>
        <v>10</v>
      </c>
      <c r="W35" s="1">
        <f t="shared" si="1"/>
        <v>0</v>
      </c>
    </row>
    <row r="36" spans="1:23" hidden="1" x14ac:dyDescent="0.2">
      <c r="A36" s="7" t="str">
        <f>Data!A711</f>
        <v>Wintrust Financial Corporation</v>
      </c>
      <c r="B36" s="7" t="str">
        <f>Data!B711</f>
        <v>WTFC</v>
      </c>
      <c r="C36" s="7" t="str">
        <f>Data!C711</f>
        <v>Financials</v>
      </c>
      <c r="D36" s="8">
        <f>IF(ISNUMBER(Data!AL711),Data!AL711/1000,"n/a")</f>
        <v>5.53</v>
      </c>
      <c r="E36" s="1">
        <f>Data!E711</f>
        <v>9</v>
      </c>
      <c r="F36" s="28">
        <f>Data!J711/100</f>
        <v>1.4526810510574664E-2</v>
      </c>
      <c r="G36" s="28">
        <f>IF(ISNUMBER(Data!S711),Data!S711/100,"n/a")</f>
        <v>0.10714285714285697</v>
      </c>
      <c r="H36" s="28">
        <f>IF(ISNUMBER(Data!T711),Data!T711/100,"n/a")</f>
        <v>0.17725180311441702</v>
      </c>
      <c r="I36" s="28">
        <f>IF(ISNUMBER(Data!U711),Data!U711/100,"n/a")</f>
        <v>0.20902725032898986</v>
      </c>
      <c r="J36" s="28">
        <f>IF(ISNUMBER(Data!V711),Data!V711/100,"n/a")</f>
        <v>0.21287185430064959</v>
      </c>
      <c r="K36" s="9">
        <f>IF(ISNUMBER(Data!Z711),Data!Z711/100,"n/a")</f>
        <v>0.18503401360544219</v>
      </c>
      <c r="L36" s="10">
        <f>Data!AA711</f>
        <v>12.737414965986396</v>
      </c>
      <c r="M36" s="10">
        <f>Data!AF711</f>
        <v>1.25</v>
      </c>
      <c r="N36" s="28">
        <f>IF(ISNUMBER(Data!AG711),Data!AG711/100,"n/a")</f>
        <v>0.1</v>
      </c>
      <c r="O36" s="28">
        <f>IF(ISNUMBER(Data!AJ711),Data!AJ711/100,"n/a")</f>
        <v>0.157</v>
      </c>
      <c r="P36" s="9">
        <f>IF(ISNUMBER(Data!AK711),Data!AK711/100,"n/a")</f>
        <v>0.1</v>
      </c>
      <c r="Q36" s="8">
        <f>Data!AN711</f>
        <v>0.27</v>
      </c>
      <c r="R36" s="8">
        <f>Data!AP711</f>
        <v>22.355406083956453</v>
      </c>
      <c r="S36" s="8"/>
      <c r="T36" s="8"/>
      <c r="U36" s="8"/>
      <c r="V36" s="1">
        <f t="shared" si="0"/>
        <v>10</v>
      </c>
      <c r="W36" s="1">
        <f t="shared" si="1"/>
        <v>0</v>
      </c>
    </row>
    <row r="37" spans="1:23" hidden="1" x14ac:dyDescent="0.2">
      <c r="A37" s="7" t="str">
        <f>Data!A710</f>
        <v>West Bancorporation, Inc.</v>
      </c>
      <c r="B37" s="7" t="str">
        <f>Data!B710</f>
        <v>WTBA</v>
      </c>
      <c r="C37" s="7" t="str">
        <f>Data!C710</f>
        <v>Financials</v>
      </c>
      <c r="D37" s="8">
        <f>IF(ISNUMBER(Data!AL710),Data!AL710/1000,"n/a")</f>
        <v>0.37997000000000003</v>
      </c>
      <c r="E37" s="1">
        <f>Data!E710</f>
        <v>12</v>
      </c>
      <c r="F37" s="28">
        <f>Data!J710/100</f>
        <v>4.4503782821539835E-2</v>
      </c>
      <c r="G37" s="28">
        <f>IF(ISNUMBER(Data!S710),Data!S710/100,"n/a")</f>
        <v>0.11904761904761907</v>
      </c>
      <c r="H37" s="28">
        <f>IF(ISNUMBER(Data!T710),Data!T710/100,"n/a")</f>
        <v>6.4170176581825888E-2</v>
      </c>
      <c r="I37" s="28">
        <f>IF(ISNUMBER(Data!U710),Data!U710/100,"n/a")</f>
        <v>7.0066111031416467E-2</v>
      </c>
      <c r="J37" s="28">
        <f>IF(ISNUMBER(Data!V710),Data!V710/100,"n/a")</f>
        <v>0.15629997772780024</v>
      </c>
      <c r="K37" s="9">
        <f>IF(ISNUMBER(Data!Z710),Data!Z710/100,"n/a")</f>
        <v>0.33333333333333326</v>
      </c>
      <c r="L37" s="10">
        <f>Data!AA710</f>
        <v>7.4899999999999993</v>
      </c>
      <c r="M37" s="10">
        <f>Data!AF710</f>
        <v>1.61</v>
      </c>
      <c r="N37" s="28" t="str">
        <f>IF(ISNUMBER(Data!AG710),Data!AG710/100,"n/a")</f>
        <v>n/a</v>
      </c>
      <c r="O37" s="28">
        <f>IF(ISNUMBER(Data!AJ710),Data!AJ710/100,"n/a")</f>
        <v>0.157</v>
      </c>
      <c r="P37" s="9" t="str">
        <f>IF(ISNUMBER(Data!AK710),Data!AK710/100,"n/a")</f>
        <v>n/a</v>
      </c>
      <c r="Q37" s="8">
        <f>Data!AN710</f>
        <v>0.66</v>
      </c>
      <c r="R37" s="8">
        <f>Data!AP710</f>
        <v>11.45698938529563</v>
      </c>
      <c r="S37" s="8"/>
      <c r="T37" s="8"/>
      <c r="U37" s="8"/>
      <c r="V37" s="1">
        <f t="shared" si="0"/>
        <v>9</v>
      </c>
      <c r="W37" s="1">
        <f t="shared" si="1"/>
        <v>0</v>
      </c>
    </row>
    <row r="38" spans="1:23" hidden="1" x14ac:dyDescent="0.2">
      <c r="A38" s="7" t="str">
        <f>Data!A688</f>
        <v>Walgreens Boots Alliance, Inc.</v>
      </c>
      <c r="B38" s="7" t="str">
        <f>Data!B688</f>
        <v>WBA</v>
      </c>
      <c r="C38" s="7" t="str">
        <f>Data!C688</f>
        <v>Consumer Staples</v>
      </c>
      <c r="D38" s="8">
        <f>IF(ISNUMBER(Data!AL688),Data!AL688/1000,"n/a")</f>
        <v>30.85</v>
      </c>
      <c r="E38" s="1">
        <f>Data!E688</f>
        <v>47</v>
      </c>
      <c r="F38" s="28">
        <f>Data!J688/100</f>
        <v>5.2602739726027394E-2</v>
      </c>
      <c r="G38" s="28">
        <f>IF(ISNUMBER(Data!S688),Data!S688/100,"n/a")</f>
        <v>2.1621621621621623E-2</v>
      </c>
      <c r="H38" s="28">
        <f>IF(ISNUMBER(Data!T688),Data!T688/100,"n/a")</f>
        <v>4.0041911525952045E-2</v>
      </c>
      <c r="I38" s="28">
        <f>IF(ISNUMBER(Data!U688),Data!U688/100,"n/a")</f>
        <v>5.1547496797280434E-2</v>
      </c>
      <c r="J38" s="28">
        <f>IF(ISNUMBER(Data!V688),Data!V688/100,"n/a")</f>
        <v>8.9775855608657196E-2</v>
      </c>
      <c r="K38" s="9">
        <f>IF(ISNUMBER(Data!Z688),Data!Z688/100,"n/a")</f>
        <v>0.38400000000000001</v>
      </c>
      <c r="L38" s="10">
        <f>Data!AA688</f>
        <v>7.3</v>
      </c>
      <c r="M38" s="10">
        <f>Data!AF688</f>
        <v>1.25</v>
      </c>
      <c r="N38" s="28">
        <f>IF(ISNUMBER(Data!AG688),Data!AG688/100,"n/a")</f>
        <v>0.16600000000000001</v>
      </c>
      <c r="O38" s="28">
        <f>IF(ISNUMBER(Data!AJ688),Data!AJ688/100,"n/a")</f>
        <v>5.800000000000001E-2</v>
      </c>
      <c r="P38" s="9">
        <f>IF(ISNUMBER(Data!AK688),Data!AK688/100,"n/a")</f>
        <v>1.2800000000000001E-2</v>
      </c>
      <c r="Q38" s="8">
        <f>Data!AN688</f>
        <v>0.5</v>
      </c>
      <c r="R38" s="8">
        <f>Data!AP688</f>
        <v>10.415023652330783</v>
      </c>
      <c r="S38" s="8"/>
      <c r="T38" s="8"/>
      <c r="U38" s="8"/>
      <c r="V38" s="1">
        <f t="shared" si="0"/>
        <v>10</v>
      </c>
      <c r="W38" s="1">
        <f t="shared" si="1"/>
        <v>0</v>
      </c>
    </row>
    <row r="39" spans="1:23" hidden="1" x14ac:dyDescent="0.2">
      <c r="A39" s="7" t="str">
        <f>Data!A689</f>
        <v>Waste Connections, Inc.</v>
      </c>
      <c r="B39" s="7" t="str">
        <f>Data!B689</f>
        <v>WCN</v>
      </c>
      <c r="C39" s="7" t="str">
        <f>Data!C689</f>
        <v>Industrials</v>
      </c>
      <c r="D39" s="8">
        <f>IF(ISNUMBER(Data!AL689),Data!AL689/1000,"n/a")</f>
        <v>34.299999999999997</v>
      </c>
      <c r="E39" s="1">
        <f>Data!E689</f>
        <v>12</v>
      </c>
      <c r="F39" s="28">
        <f>Data!J689/100</f>
        <v>6.9744522780683807E-3</v>
      </c>
      <c r="G39" s="28">
        <f>IF(ISNUMBER(Data!S689),Data!S689/100,"n/a")</f>
        <v>0.11184210526315773</v>
      </c>
      <c r="H39" s="28">
        <f>IF(ISNUMBER(Data!T689),Data!T689/100,"n/a")</f>
        <v>0.13364281145184376</v>
      </c>
      <c r="I39" s="28">
        <f>IF(ISNUMBER(Data!U689),Data!U689/100,"n/a")</f>
        <v>0.15561872540376842</v>
      </c>
      <c r="J39" s="28">
        <f>IF(ISNUMBER(Data!V689),Data!V689/100,"n/a")</f>
        <v>0.14938027942197052</v>
      </c>
      <c r="K39" s="9">
        <f>IF(ISNUMBER(Data!Z689),Data!Z689/100,"n/a")</f>
        <v>0.34848484848484851</v>
      </c>
      <c r="L39" s="10">
        <f>Data!AA689</f>
        <v>49.965909090909086</v>
      </c>
      <c r="M39" s="10">
        <f>Data!AF689</f>
        <v>4.9800000000000004</v>
      </c>
      <c r="N39" s="28">
        <f>IF(ISNUMBER(Data!AG689),Data!AG689/100,"n/a")</f>
        <v>0.1</v>
      </c>
      <c r="O39" s="28">
        <f>IF(ISNUMBER(Data!AJ689),Data!AJ689/100,"n/a")</f>
        <v>0.17199999999999999</v>
      </c>
      <c r="P39" s="9">
        <f>IF(ISNUMBER(Data!AK689),Data!AK689/100,"n/a")</f>
        <v>0.12509999999999999</v>
      </c>
      <c r="Q39" s="8">
        <f>Data!AN689</f>
        <v>0.82</v>
      </c>
      <c r="R39" s="8">
        <f>Data!AP689</f>
        <v>16.259317768183681</v>
      </c>
      <c r="S39" s="8"/>
      <c r="T39" s="8"/>
      <c r="U39" s="8"/>
      <c r="V39" s="1">
        <f t="shared" si="0"/>
        <v>8</v>
      </c>
      <c r="W39" s="1">
        <f t="shared" si="1"/>
        <v>0</v>
      </c>
    </row>
    <row r="40" spans="1:23" hidden="1" x14ac:dyDescent="0.2">
      <c r="A40" s="7" t="str">
        <f>Data!A685</f>
        <v>Westamerica Bancorporation</v>
      </c>
      <c r="B40" s="7" t="str">
        <f>Data!B685</f>
        <v>WABC</v>
      </c>
      <c r="C40" s="7" t="str">
        <f>Data!C685</f>
        <v>Financials</v>
      </c>
      <c r="D40" s="8">
        <f>IF(ISNUMBER(Data!AL685),Data!AL685/1000,"n/a")</f>
        <v>1.65</v>
      </c>
      <c r="E40" s="1">
        <f>Data!E685</f>
        <v>30</v>
      </c>
      <c r="F40" s="28">
        <f>Data!J685/100</f>
        <v>2.6781444285031087E-2</v>
      </c>
      <c r="G40" s="28">
        <f>IF(ISNUMBER(Data!S685),Data!S685/100,"n/a")</f>
        <v>6.0975609756097615E-3</v>
      </c>
      <c r="H40" s="28">
        <f>IF(ISNUMBER(Data!T685),Data!T685/100,"n/a")</f>
        <v>1.0310005155547586E-2</v>
      </c>
      <c r="I40" s="28">
        <f>IF(ISNUMBER(Data!U685),Data!U685/100,"n/a")</f>
        <v>1.1281049835639045E-2</v>
      </c>
      <c r="J40" s="28">
        <f>IF(ISNUMBER(Data!V685),Data!V685/100,"n/a")</f>
        <v>1.3005012216313228E-2</v>
      </c>
      <c r="K40" s="9">
        <f>IF(ISNUMBER(Data!Z685),Data!Z685/100,"n/a")</f>
        <v>0.4329896907216495</v>
      </c>
      <c r="L40" s="10">
        <f>Data!AA685</f>
        <v>16.167525773195877</v>
      </c>
      <c r="M40" s="10">
        <f>Data!AF685</f>
        <v>2.75</v>
      </c>
      <c r="N40" s="28">
        <f>IF(ISNUMBER(Data!AG685),Data!AG685/100,"n/a")</f>
        <v>0.11899999999999998</v>
      </c>
      <c r="O40" s="28">
        <f>IF(ISNUMBER(Data!AJ685),Data!AJ685/100,"n/a")</f>
        <v>7.0000000000000007E-2</v>
      </c>
      <c r="P40" s="9">
        <f>IF(ISNUMBER(Data!AK685),Data!AK685/100,"n/a")</f>
        <v>0.03</v>
      </c>
      <c r="Q40" s="8">
        <f>Data!AN685</f>
        <v>0</v>
      </c>
      <c r="R40" s="8">
        <f>Data!AP685</f>
        <v>3.8062494120670132</v>
      </c>
      <c r="S40" s="8"/>
      <c r="T40" s="8"/>
      <c r="U40" s="8"/>
      <c r="V40" s="1">
        <f t="shared" si="0"/>
        <v>7</v>
      </c>
      <c r="W40" s="1">
        <f t="shared" si="1"/>
        <v>0</v>
      </c>
    </row>
    <row r="41" spans="1:23" hidden="1" x14ac:dyDescent="0.2">
      <c r="A41" s="7" t="str">
        <f>Data!A691</f>
        <v>WD-40 Company</v>
      </c>
      <c r="B41" s="7" t="str">
        <f>Data!B691</f>
        <v>WDFC</v>
      </c>
      <c r="C41" s="7" t="str">
        <f>Data!C691</f>
        <v>Consumer Staples</v>
      </c>
      <c r="D41" s="8">
        <f>IF(ISNUMBER(Data!AL691),Data!AL691/1000,"n/a")</f>
        <v>2.13</v>
      </c>
      <c r="E41" s="1">
        <f>Data!E691</f>
        <v>13</v>
      </c>
      <c r="F41" s="28">
        <f>Data!J691/100</f>
        <v>1.948051948051948E-2</v>
      </c>
      <c r="G41" s="28">
        <f>IF(ISNUMBER(Data!S691),Data!S691/100,"n/a")</f>
        <v>5.5970149253731227E-2</v>
      </c>
      <c r="H41" s="28">
        <f>IF(ISNUMBER(Data!T691),Data!T691/100,"n/a")</f>
        <v>9.4235737891023033E-2</v>
      </c>
      <c r="I41" s="28">
        <f>IF(ISNUMBER(Data!U691),Data!U691/100,"n/a")</f>
        <v>0.10992959307240424</v>
      </c>
      <c r="J41" s="28">
        <f>IF(ISNUMBER(Data!V691),Data!V691/100,"n/a")</f>
        <v>0.10112409994528448</v>
      </c>
      <c r="K41" s="9">
        <f>IF(ISNUMBER(Data!Z691),Data!Z691/100,"n/a")</f>
        <v>0.63673469387755099</v>
      </c>
      <c r="L41" s="10">
        <f>Data!AA691</f>
        <v>32.685714285714283</v>
      </c>
      <c r="M41" s="10">
        <f>Data!AF691</f>
        <v>11.78</v>
      </c>
      <c r="N41" s="28">
        <f>IF(ISNUMBER(Data!AG691),Data!AG691/100,"n/a")</f>
        <v>0.34399999999999997</v>
      </c>
      <c r="O41" s="28">
        <f>IF(ISNUMBER(Data!AJ691),Data!AJ691/100,"n/a")</f>
        <v>5.6000000000000008E-2</v>
      </c>
      <c r="P41" s="9">
        <f>IF(ISNUMBER(Data!AK691),Data!AK691/100,"n/a")</f>
        <v>0.1</v>
      </c>
      <c r="Q41" s="8">
        <f>Data!AN691</f>
        <v>0.78</v>
      </c>
      <c r="R41" s="8">
        <f>Data!AP691</f>
        <v>12.941011255292372</v>
      </c>
      <c r="S41" s="8"/>
      <c r="T41" s="8"/>
      <c r="U41" s="8"/>
      <c r="V41" s="1">
        <f t="shared" si="0"/>
        <v>7</v>
      </c>
      <c r="W41" s="1">
        <f t="shared" si="1"/>
        <v>0</v>
      </c>
    </row>
    <row r="42" spans="1:23" hidden="1" x14ac:dyDescent="0.2">
      <c r="A42" s="7" t="str">
        <f>Data!A690</f>
        <v>Walker &amp; Dunlop, Inc.</v>
      </c>
      <c r="B42" s="7" t="str">
        <f>Data!B690</f>
        <v>WD</v>
      </c>
      <c r="C42" s="7" t="str">
        <f>Data!C690</f>
        <v>Financials</v>
      </c>
      <c r="D42" s="8">
        <f>IF(ISNUMBER(Data!AL690),Data!AL690/1000,"n/a")</f>
        <v>2.85</v>
      </c>
      <c r="E42" s="1">
        <f>Data!E690</f>
        <v>5</v>
      </c>
      <c r="F42" s="28">
        <f>Data!J690/100</f>
        <v>2.6678523788350381E-2</v>
      </c>
      <c r="G42" s="28">
        <f>IF(ISNUMBER(Data!S690),Data!S690/100,"n/a")</f>
        <v>0.38888888888888884</v>
      </c>
      <c r="H42" s="28">
        <f>IF(ISNUMBER(Data!T690),Data!T690/100,"n/a")</f>
        <v>0.25992104989487319</v>
      </c>
      <c r="I42" s="28" t="str">
        <f>IF(ISNUMBER(Data!U690),Data!U690/100,"n/a")</f>
        <v>n/a</v>
      </c>
      <c r="J42" s="28" t="str">
        <f>IF(ISNUMBER(Data!V690),Data!V690/100,"n/a")</f>
        <v>n/a</v>
      </c>
      <c r="K42" s="9">
        <f>IF(ISNUMBER(Data!Z690),Data!Z690/100,"n/a")</f>
        <v>0.28742514970059879</v>
      </c>
      <c r="L42" s="10">
        <f>Data!AA690</f>
        <v>10.773652694610778</v>
      </c>
      <c r="M42" s="10">
        <f>Data!AF690</f>
        <v>1.76</v>
      </c>
      <c r="N42" s="28">
        <f>IF(ISNUMBER(Data!AG690),Data!AG690/100,"n/a")</f>
        <v>0.17499999999999999</v>
      </c>
      <c r="O42" s="28">
        <f>IF(ISNUMBER(Data!AJ690),Data!AJ690/100,"n/a")</f>
        <v>0.17899999999999999</v>
      </c>
      <c r="P42" s="9">
        <f>IF(ISNUMBER(Data!AK690),Data!AK690/100,"n/a")</f>
        <v>0.1</v>
      </c>
      <c r="Q42" s="8">
        <f>Data!AN690</f>
        <v>0</v>
      </c>
      <c r="R42" s="8" t="str">
        <f>Data!AP690</f>
        <v>n/a</v>
      </c>
      <c r="S42" s="8"/>
      <c r="T42" s="8"/>
      <c r="U42" s="8"/>
      <c r="V42" s="1">
        <f t="shared" si="0"/>
        <v>9</v>
      </c>
      <c r="W42" s="1">
        <f t="shared" si="1"/>
        <v>0</v>
      </c>
    </row>
    <row r="43" spans="1:23" hidden="1" x14ac:dyDescent="0.2">
      <c r="A43" s="7" t="str">
        <f>Data!A686</f>
        <v>Washington Federal, Inc.</v>
      </c>
      <c r="B43" s="7" t="str">
        <f>Data!B686</f>
        <v>WAFD</v>
      </c>
      <c r="C43" s="7" t="str">
        <f>Data!C686</f>
        <v>Financials</v>
      </c>
      <c r="D43" s="8">
        <f>IF(ISNUMBER(Data!AL686),Data!AL686/1000,"n/a")</f>
        <v>2.46</v>
      </c>
      <c r="E43" s="1">
        <f>Data!E686</f>
        <v>12</v>
      </c>
      <c r="F43" s="28">
        <f>Data!J686/100</f>
        <v>2.4806201550387593E-2</v>
      </c>
      <c r="G43" s="28">
        <f>IF(ISNUMBER(Data!S686),Data!S686/100,"n/a")</f>
        <v>4.5454545454545414E-2</v>
      </c>
      <c r="H43" s="28">
        <f>IF(ISNUMBER(Data!T686),Data!T686/100,"n/a")</f>
        <v>9.5376104072121284E-2</v>
      </c>
      <c r="I43" s="28">
        <f>IF(ISNUMBER(Data!U686),Data!U686/100,"n/a")</f>
        <v>0.10438362870438155</v>
      </c>
      <c r="J43" s="28">
        <f>IF(ISNUMBER(Data!V686),Data!V686/100,"n/a")</f>
        <v>0.14381992765281604</v>
      </c>
      <c r="K43" s="9">
        <f>IF(ISNUMBER(Data!Z686),Data!Z686/100,"n/a")</f>
        <v>0.2831858407079646</v>
      </c>
      <c r="L43" s="10">
        <f>Data!AA686</f>
        <v>11.415929203539823</v>
      </c>
      <c r="M43" s="10">
        <f>Data!AF686</f>
        <v>1.31</v>
      </c>
      <c r="N43" s="28">
        <f>IF(ISNUMBER(Data!AG686),Data!AG686/100,"n/a")</f>
        <v>9.9000000000000005E-2</v>
      </c>
      <c r="O43" s="28">
        <f>IF(ISNUMBER(Data!AJ686),Data!AJ686/100,"n/a")</f>
        <v>0.06</v>
      </c>
      <c r="P43" s="9">
        <f>IF(ISNUMBER(Data!AK686),Data!AK686/100,"n/a")</f>
        <v>7.0000000000000007E-2</v>
      </c>
      <c r="Q43" s="8">
        <f>Data!AN686</f>
        <v>0</v>
      </c>
      <c r="R43" s="8">
        <f>Data!AP686</f>
        <v>12.918983025476914</v>
      </c>
      <c r="S43" s="8"/>
      <c r="T43" s="8"/>
      <c r="U43" s="8"/>
      <c r="V43" s="1">
        <f t="shared" si="0"/>
        <v>10</v>
      </c>
      <c r="W43" s="1">
        <f t="shared" si="1"/>
        <v>0</v>
      </c>
    </row>
    <row r="44" spans="1:23" hidden="1" x14ac:dyDescent="0.2">
      <c r="A44" s="7" t="str">
        <f>Data!A687</f>
        <v>Washington Trust Bancorp, Inc.</v>
      </c>
      <c r="B44" s="7" t="str">
        <f>Data!B687</f>
        <v>WASH</v>
      </c>
      <c r="C44" s="7" t="str">
        <f>Data!C687</f>
        <v>Financials</v>
      </c>
      <c r="D44" s="8">
        <f>IF(ISNUMBER(Data!AL687),Data!AL687/1000,"n/a")</f>
        <v>0.80847999999999998</v>
      </c>
      <c r="E44" s="1">
        <f>Data!E687</f>
        <v>11</v>
      </c>
      <c r="F44" s="28">
        <f>Data!J687/100</f>
        <v>4.4536082474226808E-2</v>
      </c>
      <c r="G44" s="28">
        <f>IF(ISNUMBER(Data!S687),Data!S687/100,"n/a")</f>
        <v>1.9607843137254832E-2</v>
      </c>
      <c r="H44" s="28">
        <f>IF(ISNUMBER(Data!T687),Data!T687/100,"n/a")</f>
        <v>7.3786693294802586E-2</v>
      </c>
      <c r="I44" s="28">
        <f>IF(ISNUMBER(Data!U687),Data!U687/100,"n/a")</f>
        <v>7.3351817054968516E-2</v>
      </c>
      <c r="J44" s="28">
        <f>IF(ISNUMBER(Data!V687),Data!V687/100,"n/a")</f>
        <v>9.1074506119784626E-2</v>
      </c>
      <c r="K44" s="9">
        <f>IF(ISNUMBER(Data!Z687),Data!Z687/100,"n/a")</f>
        <v>0.50116009280742468</v>
      </c>
      <c r="L44" s="10">
        <f>Data!AA687</f>
        <v>11.252900232018563</v>
      </c>
      <c r="M44" s="10">
        <f>Data!AF687</f>
        <v>1.76</v>
      </c>
      <c r="N44" s="28">
        <f>IF(ISNUMBER(Data!AG687),Data!AG687/100,"n/a")</f>
        <v>0.13800000000000001</v>
      </c>
      <c r="O44" s="28">
        <f>IF(ISNUMBER(Data!AJ687),Data!AJ687/100,"n/a")</f>
        <v>0.10299999999999999</v>
      </c>
      <c r="P44" s="9">
        <f>IF(ISNUMBER(Data!AK687),Data!AK687/100,"n/a")</f>
        <v>0.05</v>
      </c>
      <c r="Q44" s="8">
        <f>Data!AN687</f>
        <v>0.05</v>
      </c>
      <c r="R44" s="8">
        <f>Data!AP687</f>
        <v>11.788789952919533</v>
      </c>
      <c r="S44" s="8"/>
      <c r="T44" s="8"/>
      <c r="U44" s="8"/>
      <c r="V44" s="1">
        <f t="shared" si="0"/>
        <v>9</v>
      </c>
      <c r="W44" s="1">
        <f t="shared" si="1"/>
        <v>0</v>
      </c>
    </row>
    <row r="45" spans="1:23" hidden="1" x14ac:dyDescent="0.2">
      <c r="A45" s="7">
        <f>Data!A748</f>
        <v>0</v>
      </c>
      <c r="B45" s="7">
        <f>Data!B748</f>
        <v>0</v>
      </c>
      <c r="C45" s="7">
        <f>Data!C748</f>
        <v>0</v>
      </c>
      <c r="D45" s="8" t="str">
        <f>IF(ISNUMBER(Data!AL748),Data!AL748/1000,"n/a")</f>
        <v>n/a</v>
      </c>
      <c r="E45" s="1">
        <f>Data!E748</f>
        <v>0</v>
      </c>
      <c r="F45" s="28">
        <f>Data!J748/100</f>
        <v>0</v>
      </c>
      <c r="G45" s="28" t="str">
        <f>IF(ISNUMBER(Data!S748),Data!S748/100,"n/a")</f>
        <v>n/a</v>
      </c>
      <c r="H45" s="28" t="str">
        <f>IF(ISNUMBER(Data!T748),Data!T748/100,"n/a")</f>
        <v>n/a</v>
      </c>
      <c r="I45" s="28" t="str">
        <f>IF(ISNUMBER(Data!U748),Data!U748/100,"n/a")</f>
        <v>n/a</v>
      </c>
      <c r="J45" s="28" t="str">
        <f>IF(ISNUMBER(Data!V748),Data!V748/100,"n/a")</f>
        <v>n/a</v>
      </c>
      <c r="K45" s="9" t="str">
        <f>IF(ISNUMBER(Data!Z748),Data!Z748/100,"n/a")</f>
        <v>n/a</v>
      </c>
      <c r="L45" s="10">
        <f>Data!AA748</f>
        <v>0</v>
      </c>
      <c r="M45" s="10">
        <f>Data!AF748</f>
        <v>0</v>
      </c>
      <c r="N45" s="28" t="str">
        <f>IF(ISNUMBER(Data!AG748),Data!AG748/100,"n/a")</f>
        <v>n/a</v>
      </c>
      <c r="O45" s="28" t="str">
        <f>IF(ISNUMBER(Data!AJ748),Data!AJ748/100,"n/a")</f>
        <v>n/a</v>
      </c>
      <c r="P45" s="9" t="str">
        <f>IF(ISNUMBER(Data!AK748),Data!AK748/100,"n/a")</f>
        <v>n/a</v>
      </c>
      <c r="Q45" s="8">
        <f>Data!AN748</f>
        <v>0</v>
      </c>
      <c r="R45" s="8">
        <f>Data!AP748</f>
        <v>0</v>
      </c>
      <c r="S45" s="8"/>
      <c r="T45" s="8"/>
      <c r="U45" s="8"/>
      <c r="V45" s="1">
        <f t="shared" si="0"/>
        <v>2</v>
      </c>
      <c r="W45" s="1">
        <f t="shared" si="1"/>
        <v>0</v>
      </c>
    </row>
    <row r="46" spans="1:23" hidden="1" x14ac:dyDescent="0.2">
      <c r="A46" s="7" t="str">
        <f>Data!A683</f>
        <v>Valvoline Inc.</v>
      </c>
      <c r="B46" s="7" t="str">
        <f>Data!B683</f>
        <v>VVV</v>
      </c>
      <c r="C46" s="7" t="str">
        <f>Data!C683</f>
        <v>Materials</v>
      </c>
      <c r="D46" s="8">
        <f>IF(ISNUMBER(Data!AL683),Data!AL683/1000,"n/a")</f>
        <v>5.13</v>
      </c>
      <c r="E46" s="1">
        <f>Data!E683</f>
        <v>6</v>
      </c>
      <c r="F46" s="28">
        <f>Data!J683/100</f>
        <v>1.7029972752043598E-2</v>
      </c>
      <c r="G46" s="28">
        <f>IF(ISNUMBER(Data!S683),Data!S683/100,"n/a")</f>
        <v>7.7586206896551602E-2</v>
      </c>
      <c r="H46" s="28">
        <f>IF(ISNUMBER(Data!T683),Data!T683/100,"n/a")</f>
        <v>0.14913625951679932</v>
      </c>
      <c r="I46" s="28">
        <f>IF(ISNUMBER(Data!U683),Data!U683/100,"n/a")</f>
        <v>0.59130997402645047</v>
      </c>
      <c r="J46" s="28" t="str">
        <f>IF(ISNUMBER(Data!V683),Data!V683/100,"n/a")</f>
        <v>n/a</v>
      </c>
      <c r="K46" s="9">
        <f>IF(ISNUMBER(Data!Z683),Data!Z683/100,"n/a")</f>
        <v>0.20746887966804978</v>
      </c>
      <c r="L46" s="10">
        <f>Data!AA683</f>
        <v>12.182572614107883</v>
      </c>
      <c r="M46" s="10">
        <f>Data!AF683</f>
        <v>23.25</v>
      </c>
      <c r="N46" s="28">
        <f>IF(ISNUMBER(Data!AG683),Data!AG683/100,"n/a")</f>
        <v>2.39</v>
      </c>
      <c r="O46" s="28">
        <f>IF(ISNUMBER(Data!AJ683),Data!AJ683/100,"n/a")</f>
        <v>0.115</v>
      </c>
      <c r="P46" s="9">
        <f>IF(ISNUMBER(Data!AK683),Data!AK683/100,"n/a")</f>
        <v>0.1</v>
      </c>
      <c r="Q46" s="8">
        <f>Data!AN683</f>
        <v>7.52</v>
      </c>
      <c r="R46" s="8">
        <f>Data!AP683</f>
        <v>60.833994677849411</v>
      </c>
      <c r="S46" s="8"/>
      <c r="T46" s="8"/>
      <c r="U46" s="8"/>
      <c r="V46" s="1">
        <f t="shared" si="0"/>
        <v>8</v>
      </c>
      <c r="W46" s="1">
        <f t="shared" si="1"/>
        <v>0</v>
      </c>
    </row>
    <row r="47" spans="1:23" hidden="1" x14ac:dyDescent="0.2">
      <c r="A47" s="7" t="str">
        <f>Data!A677</f>
        <v>Visa Inc.</v>
      </c>
      <c r="B47" s="7" t="str">
        <f>Data!B677</f>
        <v>V</v>
      </c>
      <c r="C47" s="7" t="str">
        <f>Data!C677</f>
        <v>Information Technology</v>
      </c>
      <c r="D47" s="8">
        <f>IF(ISNUMBER(Data!AL677),Data!AL677/1000,"n/a")</f>
        <v>422.64</v>
      </c>
      <c r="E47" s="1">
        <f>Data!E677</f>
        <v>15</v>
      </c>
      <c r="F47" s="28">
        <f>Data!J677/100</f>
        <v>8.6889360880478862E-3</v>
      </c>
      <c r="G47" s="28">
        <f>IF(ISNUMBER(Data!S677),Data!S677/100,"n/a")</f>
        <v>9.4262295081967165E-2</v>
      </c>
      <c r="H47" s="28">
        <f>IF(ISNUMBER(Data!T677),Data!T677/100,"n/a")</f>
        <v>0.14903395987178825</v>
      </c>
      <c r="I47" s="28">
        <f>IF(ISNUMBER(Data!U677),Data!U677/100,"n/a")</f>
        <v>0.17941074454361394</v>
      </c>
      <c r="J47" s="28">
        <f>IF(ISNUMBER(Data!V677),Data!V677/100,"n/a")</f>
        <v>0.23068425792255898</v>
      </c>
      <c r="K47" s="9">
        <f>IF(ISNUMBER(Data!Z677),Data!Z677/100,"n/a")</f>
        <v>0.29556650246305421</v>
      </c>
      <c r="L47" s="10">
        <f>Data!AA677</f>
        <v>34.016420361247945</v>
      </c>
      <c r="M47" s="10">
        <f>Data!AF677</f>
        <v>13.34</v>
      </c>
      <c r="N47" s="28">
        <f>IF(ISNUMBER(Data!AG677),Data!AG677/100,"n/a")</f>
        <v>0.40400000000000008</v>
      </c>
      <c r="O47" s="28">
        <f>IF(ISNUMBER(Data!AJ677),Data!AJ677/100,"n/a")</f>
        <v>0.17800000000000002</v>
      </c>
      <c r="P47" s="9">
        <f>IF(ISNUMBER(Data!AK677),Data!AK677/100,"n/a")</f>
        <v>0.16750000000000001</v>
      </c>
      <c r="Q47" s="8">
        <f>Data!AN677</f>
        <v>0.73</v>
      </c>
      <c r="R47" s="8">
        <f>Data!AP677</f>
        <v>18.809968063166185</v>
      </c>
      <c r="S47" s="8"/>
      <c r="T47" s="8"/>
      <c r="U47" s="8"/>
      <c r="V47" s="1">
        <f t="shared" si="0"/>
        <v>8</v>
      </c>
      <c r="W47" s="1">
        <f t="shared" si="1"/>
        <v>0</v>
      </c>
    </row>
    <row r="48" spans="1:23" hidden="1" x14ac:dyDescent="0.2">
      <c r="A48" s="7" t="str">
        <f>Data!A673</f>
        <v>U.S. Bancorp</v>
      </c>
      <c r="B48" s="7" t="str">
        <f>Data!B673</f>
        <v>USB</v>
      </c>
      <c r="C48" s="7" t="str">
        <f>Data!C673</f>
        <v>Financials</v>
      </c>
      <c r="D48" s="8">
        <f>IF(ISNUMBER(Data!AL673),Data!AL673/1000,"n/a")</f>
        <v>62.52</v>
      </c>
      <c r="E48" s="1">
        <f>Data!E673</f>
        <v>12</v>
      </c>
      <c r="F48" s="28">
        <f>Data!J673/100</f>
        <v>4.5229681978798592E-2</v>
      </c>
      <c r="G48" s="28">
        <f>IF(ISNUMBER(Data!S673),Data!S673/100,"n/a")</f>
        <v>2.3809523809523725E-2</v>
      </c>
      <c r="H48" s="28">
        <f>IF(ISNUMBER(Data!T673),Data!T673/100,"n/a")</f>
        <v>0.10639000049405013</v>
      </c>
      <c r="I48" s="28">
        <f>IF(ISNUMBER(Data!U673),Data!U673/100,"n/a")</f>
        <v>0.10479686012836131</v>
      </c>
      <c r="J48" s="28">
        <f>IF(ISNUMBER(Data!V673),Data!V673/100,"n/a")</f>
        <v>0.15004266316146997</v>
      </c>
      <c r="K48" s="9">
        <f>IF(ISNUMBER(Data!Z673),Data!Z673/100,"n/a")</f>
        <v>0.4582338902147971</v>
      </c>
      <c r="L48" s="10">
        <f>Data!AA673</f>
        <v>10.13126491646778</v>
      </c>
      <c r="M48" s="10">
        <f>Data!AF673</f>
        <v>1.52</v>
      </c>
      <c r="N48" s="28">
        <f>IF(ISNUMBER(Data!AG673),Data!AG673/100,"n/a")</f>
        <v>0.151</v>
      </c>
      <c r="O48" s="28">
        <f>IF(ISNUMBER(Data!AJ673),Data!AJ673/100,"n/a")</f>
        <v>9.5000000000000001E-2</v>
      </c>
      <c r="P48" s="9">
        <f>IF(ISNUMBER(Data!AK673),Data!AK673/100,"n/a")</f>
        <v>4.87E-2</v>
      </c>
      <c r="Q48" s="8">
        <f>Data!AN673</f>
        <v>0.7</v>
      </c>
      <c r="R48" s="8">
        <f>Data!AP673</f>
        <v>15.00265421071599</v>
      </c>
      <c r="S48" s="8"/>
      <c r="T48" s="8"/>
      <c r="U48" s="8"/>
      <c r="V48" s="1">
        <f t="shared" si="0"/>
        <v>10</v>
      </c>
      <c r="W48" s="1">
        <f t="shared" si="1"/>
        <v>0</v>
      </c>
    </row>
    <row r="49" spans="1:23" hidden="1" x14ac:dyDescent="0.2">
      <c r="A49" s="7" t="str">
        <f>Data!A503</f>
        <v>Oak Valley Bancorp</v>
      </c>
      <c r="B49" s="7" t="str">
        <f>Data!B503</f>
        <v>OVLY</v>
      </c>
      <c r="C49" s="7" t="str">
        <f>Data!C503</f>
        <v>Financials</v>
      </c>
      <c r="D49" s="8">
        <f>IF(ISNUMBER(Data!AL503),Data!AL503/1000,"n/a")</f>
        <v>0.16106000000000001</v>
      </c>
      <c r="E49" s="1">
        <f>Data!E503</f>
        <v>9</v>
      </c>
      <c r="F49" s="28">
        <f>Data!J503/100</f>
        <v>1.5212981744421906E-2</v>
      </c>
      <c r="G49" s="28">
        <f>IF(ISNUMBER(Data!S503),Data!S503/100,"n/a")</f>
        <v>3.5714285714285587E-2</v>
      </c>
      <c r="H49" s="28">
        <f>IF(ISNUMBER(Data!T503),Data!T503/100,"n/a")</f>
        <v>3.7070347012313709E-2</v>
      </c>
      <c r="I49" s="28">
        <f>IF(ISNUMBER(Data!U503),Data!U503/100,"n/a")</f>
        <v>3.8573773084258578E-2</v>
      </c>
      <c r="J49" s="28" t="str">
        <f>IF(ISNUMBER(Data!V503),Data!V503/100,"n/a")</f>
        <v>n/a</v>
      </c>
      <c r="K49" s="9">
        <f>IF(ISNUMBER(Data!Z503),Data!Z503/100,"n/a")</f>
        <v>0.14563106796116504</v>
      </c>
      <c r="L49" s="10">
        <f>Data!AA503</f>
        <v>9.5728155339805809</v>
      </c>
      <c r="M49" s="10">
        <f>Data!AF503</f>
        <v>1.36</v>
      </c>
      <c r="N49" s="28">
        <f>IF(ISNUMBER(Data!AG503),Data!AG503/100,"n/a")</f>
        <v>0.10800000000000001</v>
      </c>
      <c r="O49" s="28">
        <f>IF(ISNUMBER(Data!AJ503),Data!AJ503/100,"n/a")</f>
        <v>0.161</v>
      </c>
      <c r="P49" s="9" t="str">
        <f>IF(ISNUMBER(Data!AK503),Data!AK503/100,"n/a")</f>
        <v>n/a</v>
      </c>
      <c r="Q49" s="8">
        <f>Data!AN503</f>
        <v>0</v>
      </c>
      <c r="R49" s="8">
        <f>Data!AP503</f>
        <v>5.378675482868049</v>
      </c>
      <c r="S49" s="8"/>
      <c r="T49" s="8"/>
      <c r="U49" s="8"/>
      <c r="V49" s="1">
        <f t="shared" si="0"/>
        <v>4</v>
      </c>
      <c r="W49" s="1">
        <f t="shared" si="1"/>
        <v>0</v>
      </c>
    </row>
    <row r="50" spans="1:23" hidden="1" x14ac:dyDescent="0.2">
      <c r="A50" s="7" t="str">
        <f>Data!A684</f>
        <v>Verizon Communications Inc.</v>
      </c>
      <c r="B50" s="7" t="str">
        <f>Data!B684</f>
        <v>VZ</v>
      </c>
      <c r="C50" s="7" t="str">
        <f>Data!C684</f>
        <v>Communication Services</v>
      </c>
      <c r="D50" s="8">
        <f>IF(ISNUMBER(Data!AL684),Data!AL684/1000,"n/a")</f>
        <v>151.94999999999999</v>
      </c>
      <c r="E50" s="1">
        <f>Data!E684</f>
        <v>18</v>
      </c>
      <c r="F50" s="28">
        <f>Data!J684/100</f>
        <v>6.9842119347069839E-2</v>
      </c>
      <c r="G50" s="28">
        <f>IF(ISNUMBER(Data!S684),Data!S684/100,"n/a")</f>
        <v>2.0222446916076775E-2</v>
      </c>
      <c r="H50" s="28">
        <f>IF(ISNUMBER(Data!T684),Data!T684/100,"n/a")</f>
        <v>2.0645639803166471E-2</v>
      </c>
      <c r="I50" s="28">
        <f>IF(ISNUMBER(Data!U684),Data!U684/100,"n/a")</f>
        <v>2.109337068892958E-2</v>
      </c>
      <c r="J50" s="28">
        <f>IF(ISNUMBER(Data!V684),Data!V684/100,"n/a")</f>
        <v>2.5420866989174007E-2</v>
      </c>
      <c r="K50" s="9">
        <f>IF(ISNUMBER(Data!Z684),Data!Z684/100,"n/a")</f>
        <v>0.56739130434782614</v>
      </c>
      <c r="L50" s="10">
        <f>Data!AA684</f>
        <v>8.1239130434782609</v>
      </c>
      <c r="M50" s="10">
        <f>Data!AF684</f>
        <v>1.81</v>
      </c>
      <c r="N50" s="28">
        <f>IF(ISNUMBER(Data!AG684),Data!AG684/100,"n/a")</f>
        <v>0.22800000000000001</v>
      </c>
      <c r="O50" s="28">
        <f>IF(ISNUMBER(Data!AJ684),Data!AJ684/100,"n/a")</f>
        <v>0.106</v>
      </c>
      <c r="P50" s="9">
        <f>IF(ISNUMBER(Data!AK684),Data!AK684/100,"n/a")</f>
        <v>2.1899999999999999E-2</v>
      </c>
      <c r="Q50" s="8">
        <f>Data!AN684</f>
        <v>1.69</v>
      </c>
      <c r="R50" s="8">
        <f>Data!AP684</f>
        <v>9.0935490035999429</v>
      </c>
      <c r="S50" s="8"/>
      <c r="T50" s="8"/>
      <c r="U50" s="8"/>
      <c r="V50" s="1">
        <f t="shared" si="0"/>
        <v>6</v>
      </c>
      <c r="W50" s="1">
        <f t="shared" si="1"/>
        <v>0</v>
      </c>
    </row>
    <row r="51" spans="1:23" hidden="1" x14ac:dyDescent="0.2">
      <c r="A51" s="7" t="str">
        <f>Data!A679</f>
        <v>V.F. Corporation</v>
      </c>
      <c r="B51" s="7" t="str">
        <f>Data!B679</f>
        <v>VFC</v>
      </c>
      <c r="C51" s="7" t="str">
        <f>Data!C679</f>
        <v>Consumer Discretionary</v>
      </c>
      <c r="D51" s="8">
        <f>IF(ISNUMBER(Data!AL679),Data!AL679/1000,"n/a")</f>
        <v>10.65</v>
      </c>
      <c r="E51" s="1">
        <f>Data!E679</f>
        <v>50</v>
      </c>
      <c r="F51" s="28">
        <f>Data!J679/100</f>
        <v>7.221238938053097E-2</v>
      </c>
      <c r="G51" s="28">
        <f>IF(ISNUMBER(Data!S679),Data!S679/100,"n/a")</f>
        <v>2.0725388601036343E-2</v>
      </c>
      <c r="H51" s="28">
        <f>IF(ISNUMBER(Data!T679),Data!T679/100,"n/a")</f>
        <v>3.4612656591984647E-2</v>
      </c>
      <c r="I51" s="28">
        <f>IF(ISNUMBER(Data!U679),Data!U679/100,"n/a")</f>
        <v>6.4684047180649129E-2</v>
      </c>
      <c r="J51" s="28">
        <f>IF(ISNUMBER(Data!V679),Data!V679/100,"n/a")</f>
        <v>0.12362518486299789</v>
      </c>
      <c r="K51" s="9">
        <f>IF(ISNUMBER(Data!Z679),Data!Z679/100,"n/a")</f>
        <v>1.8888888888888888</v>
      </c>
      <c r="L51" s="10">
        <f>Data!AA679</f>
        <v>26.157407407407405</v>
      </c>
      <c r="M51" s="10">
        <f>Data!AF679</f>
        <v>3.27</v>
      </c>
      <c r="N51" s="28">
        <f>IF(ISNUMBER(Data!AG679),Data!AG679/100,"n/a")</f>
        <v>0.39200000000000002</v>
      </c>
      <c r="O51" s="28">
        <f>IF(ISNUMBER(Data!AJ679),Data!AJ679/100,"n/a")</f>
        <v>0.113</v>
      </c>
      <c r="P51" s="9">
        <f>IF(ISNUMBER(Data!AK679),Data!AK679/100,"n/a")</f>
        <v>7.4999999999999997E-3</v>
      </c>
      <c r="Q51" s="8">
        <f>Data!AN679</f>
        <v>1.58</v>
      </c>
      <c r="R51" s="8">
        <f>Data!AP679</f>
        <v>13.68964365611801</v>
      </c>
      <c r="S51" s="8"/>
      <c r="T51" s="8"/>
      <c r="U51" s="8"/>
      <c r="V51" s="1">
        <f t="shared" si="0"/>
        <v>7</v>
      </c>
      <c r="W51" s="1">
        <f t="shared" si="1"/>
        <v>0</v>
      </c>
    </row>
    <row r="52" spans="1:23" hidden="1" x14ac:dyDescent="0.2">
      <c r="A52" s="7" t="str">
        <f>Data!A682</f>
        <v>Vishay Intertechnology, Inc.</v>
      </c>
      <c r="B52" s="7" t="str">
        <f>Data!B682</f>
        <v>VSH</v>
      </c>
      <c r="C52" s="7" t="str">
        <f>Data!C682</f>
        <v>Information Technology</v>
      </c>
      <c r="D52" s="8">
        <f>IF(ISNUMBER(Data!AL682),Data!AL682/1000,"n/a")</f>
        <v>2.92</v>
      </c>
      <c r="E52" s="1">
        <f>Data!E682</f>
        <v>6</v>
      </c>
      <c r="F52" s="28">
        <f>Data!J682/100</f>
        <v>1.9129603060736491E-2</v>
      </c>
      <c r="G52" s="28">
        <f>IF(ISNUMBER(Data!S682),Data!S682/100,"n/a")</f>
        <v>1.3157894736842035E-2</v>
      </c>
      <c r="H52" s="28">
        <f>IF(ISNUMBER(Data!T682),Data!T682/100,"n/a")</f>
        <v>6.082481477261914E-2</v>
      </c>
      <c r="I52" s="28">
        <f>IF(ISNUMBER(Data!U682),Data!U682/100,"n/a")</f>
        <v>9.0194895299878328E-2</v>
      </c>
      <c r="J52" s="28" t="str">
        <f>IF(ISNUMBER(Data!V682),Data!V682/100,"n/a")</f>
        <v>n/a</v>
      </c>
      <c r="K52" s="9">
        <f>IF(ISNUMBER(Data!Z682),Data!Z682/100,"n/a")</f>
        <v>0.1659751037344398</v>
      </c>
      <c r="L52" s="10">
        <f>Data!AA682</f>
        <v>8.6763485477178417</v>
      </c>
      <c r="M52" s="10">
        <f>Data!AF682</f>
        <v>1.65</v>
      </c>
      <c r="N52" s="28">
        <f>IF(ISNUMBER(Data!AG682),Data!AG682/100,"n/a")</f>
        <v>0.19600000000000001</v>
      </c>
      <c r="O52" s="28">
        <f>IF(ISNUMBER(Data!AJ682),Data!AJ682/100,"n/a")</f>
        <v>0.44600000000000001</v>
      </c>
      <c r="P52" s="9">
        <f>IF(ISNUMBER(Data!AK682),Data!AK682/100,"n/a")</f>
        <v>-6.7000000000000004E-2</v>
      </c>
      <c r="Q52" s="8">
        <f>Data!AN682</f>
        <v>0</v>
      </c>
      <c r="R52" s="8">
        <f>Data!AP682</f>
        <v>10.932449836061483</v>
      </c>
      <c r="S52" s="8"/>
      <c r="T52" s="8"/>
      <c r="U52" s="8"/>
      <c r="V52" s="1">
        <f t="shared" si="0"/>
        <v>7</v>
      </c>
      <c r="W52" s="1">
        <f t="shared" si="1"/>
        <v>0</v>
      </c>
    </row>
    <row r="53" spans="1:23" hidden="1" x14ac:dyDescent="0.2">
      <c r="A53" s="7" t="str">
        <f>Data!A676</f>
        <v>Universal Corporation</v>
      </c>
      <c r="B53" s="7" t="str">
        <f>Data!B676</f>
        <v>UVV</v>
      </c>
      <c r="C53" s="7" t="str">
        <f>Data!C676</f>
        <v>Consumer Staples</v>
      </c>
      <c r="D53" s="8">
        <f>IF(ISNUMBER(Data!AL676),Data!AL676/1000,"n/a")</f>
        <v>1.2</v>
      </c>
      <c r="E53" s="1">
        <f>Data!E676</f>
        <v>52</v>
      </c>
      <c r="F53" s="28">
        <f>Data!J676/100</f>
        <v>6.2438253309622604E-2</v>
      </c>
      <c r="G53" s="28">
        <f>IF(ISNUMBER(Data!S676),Data!S676/100,"n/a")</f>
        <v>1.3071895424836555E-2</v>
      </c>
      <c r="H53" s="28">
        <f>IF(ISNUMBER(Data!T676),Data!T676/100,"n/a")</f>
        <v>6.0383062071096782E-2</v>
      </c>
      <c r="I53" s="28">
        <f>IF(ISNUMBER(Data!U676),Data!U676/100,"n/a")</f>
        <v>7.8959557987910545E-2</v>
      </c>
      <c r="J53" s="28">
        <f>IF(ISNUMBER(Data!V676),Data!V676/100,"n/a")</f>
        <v>4.9073813521243848E-2</v>
      </c>
      <c r="K53" s="9">
        <f>IF(ISNUMBER(Data!Z676),Data!Z676/100,"n/a")</f>
        <v>0.90544412607449853</v>
      </c>
      <c r="L53" s="10">
        <f>Data!AA676</f>
        <v>14.501432664756447</v>
      </c>
      <c r="M53" s="10">
        <f>Data!AF676</f>
        <v>0.94</v>
      </c>
      <c r="N53" s="28">
        <f>IF(ISNUMBER(Data!AG676),Data!AG676/100,"n/a")</f>
        <v>6.6000000000000003E-2</v>
      </c>
      <c r="O53" s="28">
        <f>IF(ISNUMBER(Data!AJ676),Data!AJ676/100,"n/a")</f>
        <v>0.316</v>
      </c>
      <c r="P53" s="9" t="str">
        <f>IF(ISNUMBER(Data!AK676),Data!AK676/100,"n/a")</f>
        <v>n/a</v>
      </c>
      <c r="Q53" s="8">
        <f>Data!AN676</f>
        <v>0.73</v>
      </c>
      <c r="R53" s="8">
        <f>Data!AP676</f>
        <v>14.139781129753315</v>
      </c>
      <c r="S53" s="8"/>
      <c r="T53" s="8"/>
      <c r="U53" s="8"/>
      <c r="V53" s="1">
        <f t="shared" si="0"/>
        <v>6</v>
      </c>
      <c r="W53" s="1">
        <f t="shared" si="1"/>
        <v>0</v>
      </c>
    </row>
    <row r="54" spans="1:23" hidden="1" x14ac:dyDescent="0.2">
      <c r="A54" s="7" t="str">
        <f>Data!A680</f>
        <v>VICI Properties Inc.</v>
      </c>
      <c r="B54" s="7" t="str">
        <f>Data!B680</f>
        <v>VICI</v>
      </c>
      <c r="C54" s="7" t="str">
        <f>Data!C680</f>
        <v>Real Estate</v>
      </c>
      <c r="D54" s="8">
        <f>IF(ISNUMBER(Data!AL680),Data!AL680/1000,"n/a")</f>
        <v>29.85</v>
      </c>
      <c r="E54" s="1">
        <f>Data!E680</f>
        <v>5</v>
      </c>
      <c r="F54" s="28">
        <f>Data!J680/100</f>
        <v>4.8719550281074324E-2</v>
      </c>
      <c r="G54" s="28">
        <f>IF(ISNUMBER(Data!S680),Data!S680/100,"n/a")</f>
        <v>0.10429447852760741</v>
      </c>
      <c r="H54" s="28">
        <f>IF(ISNUMBER(Data!T680),Data!T680/100,"n/a")</f>
        <v>0.23886829859756564</v>
      </c>
      <c r="I54" s="28" t="str">
        <f>IF(ISNUMBER(Data!U680),Data!U680/100,"n/a")</f>
        <v>n/a</v>
      </c>
      <c r="J54" s="28" t="str">
        <f>IF(ISNUMBER(Data!V680),Data!V680/100,"n/a")</f>
        <v>n/a</v>
      </c>
      <c r="K54" s="9">
        <f>IF(ISNUMBER(Data!Z680),Data!Z680/100,"n/a")</f>
        <v>1.5445544554455446</v>
      </c>
      <c r="L54" s="10">
        <f>Data!AA680</f>
        <v>31.702970297029704</v>
      </c>
      <c r="M54" s="10">
        <f>Data!AF680</f>
        <v>1.42</v>
      </c>
      <c r="N54" s="28">
        <f>IF(ISNUMBER(Data!AG680),Data!AG680/100,"n/a")</f>
        <v>4.4999999999999998E-2</v>
      </c>
      <c r="O54" s="28">
        <f>IF(ISNUMBER(Data!AJ680),Data!AJ680/100,"n/a")</f>
        <v>0.1087</v>
      </c>
      <c r="P54" s="9">
        <f>IF(ISNUMBER(Data!AK680),Data!AK680/100,"n/a")</f>
        <v>7.0999999999999994E-2</v>
      </c>
      <c r="Q54" s="8">
        <f>Data!AN680</f>
        <v>0.67</v>
      </c>
      <c r="R54" s="8" t="str">
        <f>Data!AP680</f>
        <v>n/a</v>
      </c>
      <c r="S54" s="8"/>
      <c r="T54" s="8"/>
      <c r="U54" s="8"/>
      <c r="V54" s="1">
        <f t="shared" si="0"/>
        <v>7</v>
      </c>
      <c r="W54" s="1">
        <f t="shared" si="1"/>
        <v>0</v>
      </c>
    </row>
    <row r="55" spans="1:23" hidden="1" x14ac:dyDescent="0.2">
      <c r="A55" s="7" t="str">
        <f>Data!A669</f>
        <v>Unum Group</v>
      </c>
      <c r="B55" s="7" t="str">
        <f>Data!B669</f>
        <v>UNM</v>
      </c>
      <c r="C55" s="7" t="str">
        <f>Data!C669</f>
        <v>Financials</v>
      </c>
      <c r="D55" s="8">
        <f>IF(ISNUMBER(Data!AL669),Data!AL669/1000,"n/a")</f>
        <v>8.9600000000000009</v>
      </c>
      <c r="E55" s="1">
        <f>Data!E669</f>
        <v>14</v>
      </c>
      <c r="F55" s="28">
        <f>Data!J669/100</f>
        <v>2.8953717920596624E-2</v>
      </c>
      <c r="G55" s="28">
        <f>IF(ISNUMBER(Data!S669),Data!S669/100,"n/a")</f>
        <v>2.6315789473684292E-2</v>
      </c>
      <c r="H55" s="28">
        <f>IF(ISNUMBER(Data!T669),Data!T669/100,"n/a")</f>
        <v>6.0848244434812182E-2</v>
      </c>
      <c r="I55" s="28">
        <f>IF(ISNUMBER(Data!U669),Data!U669/100,"n/a")</f>
        <v>8.7274061210073098E-2</v>
      </c>
      <c r="J55" s="28">
        <f>IF(ISNUMBER(Data!V669),Data!V669/100,"n/a")</f>
        <v>0.11470224709882659</v>
      </c>
      <c r="K55" s="9">
        <f>IF(ISNUMBER(Data!Z669),Data!Z669/100,"n/a")</f>
        <v>0.24175824175824176</v>
      </c>
      <c r="L55" s="10">
        <f>Data!AA669</f>
        <v>8.3498168498168504</v>
      </c>
      <c r="M55" s="10">
        <f>Data!AF669</f>
        <v>0.96</v>
      </c>
      <c r="N55" s="28">
        <f>IF(ISNUMBER(Data!AG669),Data!AG669/100,"n/a")</f>
        <v>0.10400000000000001</v>
      </c>
      <c r="O55" s="28">
        <f>IF(ISNUMBER(Data!AJ669),Data!AJ669/100,"n/a")</f>
        <v>4.0000000000000001E-3</v>
      </c>
      <c r="P55" s="9">
        <f>IF(ISNUMBER(Data!AK669),Data!AK669/100,"n/a")</f>
        <v>0.1489</v>
      </c>
      <c r="Q55" s="8">
        <f>Data!AN669</f>
        <v>0.35</v>
      </c>
      <c r="R55" s="8">
        <f>Data!AP669</f>
        <v>11.622777913066972</v>
      </c>
      <c r="S55" s="8"/>
      <c r="T55" s="8"/>
      <c r="U55" s="8"/>
      <c r="V55" s="1">
        <f t="shared" si="0"/>
        <v>10</v>
      </c>
      <c r="W55" s="1">
        <f t="shared" si="1"/>
        <v>0</v>
      </c>
    </row>
    <row r="56" spans="1:23" hidden="1" x14ac:dyDescent="0.2">
      <c r="A56" s="7" t="str">
        <f>Data!A668</f>
        <v>UnitedHealth Group Incorporated</v>
      </c>
      <c r="B56" s="7" t="str">
        <f>Data!B668</f>
        <v>UNH</v>
      </c>
      <c r="C56" s="7" t="str">
        <f>Data!C668</f>
        <v>Health Care</v>
      </c>
      <c r="D56" s="8">
        <f>IF(ISNUMBER(Data!AL668),Data!AL668/1000,"n/a")</f>
        <v>506.79</v>
      </c>
      <c r="E56" s="1">
        <f>Data!E668</f>
        <v>13</v>
      </c>
      <c r="F56" s="28">
        <f>Data!J668/100</f>
        <v>1.1888678735476898E-2</v>
      </c>
      <c r="G56" s="28">
        <f>IF(ISNUMBER(Data!S668),Data!S668/100,"n/a")</f>
        <v>0.15942028985507228</v>
      </c>
      <c r="H56" s="28">
        <f>IF(ISNUMBER(Data!T668),Data!T668/100,"n/a")</f>
        <v>0.17523029276290836</v>
      </c>
      <c r="I56" s="28">
        <f>IF(ISNUMBER(Data!U668),Data!U668/100,"n/a")</f>
        <v>0.18714804762633208</v>
      </c>
      <c r="J56" s="28">
        <f>IF(ISNUMBER(Data!V668),Data!V668/100,"n/a")</f>
        <v>0.24769430675239579</v>
      </c>
      <c r="K56" s="9">
        <f>IF(ISNUMBER(Data!Z668),Data!Z668/100,"n/a")</f>
        <v>0.32337089661930418</v>
      </c>
      <c r="L56" s="10">
        <f>Data!AA668</f>
        <v>27.199902008819205</v>
      </c>
      <c r="M56" s="10">
        <f>Data!AF668</f>
        <v>7.09</v>
      </c>
      <c r="N56" s="28">
        <f>IF(ISNUMBER(Data!AG668),Data!AG668/100,"n/a")</f>
        <v>0.24299999999999999</v>
      </c>
      <c r="O56" s="28">
        <f>IF(ISNUMBER(Data!AJ668),Data!AJ668/100,"n/a")</f>
        <v>0.20100000000000001</v>
      </c>
      <c r="P56" s="9">
        <f>IF(ISNUMBER(Data!AK668),Data!AK668/100,"n/a")</f>
        <v>0.14219999999999999</v>
      </c>
      <c r="Q56" s="8">
        <f>Data!AN668</f>
        <v>0.71</v>
      </c>
      <c r="R56" s="8">
        <f>Data!AP668</f>
        <v>19.903672636180897</v>
      </c>
      <c r="S56" s="8"/>
      <c r="T56" s="8"/>
      <c r="U56" s="8"/>
      <c r="V56" s="1">
        <f t="shared" si="0"/>
        <v>8</v>
      </c>
      <c r="W56" s="1">
        <f t="shared" si="1"/>
        <v>0</v>
      </c>
    </row>
    <row r="57" spans="1:23" hidden="1" x14ac:dyDescent="0.2">
      <c r="A57" s="7" t="str">
        <f>Data!A667</f>
        <v>Union Bankshares, Inc.</v>
      </c>
      <c r="B57" s="7" t="str">
        <f>Data!B667</f>
        <v>UNB</v>
      </c>
      <c r="C57" s="7" t="str">
        <f>Data!C667</f>
        <v>Financials</v>
      </c>
      <c r="D57" s="8">
        <f>IF(ISNUMBER(Data!AL667),Data!AL667/1000,"n/a")</f>
        <v>0.11663</v>
      </c>
      <c r="E57" s="1">
        <f>Data!E667</f>
        <v>10</v>
      </c>
      <c r="F57" s="28">
        <f>Data!J667/100</f>
        <v>5.6772100567721001E-2</v>
      </c>
      <c r="G57" s="28">
        <f>IF(ISNUMBER(Data!S667),Data!S667/100,"n/a")</f>
        <v>3.125E-2</v>
      </c>
      <c r="H57" s="28">
        <f>IF(ISNUMBER(Data!T667),Data!T667/100,"n/a")</f>
        <v>3.228011545636722E-2</v>
      </c>
      <c r="I57" s="28">
        <f>IF(ISNUMBER(Data!U667),Data!U667/100,"n/a")</f>
        <v>3.5261802757145189E-2</v>
      </c>
      <c r="J57" s="28">
        <f>IF(ISNUMBER(Data!V667),Data!V667/100,"n/a")</f>
        <v>2.8152162072626385E-2</v>
      </c>
      <c r="K57" s="9">
        <f>IF(ISNUMBER(Data!Z667),Data!Z667/100,"n/a")</f>
        <v>0.49645390070921985</v>
      </c>
      <c r="L57" s="10">
        <f>Data!AA667</f>
        <v>8.7446808510638299</v>
      </c>
      <c r="M57" s="10">
        <f>Data!AF667</f>
        <v>1.93</v>
      </c>
      <c r="N57" s="28">
        <f>IF(ISNUMBER(Data!AG667),Data!AG667/100,"n/a")</f>
        <v>0.17100000000000001</v>
      </c>
      <c r="O57" s="28">
        <f>IF(ISNUMBER(Data!AJ667),Data!AJ667/100,"n/a")</f>
        <v>8.900000000000001E-2</v>
      </c>
      <c r="P57" s="9" t="str">
        <f>IF(ISNUMBER(Data!AK667),Data!AK667/100,"n/a")</f>
        <v>n/a</v>
      </c>
      <c r="Q57" s="8">
        <f>Data!AN667</f>
        <v>0.27</v>
      </c>
      <c r="R57" s="8">
        <f>Data!AP667</f>
        <v>9.2033903324866202</v>
      </c>
      <c r="S57" s="8"/>
      <c r="T57" s="8"/>
      <c r="U57" s="8"/>
      <c r="V57" s="1">
        <f t="shared" si="0"/>
        <v>5</v>
      </c>
      <c r="W57" s="1">
        <f t="shared" si="1"/>
        <v>0</v>
      </c>
    </row>
    <row r="58" spans="1:23" hidden="1" x14ac:dyDescent="0.2">
      <c r="A58" s="7" t="str">
        <f>Data!A678</f>
        <v>Value Line, Inc.</v>
      </c>
      <c r="B58" s="7" t="str">
        <f>Data!B678</f>
        <v>VALU</v>
      </c>
      <c r="C58" s="7" t="str">
        <f>Data!C678</f>
        <v>Financials</v>
      </c>
      <c r="D58" s="8">
        <f>IF(ISNUMBER(Data!AL678),Data!AL678/1000,"n/a")</f>
        <v>0.59259000000000006</v>
      </c>
      <c r="E58" s="1">
        <f>Data!E678</f>
        <v>8</v>
      </c>
      <c r="F58" s="28">
        <f>Data!J678/100</f>
        <v>1.8656716417910446E-2</v>
      </c>
      <c r="G58" s="28">
        <f>IF(ISNUMBER(Data!S678),Data!S678/100,"n/a")</f>
        <v>4.8192771084337505E-2</v>
      </c>
      <c r="H58" s="28">
        <f>IF(ISNUMBER(Data!T678),Data!T678/100,"n/a")</f>
        <v>5.0717574498580165E-2</v>
      </c>
      <c r="I58" s="28">
        <f>IF(ISNUMBER(Data!U678),Data!U678/100,"n/a")</f>
        <v>5.3631849129711417E-2</v>
      </c>
      <c r="J58" s="28">
        <f>IF(ISNUMBER(Data!V678),Data!V678/100,"n/a")</f>
        <v>8.4234274879340099E-3</v>
      </c>
      <c r="K58" s="9">
        <f>IF(ISNUMBER(Data!Z678),Data!Z678/100,"n/a")</f>
        <v>0.42553191489361702</v>
      </c>
      <c r="L58" s="10">
        <f>Data!AA678</f>
        <v>22.808510638297872</v>
      </c>
      <c r="M58" s="10">
        <f>Data!AF678</f>
        <v>7.36</v>
      </c>
      <c r="N58" s="28">
        <f>IF(ISNUMBER(Data!AG678),Data!AG678/100,"n/a")</f>
        <v>0.28399999999999997</v>
      </c>
      <c r="O58" s="28">
        <f>IF(ISNUMBER(Data!AJ678),Data!AJ678/100,"n/a")</f>
        <v>0.185</v>
      </c>
      <c r="P58" s="9" t="str">
        <f>IF(ISNUMBER(Data!AK678),Data!AK678/100,"n/a")</f>
        <v>n/a</v>
      </c>
      <c r="Q58" s="8">
        <f>Data!AN678</f>
        <v>0</v>
      </c>
      <c r="R58" s="8">
        <f>Data!AP678</f>
        <v>7.2288565547621868</v>
      </c>
      <c r="S58" s="8"/>
      <c r="T58" s="8"/>
      <c r="U58" s="8"/>
      <c r="V58" s="1">
        <f t="shared" si="0"/>
        <v>5</v>
      </c>
      <c r="W58" s="1">
        <f t="shared" si="1"/>
        <v>0</v>
      </c>
    </row>
    <row r="59" spans="1:23" hidden="1" x14ac:dyDescent="0.2">
      <c r="A59" s="7" t="str">
        <f>Data!A675</f>
        <v>Utah Medical Products, Inc.</v>
      </c>
      <c r="B59" s="7" t="str">
        <f>Data!B675</f>
        <v>UTMD</v>
      </c>
      <c r="C59" s="7" t="str">
        <f>Data!C675</f>
        <v>Health Care</v>
      </c>
      <c r="D59" s="8">
        <f>IF(ISNUMBER(Data!AL675),Data!AL675/1000,"n/a")</f>
        <v>0.33706999999999998</v>
      </c>
      <c r="E59" s="1">
        <f>Data!E675</f>
        <v>19</v>
      </c>
      <c r="F59" s="28">
        <f>Data!J675/100</f>
        <v>1.2953657174762701E-2</v>
      </c>
      <c r="G59" s="28">
        <f>IF(ISNUMBER(Data!S675),Data!S675/100,"n/a")</f>
        <v>1.7857142857142572E-2</v>
      </c>
      <c r="H59" s="28">
        <f>IF(ISNUMBER(Data!T675),Data!T675/100,"n/a")</f>
        <v>1.8185790714934313E-2</v>
      </c>
      <c r="I59" s="28">
        <f>IF(ISNUMBER(Data!U675),Data!U675/100,"n/a")</f>
        <v>1.7554577175587616E-2</v>
      </c>
      <c r="J59" s="28">
        <f>IF(ISNUMBER(Data!V675),Data!V675/100,"n/a")</f>
        <v>1.8936933136435075E-2</v>
      </c>
      <c r="K59" s="9">
        <f>IF(ISNUMBER(Data!Z675),Data!Z675/100,"n/a")</f>
        <v>0.27751196172248804</v>
      </c>
      <c r="L59" s="10">
        <f>Data!AA675</f>
        <v>21.423444976076556</v>
      </c>
      <c r="M59" s="10">
        <f>Data!AF675</f>
        <v>3.07</v>
      </c>
      <c r="N59" s="28">
        <f>IF(ISNUMBER(Data!AG675),Data!AG675/100,"n/a")</f>
        <v>0.14099999999999999</v>
      </c>
      <c r="O59" s="28">
        <f>IF(ISNUMBER(Data!AJ675),Data!AJ675/100,"n/a")</f>
        <v>4.5999999999999999E-2</v>
      </c>
      <c r="P59" s="9" t="str">
        <f>IF(ISNUMBER(Data!AK675),Data!AK675/100,"n/a")</f>
        <v>n/a</v>
      </c>
      <c r="Q59" s="8">
        <f>Data!AN675</f>
        <v>0</v>
      </c>
      <c r="R59" s="8">
        <f>Data!AP675</f>
        <v>3.0508234350350314</v>
      </c>
      <c r="S59" s="8"/>
      <c r="T59" s="8"/>
      <c r="U59" s="8"/>
      <c r="V59" s="1">
        <f t="shared" si="0"/>
        <v>3</v>
      </c>
      <c r="W59" s="1">
        <f t="shared" si="1"/>
        <v>0</v>
      </c>
    </row>
    <row r="60" spans="1:23" hidden="1" x14ac:dyDescent="0.2">
      <c r="A60" s="7" t="str">
        <f>Data!A674</f>
        <v>Unitil Corporation</v>
      </c>
      <c r="B60" s="7" t="str">
        <f>Data!B674</f>
        <v>UTL</v>
      </c>
      <c r="C60" s="7" t="str">
        <f>Data!C674</f>
        <v>Utilities</v>
      </c>
      <c r="D60" s="8">
        <f>IF(ISNUMBER(Data!AL674),Data!AL674/1000,"n/a")</f>
        <v>0.83835000000000004</v>
      </c>
      <c r="E60" s="1">
        <f>Data!E674</f>
        <v>8</v>
      </c>
      <c r="F60" s="28">
        <f>Data!J674/100</f>
        <v>2.9595902105862267E-2</v>
      </c>
      <c r="G60" s="28">
        <f>IF(ISNUMBER(Data!S674),Data!S674/100,"n/a")</f>
        <v>1.3333333333333419E-2</v>
      </c>
      <c r="H60" s="28">
        <f>IF(ISNUMBER(Data!T674),Data!T674/100,"n/a")</f>
        <v>1.3515148022100965E-2</v>
      </c>
      <c r="I60" s="28">
        <f>IF(ISNUMBER(Data!U674),Data!U674/100,"n/a")</f>
        <v>1.3703739792310987E-2</v>
      </c>
      <c r="J60" s="28">
        <f>IF(ISNUMBER(Data!V674),Data!V674/100,"n/a")</f>
        <v>9.709518023075292E-3</v>
      </c>
      <c r="K60" s="9">
        <f>IF(ISNUMBER(Data!Z674),Data!Z674/100,"n/a")</f>
        <v>0.609375</v>
      </c>
      <c r="L60" s="10">
        <f>Data!AA674</f>
        <v>20.58984375</v>
      </c>
      <c r="M60" s="10">
        <f>Data!AF674</f>
        <v>1.84</v>
      </c>
      <c r="N60" s="28">
        <f>IF(ISNUMBER(Data!AG674),Data!AG674/100,"n/a")</f>
        <v>0.09</v>
      </c>
      <c r="O60" s="28">
        <f>IF(ISNUMBER(Data!AJ674),Data!AJ674/100,"n/a")</f>
        <v>3.9E-2</v>
      </c>
      <c r="P60" s="9">
        <f>IF(ISNUMBER(Data!AK674),Data!AK674/100,"n/a")</f>
        <v>7.0999999999999994E-2</v>
      </c>
      <c r="Q60" s="8">
        <f>Data!AN674</f>
        <v>1.18</v>
      </c>
      <c r="R60" s="8">
        <f>Data!AP674</f>
        <v>4.3299641898173249</v>
      </c>
      <c r="S60" s="8"/>
      <c r="T60" s="8"/>
      <c r="U60" s="8"/>
      <c r="V60" s="1">
        <f t="shared" si="0"/>
        <v>3</v>
      </c>
      <c r="W60" s="1">
        <f t="shared" si="1"/>
        <v>0</v>
      </c>
    </row>
    <row r="61" spans="1:23" hidden="1" x14ac:dyDescent="0.2">
      <c r="A61" s="7" t="str">
        <f>Data!A672</f>
        <v>United Parcel Service, Inc.</v>
      </c>
      <c r="B61" s="7" t="str">
        <f>Data!B672</f>
        <v>UPS</v>
      </c>
      <c r="C61" s="7" t="str">
        <f>Data!C672</f>
        <v>Industrials</v>
      </c>
      <c r="D61" s="8">
        <f>IF(ISNUMBER(Data!AL672),Data!AL672/1000,"n/a")</f>
        <v>144.62</v>
      </c>
      <c r="E61" s="1">
        <f>Data!E672</f>
        <v>13</v>
      </c>
      <c r="F61" s="28">
        <f>Data!J672/100</f>
        <v>3.6240090600226496E-2</v>
      </c>
      <c r="G61" s="28">
        <f>IF(ISNUMBER(Data!S672),Data!S672/100,"n/a")</f>
        <v>9.9009900990099098E-3</v>
      </c>
      <c r="H61" s="28">
        <f>IF(ISNUMBER(Data!T672),Data!T672/100,"n/a")</f>
        <v>3.8770465378783259E-2</v>
      </c>
      <c r="I61" s="28">
        <f>IF(ISNUMBER(Data!U672),Data!U672/100,"n/a")</f>
        <v>5.5118198683204556E-2</v>
      </c>
      <c r="J61" s="28">
        <f>IF(ISNUMBER(Data!V672),Data!V672/100,"n/a")</f>
        <v>6.9694302943088537E-2</v>
      </c>
      <c r="K61" s="9">
        <f>IF(ISNUMBER(Data!Z672),Data!Z672/100,"n/a")</f>
        <v>0.47611589663273302</v>
      </c>
      <c r="L61" s="10">
        <f>Data!AA672</f>
        <v>13.137823022709476</v>
      </c>
      <c r="M61" s="10">
        <f>Data!AF672</f>
        <v>8.9700000000000006</v>
      </c>
      <c r="N61" s="28">
        <f>IF(ISNUMBER(Data!AG672),Data!AG672/100,"n/a")</f>
        <v>0.74199999999999999</v>
      </c>
      <c r="O61" s="28">
        <f>IF(ISNUMBER(Data!AJ672),Data!AJ672/100,"n/a")</f>
        <v>0.30599999999999999</v>
      </c>
      <c r="P61" s="9">
        <f>IF(ISNUMBER(Data!AK672),Data!AK672/100,"n/a")</f>
        <v>4.9599999999999998E-2</v>
      </c>
      <c r="Q61" s="8">
        <f>Data!AN672</f>
        <v>1.26</v>
      </c>
      <c r="R61" s="8">
        <f>Data!AP672</f>
        <v>9.1358289283431056</v>
      </c>
      <c r="S61" s="8"/>
      <c r="T61" s="8"/>
      <c r="U61" s="8"/>
      <c r="V61" s="1">
        <f t="shared" si="0"/>
        <v>8</v>
      </c>
      <c r="W61" s="1">
        <f t="shared" si="1"/>
        <v>0</v>
      </c>
    </row>
    <row r="62" spans="1:23" hidden="1" x14ac:dyDescent="0.2">
      <c r="A62" s="7" t="str">
        <f>Data!A671</f>
        <v>Unity Bancorp, Inc.</v>
      </c>
      <c r="B62" s="7" t="str">
        <f>Data!B671</f>
        <v>UNTY</v>
      </c>
      <c r="C62" s="7" t="str">
        <f>Data!C671</f>
        <v>Financials</v>
      </c>
      <c r="D62" s="8">
        <f>IF(ISNUMBER(Data!AL671),Data!AL671/1000,"n/a")</f>
        <v>0.29504000000000002</v>
      </c>
      <c r="E62" s="1">
        <f>Data!E671</f>
        <v>10</v>
      </c>
      <c r="F62" s="28">
        <f>Data!J671/100</f>
        <v>1.5352407536636425E-2</v>
      </c>
      <c r="G62" s="28">
        <f>IF(ISNUMBER(Data!S671),Data!S671/100,"n/a")</f>
        <v>0.125</v>
      </c>
      <c r="H62" s="28">
        <f>IF(ISNUMBER(Data!T671),Data!T671/100,"n/a")</f>
        <v>0.10064241629820891</v>
      </c>
      <c r="I62" s="28">
        <f>IF(ISNUMBER(Data!U671),Data!U671/100,"n/a")</f>
        <v>0.1486983549970351</v>
      </c>
      <c r="J62" s="28" t="str">
        <f>IF(ISNUMBER(Data!V671),Data!V671/100,"n/a")</f>
        <v>n/a</v>
      </c>
      <c r="K62" s="9">
        <f>IF(ISNUMBER(Data!Z671),Data!Z671/100,"n/a")</f>
        <v>0.12256267409470753</v>
      </c>
      <c r="L62" s="10">
        <f>Data!AA671</f>
        <v>7.9832869080779947</v>
      </c>
      <c r="M62" s="10">
        <f>Data!AF671</f>
        <v>1.34</v>
      </c>
      <c r="N62" s="28">
        <f>IF(ISNUMBER(Data!AG671),Data!AG671/100,"n/a")</f>
        <v>0.17499999999999999</v>
      </c>
      <c r="O62" s="28">
        <f>IF(ISNUMBER(Data!AJ671),Data!AJ671/100,"n/a")</f>
        <v>0.19900000000000001</v>
      </c>
      <c r="P62" s="9" t="str">
        <f>IF(ISNUMBER(Data!AK671),Data!AK671/100,"n/a")</f>
        <v>n/a</v>
      </c>
      <c r="Q62" s="8">
        <f>Data!AN671</f>
        <v>0.05</v>
      </c>
      <c r="R62" s="8">
        <f>Data!AP671</f>
        <v>16.405076253367152</v>
      </c>
      <c r="S62" s="8"/>
      <c r="T62" s="8"/>
      <c r="U62" s="8"/>
      <c r="V62" s="1">
        <f t="shared" si="0"/>
        <v>7</v>
      </c>
      <c r="W62" s="1">
        <f t="shared" si="1"/>
        <v>0</v>
      </c>
    </row>
    <row r="63" spans="1:23" hidden="1" x14ac:dyDescent="0.2">
      <c r="A63" s="7" t="str">
        <f>Data!A670</f>
        <v>Union Pacific Corporation</v>
      </c>
      <c r="B63" s="7" t="str">
        <f>Data!B670</f>
        <v>UNP</v>
      </c>
      <c r="C63" s="7" t="str">
        <f>Data!C670</f>
        <v>Industrials</v>
      </c>
      <c r="D63" s="8">
        <f>IF(ISNUMBER(Data!AL670),Data!AL670/1000,"n/a")</f>
        <v>120.52</v>
      </c>
      <c r="E63" s="1">
        <f>Data!E670</f>
        <v>16</v>
      </c>
      <c r="F63" s="28">
        <f>Data!J670/100</f>
        <v>2.6377193872374964E-2</v>
      </c>
      <c r="G63" s="28">
        <f>IF(ISNUMBER(Data!S670),Data!S670/100,"n/a")</f>
        <v>0.10567010309278357</v>
      </c>
      <c r="H63" s="28">
        <f>IF(ISNUMBER(Data!T670),Data!T670/100,"n/a")</f>
        <v>0.11921096219546069</v>
      </c>
      <c r="I63" s="28">
        <f>IF(ISNUMBER(Data!U670),Data!U670/100,"n/a")</f>
        <v>0.13726624519672392</v>
      </c>
      <c r="J63" s="28">
        <f>IF(ISNUMBER(Data!V670),Data!V670/100,"n/a")</f>
        <v>0.16089515290023315</v>
      </c>
      <c r="K63" s="9">
        <f>IF(ISNUMBER(Data!Z670),Data!Z670/100,"n/a")</f>
        <v>0.46387154326494195</v>
      </c>
      <c r="L63" s="10">
        <f>Data!AA670</f>
        <v>17.58608385370205</v>
      </c>
      <c r="M63" s="10">
        <f>Data!AF670</f>
        <v>10.49</v>
      </c>
      <c r="N63" s="28">
        <f>IF(ISNUMBER(Data!AG670),Data!AG670/100,"n/a")</f>
        <v>0.56000000000000005</v>
      </c>
      <c r="O63" s="28">
        <f>IF(ISNUMBER(Data!AJ670),Data!AJ670/100,"n/a")</f>
        <v>0.14499999999999999</v>
      </c>
      <c r="P63" s="9">
        <f>IF(ISNUMBER(Data!AK670),Data!AK670/100,"n/a")</f>
        <v>0.10949999999999999</v>
      </c>
      <c r="Q63" s="8">
        <f>Data!AN670</f>
        <v>2.85</v>
      </c>
      <c r="R63" s="8">
        <f>Data!AP670</f>
        <v>16.364343906909887</v>
      </c>
      <c r="S63" s="8"/>
      <c r="T63" s="8"/>
      <c r="U63" s="8"/>
      <c r="V63" s="1">
        <f t="shared" si="0"/>
        <v>10</v>
      </c>
      <c r="W63" s="1">
        <f t="shared" si="1"/>
        <v>0</v>
      </c>
    </row>
    <row r="64" spans="1:23" hidden="1" x14ac:dyDescent="0.2">
      <c r="A64" s="7" t="str">
        <f>Data!A681</f>
        <v>Vulcan Materials Company</v>
      </c>
      <c r="B64" s="7" t="str">
        <f>Data!B681</f>
        <v>VMC</v>
      </c>
      <c r="C64" s="7" t="str">
        <f>Data!C681</f>
        <v>Materials</v>
      </c>
      <c r="D64" s="8">
        <f>IF(ISNUMBER(Data!AL681),Data!AL681/1000,"n/a")</f>
        <v>21.54</v>
      </c>
      <c r="E64" s="1">
        <f>Data!E681</f>
        <v>9</v>
      </c>
      <c r="F64" s="28">
        <f>Data!J681/100</f>
        <v>9.7739767868051334E-3</v>
      </c>
      <c r="G64" s="28">
        <f>IF(ISNUMBER(Data!S681),Data!S681/100,"n/a")</f>
        <v>8.8235294117646954E-2</v>
      </c>
      <c r="H64" s="28">
        <f>IF(ISNUMBER(Data!T681),Data!T681/100,"n/a")</f>
        <v>9.7356897001335665E-2</v>
      </c>
      <c r="I64" s="28">
        <f>IF(ISNUMBER(Data!U681),Data!U681/100,"n/a")</f>
        <v>0.1309264089979596</v>
      </c>
      <c r="J64" s="28">
        <f>IF(ISNUMBER(Data!V681),Data!V681/100,"n/a")</f>
        <v>6.8919038400907962E-2</v>
      </c>
      <c r="K64" s="9">
        <f>IF(ISNUMBER(Data!Z681),Data!Z681/100,"n/a")</f>
        <v>0.35010940919037198</v>
      </c>
      <c r="L64" s="10">
        <f>Data!AA681</f>
        <v>35.820568927789928</v>
      </c>
      <c r="M64" s="10">
        <f>Data!AF681</f>
        <v>3.28</v>
      </c>
      <c r="N64" s="28">
        <f>IF(ISNUMBER(Data!AG681),Data!AG681/100,"n/a")</f>
        <v>0.09</v>
      </c>
      <c r="O64" s="28">
        <f>IF(ISNUMBER(Data!AJ681),Data!AJ681/100,"n/a")</f>
        <v>0.10199999999999999</v>
      </c>
      <c r="P64" s="9">
        <f>IF(ISNUMBER(Data!AK681),Data!AK681/100,"n/a")</f>
        <v>0.1595</v>
      </c>
      <c r="Q64" s="8">
        <f>Data!AN681</f>
        <v>0.61</v>
      </c>
      <c r="R64" s="8">
        <f>Data!AP681</f>
        <v>14.070038578476472</v>
      </c>
      <c r="S64" s="8"/>
      <c r="T64" s="8"/>
      <c r="U64" s="8"/>
      <c r="V64" s="1">
        <f t="shared" si="0"/>
        <v>9</v>
      </c>
      <c r="W64" s="1">
        <f t="shared" si="1"/>
        <v>0</v>
      </c>
    </row>
    <row r="65" spans="1:23" hidden="1" x14ac:dyDescent="0.2">
      <c r="A65" s="7" t="str">
        <f>Data!A660</f>
        <v>United Bankshares Inc.</v>
      </c>
      <c r="B65" s="7" t="str">
        <f>Data!B660</f>
        <v>UBSI</v>
      </c>
      <c r="C65" s="7" t="str">
        <f>Data!C660</f>
        <v>Financials</v>
      </c>
      <c r="D65" s="8">
        <f>IF(ISNUMBER(Data!AL660),Data!AL660/1000,"n/a")</f>
        <v>5.45</v>
      </c>
      <c r="E65" s="1">
        <f>Data!E660</f>
        <v>47</v>
      </c>
      <c r="F65" s="28">
        <f>Data!J660/100</f>
        <v>3.4002361275088544E-2</v>
      </c>
      <c r="G65" s="28">
        <f>IF(ISNUMBER(Data!S660),Data!S660/100,"n/a")</f>
        <v>0</v>
      </c>
      <c r="H65" s="28">
        <f>IF(ISNUMBER(Data!T660),Data!T660/100,"n/a")</f>
        <v>9.7093450822418603E-3</v>
      </c>
      <c r="I65" s="28">
        <f>IF(ISNUMBER(Data!U660),Data!U660/100,"n/a")</f>
        <v>1.1837616518241667E-2</v>
      </c>
      <c r="J65" s="28">
        <f>IF(ISNUMBER(Data!V660),Data!V660/100,"n/a")</f>
        <v>1.5534493002352434E-2</v>
      </c>
      <c r="K65" s="9">
        <f>IF(ISNUMBER(Data!Z660),Data!Z660/100,"n/a")</f>
        <v>0.55813953488372092</v>
      </c>
      <c r="L65" s="10">
        <f>Data!AA660</f>
        <v>16.414728682170544</v>
      </c>
      <c r="M65" s="10">
        <f>Data!AF660</f>
        <v>1.26</v>
      </c>
      <c r="N65" s="28">
        <f>IF(ISNUMBER(Data!AG660),Data!AG660/100,"n/a")</f>
        <v>7.4999999999999997E-2</v>
      </c>
      <c r="O65" s="28">
        <f>IF(ISNUMBER(Data!AJ660),Data!AJ660/100,"n/a")</f>
        <v>7.3999999999999996E-2</v>
      </c>
      <c r="P65" s="9">
        <f>IF(ISNUMBER(Data!AK660),Data!AK660/100,"n/a")</f>
        <v>0.08</v>
      </c>
      <c r="Q65" s="8">
        <f>Data!AN660</f>
        <v>0.06</v>
      </c>
      <c r="R65" s="8">
        <f>Data!AP660</f>
        <v>4.5839977793330213</v>
      </c>
      <c r="S65" s="8"/>
      <c r="T65" s="8"/>
      <c r="U65" s="8"/>
      <c r="V65" s="1">
        <f t="shared" si="0"/>
        <v>8</v>
      </c>
      <c r="W65" s="1">
        <f t="shared" si="1"/>
        <v>0</v>
      </c>
    </row>
    <row r="66" spans="1:23" hidden="1" x14ac:dyDescent="0.2">
      <c r="A66" s="7" t="str">
        <f>Data!A662</f>
        <v>UDR, Inc.</v>
      </c>
      <c r="B66" s="7" t="str">
        <f>Data!B662</f>
        <v>UDR</v>
      </c>
      <c r="C66" s="7" t="str">
        <f>Data!C662</f>
        <v>Real Estate</v>
      </c>
      <c r="D66" s="8">
        <f>IF(ISNUMBER(Data!AL662),Data!AL662/1000,"n/a")</f>
        <v>12.82</v>
      </c>
      <c r="E66" s="1">
        <f>Data!E662</f>
        <v>12</v>
      </c>
      <c r="F66" s="28">
        <f>Data!J662/100</f>
        <v>3.8229376257545272E-2</v>
      </c>
      <c r="G66" s="28">
        <f>IF(ISNUMBER(Data!S662),Data!S662/100,"n/a")</f>
        <v>1.7574692442882123E-2</v>
      </c>
      <c r="H66" s="28">
        <f>IF(ISNUMBER(Data!T662),Data!T662/100,"n/a")</f>
        <v>4.2523582762382217E-2</v>
      </c>
      <c r="I66" s="28">
        <f>IF(ISNUMBER(Data!U662),Data!U662/100,"n/a")</f>
        <v>4.482876881476705E-2</v>
      </c>
      <c r="J66" s="28">
        <f>IF(ISNUMBER(Data!V662),Data!V662/100,"n/a")</f>
        <v>6.5154937137062108E-2</v>
      </c>
      <c r="K66" s="9">
        <f>IF(ISNUMBER(Data!Z662),Data!Z662/100,"n/a")</f>
        <v>3.1020408163265305</v>
      </c>
      <c r="L66" s="10">
        <f>Data!AA662</f>
        <v>81.142857142857139</v>
      </c>
      <c r="M66" s="10">
        <f>Data!AF662</f>
        <v>3.29</v>
      </c>
      <c r="N66" s="28">
        <f>IF(ISNUMBER(Data!AG662),Data!AG662/100,"n/a")</f>
        <v>4.2999999999999997E-2</v>
      </c>
      <c r="O66" s="28">
        <f>IF(ISNUMBER(Data!AJ662),Data!AJ662/100,"n/a")</f>
        <v>0.106</v>
      </c>
      <c r="P66" s="9" t="str">
        <f>IF(ISNUMBER(Data!AK662),Data!AK662/100,"n/a")</f>
        <v>n/a</v>
      </c>
      <c r="Q66" s="8">
        <f>Data!AN662</f>
        <v>1.44</v>
      </c>
      <c r="R66" s="8">
        <f>Data!AP662</f>
        <v>8.3058145072312328</v>
      </c>
      <c r="S66" s="8"/>
      <c r="T66" s="8"/>
      <c r="U66" s="8"/>
      <c r="V66" s="1">
        <f t="shared" si="0"/>
        <v>4</v>
      </c>
      <c r="W66" s="1">
        <f t="shared" si="1"/>
        <v>0</v>
      </c>
    </row>
    <row r="67" spans="1:23" hidden="1" x14ac:dyDescent="0.2">
      <c r="A67" s="7" t="str">
        <f>Data!A656</f>
        <v>Texas Instruments Incorporated</v>
      </c>
      <c r="B67" s="7" t="str">
        <f>Data!B656</f>
        <v>TXN</v>
      </c>
      <c r="C67" s="7" t="str">
        <f>Data!C656</f>
        <v>Information Technology</v>
      </c>
      <c r="D67" s="8">
        <f>IF(ISNUMBER(Data!AL656),Data!AL656/1000,"n/a")</f>
        <v>142.27000000000001</v>
      </c>
      <c r="E67" s="1">
        <f>Data!E656</f>
        <v>19</v>
      </c>
      <c r="F67" s="28">
        <f>Data!J656/100</f>
        <v>3.0878416236070474E-2</v>
      </c>
      <c r="G67" s="28">
        <f>IF(ISNUMBER(Data!S656),Data!S656/100,"n/a")</f>
        <v>0.13172043010752676</v>
      </c>
      <c r="H67" s="28">
        <f>IF(ISNUMBER(Data!T656),Data!T656/100,"n/a")</f>
        <v>0.16979236490574645</v>
      </c>
      <c r="I67" s="28">
        <f>IF(ISNUMBER(Data!U656),Data!U656/100,"n/a")</f>
        <v>0.20750141836299085</v>
      </c>
      <c r="J67" s="28">
        <f>IF(ISNUMBER(Data!V656),Data!V656/100,"n/a")</f>
        <v>0.22351530656296822</v>
      </c>
      <c r="K67" s="9">
        <f>IF(ISNUMBER(Data!Z656),Data!Z656/100,"n/a")</f>
        <v>0.519371727748691</v>
      </c>
      <c r="L67" s="10">
        <f>Data!AA656</f>
        <v>16.819895287958115</v>
      </c>
      <c r="M67" s="10">
        <f>Data!AF656</f>
        <v>10.15</v>
      </c>
      <c r="N67" s="28">
        <f>IF(ISNUMBER(Data!AG656),Data!AG656/100,"n/a")</f>
        <v>0.63500000000000001</v>
      </c>
      <c r="O67" s="28">
        <f>IF(ISNUMBER(Data!AJ656),Data!AJ656/100,"n/a")</f>
        <v>0.18899999999999997</v>
      </c>
      <c r="P67" s="9">
        <f>IF(ISNUMBER(Data!AK656),Data!AK656/100,"n/a")</f>
        <v>0.1</v>
      </c>
      <c r="Q67" s="8">
        <f>Data!AN656</f>
        <v>0.55000000000000004</v>
      </c>
      <c r="R67" s="8">
        <f>Data!AP656</f>
        <v>23.837983459906134</v>
      </c>
      <c r="S67" s="8"/>
      <c r="T67" s="8"/>
      <c r="U67" s="8"/>
      <c r="V67" s="1">
        <f t="shared" si="0"/>
        <v>11</v>
      </c>
      <c r="W67" s="1">
        <f t="shared" si="1"/>
        <v>0</v>
      </c>
    </row>
    <row r="68" spans="1:23" hidden="1" x14ac:dyDescent="0.2">
      <c r="A68" s="7" t="str">
        <f>Data!A638</f>
        <v>Tompkins Financial Corporation</v>
      </c>
      <c r="B68" s="7" t="str">
        <f>Data!B638</f>
        <v>TMP</v>
      </c>
      <c r="C68" s="7" t="str">
        <f>Data!C638</f>
        <v>Financials</v>
      </c>
      <c r="D68" s="8">
        <f>IF(ISNUMBER(Data!AL638),Data!AL638/1000,"n/a")</f>
        <v>1.17</v>
      </c>
      <c r="E68" s="1">
        <f>Data!E638</f>
        <v>36</v>
      </c>
      <c r="F68" s="28">
        <f>Data!J638/100</f>
        <v>2.897151134717528E-2</v>
      </c>
      <c r="G68" s="28">
        <f>IF(ISNUMBER(Data!S638),Data!S638/100,"n/a")</f>
        <v>4.2857142857142705E-2</v>
      </c>
      <c r="H68" s="28">
        <f>IF(ISNUMBER(Data!T638),Data!T638/100,"n/a")</f>
        <v>4.1231891867710369E-2</v>
      </c>
      <c r="I68" s="28">
        <f>IF(ISNUMBER(Data!U638),Data!U638/100,"n/a")</f>
        <v>4.3504123829797958E-2</v>
      </c>
      <c r="J68" s="28">
        <f>IF(ISNUMBER(Data!V638),Data!V638/100,"n/a")</f>
        <v>4.5758992840875479E-2</v>
      </c>
      <c r="K68" s="9">
        <f>IF(ISNUMBER(Data!Z638),Data!Z638/100,"n/a")</f>
        <v>0.41166380789022289</v>
      </c>
      <c r="L68" s="10">
        <f>Data!AA638</f>
        <v>14.20926243567753</v>
      </c>
      <c r="M68" s="10">
        <f>Data!AF638</f>
        <v>1.91</v>
      </c>
      <c r="N68" s="28">
        <f>IF(ISNUMBER(Data!AG638),Data!AG638/100,"n/a")</f>
        <v>0.127</v>
      </c>
      <c r="O68" s="28">
        <f>IF(ISNUMBER(Data!AJ638),Data!AJ638/100,"n/a")</f>
        <v>9.0999999999999998E-2</v>
      </c>
      <c r="P68" s="9">
        <f>IF(ISNUMBER(Data!AK638),Data!AK638/100,"n/a")</f>
        <v>0.08</v>
      </c>
      <c r="Q68" s="8">
        <f>Data!AN638</f>
        <v>0</v>
      </c>
      <c r="R68" s="8">
        <f>Data!AP638</f>
        <v>7.2475635176973237</v>
      </c>
      <c r="S68" s="8"/>
      <c r="T68" s="8"/>
      <c r="U68" s="8"/>
      <c r="V68" s="1">
        <f t="shared" si="0"/>
        <v>7</v>
      </c>
      <c r="W68" s="1">
        <f t="shared" si="1"/>
        <v>0</v>
      </c>
    </row>
    <row r="69" spans="1:23" hidden="1" x14ac:dyDescent="0.2">
      <c r="A69" s="7" t="str">
        <f>Data!A50</f>
        <v>Amphenol Corporation</v>
      </c>
      <c r="B69" s="7" t="str">
        <f>Data!B50</f>
        <v>APH</v>
      </c>
      <c r="C69" s="7" t="str">
        <f>Data!C50</f>
        <v>Information Technology</v>
      </c>
      <c r="D69" s="8">
        <f>IF(ISNUMBER(Data!AL50),Data!AL50/1000,"n/a")</f>
        <v>43.95</v>
      </c>
      <c r="E69" s="1">
        <f>Data!E50</f>
        <v>11</v>
      </c>
      <c r="F69" s="28">
        <f>Data!J50/100</f>
        <v>1.107740999604378E-2</v>
      </c>
      <c r="G69" s="28">
        <f>IF(ISNUMBER(Data!S50),Data!S50/100,"n/a")</f>
        <v>0.15999999999999992</v>
      </c>
      <c r="H69" s="28">
        <f>IF(ISNUMBER(Data!T50),Data!T50/100,"n/a")</f>
        <v>0.11359233863244601</v>
      </c>
      <c r="I69" s="28">
        <f>IF(ISNUMBER(Data!U50),Data!U50/100,"n/a")</f>
        <v>0.15678857972406712</v>
      </c>
      <c r="J69" s="28">
        <f>IF(ISNUMBER(Data!V50),Data!V50/100,"n/a")</f>
        <v>0.44123126047436156</v>
      </c>
      <c r="K69" s="9">
        <f>IF(ISNUMBER(Data!Z50),Data!Z50/100,"n/a")</f>
        <v>0.28282828282828282</v>
      </c>
      <c r="L69" s="10">
        <f>Data!AA50</f>
        <v>25.531986531986529</v>
      </c>
      <c r="M69" s="10">
        <f>Data!AF50</f>
        <v>7.05</v>
      </c>
      <c r="N69" s="28">
        <f>IF(ISNUMBER(Data!AG50),Data!AG50/100,"n/a")</f>
        <v>0.26800000000000002</v>
      </c>
      <c r="O69" s="28">
        <f>IF(ISNUMBER(Data!AJ50),Data!AJ50/100,"n/a")</f>
        <v>0.14000000000000001</v>
      </c>
      <c r="P69" s="9">
        <f>IF(ISNUMBER(Data!AK50),Data!AK50/100,"n/a")</f>
        <v>0.10800000000000001</v>
      </c>
      <c r="Q69" s="8">
        <f>Data!AN50</f>
        <v>0.75</v>
      </c>
      <c r="R69" s="8">
        <f>Data!AP50</f>
        <v>16.786598972011092</v>
      </c>
      <c r="S69" s="8"/>
      <c r="T69" s="8"/>
      <c r="U69" s="8"/>
      <c r="V69" s="1">
        <f t="shared" ref="V69:V132" si="2">IF($D$4="+",IF(D69="n/a",0,IF(D69&gt;=$D$5,1,0)),0)+IF($E$4="+",IF(E69="n/a",0,IF(E69&gt;=$E$5,1,0)),0)+IF($F$4="+",IF(F69="n/a",0,IF(F69&gt;=$F$5,1,0)),0)+IF($G$4="+",IF(G69="n/a",0,IF(G69&gt;=$G$5,1,0)),0)+IF($H$4="+",IF(H69="n/a",0,IF(H69&gt;=$H$5,1,0)),0)+IF($I$4="+",IF(I69="n/a",0,IF(I69&gt;=$I$5,1,0)),0)+IF($J$4="+",IF(J69="n/a",0,IF(J69&gt;=$J$5,1,0)),0)+IF($K$4="+",IF(K69="n/a",0,IF(K69&lt;=$K$5,1,0)),0)+IF($L$4="+",IF(L69="n/a",0,IF(L69&lt;=$L$5,1,0)),0)+IF($M$4="+",IF(M69="n/a",0,IF(M69&lt;=$M$5,1,0)),0)+IF($N$4="+",IF(N69="n/a",0,IF(N69&gt;=$N$5,1,0)),0)+IF($O$4="+",IF(O69="n/a",0,IF(O69&gt;=$O$5,1,0)),0)+IF($P$4="+",IF(P69="n/a",0,IF(P69&gt;=$P$5,1,0)),0)+IF($Q$4="+",IF(Q69="n/a",0,IF(Q69&lt;=$Q$5,1,0)),0)+IF($R$4="+",IF(R69="n/a",0,IF(R69&gt;=$R$5,1,0)),0)+$Y$4</f>
        <v>8</v>
      </c>
      <c r="W69" s="1">
        <f t="shared" ref="W69:W132" si="3">IF(V69&gt;=$V$2,"",0)</f>
        <v>0</v>
      </c>
    </row>
    <row r="70" spans="1:23" hidden="1" x14ac:dyDescent="0.2">
      <c r="A70" s="7" t="str">
        <f>Data!A652</f>
        <v>Tyson Foods, Inc.</v>
      </c>
      <c r="B70" s="7" t="str">
        <f>Data!B652</f>
        <v>TSN</v>
      </c>
      <c r="C70" s="7" t="str">
        <f>Data!C652</f>
        <v>Consumer Staples</v>
      </c>
      <c r="D70" s="8">
        <f>IF(ISNUMBER(Data!AL652),Data!AL652/1000,"n/a")</f>
        <v>24.24</v>
      </c>
      <c r="E70" s="1">
        <f>Data!E652</f>
        <v>10</v>
      </c>
      <c r="F70" s="28">
        <f>Data!J652/100</f>
        <v>2.6920263350402346E-2</v>
      </c>
      <c r="G70" s="28">
        <f>IF(ISNUMBER(Data!S652),Data!S652/100,"n/a")</f>
        <v>5.2785923753665642E-2</v>
      </c>
      <c r="H70" s="28">
        <f>IF(ISNUMBER(Data!T652),Data!T652/100,"n/a")</f>
        <v>0.12077410802873523</v>
      </c>
      <c r="I70" s="28">
        <f>IF(ISNUMBER(Data!U652),Data!U652/100,"n/a")</f>
        <v>0.24503809661745724</v>
      </c>
      <c r="J70" s="28">
        <f>IF(ISNUMBER(Data!V652),Data!V652/100,"n/a")</f>
        <v>0.27348679786137309</v>
      </c>
      <c r="K70" s="9">
        <f>IF(ISNUMBER(Data!Z652),Data!Z652/100,"n/a")</f>
        <v>0.1650224215246637</v>
      </c>
      <c r="L70" s="10">
        <f>Data!AA652</f>
        <v>6.1300448430493271</v>
      </c>
      <c r="M70" s="10">
        <f>Data!AF652</f>
        <v>1.27</v>
      </c>
      <c r="N70" s="28">
        <f>IF(ISNUMBER(Data!AG652),Data!AG652/100,"n/a")</f>
        <v>0.218</v>
      </c>
      <c r="O70" s="28">
        <f>IF(ISNUMBER(Data!AJ652),Data!AJ652/100,"n/a")</f>
        <v>0.13</v>
      </c>
      <c r="P70" s="9">
        <f>IF(ISNUMBER(Data!AK652),Data!AK652/100,"n/a")</f>
        <v>7.4999999999999997E-2</v>
      </c>
      <c r="Q70" s="8">
        <f>Data!AN652</f>
        <v>0.43</v>
      </c>
      <c r="R70" s="8">
        <f>Data!AP652</f>
        <v>27.195835996785959</v>
      </c>
      <c r="S70" s="8"/>
      <c r="T70" s="8"/>
      <c r="U70" s="8"/>
      <c r="V70" s="1">
        <f t="shared" si="2"/>
        <v>11</v>
      </c>
      <c r="W70" s="1">
        <f t="shared" si="3"/>
        <v>0</v>
      </c>
    </row>
    <row r="71" spans="1:23" hidden="1" x14ac:dyDescent="0.2">
      <c r="A71" s="7" t="str">
        <f>Data!A665</f>
        <v>Universal Health Realty Income Trust</v>
      </c>
      <c r="B71" s="7" t="str">
        <f>Data!B665</f>
        <v>UHT</v>
      </c>
      <c r="C71" s="7" t="str">
        <f>Data!C665</f>
        <v>Real Estate</v>
      </c>
      <c r="D71" s="8">
        <f>IF(ISNUMBER(Data!AL665),Data!AL665/1000,"n/a")</f>
        <v>0.66325000000000001</v>
      </c>
      <c r="E71" s="1">
        <f>Data!E665</f>
        <v>37</v>
      </c>
      <c r="F71" s="28">
        <f>Data!J665/100</f>
        <v>5.8352167659749335E-2</v>
      </c>
      <c r="G71" s="28">
        <f>IF(ISNUMBER(Data!S665),Data!S665/100,"n/a")</f>
        <v>1.449275362318847E-2</v>
      </c>
      <c r="H71" s="28">
        <f>IF(ISNUMBER(Data!T665),Data!T665/100,"n/a")</f>
        <v>1.470798766517678E-2</v>
      </c>
      <c r="I71" s="28">
        <f>IF(ISNUMBER(Data!U665),Data!U665/100,"n/a")</f>
        <v>1.3958888009833581E-2</v>
      </c>
      <c r="J71" s="28">
        <f>IF(ISNUMBER(Data!V665),Data!V665/100,"n/a")</f>
        <v>1.4482661324040746E-2</v>
      </c>
      <c r="K71" s="9">
        <f>IF(ISNUMBER(Data!Z665),Data!Z665/100,"n/a")</f>
        <v>0.36550836550836552</v>
      </c>
      <c r="L71" s="10">
        <f>Data!AA665</f>
        <v>6.2638352638352641</v>
      </c>
      <c r="M71" s="10">
        <f>Data!AF665</f>
        <v>2.85</v>
      </c>
      <c r="N71" s="28">
        <f>IF(ISNUMBER(Data!AG665),Data!AG665/100,"n/a")</f>
        <v>0.50800000000000001</v>
      </c>
      <c r="O71" s="28">
        <f>IF(ISNUMBER(Data!AJ665),Data!AJ665/100,"n/a")</f>
        <v>0.44</v>
      </c>
      <c r="P71" s="9" t="str">
        <f>IF(ISNUMBER(Data!AK665),Data!AK665/100,"n/a")</f>
        <v>n/a</v>
      </c>
      <c r="Q71" s="8">
        <f>Data!AN665</f>
        <v>1.43</v>
      </c>
      <c r="R71" s="8">
        <f>Data!AP665</f>
        <v>7.2311055669582913</v>
      </c>
      <c r="S71" s="8"/>
      <c r="T71" s="8"/>
      <c r="U71" s="8"/>
      <c r="V71" s="1">
        <f t="shared" si="2"/>
        <v>5</v>
      </c>
      <c r="W71" s="1">
        <f t="shared" si="3"/>
        <v>0</v>
      </c>
    </row>
    <row r="72" spans="1:23" hidden="1" x14ac:dyDescent="0.2">
      <c r="A72" s="7" t="str">
        <f>Data!A634</f>
        <v>The Hanover Insurance Group, Inc.</v>
      </c>
      <c r="B72" s="7" t="str">
        <f>Data!B634</f>
        <v>THG</v>
      </c>
      <c r="C72" s="7" t="str">
        <f>Data!C634</f>
        <v>Financials</v>
      </c>
      <c r="D72" s="8">
        <f>IF(ISNUMBER(Data!AL634),Data!AL634/1000,"n/a")</f>
        <v>5</v>
      </c>
      <c r="E72" s="1">
        <f>Data!E634</f>
        <v>17</v>
      </c>
      <c r="F72" s="28">
        <f>Data!J634/100</f>
        <v>2.0479213598197831E-2</v>
      </c>
      <c r="G72" s="28">
        <f>IF(ISNUMBER(Data!S634),Data!S634/100,"n/a")</f>
        <v>7.547169811320753E-2</v>
      </c>
      <c r="H72" s="28">
        <f>IF(ISNUMBER(Data!T634),Data!T634/100,"n/a")</f>
        <v>8.6835865964923542E-2</v>
      </c>
      <c r="I72" s="28">
        <f>IF(ISNUMBER(Data!U634),Data!U634/100,"n/a")</f>
        <v>8.6769401487293507E-2</v>
      </c>
      <c r="J72" s="28">
        <f>IF(ISNUMBER(Data!V634),Data!V634/100,"n/a")</f>
        <v>9.7410809684315147E-2</v>
      </c>
      <c r="K72" s="9">
        <f>IF(ISNUMBER(Data!Z634),Data!Z634/100,"n/a")</f>
        <v>0.33149171270718225</v>
      </c>
      <c r="L72" s="10">
        <f>Data!AA634</f>
        <v>16.186740331491713</v>
      </c>
      <c r="M72" s="10">
        <f>Data!AF634</f>
        <v>2.0099999999999998</v>
      </c>
      <c r="N72" s="28">
        <f>IF(ISNUMBER(Data!AG634),Data!AG634/100,"n/a")</f>
        <v>0.11200000000000002</v>
      </c>
      <c r="O72" s="28">
        <f>IF(ISNUMBER(Data!AJ634),Data!AJ634/100,"n/a")</f>
        <v>0.49399999999999999</v>
      </c>
      <c r="P72" s="9">
        <f>IF(ISNUMBER(Data!AK634),Data!AK634/100,"n/a")</f>
        <v>0.155</v>
      </c>
      <c r="Q72" s="8">
        <f>Data!AN634</f>
        <v>0.3</v>
      </c>
      <c r="R72" s="8">
        <f>Data!AP634</f>
        <v>10.724861508549134</v>
      </c>
      <c r="S72" s="8"/>
      <c r="T72" s="8"/>
      <c r="U72" s="8"/>
      <c r="V72" s="1">
        <f t="shared" si="2"/>
        <v>11</v>
      </c>
      <c r="W72" s="1">
        <f t="shared" si="3"/>
        <v>0</v>
      </c>
    </row>
    <row r="73" spans="1:23" hidden="1" x14ac:dyDescent="0.2">
      <c r="A73" s="7" t="str">
        <f>Data!A659</f>
        <v>United Bancorp, Inc.</v>
      </c>
      <c r="B73" s="7" t="str">
        <f>Data!B659</f>
        <v>UBCP</v>
      </c>
      <c r="C73" s="7" t="str">
        <f>Data!C659</f>
        <v>Financials</v>
      </c>
      <c r="D73" s="8">
        <f>IF(ISNUMBER(Data!AL659),Data!AL659/1000,"n/a")</f>
        <v>9.0299999999999991E-2</v>
      </c>
      <c r="E73" s="1">
        <f>Data!E659</f>
        <v>9</v>
      </c>
      <c r="F73" s="28">
        <f>Data!J659/100</f>
        <v>4.1944074567243674E-2</v>
      </c>
      <c r="G73" s="28">
        <f>IF(ISNUMBER(Data!S659),Data!S659/100,"n/a")</f>
        <v>2.6315789473684292E-2</v>
      </c>
      <c r="H73" s="28">
        <f>IF(ISNUMBER(Data!T659),Data!T659/100,"n/a")</f>
        <v>4.0041911525952045E-2</v>
      </c>
      <c r="I73" s="28">
        <f>IF(ISNUMBER(Data!U659),Data!U659/100,"n/a")</f>
        <v>6.8516702296210097E-2</v>
      </c>
      <c r="J73" s="28">
        <f>IF(ISNUMBER(Data!V659),Data!V659/100,"n/a")</f>
        <v>4.3770578064119547E-3</v>
      </c>
      <c r="K73" s="9">
        <f>IF(ISNUMBER(Data!Z659),Data!Z659/100,"n/a")</f>
        <v>0.39130434782608686</v>
      </c>
      <c r="L73" s="10">
        <f>Data!AA659</f>
        <v>9.3291925465838492</v>
      </c>
      <c r="M73" s="10">
        <f>Data!AF659</f>
        <v>1.42</v>
      </c>
      <c r="N73" s="28">
        <f>IF(ISNUMBER(Data!AG659),Data!AG659/100,"n/a")</f>
        <v>0.13400000000000001</v>
      </c>
      <c r="O73" s="28">
        <f>IF(ISNUMBER(Data!AJ659),Data!AJ659/100,"n/a")</f>
        <v>0.18</v>
      </c>
      <c r="P73" s="9">
        <f>IF(ISNUMBER(Data!AK659),Data!AK659/100,"n/a")</f>
        <v>0.11600000000000002</v>
      </c>
      <c r="Q73" s="8">
        <f>Data!AN659</f>
        <v>0.41</v>
      </c>
      <c r="R73" s="8">
        <f>Data!AP659</f>
        <v>11.046077686345377</v>
      </c>
      <c r="S73" s="8"/>
      <c r="T73" s="8"/>
      <c r="U73" s="8"/>
      <c r="V73" s="1">
        <f t="shared" si="2"/>
        <v>7</v>
      </c>
      <c r="W73" s="1">
        <f t="shared" si="3"/>
        <v>0</v>
      </c>
    </row>
    <row r="74" spans="1:23" hidden="1" x14ac:dyDescent="0.2">
      <c r="A74" s="7" t="str">
        <f>Data!A648</f>
        <v>Truxton Corporation</v>
      </c>
      <c r="B74" s="7" t="str">
        <f>Data!B648</f>
        <v>TRUX</v>
      </c>
      <c r="C74" s="7" t="str">
        <f>Data!C648</f>
        <v>Financials</v>
      </c>
      <c r="D74" s="8" t="str">
        <f>IF(ISNUMBER(Data!AL648),Data!AL648/1000,"n/a")</f>
        <v>n/a</v>
      </c>
      <c r="E74" s="1">
        <f>Data!E648</f>
        <v>10</v>
      </c>
      <c r="F74" s="28">
        <f>Data!J648/100</f>
        <v>2.1532615579480687E-2</v>
      </c>
      <c r="G74" s="28">
        <f>IF(ISNUMBER(Data!S648),Data!S648/100,"n/a")</f>
        <v>7.1428571428571397E-2</v>
      </c>
      <c r="H74" s="28">
        <f>IF(ISNUMBER(Data!T648),Data!T648/100,"n/a")</f>
        <v>0.10891823393038823</v>
      </c>
      <c r="I74" s="28">
        <f>IF(ISNUMBER(Data!U648),Data!U648/100,"n/a")</f>
        <v>0.10756634324829006</v>
      </c>
      <c r="J74" s="28" t="str">
        <f>IF(ISNUMBER(Data!V648),Data!V648/100,"n/a")</f>
        <v>n/a</v>
      </c>
      <c r="K74" s="9" t="str">
        <f>IF(ISNUMBER(Data!Z648),Data!Z648/100,"n/a")</f>
        <v>n/a</v>
      </c>
      <c r="L74" s="10" t="str">
        <f>Data!AA648</f>
        <v>n/a</v>
      </c>
      <c r="M74" s="10" t="str">
        <f>Data!AF648</f>
        <v>n/a</v>
      </c>
      <c r="N74" s="28" t="str">
        <f>IF(ISNUMBER(Data!AG648),Data!AG648/100,"n/a")</f>
        <v>n/a</v>
      </c>
      <c r="O74" s="28" t="str">
        <f>IF(ISNUMBER(Data!AJ648),Data!AJ648/100,"n/a")</f>
        <v>n/a</v>
      </c>
      <c r="P74" s="9" t="str">
        <f>IF(ISNUMBER(Data!AK648),Data!AK648/100,"n/a")</f>
        <v>n/a</v>
      </c>
      <c r="Q74" s="8" t="str">
        <f>Data!AN648</f>
        <v>n/a</v>
      </c>
      <c r="R74" s="8">
        <f>Data!AP648</f>
        <v>12.909895882777075</v>
      </c>
      <c r="S74" s="8"/>
      <c r="T74" s="8"/>
      <c r="U74" s="8"/>
      <c r="V74" s="1">
        <f t="shared" si="2"/>
        <v>4</v>
      </c>
      <c r="W74" s="1">
        <f t="shared" si="3"/>
        <v>0</v>
      </c>
    </row>
    <row r="75" spans="1:23" hidden="1" x14ac:dyDescent="0.2">
      <c r="A75" s="7" t="str">
        <f>Data!A650</f>
        <v>Timberland Bancorp, Inc.</v>
      </c>
      <c r="B75" s="7" t="str">
        <f>Data!B650</f>
        <v>TSBK</v>
      </c>
      <c r="C75" s="7" t="str">
        <f>Data!C650</f>
        <v>Financials</v>
      </c>
      <c r="D75" s="8">
        <f>IF(ISNUMBER(Data!AL650),Data!AL650/1000,"n/a")</f>
        <v>0.23879</v>
      </c>
      <c r="E75" s="1">
        <f>Data!E650</f>
        <v>10</v>
      </c>
      <c r="F75" s="28">
        <f>Data!J650/100</f>
        <v>2.9709655638082377E-2</v>
      </c>
      <c r="G75" s="28">
        <f>IF(ISNUMBER(Data!S650),Data!S650/100,"n/a")</f>
        <v>4.9999999999999822E-2</v>
      </c>
      <c r="H75" s="28">
        <f>IF(ISNUMBER(Data!T650),Data!T650/100,"n/a")</f>
        <v>0.17334388455582039</v>
      </c>
      <c r="I75" s="28">
        <f>IF(ISNUMBER(Data!U650),Data!U650/100,"n/a")</f>
        <v>0.19828486453496663</v>
      </c>
      <c r="J75" s="28" t="str">
        <f>IF(ISNUMBER(Data!V650),Data!V650/100,"n/a")</f>
        <v>n/a</v>
      </c>
      <c r="K75" s="9">
        <f>IF(ISNUMBER(Data!Z650),Data!Z650/100,"n/a")</f>
        <v>0.32835820895522388</v>
      </c>
      <c r="L75" s="10">
        <f>Data!AA650</f>
        <v>11.052238805970148</v>
      </c>
      <c r="M75" s="10">
        <f>Data!AF650</f>
        <v>1.1299999999999999</v>
      </c>
      <c r="N75" s="28">
        <f>IF(ISNUMBER(Data!AG650),Data!AG650/100,"n/a")</f>
        <v>0.107</v>
      </c>
      <c r="O75" s="28">
        <f>IF(ISNUMBER(Data!AJ650),Data!AJ650/100,"n/a")</f>
        <v>0.18</v>
      </c>
      <c r="P75" s="9">
        <f>IF(ISNUMBER(Data!AK650),Data!AK650/100,"n/a")</f>
        <v>0.13</v>
      </c>
      <c r="Q75" s="8">
        <f>Data!AN650</f>
        <v>0</v>
      </c>
      <c r="R75" s="8">
        <f>Data!AP650</f>
        <v>22.799452017304901</v>
      </c>
      <c r="S75" s="8"/>
      <c r="T75" s="8"/>
      <c r="U75" s="8"/>
      <c r="V75" s="1">
        <f t="shared" si="2"/>
        <v>8</v>
      </c>
      <c r="W75" s="1">
        <f t="shared" si="3"/>
        <v>0</v>
      </c>
    </row>
    <row r="76" spans="1:23" hidden="1" x14ac:dyDescent="0.2">
      <c r="A76" s="7" t="str">
        <f>Data!A646</f>
        <v>T. Rowe Price Group, Inc.</v>
      </c>
      <c r="B76" s="7" t="str">
        <f>Data!B646</f>
        <v>TROW</v>
      </c>
      <c r="C76" s="7" t="str">
        <f>Data!C646</f>
        <v>Financials</v>
      </c>
      <c r="D76" s="8">
        <f>IF(ISNUMBER(Data!AL646),Data!AL646/1000,"n/a")</f>
        <v>24.07</v>
      </c>
      <c r="E76" s="1">
        <f>Data!E646</f>
        <v>36</v>
      </c>
      <c r="F76" s="28">
        <f>Data!J646/100</f>
        <v>4.5214770158251698E-2</v>
      </c>
      <c r="G76" s="28">
        <f>IF(ISNUMBER(Data!S646),Data!S646/100,"n/a")</f>
        <v>0.19999999999999996</v>
      </c>
      <c r="H76" s="28">
        <f>IF(ISNUMBER(Data!T646),Data!T646/100,"n/a")</f>
        <v>0.15551407133250739</v>
      </c>
      <c r="I76" s="28">
        <f>IF(ISNUMBER(Data!U646),Data!U646/100,"n/a")</f>
        <v>0.1486983549970351</v>
      </c>
      <c r="J76" s="28">
        <f>IF(ISNUMBER(Data!V646),Data!V646/100,"n/a")</f>
        <v>0.13293816279458315</v>
      </c>
      <c r="K76" s="9">
        <f>IF(ISNUMBER(Data!Z646),Data!Z646/100,"n/a")</f>
        <v>0.46332046332046334</v>
      </c>
      <c r="L76" s="10">
        <f>Data!AA646</f>
        <v>10.247104247104247</v>
      </c>
      <c r="M76" s="10">
        <f>Data!AF646</f>
        <v>2.75</v>
      </c>
      <c r="N76" s="28">
        <f>IF(ISNUMBER(Data!AG646),Data!AG646/100,"n/a")</f>
        <v>0.221</v>
      </c>
      <c r="O76" s="28">
        <f>IF(ISNUMBER(Data!AJ646),Data!AJ646/100,"n/a")</f>
        <v>0.22500000000000001</v>
      </c>
      <c r="P76" s="9" t="str">
        <f>IF(ISNUMBER(Data!AK646),Data!AK646/100,"n/a")</f>
        <v>n/a</v>
      </c>
      <c r="Q76" s="8">
        <f>Data!AN646</f>
        <v>0</v>
      </c>
      <c r="R76" s="8">
        <f>Data!AP646</f>
        <v>19.391312515528679</v>
      </c>
      <c r="S76" s="8"/>
      <c r="T76" s="8"/>
      <c r="U76" s="8"/>
      <c r="V76" s="1">
        <f t="shared" si="2"/>
        <v>11</v>
      </c>
      <c r="W76" s="1">
        <f t="shared" si="3"/>
        <v>0</v>
      </c>
    </row>
    <row r="77" spans="1:23" hidden="1" x14ac:dyDescent="0.2">
      <c r="A77" s="7" t="str">
        <f>Data!A658</f>
        <v>Calvin B. Taylor Bankshares, Inc.</v>
      </c>
      <c r="B77" s="7" t="str">
        <f>Data!B658</f>
        <v>TYCB</v>
      </c>
      <c r="C77" s="7" t="str">
        <f>Data!C658</f>
        <v>Financials</v>
      </c>
      <c r="D77" s="8" t="str">
        <f>IF(ISNUMBER(Data!AL658),Data!AL658/1000,"n/a")</f>
        <v>n/a</v>
      </c>
      <c r="E77" s="1">
        <f>Data!E658</f>
        <v>33</v>
      </c>
      <c r="F77" s="28">
        <f>Data!J658/100</f>
        <v>3.4718569174118884E-2</v>
      </c>
      <c r="G77" s="28">
        <f>IF(ISNUMBER(Data!S658),Data!S658/100,"n/a")</f>
        <v>3.5714285714285587E-2</v>
      </c>
      <c r="H77" s="28">
        <f>IF(ISNUMBER(Data!T658),Data!T658/100,"n/a")</f>
        <v>5.4243498825128356E-2</v>
      </c>
      <c r="I77" s="28">
        <f>IF(ISNUMBER(Data!U658),Data!U658/100,"n/a")</f>
        <v>3.6423498371622509E-2</v>
      </c>
      <c r="J77" s="28">
        <f>IF(ISNUMBER(Data!V658),Data!V658/100,"n/a")</f>
        <v>2.3450909293078803E-2</v>
      </c>
      <c r="K77" s="9" t="str">
        <f>IF(ISNUMBER(Data!Z658),Data!Z658/100,"n/a")</f>
        <v>n/a</v>
      </c>
      <c r="L77" s="10" t="str">
        <f>Data!AA658</f>
        <v>n/a</v>
      </c>
      <c r="M77" s="10" t="str">
        <f>Data!AF658</f>
        <v>n/a</v>
      </c>
      <c r="N77" s="28" t="str">
        <f>IF(ISNUMBER(Data!AG658),Data!AG658/100,"n/a")</f>
        <v>n/a</v>
      </c>
      <c r="O77" s="28" t="str">
        <f>IF(ISNUMBER(Data!AJ658),Data!AJ658/100,"n/a")</f>
        <v>n/a</v>
      </c>
      <c r="P77" s="9" t="str">
        <f>IF(ISNUMBER(Data!AK658),Data!AK658/100,"n/a")</f>
        <v>n/a</v>
      </c>
      <c r="Q77" s="8" t="str">
        <f>Data!AN658</f>
        <v>n/a</v>
      </c>
      <c r="R77" s="8">
        <f>Data!AP658</f>
        <v>7.1142067545741394</v>
      </c>
      <c r="S77" s="8"/>
      <c r="T77" s="8"/>
      <c r="U77" s="8"/>
      <c r="V77" s="1">
        <f t="shared" si="2"/>
        <v>3</v>
      </c>
      <c r="W77" s="1">
        <f t="shared" si="3"/>
        <v>0</v>
      </c>
    </row>
    <row r="78" spans="1:23" hidden="1" x14ac:dyDescent="0.2">
      <c r="A78" s="7" t="str">
        <f>Data!A643</f>
        <v>Thomson Reuters Corporation</v>
      </c>
      <c r="B78" s="7" t="str">
        <f>Data!B643</f>
        <v>TRI</v>
      </c>
      <c r="C78" s="7" t="str">
        <f>Data!C643</f>
        <v>Financials</v>
      </c>
      <c r="D78" s="8">
        <f>IF(ISNUMBER(Data!AL643),Data!AL643/1000,"n/a")</f>
        <v>50.85</v>
      </c>
      <c r="E78" s="1">
        <f>Data!E643</f>
        <v>29</v>
      </c>
      <c r="F78" s="28">
        <f>Data!J643/100</f>
        <v>1.6748212269476852E-2</v>
      </c>
      <c r="G78" s="28">
        <f>IF(ISNUMBER(Data!S643),Data!S643/100,"n/a")</f>
        <v>6.578947368421062E-2</v>
      </c>
      <c r="H78" s="28">
        <f>IF(ISNUMBER(Data!T643),Data!T643/100,"n/a")</f>
        <v>5.3630693663860862E-2</v>
      </c>
      <c r="I78" s="28">
        <f>IF(ISNUMBER(Data!U643),Data!U643/100,"n/a")</f>
        <v>3.5607581659516718E-2</v>
      </c>
      <c r="J78" s="28">
        <f>IF(ISNUMBER(Data!V643),Data!V643/100,"n/a")</f>
        <v>2.7091967876371026E-2</v>
      </c>
      <c r="K78" s="9">
        <f>IF(ISNUMBER(Data!Z643),Data!Z643/100,"n/a")</f>
        <v>1.6330275229357798</v>
      </c>
      <c r="L78" s="10">
        <f>Data!AA643</f>
        <v>97.504587155963293</v>
      </c>
      <c r="M78" s="10">
        <f>Data!AF643</f>
        <v>3.94</v>
      </c>
      <c r="N78" s="28">
        <f>IF(ISNUMBER(Data!AG643),Data!AG643/100,"n/a")</f>
        <v>3.4000000000000002E-2</v>
      </c>
      <c r="O78" s="28">
        <f>IF(ISNUMBER(Data!AJ643),Data!AJ643/100,"n/a")</f>
        <v>0.51</v>
      </c>
      <c r="P78" s="9">
        <f>IF(ISNUMBER(Data!AK643),Data!AK643/100,"n/a")</f>
        <v>0.22400000000000003</v>
      </c>
      <c r="Q78" s="8">
        <f>Data!AN643</f>
        <v>0.31</v>
      </c>
      <c r="R78" s="8">
        <f>Data!AP643</f>
        <v>5.235579392899357</v>
      </c>
      <c r="S78" s="8"/>
      <c r="T78" s="8"/>
      <c r="U78" s="8"/>
      <c r="V78" s="1">
        <f t="shared" si="2"/>
        <v>7</v>
      </c>
      <c r="W78" s="1">
        <f t="shared" si="3"/>
        <v>0</v>
      </c>
    </row>
    <row r="79" spans="1:23" hidden="1" x14ac:dyDescent="0.2">
      <c r="A79" s="7" t="str">
        <f>Data!A651</f>
        <v>Tractor Supply Company</v>
      </c>
      <c r="B79" s="7" t="str">
        <f>Data!B651</f>
        <v>TSCO</v>
      </c>
      <c r="C79" s="7" t="str">
        <f>Data!C651</f>
        <v>Consumer Discretionary</v>
      </c>
      <c r="D79" s="8">
        <f>IF(ISNUMBER(Data!AL651),Data!AL651/1000,"n/a")</f>
        <v>23.9</v>
      </c>
      <c r="E79" s="1">
        <f>Data!E651</f>
        <v>13</v>
      </c>
      <c r="F79" s="28">
        <f>Data!J651/100</f>
        <v>1.6744778632206397E-2</v>
      </c>
      <c r="G79" s="28">
        <f>IF(ISNUMBER(Data!S651),Data!S651/100,"n/a")</f>
        <v>0.38666666666666671</v>
      </c>
      <c r="H79" s="28">
        <f>IF(ISNUMBER(Data!T651),Data!T651/100,"n/a")</f>
        <v>0.20123329994304417</v>
      </c>
      <c r="I79" s="28">
        <f>IF(ISNUMBER(Data!U651),Data!U651/100,"n/a")</f>
        <v>0.17721314133738453</v>
      </c>
      <c r="J79" s="28">
        <f>IF(ISNUMBER(Data!V651),Data!V651/100,"n/a")</f>
        <v>0.25476526400596589</v>
      </c>
      <c r="K79" s="9">
        <f>IF(ISNUMBER(Data!Z651),Data!Z651/100,"n/a")</f>
        <v>0.39956568946796955</v>
      </c>
      <c r="L79" s="10">
        <f>Data!AA651</f>
        <v>23.862106406080347</v>
      </c>
      <c r="M79" s="10">
        <f>Data!AF651</f>
        <v>13.01</v>
      </c>
      <c r="N79" s="28">
        <f>IF(ISNUMBER(Data!AG651),Data!AG651/100,"n/a")</f>
        <v>0.51900000000000002</v>
      </c>
      <c r="O79" s="28">
        <f>IF(ISNUMBER(Data!AJ651),Data!AJ651/100,"n/a")</f>
        <v>0.214</v>
      </c>
      <c r="P79" s="9">
        <f>IF(ISNUMBER(Data!AK651),Data!AK651/100,"n/a")</f>
        <v>0.105</v>
      </c>
      <c r="Q79" s="8">
        <f>Data!AN651</f>
        <v>0.54</v>
      </c>
      <c r="R79" s="8">
        <f>Data!AP651</f>
        <v>19.395791996959094</v>
      </c>
      <c r="S79" s="8"/>
      <c r="T79" s="8"/>
      <c r="U79" s="8"/>
      <c r="V79" s="1">
        <f t="shared" si="2"/>
        <v>9</v>
      </c>
      <c r="W79" s="1">
        <f t="shared" si="3"/>
        <v>0</v>
      </c>
    </row>
    <row r="80" spans="1:23" hidden="1" x14ac:dyDescent="0.2">
      <c r="A80" s="7" t="str">
        <f>Data!A645</f>
        <v>Terreno Realty Corporation</v>
      </c>
      <c r="B80" s="7" t="str">
        <f>Data!B645</f>
        <v>TRNO</v>
      </c>
      <c r="C80" s="7" t="str">
        <f>Data!C645</f>
        <v>Real Estate</v>
      </c>
      <c r="D80" s="8">
        <f>IF(ISNUMBER(Data!AL645),Data!AL645/1000,"n/a")</f>
        <v>4.2</v>
      </c>
      <c r="E80" s="1">
        <f>Data!E645</f>
        <v>12</v>
      </c>
      <c r="F80" s="28">
        <f>Data!J645/100</f>
        <v>2.8001400070003502E-2</v>
      </c>
      <c r="G80" s="28">
        <f>IF(ISNUMBER(Data!S645),Data!S645/100,"n/a")</f>
        <v>9.9999999999999853E-2</v>
      </c>
      <c r="H80" s="28">
        <f>IF(ISNUMBER(Data!T645),Data!T645/100,"n/a")</f>
        <v>0.10369130283278437</v>
      </c>
      <c r="I80" s="28">
        <f>IF(ISNUMBER(Data!U645),Data!U645/100,"n/a")</f>
        <v>9.7474291467755769E-2</v>
      </c>
      <c r="J80" s="28">
        <f>IF(ISNUMBER(Data!V645),Data!V645/100,"n/a")</f>
        <v>0.14965203277566186</v>
      </c>
      <c r="K80" s="9">
        <f>IF(ISNUMBER(Data!Z645),Data!Z645/100,"n/a")</f>
        <v>0.70175438596491235</v>
      </c>
      <c r="L80" s="10">
        <f>Data!AA645</f>
        <v>25.061403508771932</v>
      </c>
      <c r="M80" s="10">
        <f>Data!AF645</f>
        <v>2.02</v>
      </c>
      <c r="N80" s="28">
        <f>IF(ISNUMBER(Data!AG645),Data!AG645/100,"n/a")</f>
        <v>8.5000000000000006E-2</v>
      </c>
      <c r="O80" s="28">
        <f>IF(ISNUMBER(Data!AJ645),Data!AJ645/100,"n/a")</f>
        <v>0.36799999999999999</v>
      </c>
      <c r="P80" s="9">
        <f>IF(ISNUMBER(Data!AK645),Data!AK645/100,"n/a")</f>
        <v>0.1</v>
      </c>
      <c r="Q80" s="8">
        <f>Data!AN645</f>
        <v>0.34</v>
      </c>
      <c r="R80" s="8">
        <f>Data!AP645</f>
        <v>12.547569153775928</v>
      </c>
      <c r="S80" s="8"/>
      <c r="T80" s="8"/>
      <c r="U80" s="8"/>
      <c r="V80" s="1">
        <f t="shared" si="2"/>
        <v>9</v>
      </c>
      <c r="W80" s="1">
        <f t="shared" si="3"/>
        <v>0</v>
      </c>
    </row>
    <row r="81" spans="1:23" hidden="1" x14ac:dyDescent="0.2">
      <c r="A81" s="7" t="str">
        <f>Data!A727</f>
        <v>Contenders</v>
      </c>
      <c r="B81" s="7">
        <f>Data!B727</f>
        <v>363</v>
      </c>
      <c r="C81" s="7">
        <f>Data!C727</f>
        <v>0</v>
      </c>
      <c r="D81" s="8">
        <f>IF(ISNUMBER(Data!AL727),Data!AL727/1000,"n/a")</f>
        <v>41.34454028818444</v>
      </c>
      <c r="E81" s="1">
        <f>Data!E727</f>
        <v>13.873278236914601</v>
      </c>
      <c r="F81" s="28">
        <f>Data!J727/100</f>
        <v>2.7514111878493223E-2</v>
      </c>
      <c r="G81" s="28">
        <f>IF(ISNUMBER(Data!S727),Data!S727/100,"n/a")</f>
        <v>8.6801443135700679E-2</v>
      </c>
      <c r="H81" s="28">
        <f>IF(ISNUMBER(Data!T727),Data!T727/100,"n/a")</f>
        <v>9.598583580871986E-2</v>
      </c>
      <c r="I81" s="28">
        <f>IF(ISNUMBER(Data!U727),Data!U727/100,"n/a")</f>
        <v>0.10485747251498585</v>
      </c>
      <c r="J81" s="28">
        <f>IF(ISNUMBER(Data!V727),Data!V727/100,"n/a")</f>
        <v>0.12984264253354214</v>
      </c>
      <c r="K81" s="9">
        <f>IF(ISNUMBER(Data!Z727),Data!Z727/100,"n/a")</f>
        <v>0.52570592450563813</v>
      </c>
      <c r="L81" s="10">
        <f>Data!AA727</f>
        <v>21.186858248779711</v>
      </c>
      <c r="M81" s="10">
        <f>Data!AF727</f>
        <v>8.9866468842730018</v>
      </c>
      <c r="N81" s="28">
        <f>IF(ISNUMBER(Data!AG727),Data!AG727/100,"n/a")</f>
        <v>0.19053622754491037</v>
      </c>
      <c r="O81" s="28">
        <f>IF(ISNUMBER(Data!AJ727),Data!AJ727/100,"n/a")</f>
        <v>0.13826463768115949</v>
      </c>
      <c r="P81" s="9">
        <f>IF(ISNUMBER(Data!AK727),Data!AK727/100,"n/a")</f>
        <v>8.4848844884488447E-2</v>
      </c>
      <c r="Q81" s="8">
        <f>Data!AN727</f>
        <v>1.7197904191616769</v>
      </c>
      <c r="R81" s="8">
        <f>Data!AP727</f>
        <v>13.237158439347903</v>
      </c>
      <c r="S81" s="8"/>
      <c r="T81" s="8"/>
      <c r="U81" s="8"/>
      <c r="V81" s="1">
        <f t="shared" si="2"/>
        <v>9</v>
      </c>
      <c r="W81" s="1">
        <f t="shared" si="3"/>
        <v>0</v>
      </c>
    </row>
    <row r="82" spans="1:23" hidden="1" x14ac:dyDescent="0.2">
      <c r="A82" s="7" t="str">
        <f>Data!A706</f>
        <v>WSFS Financial Corporation</v>
      </c>
      <c r="B82" s="7" t="str">
        <f>Data!B706</f>
        <v>WSFS</v>
      </c>
      <c r="C82" s="7" t="str">
        <f>Data!C706</f>
        <v>Financials</v>
      </c>
      <c r="D82" s="8">
        <f>IF(ISNUMBER(Data!AL706),Data!AL706/1000,"n/a")</f>
        <v>2.83</v>
      </c>
      <c r="E82" s="1">
        <f>Data!E706</f>
        <v>9</v>
      </c>
      <c r="F82" s="28">
        <f>Data!J706/100</f>
        <v>1.2886597938144329E-2</v>
      </c>
      <c r="G82" s="28">
        <f>IF(ISNUMBER(Data!S706),Data!S706/100,"n/a")</f>
        <v>6.25E-2</v>
      </c>
      <c r="H82" s="28">
        <f>IF(ISNUMBER(Data!T706),Data!T706/100,"n/a")</f>
        <v>6.6858844342181811E-2</v>
      </c>
      <c r="I82" s="28">
        <f>IF(ISNUMBER(Data!U706),Data!U706/100,"n/a")</f>
        <v>0.15325682508681804</v>
      </c>
      <c r="J82" s="28">
        <f>IF(ISNUMBER(Data!V706),Data!V706/100,"n/a")</f>
        <v>0.1229101807652131</v>
      </c>
      <c r="K82" s="9">
        <f>IF(ISNUMBER(Data!Z706),Data!Z706/100,"n/a")</f>
        <v>0.17964071856287425</v>
      </c>
      <c r="L82" s="10">
        <f>Data!AA706</f>
        <v>13.940119760479043</v>
      </c>
      <c r="M82" s="10">
        <f>Data!AF706</f>
        <v>1.28</v>
      </c>
      <c r="N82" s="28">
        <f>IF(ISNUMBER(Data!AG706),Data!AG706/100,"n/a")</f>
        <v>9.7000000000000017E-2</v>
      </c>
      <c r="O82" s="28">
        <f>IF(ISNUMBER(Data!AJ706),Data!AJ706/100,"n/a")</f>
        <v>0.22500000000000001</v>
      </c>
      <c r="P82" s="9">
        <f>IF(ISNUMBER(Data!AK706),Data!AK706/100,"n/a")</f>
        <v>0.12</v>
      </c>
      <c r="Q82" s="8">
        <f>Data!AN706</f>
        <v>0.16</v>
      </c>
      <c r="R82" s="8">
        <f>Data!AP706</f>
        <v>16.614342302496237</v>
      </c>
      <c r="S82" s="8"/>
      <c r="T82" s="8"/>
      <c r="U82" s="8"/>
      <c r="V82" s="1">
        <f t="shared" si="2"/>
        <v>10</v>
      </c>
      <c r="W82" s="1">
        <f t="shared" si="3"/>
        <v>0</v>
      </c>
    </row>
    <row r="83" spans="1:23" hidden="1" x14ac:dyDescent="0.2">
      <c r="A83" s="7" t="str">
        <f>Data!A722</f>
        <v>Zions Bancorporation, National Association</v>
      </c>
      <c r="B83" s="7" t="str">
        <f>Data!B722</f>
        <v>ZION</v>
      </c>
      <c r="C83" s="7" t="str">
        <f>Data!C722</f>
        <v>Financials</v>
      </c>
      <c r="D83" s="8">
        <f>IF(ISNUMBER(Data!AL722),Data!AL722/1000,"n/a")</f>
        <v>7.58</v>
      </c>
      <c r="E83" s="1">
        <f>Data!E722</f>
        <v>10</v>
      </c>
      <c r="F83" s="28">
        <f>Data!J722/100</f>
        <v>3.1574894108586833E-2</v>
      </c>
      <c r="G83" s="28">
        <f>IF(ISNUMBER(Data!S722),Data!S722/100,"n/a")</f>
        <v>5.8823529411764497E-2</v>
      </c>
      <c r="H83" s="28">
        <f>IF(ISNUMBER(Data!T722),Data!T722/100,"n/a")</f>
        <v>0.11457607795906144</v>
      </c>
      <c r="I83" s="28">
        <f>IF(ISNUMBER(Data!U722),Data!U722/100,"n/a")</f>
        <v>0.38752524057744631</v>
      </c>
      <c r="J83" s="28">
        <f>IF(ISNUMBER(Data!V722),Data!V722/100,"n/a")</f>
        <v>0.43096908110525556</v>
      </c>
      <c r="K83" s="9">
        <f>IF(ISNUMBER(Data!Z722),Data!Z722/100,"n/a")</f>
        <v>0.26710097719869708</v>
      </c>
      <c r="L83" s="10">
        <f>Data!AA722</f>
        <v>8.4592833876221505</v>
      </c>
      <c r="M83" s="10">
        <f>Data!AF722</f>
        <v>1.5</v>
      </c>
      <c r="N83" s="28">
        <f>IF(ISNUMBER(Data!AG722),Data!AG722/100,"n/a")</f>
        <v>0.153</v>
      </c>
      <c r="O83" s="28">
        <f>IF(ISNUMBER(Data!AJ722),Data!AJ722/100,"n/a")</f>
        <v>0.27800000000000002</v>
      </c>
      <c r="P83" s="9" t="str">
        <f>IF(ISNUMBER(Data!AK722),Data!AK722/100,"n/a")</f>
        <v>n/a</v>
      </c>
      <c r="Q83" s="8">
        <f>Data!AN722</f>
        <v>0.13</v>
      </c>
      <c r="R83" s="8">
        <f>Data!AP722</f>
        <v>41.91001346860331</v>
      </c>
      <c r="S83" s="8"/>
      <c r="T83" s="8"/>
      <c r="U83" s="8"/>
      <c r="V83" s="1">
        <f t="shared" si="2"/>
        <v>10</v>
      </c>
      <c r="W83" s="1">
        <f t="shared" si="3"/>
        <v>0</v>
      </c>
    </row>
    <row r="84" spans="1:23" hidden="1" x14ac:dyDescent="0.2">
      <c r="A84" s="7" t="str">
        <f>Data!A657</f>
        <v>Trinity Bank, N.A.</v>
      </c>
      <c r="B84" s="7" t="str">
        <f>Data!B657</f>
        <v>TYBT</v>
      </c>
      <c r="C84" s="7" t="str">
        <f>Data!C657</f>
        <v>Financials</v>
      </c>
      <c r="D84" s="8" t="str">
        <f>IF(ISNUMBER(Data!AL657),Data!AL657/1000,"n/a")</f>
        <v>n/a</v>
      </c>
      <c r="E84" s="1">
        <f>Data!E657</f>
        <v>11</v>
      </c>
      <c r="F84" s="28">
        <f>Data!J657/100</f>
        <v>1.793103448275862E-2</v>
      </c>
      <c r="G84" s="28">
        <f>IF(ISNUMBER(Data!S657),Data!S657/100,"n/a")</f>
        <v>8.3969465648854769E-2</v>
      </c>
      <c r="H84" s="28">
        <f>IF(ISNUMBER(Data!T657),Data!T657/100,"n/a")</f>
        <v>8.556322327168718E-2</v>
      </c>
      <c r="I84" s="28">
        <f>IF(ISNUMBER(Data!U657),Data!U657/100,"n/a")</f>
        <v>9.5491890482608532E-2</v>
      </c>
      <c r="J84" s="28" t="str">
        <f>IF(ISNUMBER(Data!V657),Data!V657/100,"n/a")</f>
        <v>n/a</v>
      </c>
      <c r="K84" s="9" t="str">
        <f>IF(ISNUMBER(Data!Z657),Data!Z657/100,"n/a")</f>
        <v>n/a</v>
      </c>
      <c r="L84" s="10" t="str">
        <f>Data!AA657</f>
        <v>n/a</v>
      </c>
      <c r="M84" s="10" t="str">
        <f>Data!AF657</f>
        <v>n/a</v>
      </c>
      <c r="N84" s="28" t="str">
        <f>IF(ISNUMBER(Data!AG657),Data!AG657/100,"n/a")</f>
        <v>n/a</v>
      </c>
      <c r="O84" s="28" t="str">
        <f>IF(ISNUMBER(Data!AJ657),Data!AJ657/100,"n/a")</f>
        <v>n/a</v>
      </c>
      <c r="P84" s="9" t="str">
        <f>IF(ISNUMBER(Data!AK657),Data!AK657/100,"n/a")</f>
        <v>n/a</v>
      </c>
      <c r="Q84" s="8" t="str">
        <f>Data!AN657</f>
        <v>n/a</v>
      </c>
      <c r="R84" s="8">
        <f>Data!AP657</f>
        <v>11.342292496536714</v>
      </c>
      <c r="S84" s="8"/>
      <c r="T84" s="8"/>
      <c r="U84" s="8"/>
      <c r="V84" s="1">
        <f t="shared" si="2"/>
        <v>3</v>
      </c>
      <c r="W84" s="1">
        <f t="shared" si="3"/>
        <v>0</v>
      </c>
    </row>
    <row r="85" spans="1:23" hidden="1" x14ac:dyDescent="0.2">
      <c r="A85" s="7" t="str">
        <f>Data!A635</f>
        <v>Thor Industries, Inc.</v>
      </c>
      <c r="B85" s="7" t="str">
        <f>Data!B635</f>
        <v>THO</v>
      </c>
      <c r="C85" s="7" t="str">
        <f>Data!C635</f>
        <v>Consumer Discretionary</v>
      </c>
      <c r="D85" s="8">
        <f>IF(ISNUMBER(Data!AL635),Data!AL635/1000,"n/a")</f>
        <v>4.28</v>
      </c>
      <c r="E85" s="1">
        <f>Data!E635</f>
        <v>13</v>
      </c>
      <c r="F85" s="28">
        <f>Data!J635/100</f>
        <v>2.2094022339511476E-2</v>
      </c>
      <c r="G85" s="28">
        <f>IF(ISNUMBER(Data!S635),Data!S635/100,"n/a")</f>
        <v>3.105590062111796E-2</v>
      </c>
      <c r="H85" s="28">
        <f>IF(ISNUMBER(Data!T635),Data!T635/100,"n/a")</f>
        <v>3.4361331000678952E-2</v>
      </c>
      <c r="I85" s="28">
        <f>IF(ISNUMBER(Data!U635),Data!U635/100,"n/a")</f>
        <v>5.6689783679528372E-2</v>
      </c>
      <c r="J85" s="28">
        <f>IF(ISNUMBER(Data!V635),Data!V635/100,"n/a")</f>
        <v>0.13943500495031724</v>
      </c>
      <c r="K85" s="9">
        <f>IF(ISNUMBER(Data!Z635),Data!Z635/100,"n/a")</f>
        <v>8.7378640776699032E-2</v>
      </c>
      <c r="L85" s="10">
        <f>Data!AA635</f>
        <v>3.9548543689320383</v>
      </c>
      <c r="M85" s="10">
        <f>Data!AF635</f>
        <v>1.25</v>
      </c>
      <c r="N85" s="28">
        <f>IF(ISNUMBER(Data!AG635),Data!AG635/100,"n/a")</f>
        <v>0.34100000000000003</v>
      </c>
      <c r="O85" s="28">
        <f>IF(ISNUMBER(Data!AJ635),Data!AJ635/100,"n/a")</f>
        <v>0.23799999999999996</v>
      </c>
      <c r="P85" s="9">
        <f>IF(ISNUMBER(Data!AK635),Data!AK635/100,"n/a")</f>
        <v>5.8999999999999997E-2</v>
      </c>
      <c r="Q85" s="8">
        <f>Data!AN635</f>
        <v>0.5</v>
      </c>
      <c r="R85" s="8">
        <f>Data!AP635</f>
        <v>7.8783806019039844</v>
      </c>
      <c r="S85" s="8"/>
      <c r="T85" s="8"/>
      <c r="U85" s="8"/>
      <c r="V85" s="1">
        <f t="shared" si="2"/>
        <v>9</v>
      </c>
      <c r="W85" s="1">
        <f t="shared" si="3"/>
        <v>0</v>
      </c>
    </row>
    <row r="86" spans="1:23" hidden="1" x14ac:dyDescent="0.2">
      <c r="A86" s="7" t="str">
        <f>Data!A661</f>
        <v>United Community Banks, Inc.</v>
      </c>
      <c r="B86" s="7" t="str">
        <f>Data!B661</f>
        <v>UCBI</v>
      </c>
      <c r="C86" s="7" t="str">
        <f>Data!C661</f>
        <v>Financials</v>
      </c>
      <c r="D86" s="8">
        <f>IF(ISNUMBER(Data!AL661),Data!AL661/1000,"n/a")</f>
        <v>3.97</v>
      </c>
      <c r="E86" s="1">
        <f>Data!E661</f>
        <v>9</v>
      </c>
      <c r="F86" s="28">
        <f>Data!J661/100</f>
        <v>2.2857142857142857E-2</v>
      </c>
      <c r="G86" s="28">
        <f>IF(ISNUMBER(Data!S661),Data!S661/100,"n/a")</f>
        <v>5.555555555555558E-2</v>
      </c>
      <c r="H86" s="28">
        <f>IF(ISNUMBER(Data!T661),Data!T661/100,"n/a")</f>
        <v>0.13484552524869731</v>
      </c>
      <c r="I86" s="28">
        <f>IF(ISNUMBER(Data!U661),Data!U661/100,"n/a")</f>
        <v>0.22104343283362393</v>
      </c>
      <c r="J86" s="28" t="str">
        <f>IF(ISNUMBER(Data!V661),Data!V661/100,"n/a")</f>
        <v>n/a</v>
      </c>
      <c r="K86" s="9">
        <f>IF(ISNUMBER(Data!Z661),Data!Z661/100,"n/a")</f>
        <v>0.37768240343347637</v>
      </c>
      <c r="L86" s="10">
        <f>Data!AA661</f>
        <v>16.523605150214593</v>
      </c>
      <c r="M86" s="10">
        <f>Data!AF661</f>
        <v>1.61</v>
      </c>
      <c r="N86" s="28">
        <f>IF(ISNUMBER(Data!AG661),Data!AG661/100,"n/a")</f>
        <v>0.10100000000000002</v>
      </c>
      <c r="O86" s="28">
        <f>IF(ISNUMBER(Data!AJ661),Data!AJ661/100,"n/a")</f>
        <v>0.16200000000000001</v>
      </c>
      <c r="P86" s="9">
        <f>IF(ISNUMBER(Data!AK661),Data!AK661/100,"n/a")</f>
        <v>0.01</v>
      </c>
      <c r="Q86" s="8">
        <f>Data!AN661</f>
        <v>0.13</v>
      </c>
      <c r="R86" s="8">
        <f>Data!AP661</f>
        <v>24.390057569076678</v>
      </c>
      <c r="S86" s="8"/>
      <c r="T86" s="8"/>
      <c r="U86" s="8"/>
      <c r="V86" s="1">
        <f t="shared" si="2"/>
        <v>10</v>
      </c>
      <c r="W86" s="1">
        <f t="shared" si="3"/>
        <v>0</v>
      </c>
    </row>
    <row r="87" spans="1:23" hidden="1" x14ac:dyDescent="0.2">
      <c r="A87" s="7" t="str">
        <f>Data!A644</f>
        <v>Trinity Industries, Inc.</v>
      </c>
      <c r="B87" s="7" t="str">
        <f>Data!B644</f>
        <v>TRN</v>
      </c>
      <c r="C87" s="7" t="str">
        <f>Data!C644</f>
        <v>Industrials</v>
      </c>
      <c r="D87" s="8">
        <f>IF(ISNUMBER(Data!AL644),Data!AL644/1000,"n/a")</f>
        <v>2.19</v>
      </c>
      <c r="E87" s="1">
        <f>Data!E644</f>
        <v>12</v>
      </c>
      <c r="F87" s="28">
        <f>Data!J644/100</f>
        <v>3.224675779880827E-2</v>
      </c>
      <c r="G87" s="28">
        <f>IF(ISNUMBER(Data!S644),Data!S644/100,"n/a")</f>
        <v>0.10526315789473673</v>
      </c>
      <c r="H87" s="28">
        <f>IF(ISNUMBER(Data!T644),Data!T644/100,"n/a")</f>
        <v>0.17334388455582039</v>
      </c>
      <c r="I87" s="28">
        <f>IF(ISNUMBER(Data!U644),Data!U644/100,"n/a")</f>
        <v>0.13806042630985371</v>
      </c>
      <c r="J87" s="28">
        <f>IF(ISNUMBER(Data!V644),Data!V644/100,"n/a")</f>
        <v>0.17322966750298341</v>
      </c>
      <c r="K87" s="9">
        <f>IF(ISNUMBER(Data!Z644),Data!Z644/100,"n/a")</f>
        <v>1.803921568627451</v>
      </c>
      <c r="L87" s="10">
        <f>Data!AA644</f>
        <v>55.941176470588239</v>
      </c>
      <c r="M87" s="10">
        <f>Data!AF644</f>
        <v>2.29</v>
      </c>
      <c r="N87" s="28">
        <f>IF(ISNUMBER(Data!AG644),Data!AG644/100,"n/a")</f>
        <v>0.16</v>
      </c>
      <c r="O87" s="28">
        <f>IF(ISNUMBER(Data!AJ644),Data!AJ644/100,"n/a")</f>
        <v>-0.19400000000000003</v>
      </c>
      <c r="P87" s="9">
        <f>IF(ISNUMBER(Data!AK644),Data!AK644/100,"n/a")</f>
        <v>0.1</v>
      </c>
      <c r="Q87" s="8">
        <f>Data!AN644</f>
        <v>5.46</v>
      </c>
      <c r="R87" s="8">
        <f>Data!AP644</f>
        <v>17.030718410866196</v>
      </c>
      <c r="S87" s="8"/>
      <c r="T87" s="8"/>
      <c r="U87" s="8"/>
      <c r="V87" s="1">
        <f t="shared" si="2"/>
        <v>7</v>
      </c>
      <c r="W87" s="1">
        <f t="shared" si="3"/>
        <v>0</v>
      </c>
    </row>
    <row r="88" spans="1:23" hidden="1" x14ac:dyDescent="0.2">
      <c r="A88" s="7" t="str">
        <f>Data!A604</f>
        <v>Sempra</v>
      </c>
      <c r="B88" s="7" t="str">
        <f>Data!B604</f>
        <v>SRE</v>
      </c>
      <c r="C88" s="7" t="str">
        <f>Data!C604</f>
        <v>Utilities</v>
      </c>
      <c r="D88" s="8">
        <f>IF(ISNUMBER(Data!AL604),Data!AL604/1000,"n/a")</f>
        <v>47.15</v>
      </c>
      <c r="E88" s="1">
        <f>Data!E604</f>
        <v>19</v>
      </c>
      <c r="F88" s="28">
        <f>Data!J604/100</f>
        <v>3.0343182721611236E-2</v>
      </c>
      <c r="G88" s="28">
        <f>IF(ISNUMBER(Data!S604),Data!S604/100,"n/a")</f>
        <v>5.9110298598415545E-2</v>
      </c>
      <c r="H88" s="28">
        <f>IF(ISNUMBER(Data!T604),Data!T604/100,"n/a")</f>
        <v>7.398290114781747E-2</v>
      </c>
      <c r="I88" s="28">
        <f>IF(ISNUMBER(Data!U604),Data!U604/100,"n/a")</f>
        <v>7.9426352848476212E-2</v>
      </c>
      <c r="J88" s="28">
        <f>IF(ISNUMBER(Data!V604),Data!V604/100,"n/a")</f>
        <v>9.0319725293127817E-2</v>
      </c>
      <c r="K88" s="9">
        <f>IF(ISNUMBER(Data!Z604),Data!Z604/100,"n/a")</f>
        <v>1.2865168539325842</v>
      </c>
      <c r="L88" s="10">
        <f>Data!AA604</f>
        <v>42.398876404494381</v>
      </c>
      <c r="M88" s="10">
        <f>Data!AF604</f>
        <v>1.85</v>
      </c>
      <c r="N88" s="28">
        <f>IF(ISNUMBER(Data!AG604),Data!AG604/100,"n/a")</f>
        <v>4.4999999999999998E-2</v>
      </c>
      <c r="O88" s="28">
        <f>IF(ISNUMBER(Data!AJ604),Data!AJ604/100,"n/a")</f>
        <v>-0.06</v>
      </c>
      <c r="P88" s="9">
        <f>IF(ISNUMBER(Data!AK604),Data!AK604/100,"n/a")</f>
        <v>3.8699999999999998E-2</v>
      </c>
      <c r="Q88" s="8">
        <f>Data!AN604</f>
        <v>1</v>
      </c>
      <c r="R88" s="8">
        <f>Data!AP604</f>
        <v>10.976953557008745</v>
      </c>
      <c r="S88" s="8"/>
      <c r="T88" s="8"/>
      <c r="U88" s="8"/>
      <c r="V88" s="1">
        <f t="shared" si="2"/>
        <v>7</v>
      </c>
      <c r="W88" s="1">
        <f t="shared" si="3"/>
        <v>0</v>
      </c>
    </row>
    <row r="89" spans="1:23" hidden="1" x14ac:dyDescent="0.2">
      <c r="A89" s="7" t="str">
        <f>Data!A589</f>
        <v>Silgan Holdings Inc.</v>
      </c>
      <c r="B89" s="7" t="str">
        <f>Data!B589</f>
        <v>SLGN</v>
      </c>
      <c r="C89" s="7" t="str">
        <f>Data!C589</f>
        <v>Materials</v>
      </c>
      <c r="D89" s="8">
        <f>IF(ISNUMBER(Data!AL589),Data!AL589/1000,"n/a")</f>
        <v>5.15</v>
      </c>
      <c r="E89" s="1">
        <f>Data!E589</f>
        <v>19</v>
      </c>
      <c r="F89" s="28">
        <f>Data!J589/100</f>
        <v>1.3513513513513513E-2</v>
      </c>
      <c r="G89" s="28">
        <f>IF(ISNUMBER(Data!S589),Data!S589/100,"n/a")</f>
        <v>0.16666666666666674</v>
      </c>
      <c r="H89" s="28">
        <f>IF(ISNUMBER(Data!T589),Data!T589/100,"n/a")</f>
        <v>0.11868894208139678</v>
      </c>
      <c r="I89" s="28">
        <f>IF(ISNUMBER(Data!U589),Data!U589/100,"n/a")</f>
        <v>0.10494795379650323</v>
      </c>
      <c r="J89" s="28">
        <f>IF(ISNUMBER(Data!V589),Data!V589/100,"n/a")</f>
        <v>9.7934759492371626E-2</v>
      </c>
      <c r="K89" s="9">
        <f>IF(ISNUMBER(Data!Z589),Data!Z589/100,"n/a")</f>
        <v>0.17728531855955679</v>
      </c>
      <c r="L89" s="10">
        <f>Data!AA589</f>
        <v>13.119113573407203</v>
      </c>
      <c r="M89" s="10">
        <f>Data!AF589</f>
        <v>3.26</v>
      </c>
      <c r="N89" s="28">
        <f>IF(ISNUMBER(Data!AG589),Data!AG589/100,"n/a")</f>
        <v>0.23599999999999999</v>
      </c>
      <c r="O89" s="28">
        <f>IF(ISNUMBER(Data!AJ589),Data!AJ589/100,"n/a")</f>
        <v>0.20499999999999999</v>
      </c>
      <c r="P89" s="9">
        <f>IF(ISNUMBER(Data!AK589),Data!AK589/100,"n/a")</f>
        <v>5.7200000000000001E-2</v>
      </c>
      <c r="Q89" s="8">
        <f>Data!AN589</f>
        <v>2.5099999999999998</v>
      </c>
      <c r="R89" s="8">
        <f>Data!AP589</f>
        <v>11.846146731001674</v>
      </c>
      <c r="S89" s="8"/>
      <c r="T89" s="8"/>
      <c r="U89" s="8"/>
      <c r="V89" s="1">
        <f t="shared" si="2"/>
        <v>9</v>
      </c>
      <c r="W89" s="1">
        <f t="shared" si="3"/>
        <v>0</v>
      </c>
    </row>
    <row r="90" spans="1:23" hidden="1" x14ac:dyDescent="0.2">
      <c r="A90" s="7" t="str">
        <f>Data!A599</f>
        <v>Sony Group Corporation</v>
      </c>
      <c r="B90" s="7" t="str">
        <f>Data!B599</f>
        <v>SONY</v>
      </c>
      <c r="C90" s="7" t="str">
        <f>Data!C599</f>
        <v>Consumer Discretionary</v>
      </c>
      <c r="D90" s="8">
        <f>IF(ISNUMBER(Data!AL599),Data!AL599/1000,"n/a")</f>
        <v>85.05</v>
      </c>
      <c r="E90" s="1">
        <f>Data!E599</f>
        <v>6</v>
      </c>
      <c r="F90" s="28">
        <f>Data!J599/100</f>
        <v>8.0895212687120202E-3</v>
      </c>
      <c r="G90" s="28">
        <f>IF(ISNUMBER(Data!S599),Data!S599/100,"n/a")</f>
        <v>0.15363188343689727</v>
      </c>
      <c r="H90" s="28">
        <f>IF(ISNUMBER(Data!T599),Data!T599/100,"n/a")</f>
        <v>0.25976508046397839</v>
      </c>
      <c r="I90" s="28">
        <f>IF(ISNUMBER(Data!U599),Data!U599/100,"n/a")</f>
        <v>0.24777709673280945</v>
      </c>
      <c r="J90" s="28">
        <f>IF(ISNUMBER(Data!V599),Data!V599/100,"n/a")</f>
        <v>5.4597791806450413E-2</v>
      </c>
      <c r="K90" s="9">
        <f>IF(ISNUMBER(Data!Z599),Data!Z599/100,"n/a")</f>
        <v>0.11230452674897118</v>
      </c>
      <c r="L90" s="10">
        <f>Data!AA599</f>
        <v>13.882716049382715</v>
      </c>
      <c r="M90" s="10">
        <f>Data!AF599</f>
        <v>1.77</v>
      </c>
      <c r="N90" s="28">
        <f>IF(ISNUMBER(Data!AG599),Data!AG599/100,"n/a")</f>
        <v>0.125</v>
      </c>
      <c r="O90" s="28">
        <f>IF(ISNUMBER(Data!AJ599),Data!AJ599/100,"n/a")</f>
        <v>0.65400000000000003</v>
      </c>
      <c r="P90" s="9">
        <f>IF(ISNUMBER(Data!AK599),Data!AK599/100,"n/a")</f>
        <v>0.11600000000000002</v>
      </c>
      <c r="Q90" s="8">
        <f>Data!AN599</f>
        <v>0.48</v>
      </c>
      <c r="R90" s="8">
        <f>Data!AP599</f>
        <v>25.586661800152147</v>
      </c>
      <c r="S90" s="8"/>
      <c r="T90" s="8"/>
      <c r="U90" s="8"/>
      <c r="V90" s="1">
        <f t="shared" si="2"/>
        <v>10</v>
      </c>
      <c r="W90" s="1">
        <f t="shared" si="3"/>
        <v>0</v>
      </c>
    </row>
    <row r="91" spans="1:23" hidden="1" x14ac:dyDescent="0.2">
      <c r="A91" s="7" t="str">
        <f>Data!A524</f>
        <v>PNM Resources, Inc.</v>
      </c>
      <c r="B91" s="7" t="str">
        <f>Data!B524</f>
        <v>PNM</v>
      </c>
      <c r="C91" s="7" t="str">
        <f>Data!C524</f>
        <v>Utilities</v>
      </c>
      <c r="D91" s="8">
        <f>IF(ISNUMBER(Data!AL524),Data!AL524/1000,"n/a")</f>
        <v>3.94</v>
      </c>
      <c r="E91" s="1">
        <f>Data!E524</f>
        <v>11</v>
      </c>
      <c r="F91" s="28">
        <f>Data!J524/100</f>
        <v>2.9911771035076393E-2</v>
      </c>
      <c r="G91" s="28">
        <f>IF(ISNUMBER(Data!S524),Data!S524/100,"n/a")</f>
        <v>6.5040650406504197E-2</v>
      </c>
      <c r="H91" s="28">
        <f>IF(ISNUMBER(Data!T524),Data!T524/100,"n/a")</f>
        <v>7.3136937179899553E-2</v>
      </c>
      <c r="I91" s="28">
        <f>IF(ISNUMBER(Data!U524),Data!U524/100,"n/a")</f>
        <v>8.2823630187708552E-2</v>
      </c>
      <c r="J91" s="28">
        <f>IF(ISNUMBER(Data!V524),Data!V524/100,"n/a")</f>
        <v>0.10110853536376684</v>
      </c>
      <c r="K91" s="9">
        <f>IF(ISNUMBER(Data!Z524),Data!Z524/100,"n/a")</f>
        <v>0.7679558011049723</v>
      </c>
      <c r="L91" s="10">
        <f>Data!AA524</f>
        <v>25.674033149171269</v>
      </c>
      <c r="M91" s="10">
        <f>Data!AF524</f>
        <v>1.87</v>
      </c>
      <c r="N91" s="28">
        <f>IF(ISNUMBER(Data!AG524),Data!AG524/100,"n/a")</f>
        <v>7.2999999999999995E-2</v>
      </c>
      <c r="O91" s="28">
        <f>IF(ISNUMBER(Data!AJ524),Data!AJ524/100,"n/a")</f>
        <v>9.3000000000000013E-2</v>
      </c>
      <c r="P91" s="9">
        <f>IF(ISNUMBER(Data!AK524),Data!AK524/100,"n/a")</f>
        <v>5.2200000000000003E-2</v>
      </c>
      <c r="Q91" s="8">
        <f>Data!AN524</f>
        <v>1.93</v>
      </c>
      <c r="R91" s="8">
        <f>Data!AP524</f>
        <v>11.273540122278494</v>
      </c>
      <c r="S91" s="8"/>
      <c r="T91" s="8"/>
      <c r="U91" s="8"/>
      <c r="V91" s="1">
        <f t="shared" si="2"/>
        <v>8</v>
      </c>
      <c r="W91" s="1">
        <f t="shared" si="3"/>
        <v>0</v>
      </c>
    </row>
    <row r="92" spans="1:23" hidden="1" x14ac:dyDescent="0.2">
      <c r="A92" s="7" t="str">
        <f>Data!A531</f>
        <v>Peoples Ltd.</v>
      </c>
      <c r="B92" s="7" t="str">
        <f>Data!B531</f>
        <v>PPLL</v>
      </c>
      <c r="C92" s="7" t="str">
        <f>Data!C531</f>
        <v>Financials</v>
      </c>
      <c r="D92" s="8" t="str">
        <f>IF(ISNUMBER(Data!AL531),Data!AL531/1000,"n/a")</f>
        <v>n/a</v>
      </c>
      <c r="E92" s="1">
        <f>Data!E531</f>
        <v>11</v>
      </c>
      <c r="F92" s="28">
        <f>Data!J531/100</f>
        <v>3.4285714285714287E-2</v>
      </c>
      <c r="G92" s="28">
        <f>IF(ISNUMBER(Data!S531),Data!S531/100,"n/a")</f>
        <v>9.2760180995474992E-2</v>
      </c>
      <c r="H92" s="28">
        <f>IF(ISNUMBER(Data!T531),Data!T531/100,"n/a")</f>
        <v>9.283649214605362E-2</v>
      </c>
      <c r="I92" s="28">
        <f>IF(ISNUMBER(Data!U531),Data!U531/100,"n/a")</f>
        <v>9.3209246670490575E-2</v>
      </c>
      <c r="J92" s="28" t="str">
        <f>IF(ISNUMBER(Data!V531),Data!V531/100,"n/a")</f>
        <v>n/a</v>
      </c>
      <c r="K92" s="9" t="str">
        <f>IF(ISNUMBER(Data!Z531),Data!Z531/100,"n/a")</f>
        <v>n/a</v>
      </c>
      <c r="L92" s="10" t="str">
        <f>Data!AA531</f>
        <v>n/a</v>
      </c>
      <c r="M92" s="10" t="str">
        <f>Data!AF531</f>
        <v>n/a</v>
      </c>
      <c r="N92" s="28" t="str">
        <f>IF(ISNUMBER(Data!AG531),Data!AG531/100,"n/a")</f>
        <v>n/a</v>
      </c>
      <c r="O92" s="28" t="str">
        <f>IF(ISNUMBER(Data!AJ531),Data!AJ531/100,"n/a")</f>
        <v>n/a</v>
      </c>
      <c r="P92" s="9" t="str">
        <f>IF(ISNUMBER(Data!AK531),Data!AK531/100,"n/a")</f>
        <v>n/a</v>
      </c>
      <c r="Q92" s="8" t="str">
        <f>Data!AN531</f>
        <v>n/a</v>
      </c>
      <c r="R92" s="8">
        <f>Data!AP531</f>
        <v>12.749496095620486</v>
      </c>
      <c r="S92" s="8"/>
      <c r="T92" s="8"/>
      <c r="U92" s="8"/>
      <c r="V92" s="1">
        <f t="shared" si="2"/>
        <v>4</v>
      </c>
      <c r="W92" s="1">
        <f t="shared" si="3"/>
        <v>0</v>
      </c>
    </row>
    <row r="93" spans="1:23" hidden="1" x14ac:dyDescent="0.2">
      <c r="A93" s="7" t="str">
        <f>Data!A377</f>
        <v>Lithia Motors, Inc.</v>
      </c>
      <c r="B93" s="7" t="str">
        <f>Data!B377</f>
        <v>LAD</v>
      </c>
      <c r="C93" s="7" t="str">
        <f>Data!C377</f>
        <v>Consumer Discretionary</v>
      </c>
      <c r="D93" s="8">
        <f>IF(ISNUMBER(Data!AL377),Data!AL377/1000,"n/a")</f>
        <v>5.69</v>
      </c>
      <c r="E93" s="1">
        <f>Data!E377</f>
        <v>13</v>
      </c>
      <c r="F93" s="28">
        <f>Data!J377/100</f>
        <v>8.4784254352763058E-3</v>
      </c>
      <c r="G93" s="28">
        <f>IF(ISNUMBER(Data!S377),Data!S377/100,"n/a")</f>
        <v>0.11475409836065588</v>
      </c>
      <c r="H93" s="28">
        <f>IF(ISNUMBER(Data!T377),Data!T377/100,"n/a")</f>
        <v>6.0583058881209295E-2</v>
      </c>
      <c r="I93" s="28">
        <f>IF(ISNUMBER(Data!U377),Data!U377/100,"n/a")</f>
        <v>7.439272913026973E-2</v>
      </c>
      <c r="J93" s="28">
        <f>IF(ISNUMBER(Data!V377),Data!V377/100,"n/a")</f>
        <v>0.17993084965303585</v>
      </c>
      <c r="K93" s="9">
        <f>IF(ISNUMBER(Data!Z377),Data!Z377/100,"n/a")</f>
        <v>3.7558685446009391E-2</v>
      </c>
      <c r="L93" s="10">
        <f>Data!AA377</f>
        <v>4.4299128101945007</v>
      </c>
      <c r="M93" s="10">
        <f>Data!AF377</f>
        <v>1.1200000000000001</v>
      </c>
      <c r="N93" s="28">
        <f>IF(ISNUMBER(Data!AG377),Data!AG377/100,"n/a")</f>
        <v>0.27</v>
      </c>
      <c r="O93" s="28">
        <f>IF(ISNUMBER(Data!AJ377),Data!AJ377/100,"n/a")</f>
        <v>0.36499999999999999</v>
      </c>
      <c r="P93" s="9">
        <f>IF(ISNUMBER(Data!AK377),Data!AK377/100,"n/a")</f>
        <v>5.0999999999999997E-2</v>
      </c>
      <c r="Q93" s="8">
        <f>Data!AN377</f>
        <v>1.4</v>
      </c>
      <c r="R93" s="8">
        <f>Data!AP377</f>
        <v>8.2871154565546039</v>
      </c>
      <c r="S93" s="8"/>
      <c r="T93" s="8"/>
      <c r="U93" s="8"/>
      <c r="V93" s="1">
        <f t="shared" si="2"/>
        <v>9</v>
      </c>
      <c r="W93" s="1">
        <f t="shared" si="3"/>
        <v>0</v>
      </c>
    </row>
    <row r="94" spans="1:23" hidden="1" x14ac:dyDescent="0.2">
      <c r="A94" s="7" t="str">
        <f>Data!A594</f>
        <v>Schneider National, Inc.</v>
      </c>
      <c r="B94" s="7" t="str">
        <f>Data!B594</f>
        <v>SNDR</v>
      </c>
      <c r="C94" s="7" t="str">
        <f>Data!C594</f>
        <v>Industrials</v>
      </c>
      <c r="D94" s="8">
        <f>IF(ISNUMBER(Data!AL594),Data!AL594/1000,"n/a")</f>
        <v>3.89</v>
      </c>
      <c r="E94" s="1">
        <f>Data!E594</f>
        <v>6</v>
      </c>
      <c r="F94" s="28">
        <f>Data!J594/100</f>
        <v>1.4388489208633094E-2</v>
      </c>
      <c r="G94" s="28">
        <f>IF(ISNUMBER(Data!S594),Data!S594/100,"n/a")</f>
        <v>7.8431372549019773E-2</v>
      </c>
      <c r="H94" s="28">
        <f>IF(ISNUMBER(Data!T594),Data!T594/100,"n/a")</f>
        <v>6.1373611981101694E-2</v>
      </c>
      <c r="I94" s="28" t="str">
        <f>IF(ISNUMBER(Data!U594),Data!U594/100,"n/a")</f>
        <v>n/a</v>
      </c>
      <c r="J94" s="28" t="str">
        <f>IF(ISNUMBER(Data!V594),Data!V594/100,"n/a")</f>
        <v>n/a</v>
      </c>
      <c r="K94" s="9">
        <f>IF(ISNUMBER(Data!Z594),Data!Z594/100,"n/a")</f>
        <v>0.11851851851851851</v>
      </c>
      <c r="L94" s="10">
        <f>Data!AA594</f>
        <v>8.2370370370370356</v>
      </c>
      <c r="M94" s="10">
        <f>Data!AF594</f>
        <v>1.41</v>
      </c>
      <c r="N94" s="28">
        <f>IF(ISNUMBER(Data!AG594),Data!AG594/100,"n/a")</f>
        <v>0.187</v>
      </c>
      <c r="O94" s="28">
        <f>IF(ISNUMBER(Data!AJ594),Data!AJ594/100,"n/a")</f>
        <v>0.20300000000000001</v>
      </c>
      <c r="P94" s="9">
        <f>IF(ISNUMBER(Data!AK594),Data!AK594/100,"n/a")</f>
        <v>5.2900000000000003E-2</v>
      </c>
      <c r="Q94" s="8">
        <f>Data!AN594</f>
        <v>0.08</v>
      </c>
      <c r="R94" s="8" t="str">
        <f>Data!AP594</f>
        <v>n/a</v>
      </c>
      <c r="S94" s="8"/>
      <c r="T94" s="8"/>
      <c r="U94" s="8"/>
      <c r="V94" s="1">
        <f t="shared" si="2"/>
        <v>8</v>
      </c>
      <c r="W94" s="1">
        <f t="shared" si="3"/>
        <v>0</v>
      </c>
    </row>
    <row r="95" spans="1:23" hidden="1" x14ac:dyDescent="0.2">
      <c r="A95" s="7" t="str">
        <f>Data!A354</f>
        <v>Illinois Tool Works Inc.</v>
      </c>
      <c r="B95" s="7" t="str">
        <f>Data!B354</f>
        <v>ITW</v>
      </c>
      <c r="C95" s="7" t="str">
        <f>Data!C354</f>
        <v>Industrials</v>
      </c>
      <c r="D95" s="8">
        <f>IF(ISNUMBER(Data!AL354),Data!AL354/1000,"n/a")</f>
        <v>64.05</v>
      </c>
      <c r="E95" s="1">
        <f>Data!E354</f>
        <v>48</v>
      </c>
      <c r="F95" s="28">
        <f>Data!J354/100</f>
        <v>2.4539877300613498E-2</v>
      </c>
      <c r="G95" s="28">
        <f>IF(ISNUMBER(Data!S354),Data!S354/100,"n/a")</f>
        <v>6.6666666666666652E-2</v>
      </c>
      <c r="H95" s="28">
        <f>IF(ISNUMBER(Data!T354),Data!T354/100,"n/a")</f>
        <v>0.11581065592663009</v>
      </c>
      <c r="I95" s="28">
        <f>IF(ISNUMBER(Data!U354),Data!U354/100,"n/a")</f>
        <v>0.1506891786532889</v>
      </c>
      <c r="J95" s="28">
        <f>IF(ISNUMBER(Data!V354),Data!V354/100,"n/a")</f>
        <v>0.12892187764096485</v>
      </c>
      <c r="K95" s="9">
        <f>IF(ISNUMBER(Data!Z354),Data!Z354/100,"n/a")</f>
        <v>0.59817351598173518</v>
      </c>
      <c r="L95" s="10">
        <f>Data!AA354</f>
        <v>24.37557077625571</v>
      </c>
      <c r="M95" s="10">
        <f>Data!AF354</f>
        <v>21.93</v>
      </c>
      <c r="N95" s="28">
        <f>IF(ISNUMBER(Data!AG354),Data!AG354/100,"n/a")</f>
        <v>0.80500000000000005</v>
      </c>
      <c r="O95" s="28">
        <f>IF(ISNUMBER(Data!AJ354),Data!AJ354/100,"n/a")</f>
        <v>8.4000000000000005E-2</v>
      </c>
      <c r="P95" s="9">
        <f>IF(ISNUMBER(Data!AK354),Data!AK354/100,"n/a")</f>
        <v>4.4799999999999993E-2</v>
      </c>
      <c r="Q95" s="8">
        <f>Data!AN354</f>
        <v>2.5299999999999998</v>
      </c>
      <c r="R95" s="8">
        <f>Data!AP354</f>
        <v>17.522905595390242</v>
      </c>
      <c r="S95" s="8"/>
      <c r="T95" s="8"/>
      <c r="U95" s="8"/>
      <c r="V95" s="1">
        <f t="shared" si="2"/>
        <v>10</v>
      </c>
      <c r="W95" s="1">
        <f t="shared" si="3"/>
        <v>0</v>
      </c>
    </row>
    <row r="96" spans="1:23" hidden="1" x14ac:dyDescent="0.2">
      <c r="A96" s="7" t="str">
        <f>Data!A308</f>
        <v>Hillenbrand, Inc.</v>
      </c>
      <c r="B96" s="7" t="str">
        <f>Data!B308</f>
        <v>HI</v>
      </c>
      <c r="C96" s="7" t="str">
        <f>Data!C308</f>
        <v>Industrials</v>
      </c>
      <c r="D96" s="8">
        <f>IF(ISNUMBER(Data!AL308),Data!AL308/1000,"n/a")</f>
        <v>2.99</v>
      </c>
      <c r="E96" s="1">
        <f>Data!E308</f>
        <v>15</v>
      </c>
      <c r="F96" s="28">
        <f>Data!J308/100</f>
        <v>1.9692168401991852E-2</v>
      </c>
      <c r="G96" s="28">
        <f>IF(ISNUMBER(Data!S308),Data!S308/100,"n/a")</f>
        <v>1.1730205278592365E-2</v>
      </c>
      <c r="H96" s="28">
        <f>IF(ISNUMBER(Data!T308),Data!T308/100,"n/a")</f>
        <v>1.2479005711020674E-2</v>
      </c>
      <c r="I96" s="28">
        <f>IF(ISNUMBER(Data!U308),Data!U308/100,"n/a")</f>
        <v>1.2015459506031334E-2</v>
      </c>
      <c r="J96" s="28">
        <f>IF(ISNUMBER(Data!V308),Data!V308/100,"n/a")</f>
        <v>1.2399508331666365E-2</v>
      </c>
      <c r="K96" s="9">
        <f>IF(ISNUMBER(Data!Z308),Data!Z308/100,"n/a")</f>
        <v>0.30742049469964661</v>
      </c>
      <c r="L96" s="10">
        <f>Data!AA308</f>
        <v>15.611307420494699</v>
      </c>
      <c r="M96" s="10">
        <f>Data!AF308</f>
        <v>2.79</v>
      </c>
      <c r="N96" s="28">
        <f>IF(ISNUMBER(Data!AG308),Data!AG308/100,"n/a")</f>
        <v>0.17199999999999999</v>
      </c>
      <c r="O96" s="28">
        <f>IF(ISNUMBER(Data!AJ308),Data!AJ308/100,"n/a")</f>
        <v>0.13400000000000001</v>
      </c>
      <c r="P96" s="9">
        <f>IF(ISNUMBER(Data!AK308),Data!AK308/100,"n/a")</f>
        <v>0.12</v>
      </c>
      <c r="Q96" s="8">
        <f>Data!AN308</f>
        <v>0</v>
      </c>
      <c r="R96" s="8">
        <f>Data!AP308</f>
        <v>3.1707627908023186</v>
      </c>
      <c r="S96" s="8"/>
      <c r="T96" s="8"/>
      <c r="U96" s="8"/>
      <c r="V96" s="1">
        <f t="shared" si="2"/>
        <v>6</v>
      </c>
      <c r="W96" s="1">
        <f t="shared" si="3"/>
        <v>0</v>
      </c>
    </row>
    <row r="97" spans="1:23" hidden="1" x14ac:dyDescent="0.2">
      <c r="A97" s="7" t="str">
        <f>Data!A330</f>
        <v>Hubbell Incorporated</v>
      </c>
      <c r="B97" s="7" t="str">
        <f>Data!B330</f>
        <v>HUBB</v>
      </c>
      <c r="C97" s="7" t="str">
        <f>Data!C330</f>
        <v>Industrials</v>
      </c>
      <c r="D97" s="8">
        <f>IF(ISNUMBER(Data!AL330),Data!AL330/1000,"n/a")</f>
        <v>12.86</v>
      </c>
      <c r="E97" s="1">
        <f>Data!E330</f>
        <v>15</v>
      </c>
      <c r="F97" s="28">
        <f>Data!J330/100</f>
        <v>1.8864746504968843E-2</v>
      </c>
      <c r="G97" s="28">
        <f>IF(ISNUMBER(Data!S330),Data!S330/100,"n/a")</f>
        <v>7.547169811320753E-2</v>
      </c>
      <c r="H97" s="28">
        <f>IF(ISNUMBER(Data!T330),Data!T330/100,"n/a")</f>
        <v>8.1983855523197757E-2</v>
      </c>
      <c r="I97" s="28">
        <f>IF(ISNUMBER(Data!U330),Data!U330/100,"n/a")</f>
        <v>9.0271416315252928E-2</v>
      </c>
      <c r="J97" s="28">
        <f>IF(ISNUMBER(Data!V330),Data!V330/100,"n/a")</f>
        <v>0.10131849033861794</v>
      </c>
      <c r="K97" s="9">
        <f>IF(ISNUMBER(Data!Z330),Data!Z330/100,"n/a")</f>
        <v>0.51672433679354102</v>
      </c>
      <c r="L97" s="10">
        <f>Data!AA330</f>
        <v>27.39100346020761</v>
      </c>
      <c r="M97" s="10">
        <f>Data!AF330</f>
        <v>5.49</v>
      </c>
      <c r="N97" s="28">
        <f>IF(ISNUMBER(Data!AG330),Data!AG330/100,"n/a")</f>
        <v>0.247</v>
      </c>
      <c r="O97" s="28">
        <f>IF(ISNUMBER(Data!AJ330),Data!AJ330/100,"n/a")</f>
        <v>4.9000000000000002E-2</v>
      </c>
      <c r="P97" s="9">
        <f>IF(ISNUMBER(Data!AK330),Data!AK330/100,"n/a")</f>
        <v>0.1</v>
      </c>
      <c r="Q97" s="8">
        <f>Data!AN330</f>
        <v>0.62</v>
      </c>
      <c r="R97" s="8">
        <f>Data!AP330</f>
        <v>10.913616282022177</v>
      </c>
      <c r="S97" s="8"/>
      <c r="T97" s="8"/>
      <c r="U97" s="8"/>
      <c r="V97" s="1">
        <f t="shared" si="2"/>
        <v>9</v>
      </c>
      <c r="W97" s="1">
        <f t="shared" si="3"/>
        <v>0</v>
      </c>
    </row>
    <row r="98" spans="1:23" hidden="1" x14ac:dyDescent="0.2">
      <c r="A98" s="7" t="str">
        <f>Data!A315</f>
        <v>Hamilton Lane Incorporated</v>
      </c>
      <c r="B98" s="7" t="str">
        <f>Data!B315</f>
        <v>HLNE</v>
      </c>
      <c r="C98" s="7" t="str">
        <f>Data!C315</f>
        <v>Financials</v>
      </c>
      <c r="D98" s="8">
        <f>IF(ISNUMBER(Data!AL315),Data!AL315/1000,"n/a")</f>
        <v>3.14</v>
      </c>
      <c r="E98" s="1">
        <f>Data!E315</f>
        <v>6</v>
      </c>
      <c r="F98" s="28">
        <f>Data!J315/100</f>
        <v>2.6746907388833167E-2</v>
      </c>
      <c r="G98" s="28">
        <f>IF(ISNUMBER(Data!S315),Data!S315/100,"n/a")</f>
        <v>0.12765957446808507</v>
      </c>
      <c r="H98" s="28">
        <f>IF(ISNUMBER(Data!T315),Data!T315/100,"n/a")</f>
        <v>0.19574358216078624</v>
      </c>
      <c r="I98" s="28" t="str">
        <f>IF(ISNUMBER(Data!U315),Data!U315/100,"n/a")</f>
        <v>n/a</v>
      </c>
      <c r="J98" s="28" t="str">
        <f>IF(ISNUMBER(Data!V315),Data!V315/100,"n/a")</f>
        <v>n/a</v>
      </c>
      <c r="K98" s="9">
        <f>IF(ISNUMBER(Data!Z315),Data!Z315/100,"n/a")</f>
        <v>0.38929440389294401</v>
      </c>
      <c r="L98" s="10">
        <f>Data!AA315</f>
        <v>14.554744525547445</v>
      </c>
      <c r="M98" s="10">
        <f>Data!AF315</f>
        <v>6.12</v>
      </c>
      <c r="N98" s="28">
        <f>IF(ISNUMBER(Data!AG315),Data!AG315/100,"n/a")</f>
        <v>0.44800000000000006</v>
      </c>
      <c r="O98" s="28">
        <f>IF(ISNUMBER(Data!AJ315),Data!AJ315/100,"n/a")</f>
        <v>1.625</v>
      </c>
      <c r="P98" s="9">
        <f>IF(ISNUMBER(Data!AK315),Data!AK315/100,"n/a")</f>
        <v>0.15</v>
      </c>
      <c r="Q98" s="8">
        <f>Data!AN315</f>
        <v>0.6</v>
      </c>
      <c r="R98" s="8" t="str">
        <f>Data!AP315</f>
        <v>n/a</v>
      </c>
      <c r="S98" s="8"/>
      <c r="T98" s="8"/>
      <c r="U98" s="8"/>
      <c r="V98" s="1">
        <f t="shared" si="2"/>
        <v>9</v>
      </c>
      <c r="W98" s="1">
        <f t="shared" si="3"/>
        <v>0</v>
      </c>
    </row>
    <row r="99" spans="1:23" hidden="1" x14ac:dyDescent="0.2">
      <c r="A99" s="7" t="str">
        <f>Data!A642</f>
        <v>Tootsie Roll Industries, Inc.</v>
      </c>
      <c r="B99" s="7" t="str">
        <f>Data!B642</f>
        <v>TR</v>
      </c>
      <c r="C99" s="7" t="str">
        <f>Data!C642</f>
        <v>Consumer Staples</v>
      </c>
      <c r="D99" s="8">
        <f>IF(ISNUMBER(Data!AL642),Data!AL642/1000,"n/a")</f>
        <v>2.77</v>
      </c>
      <c r="E99" s="1">
        <f>Data!E642</f>
        <v>52</v>
      </c>
      <c r="F99" s="28">
        <f>Data!J642/100</f>
        <v>8.9130973013122061E-3</v>
      </c>
      <c r="G99" s="28">
        <f>IF(ISNUMBER(Data!S642),Data!S642/100,"n/a")</f>
        <v>3.0000000000000027E-2</v>
      </c>
      <c r="H99" s="28">
        <f>IF(ISNUMBER(Data!T642),Data!T642/100,"n/a")</f>
        <v>3.0000000000000027E-2</v>
      </c>
      <c r="I99" s="28">
        <f>IF(ISNUMBER(Data!U642),Data!U642/100,"n/a")</f>
        <v>3.0000000000000027E-2</v>
      </c>
      <c r="J99" s="28">
        <f>IF(ISNUMBER(Data!V642),Data!V642/100,"n/a")</f>
        <v>4.3756231074200347E-2</v>
      </c>
      <c r="K99" s="9">
        <f>IF(ISNUMBER(Data!Z642),Data!Z642/100,"n/a")</f>
        <v>0.36</v>
      </c>
      <c r="L99" s="10">
        <f>Data!AA642</f>
        <v>40.39</v>
      </c>
      <c r="M99" s="10">
        <f>Data!AF642</f>
        <v>3.64</v>
      </c>
      <c r="N99" s="28">
        <f>IF(ISNUMBER(Data!AG642),Data!AG642/100,"n/a")</f>
        <v>0.09</v>
      </c>
      <c r="O99" s="28">
        <f>IF(ISNUMBER(Data!AJ642),Data!AJ642/100,"n/a")</f>
        <v>7.000000000000001E-3</v>
      </c>
      <c r="P99" s="9">
        <f>IF(ISNUMBER(Data!AK642),Data!AK642/100,"n/a")</f>
        <v>0.09</v>
      </c>
      <c r="Q99" s="8">
        <f>Data!AN642</f>
        <v>0.01</v>
      </c>
      <c r="R99" s="8">
        <f>Data!AP642</f>
        <v>3.8913097301312232</v>
      </c>
      <c r="S99" s="8"/>
      <c r="T99" s="8"/>
      <c r="U99" s="8"/>
      <c r="V99" s="1">
        <f t="shared" si="2"/>
        <v>6</v>
      </c>
      <c r="W99" s="1">
        <f t="shared" si="3"/>
        <v>0</v>
      </c>
    </row>
    <row r="100" spans="1:23" hidden="1" x14ac:dyDescent="0.2">
      <c r="A100" s="7" t="str">
        <f>Data!A306</f>
        <v>Home Federal Bancorp, Inc. of Louisiana</v>
      </c>
      <c r="B100" s="7" t="str">
        <f>Data!B306</f>
        <v>HFBL</v>
      </c>
      <c r="C100" s="7" t="str">
        <f>Data!C306</f>
        <v>Financials</v>
      </c>
      <c r="D100" s="8">
        <f>IF(ISNUMBER(Data!AL306),Data!AL306/1000,"n/a")</f>
        <v>5.8810000000000001E-2</v>
      </c>
      <c r="E100" s="1">
        <f>Data!E306</f>
        <v>9</v>
      </c>
      <c r="F100" s="28">
        <f>Data!J306/100</f>
        <v>2.5792584631918324E-2</v>
      </c>
      <c r="G100" s="28">
        <f>IF(ISNUMBER(Data!S306),Data!S306/100,"n/a")</f>
        <v>0.12307692307692308</v>
      </c>
      <c r="H100" s="28">
        <f>IF(ISNUMBER(Data!T306),Data!T306/100,"n/a")</f>
        <v>0.11971244580150131</v>
      </c>
      <c r="I100" s="28">
        <f>IF(ISNUMBER(Data!U306),Data!U306/100,"n/a")</f>
        <v>0.16511498685072556</v>
      </c>
      <c r="J100" s="28">
        <f>IF(ISNUMBER(Data!V306),Data!V306/100,"n/a")</f>
        <v>0.11766374091429688</v>
      </c>
      <c r="K100" s="9">
        <f>IF(ISNUMBER(Data!Z306),Data!Z306/100,"n/a")</f>
        <v>0.34285714285714286</v>
      </c>
      <c r="L100" s="10">
        <f>Data!AA306</f>
        <v>13.292857142857143</v>
      </c>
      <c r="M100" s="10">
        <f>Data!AF306</f>
        <v>1.19</v>
      </c>
      <c r="N100" s="28">
        <f>IF(ISNUMBER(Data!AG306),Data!AG306/100,"n/a")</f>
        <v>9.6000000000000002E-2</v>
      </c>
      <c r="O100" s="28">
        <f>IF(ISNUMBER(Data!AJ306),Data!AJ306/100,"n/a")</f>
        <v>0.08</v>
      </c>
      <c r="P100" s="9" t="str">
        <f>IF(ISNUMBER(Data!AK306),Data!AK306/100,"n/a")</f>
        <v>n/a</v>
      </c>
      <c r="Q100" s="8">
        <f>Data!AN306</f>
        <v>0</v>
      </c>
      <c r="R100" s="8">
        <f>Data!AP306</f>
        <v>19.090757148264387</v>
      </c>
      <c r="S100" s="8"/>
      <c r="T100" s="8"/>
      <c r="U100" s="8"/>
      <c r="V100" s="1">
        <f t="shared" si="2"/>
        <v>9</v>
      </c>
      <c r="W100" s="1">
        <f t="shared" si="3"/>
        <v>0</v>
      </c>
    </row>
    <row r="101" spans="1:23" hidden="1" x14ac:dyDescent="0.2">
      <c r="A101" s="7" t="str">
        <f>Data!A298</f>
        <v>Hamilton Beach Brands Holding Company</v>
      </c>
      <c r="B101" s="7" t="str">
        <f>Data!B298</f>
        <v>HBB</v>
      </c>
      <c r="C101" s="7" t="str">
        <f>Data!C298</f>
        <v>Consumer Discretionary</v>
      </c>
      <c r="D101" s="8">
        <f>IF(ISNUMBER(Data!AL298),Data!AL298/1000,"n/a")</f>
        <v>0.11651</v>
      </c>
      <c r="E101" s="1">
        <f>Data!E298</f>
        <v>6</v>
      </c>
      <c r="F101" s="28">
        <f>Data!J298/100</f>
        <v>3.5653650254668934E-2</v>
      </c>
      <c r="G101" s="28">
        <f>IF(ISNUMBER(Data!S298),Data!S298/100,"n/a")</f>
        <v>6.7567567567567544E-2</v>
      </c>
      <c r="H101" s="28">
        <f>IF(ISNUMBER(Data!T298),Data!T298/100,"n/a")</f>
        <v>5.1250122777545482E-2</v>
      </c>
      <c r="I101" s="28" t="str">
        <f>IF(ISNUMBER(Data!U298),Data!U298/100,"n/a")</f>
        <v>n/a</v>
      </c>
      <c r="J101" s="28" t="str">
        <f>IF(ISNUMBER(Data!V298),Data!V298/100,"n/a")</f>
        <v>n/a</v>
      </c>
      <c r="K101" s="9">
        <f>IF(ISNUMBER(Data!Z298),Data!Z298/100,"n/a")</f>
        <v>0.19266055045871558</v>
      </c>
      <c r="L101" s="10">
        <f>Data!AA298</f>
        <v>5.4036697247706416</v>
      </c>
      <c r="M101" s="10">
        <f>Data!AF298</f>
        <v>1.44</v>
      </c>
      <c r="N101" s="28">
        <f>IF(ISNUMBER(Data!AG298),Data!AG298/100,"n/a")</f>
        <v>0.29099999999999998</v>
      </c>
      <c r="O101" s="28">
        <f>IF(ISNUMBER(Data!AJ298),Data!AJ298/100,"n/a")</f>
        <v>-4.3999999999999997E-2</v>
      </c>
      <c r="P101" s="9" t="str">
        <f>IF(ISNUMBER(Data!AK298),Data!AK298/100,"n/a")</f>
        <v>n/a</v>
      </c>
      <c r="Q101" s="8">
        <f>Data!AN298</f>
        <v>0</v>
      </c>
      <c r="R101" s="8" t="str">
        <f>Data!AP298</f>
        <v>n/a</v>
      </c>
      <c r="S101" s="8"/>
      <c r="T101" s="8"/>
      <c r="U101" s="8"/>
      <c r="V101" s="1">
        <f t="shared" si="2"/>
        <v>6</v>
      </c>
      <c r="W101" s="1">
        <f t="shared" si="3"/>
        <v>0</v>
      </c>
    </row>
    <row r="102" spans="1:23" hidden="1" x14ac:dyDescent="0.2">
      <c r="A102" s="7" t="str">
        <f>Data!A16</f>
        <v>Analog Devices, Inc.</v>
      </c>
      <c r="B102" s="7" t="str">
        <f>Data!B16</f>
        <v>ADI</v>
      </c>
      <c r="C102" s="7" t="str">
        <f>Data!C16</f>
        <v>Information Technology</v>
      </c>
      <c r="D102" s="8">
        <f>IF(ISNUMBER(Data!AL16),Data!AL16/1000,"n/a")</f>
        <v>72.36</v>
      </c>
      <c r="E102" s="1">
        <f>Data!E16</f>
        <v>20</v>
      </c>
      <c r="F102" s="28">
        <f>Data!J16/100</f>
        <v>2.1315383536670875E-2</v>
      </c>
      <c r="G102" s="28">
        <f>IF(ISNUMBER(Data!S16),Data!S16/100,"n/a")</f>
        <v>0.11290322580645151</v>
      </c>
      <c r="H102" s="28">
        <f>IF(ISNUMBER(Data!T16),Data!T16/100,"n/a")</f>
        <v>0.12858935886850031</v>
      </c>
      <c r="I102" s="28">
        <f>IF(ISNUMBER(Data!U16),Data!U16/100,"n/a")</f>
        <v>0.10438362870438155</v>
      </c>
      <c r="J102" s="28">
        <f>IF(ISNUMBER(Data!V16),Data!V16/100,"n/a")</f>
        <v>0.11023198470929074</v>
      </c>
      <c r="K102" s="9">
        <f>IF(ISNUMBER(Data!Z16),Data!Z16/100,"n/a")</f>
        <v>0.8421052631578948</v>
      </c>
      <c r="L102" s="10">
        <f>Data!AA16</f>
        <v>39.506925207756233</v>
      </c>
      <c r="M102" s="10">
        <f>Data!AF16</f>
        <v>2.04</v>
      </c>
      <c r="N102" s="28">
        <f>IF(ISNUMBER(Data!AG16),Data!AG16/100,"n/a")</f>
        <v>5.0999999999999997E-2</v>
      </c>
      <c r="O102" s="28">
        <f>IF(ISNUMBER(Data!AJ16),Data!AJ16/100,"n/a")</f>
        <v>4.7E-2</v>
      </c>
      <c r="P102" s="9">
        <f>IF(ISNUMBER(Data!AK16),Data!AK16/100,"n/a")</f>
        <v>0.14680000000000001</v>
      </c>
      <c r="Q102" s="8">
        <f>Data!AN16</f>
        <v>0.17</v>
      </c>
      <c r="R102" s="8">
        <f>Data!AP16</f>
        <v>12.569901224105243</v>
      </c>
      <c r="S102" s="8"/>
      <c r="T102" s="8"/>
      <c r="U102" s="8"/>
      <c r="V102" s="1">
        <f t="shared" si="2"/>
        <v>10</v>
      </c>
      <c r="W102" s="1">
        <f t="shared" si="3"/>
        <v>0</v>
      </c>
    </row>
    <row r="103" spans="1:23" hidden="1" x14ac:dyDescent="0.2">
      <c r="A103" s="7" t="str">
        <f>Data!A257</f>
        <v>Fresenius Medical Care AG &amp; Co. KGaA</v>
      </c>
      <c r="B103" s="7" t="str">
        <f>Data!B257</f>
        <v>FMS</v>
      </c>
      <c r="C103" s="7" t="str">
        <f>Data!C257</f>
        <v>Health Care</v>
      </c>
      <c r="D103" s="8">
        <f>IF(ISNUMBER(Data!AL257),Data!AL257/1000,"n/a")</f>
        <v>7.68</v>
      </c>
      <c r="E103" s="1">
        <f>Data!E257</f>
        <v>6</v>
      </c>
      <c r="F103" s="28">
        <f>Data!J257/100</f>
        <v>5.9069935111751987E-2</v>
      </c>
      <c r="G103" s="28">
        <f>IF(ISNUMBER(Data!S257),Data!S257/100,"n/a")</f>
        <v>0.14286909943086723</v>
      </c>
      <c r="H103" s="28">
        <f>IF(ISNUMBER(Data!T257),Data!T257/100,"n/a")</f>
        <v>9.7273022960561159E-2</v>
      </c>
      <c r="I103" s="28">
        <f>IF(ISNUMBER(Data!U257),Data!U257/100,"n/a")</f>
        <v>0.12635756075595128</v>
      </c>
      <c r="J103" s="28">
        <f>IF(ISNUMBER(Data!V257),Data!V257/100,"n/a")</f>
        <v>5.8553729445805613E-2</v>
      </c>
      <c r="K103" s="9">
        <f>IF(ISNUMBER(Data!Z257),Data!Z257/100,"n/a")</f>
        <v>0.58942446043165475</v>
      </c>
      <c r="L103" s="10">
        <f>Data!AA257</f>
        <v>9.9784172661870514</v>
      </c>
      <c r="M103" s="10">
        <f>Data!AF257</f>
        <v>0.55000000000000004</v>
      </c>
      <c r="N103" s="28" t="str">
        <f>IF(ISNUMBER(Data!AG257),Data!AG257/100,"n/a")</f>
        <v>n/a</v>
      </c>
      <c r="O103" s="28">
        <f>IF(ISNUMBER(Data!AJ257),Data!AJ257/100,"n/a")</f>
        <v>-6.2100000000000002E-2</v>
      </c>
      <c r="P103" s="9">
        <f>IF(ISNUMBER(Data!AK257),Data!AK257/100,"n/a")</f>
        <v>1.0500000000000001E-2</v>
      </c>
      <c r="Q103" s="8" t="str">
        <f>Data!AN257</f>
        <v>n/a</v>
      </c>
      <c r="R103" s="8">
        <f>Data!AP257</f>
        <v>18.542749586770327</v>
      </c>
      <c r="S103" s="8"/>
      <c r="T103" s="8"/>
      <c r="U103" s="8"/>
      <c r="V103" s="1">
        <f t="shared" si="2"/>
        <v>9</v>
      </c>
      <c r="W103" s="1">
        <f t="shared" si="3"/>
        <v>0</v>
      </c>
    </row>
    <row r="104" spans="1:23" hidden="1" x14ac:dyDescent="0.2">
      <c r="A104" s="7" t="str">
        <f>Data!A236</f>
        <v>First Community Bankshares, Inc.</v>
      </c>
      <c r="B104" s="7" t="str">
        <f>Data!B236</f>
        <v>FCBC</v>
      </c>
      <c r="C104" s="7" t="str">
        <f>Data!C236</f>
        <v>Financials</v>
      </c>
      <c r="D104" s="8">
        <f>IF(ISNUMBER(Data!AL236),Data!AL236/1000,"n/a")</f>
        <v>0.60183000000000009</v>
      </c>
      <c r="E104" s="1">
        <f>Data!E236</f>
        <v>11</v>
      </c>
      <c r="F104" s="28">
        <f>Data!J236/100</f>
        <v>3.1149301825993556E-2</v>
      </c>
      <c r="G104" s="28">
        <f>IF(ISNUMBER(Data!S236),Data!S236/100,"n/a")</f>
        <v>4.0000000000000036E-2</v>
      </c>
      <c r="H104" s="28">
        <f>IF(ISNUMBER(Data!T236),Data!T236/100,"n/a")</f>
        <v>0.10064241629820891</v>
      </c>
      <c r="I104" s="28">
        <f>IF(ISNUMBER(Data!U236),Data!U236/100,"n/a")</f>
        <v>0.11628841548417412</v>
      </c>
      <c r="J104" s="28">
        <f>IF(ISNUMBER(Data!V236),Data!V236/100,"n/a")</f>
        <v>0.10026509310601807</v>
      </c>
      <c r="K104" s="9">
        <f>IF(ISNUMBER(Data!Z236),Data!Z236/100,"n/a")</f>
        <v>0.43445692883895132</v>
      </c>
      <c r="L104" s="10">
        <f>Data!AA236</f>
        <v>13.947565543071162</v>
      </c>
      <c r="M104" s="10">
        <f>Data!AF236</f>
        <v>1.47</v>
      </c>
      <c r="N104" s="28">
        <f>IF(ISNUMBER(Data!AG236),Data!AG236/100,"n/a")</f>
        <v>0.109</v>
      </c>
      <c r="O104" s="28">
        <f>IF(ISNUMBER(Data!AJ236),Data!AJ236/100,"n/a")</f>
        <v>0.152</v>
      </c>
      <c r="P104" s="9">
        <f>IF(ISNUMBER(Data!AK236),Data!AK236/100,"n/a")</f>
        <v>0.05</v>
      </c>
      <c r="Q104" s="8">
        <f>Data!AN236</f>
        <v>0</v>
      </c>
      <c r="R104" s="8">
        <f>Data!AP236</f>
        <v>14.743771731016768</v>
      </c>
      <c r="S104" s="8"/>
      <c r="T104" s="8"/>
      <c r="U104" s="8"/>
      <c r="V104" s="1">
        <f t="shared" si="2"/>
        <v>9</v>
      </c>
      <c r="W104" s="1">
        <f t="shared" si="3"/>
        <v>0</v>
      </c>
    </row>
    <row r="105" spans="1:23" hidden="1" x14ac:dyDescent="0.2">
      <c r="A105" s="7" t="str">
        <f>Data!A266</f>
        <v>Federal Realty Investment Trust</v>
      </c>
      <c r="B105" s="7" t="str">
        <f>Data!B266</f>
        <v>FRT</v>
      </c>
      <c r="C105" s="7" t="str">
        <f>Data!C266</f>
        <v>Real Estate</v>
      </c>
      <c r="D105" s="8">
        <f>IF(ISNUMBER(Data!AL266),Data!AL266/1000,"n/a")</f>
        <v>7.83</v>
      </c>
      <c r="E105" s="1">
        <f>Data!E266</f>
        <v>55</v>
      </c>
      <c r="F105" s="28">
        <f>Data!J266/100</f>
        <v>4.3645180844615078E-2</v>
      </c>
      <c r="G105" s="28">
        <f>IF(ISNUMBER(Data!S266),Data!S266/100,"n/a")</f>
        <v>9.5011876484560887E-3</v>
      </c>
      <c r="H105" s="28">
        <f>IF(ISNUMBER(Data!T266),Data!T266/100,"n/a")</f>
        <v>1.87187328644427E-2</v>
      </c>
      <c r="I105" s="28">
        <f>IF(ISNUMBER(Data!U266),Data!U266/100,"n/a")</f>
        <v>2.2635975268269881E-2</v>
      </c>
      <c r="J105" s="28">
        <f>IF(ISNUMBER(Data!V266),Data!V266/100,"n/a")</f>
        <v>4.6411530629548281E-2</v>
      </c>
      <c r="K105" s="9">
        <f>IF(ISNUMBER(Data!Z266),Data!Z266/100,"n/a")</f>
        <v>1.2413793103448276</v>
      </c>
      <c r="L105" s="10">
        <f>Data!AA266</f>
        <v>28.442528735632184</v>
      </c>
      <c r="M105" s="10">
        <f>Data!AF266</f>
        <v>2.97</v>
      </c>
      <c r="N105" s="28">
        <f>IF(ISNUMBER(Data!AG266),Data!AG266/100,"n/a")</f>
        <v>0.11</v>
      </c>
      <c r="O105" s="28">
        <f>IF(ISNUMBER(Data!AJ266),Data!AJ266/100,"n/a")</f>
        <v>1.3000000000000001E-2</v>
      </c>
      <c r="P105" s="9">
        <f>IF(ISNUMBER(Data!AK266),Data!AK266/100,"n/a")</f>
        <v>-2.7900000000000001E-2</v>
      </c>
      <c r="Q105" s="8">
        <f>Data!AN266</f>
        <v>1.56</v>
      </c>
      <c r="R105" s="8">
        <f>Data!AP266</f>
        <v>6.6281156112884956</v>
      </c>
      <c r="S105" s="8"/>
      <c r="T105" s="8"/>
      <c r="U105" s="8"/>
      <c r="V105" s="1">
        <f t="shared" si="2"/>
        <v>4</v>
      </c>
      <c r="W105" s="1">
        <f t="shared" si="3"/>
        <v>0</v>
      </c>
    </row>
    <row r="106" spans="1:23" hidden="1" x14ac:dyDescent="0.2">
      <c r="A106" s="7" t="str">
        <f>Data!A214</f>
        <v>Eversource Energy</v>
      </c>
      <c r="B106" s="7" t="str">
        <f>Data!B214</f>
        <v>ES</v>
      </c>
      <c r="C106" s="7" t="str">
        <f>Data!C214</f>
        <v>Utilities</v>
      </c>
      <c r="D106" s="8">
        <f>IF(ISNUMBER(Data!AL214),Data!AL214/1000,"n/a")</f>
        <v>25.87</v>
      </c>
      <c r="E106" s="1">
        <f>Data!E214</f>
        <v>24</v>
      </c>
      <c r="F106" s="28">
        <f>Data!J214/100</f>
        <v>3.3429470372312531E-2</v>
      </c>
      <c r="G106" s="28">
        <f>IF(ISNUMBER(Data!S214),Data!S214/100,"n/a")</f>
        <v>6.1674008810572722E-2</v>
      </c>
      <c r="H106" s="28">
        <f>IF(ISNUMBER(Data!T214),Data!T214/100,"n/a")</f>
        <v>6.0608795566382323E-2</v>
      </c>
      <c r="I106" s="28">
        <f>IF(ISNUMBER(Data!U214),Data!U214/100,"n/a")</f>
        <v>6.2476683505577224E-2</v>
      </c>
      <c r="J106" s="28">
        <f>IF(ISNUMBER(Data!V214),Data!V214/100,"n/a")</f>
        <v>8.1589433320679236E-2</v>
      </c>
      <c r="K106" s="9">
        <f>IF(ISNUMBER(Data!Z214),Data!Z214/100,"n/a")</f>
        <v>0.6640625</v>
      </c>
      <c r="L106" s="10">
        <f>Data!AA214</f>
        <v>19.864583333333336</v>
      </c>
      <c r="M106" s="10">
        <f>Data!AF214</f>
        <v>1.76</v>
      </c>
      <c r="N106" s="28">
        <f>IF(ISNUMBER(Data!AG214),Data!AG214/100,"n/a")</f>
        <v>0.09</v>
      </c>
      <c r="O106" s="28">
        <f>IF(ISNUMBER(Data!AJ214),Data!AJ214/100,"n/a")</f>
        <v>3.6999999999999998E-2</v>
      </c>
      <c r="P106" s="9">
        <f>IF(ISNUMBER(Data!AK214),Data!AK214/100,"n/a")</f>
        <v>5.74E-2</v>
      </c>
      <c r="Q106" s="8">
        <f>Data!AN214</f>
        <v>1.42</v>
      </c>
      <c r="R106" s="8">
        <f>Data!AP214</f>
        <v>9.5906153877889757</v>
      </c>
      <c r="S106" s="8"/>
      <c r="T106" s="8"/>
      <c r="U106" s="8"/>
      <c r="V106" s="1">
        <f t="shared" si="2"/>
        <v>9</v>
      </c>
      <c r="W106" s="1">
        <f t="shared" si="3"/>
        <v>0</v>
      </c>
    </row>
    <row r="107" spans="1:23" hidden="1" x14ac:dyDescent="0.2">
      <c r="A107" s="7" t="str">
        <f>Data!A376</f>
        <v>Quaker Chemical Corporation</v>
      </c>
      <c r="B107" s="7" t="str">
        <f>Data!B376</f>
        <v>KWR</v>
      </c>
      <c r="C107" s="7" t="str">
        <f>Data!C376</f>
        <v>Materials</v>
      </c>
      <c r="D107" s="8">
        <f>IF(ISNUMBER(Data!AL376),Data!AL376/1000,"n/a")</f>
        <v>2.81</v>
      </c>
      <c r="E107" s="1">
        <f>Data!E376</f>
        <v>15</v>
      </c>
      <c r="F107" s="28">
        <f>Data!J376/100</f>
        <v>1.0698475159862273E-2</v>
      </c>
      <c r="G107" s="28">
        <f>IF(ISNUMBER(Data!S376),Data!S376/100,"n/a")</f>
        <v>3.2258064516129004E-2</v>
      </c>
      <c r="H107" s="28">
        <f>IF(ISNUMBER(Data!T376),Data!T376/100,"n/a")</f>
        <v>3.335765289365078E-2</v>
      </c>
      <c r="I107" s="28">
        <f>IF(ISNUMBER(Data!U376),Data!U376/100,"n/a")</f>
        <v>3.7656637263205228E-2</v>
      </c>
      <c r="J107" s="28">
        <f>IF(ISNUMBER(Data!V376),Data!V376/100,"n/a")</f>
        <v>5.3512366162214775E-2</v>
      </c>
      <c r="K107" s="9">
        <f>IF(ISNUMBER(Data!Z376),Data!Z376/100,"n/a")</f>
        <v>0.37419354838709673</v>
      </c>
      <c r="L107" s="10">
        <f>Data!AA376</f>
        <v>34.976344086021498</v>
      </c>
      <c r="M107" s="10">
        <f>Data!AF376</f>
        <v>2.23</v>
      </c>
      <c r="N107" s="28">
        <f>IF(ISNUMBER(Data!AG376),Data!AG376/100,"n/a")</f>
        <v>0.06</v>
      </c>
      <c r="O107" s="28">
        <f>IF(ISNUMBER(Data!AJ376),Data!AJ376/100,"n/a")</f>
        <v>7.9000000000000001E-2</v>
      </c>
      <c r="P107" s="9">
        <f>IF(ISNUMBER(Data!AK376),Data!AK376/100,"n/a")</f>
        <v>5.0999999999999997E-2</v>
      </c>
      <c r="Q107" s="8">
        <f>Data!AN376</f>
        <v>0.74</v>
      </c>
      <c r="R107" s="8">
        <f>Data!AP376</f>
        <v>4.8355112423067501</v>
      </c>
      <c r="S107" s="8"/>
      <c r="T107" s="8"/>
      <c r="U107" s="8"/>
      <c r="V107" s="1">
        <f t="shared" si="2"/>
        <v>5</v>
      </c>
      <c r="W107" s="1">
        <f t="shared" si="3"/>
        <v>0</v>
      </c>
    </row>
    <row r="108" spans="1:23" hidden="1" x14ac:dyDescent="0.2">
      <c r="A108" s="7" t="str">
        <f>Data!A146</f>
        <v>Cummins Inc.</v>
      </c>
      <c r="B108" s="7" t="str">
        <f>Data!B146</f>
        <v>CMI</v>
      </c>
      <c r="C108" s="7" t="str">
        <f>Data!C146</f>
        <v>Industrials</v>
      </c>
      <c r="D108" s="8">
        <f>IF(ISNUMBER(Data!AL146),Data!AL146/1000,"n/a")</f>
        <v>33.69</v>
      </c>
      <c r="E108" s="1">
        <f>Data!E146</f>
        <v>17</v>
      </c>
      <c r="F108" s="28">
        <f>Data!J146/100</f>
        <v>2.5684021103431355E-2</v>
      </c>
      <c r="G108" s="28">
        <f>IF(ISNUMBER(Data!S146),Data!S146/100,"n/a")</f>
        <v>6.0003785727805958E-2</v>
      </c>
      <c r="H108" s="28">
        <f>IF(ISNUMBER(Data!T146),Data!T146/100,"n/a")</f>
        <v>8.0442565893167561E-2</v>
      </c>
      <c r="I108" s="28">
        <f>IF(ISNUMBER(Data!U146),Data!U146/100,"n/a")</f>
        <v>6.9610375725068785E-2</v>
      </c>
      <c r="J108" s="28">
        <f>IF(ISNUMBER(Data!V146),Data!V146/100,"n/a")</f>
        <v>0.15504050639457034</v>
      </c>
      <c r="K108" s="9">
        <f>IF(ISNUMBER(Data!Z146),Data!Z146/100,"n/a")</f>
        <v>0.43946815955213447</v>
      </c>
      <c r="L108" s="10">
        <f>Data!AA146</f>
        <v>17.110566829951015</v>
      </c>
      <c r="M108" s="10">
        <f>Data!AF146</f>
        <v>3.96</v>
      </c>
      <c r="N108" s="28">
        <f>IF(ISNUMBER(Data!AG146),Data!AG146/100,"n/a")</f>
        <v>0.24299999999999999</v>
      </c>
      <c r="O108" s="28">
        <f>IF(ISNUMBER(Data!AJ146),Data!AJ146/100,"n/a")</f>
        <v>0.122</v>
      </c>
      <c r="P108" s="9">
        <f>IF(ISNUMBER(Data!AK146),Data!AK146/100,"n/a")</f>
        <v>8.4900000000000003E-2</v>
      </c>
      <c r="Q108" s="8">
        <f>Data!AN146</f>
        <v>0.51</v>
      </c>
      <c r="R108" s="8">
        <f>Data!AP146</f>
        <v>9.5294396828500147</v>
      </c>
      <c r="S108" s="8"/>
      <c r="T108" s="8"/>
      <c r="U108" s="8"/>
      <c r="V108" s="1">
        <f t="shared" si="2"/>
        <v>11</v>
      </c>
      <c r="W108" s="1">
        <f t="shared" si="3"/>
        <v>0</v>
      </c>
    </row>
    <row r="109" spans="1:23" hidden="1" x14ac:dyDescent="0.2">
      <c r="A109" s="7" t="str">
        <f>Data!A100</f>
        <v>BOK Financial Corporation</v>
      </c>
      <c r="B109" s="7" t="str">
        <f>Data!B100</f>
        <v>BOKF</v>
      </c>
      <c r="C109" s="7" t="str">
        <f>Data!C100</f>
        <v>Financials</v>
      </c>
      <c r="D109" s="8">
        <f>IF(ISNUMBER(Data!AL100),Data!AL100/1000,"n/a")</f>
        <v>7.04</v>
      </c>
      <c r="E109" s="1">
        <f>Data!E100</f>
        <v>17</v>
      </c>
      <c r="F109" s="28">
        <f>Data!J100/100</f>
        <v>1.923949541700699E-2</v>
      </c>
      <c r="G109" s="28">
        <f>IF(ISNUMBER(Data!S100),Data!S100/100,"n/a")</f>
        <v>1.9512195121951237E-2</v>
      </c>
      <c r="H109" s="28">
        <f>IF(ISNUMBER(Data!T100),Data!T100/100,"n/a")</f>
        <v>3.228011545636722E-2</v>
      </c>
      <c r="I109" s="28">
        <f>IF(ISNUMBER(Data!U100),Data!U100/100,"n/a")</f>
        <v>3.853236759941292E-2</v>
      </c>
      <c r="J109" s="28">
        <f>IF(ISNUMBER(Data!V100),Data!V100/100,"n/a")</f>
        <v>6.3424800092764411E-2</v>
      </c>
      <c r="K109" s="9">
        <f>IF(ISNUMBER(Data!Z100),Data!Z100/100,"n/a")</f>
        <v>0.27319587628865982</v>
      </c>
      <c r="L109" s="10">
        <f>Data!AA100</f>
        <v>14.199742268041238</v>
      </c>
      <c r="M109" s="10">
        <f>Data!AF100</f>
        <v>1.55</v>
      </c>
      <c r="N109" s="28">
        <f>IF(ISNUMBER(Data!AG100),Data!AG100/100,"n/a")</f>
        <v>0.10400000000000001</v>
      </c>
      <c r="O109" s="28">
        <f>IF(ISNUMBER(Data!AJ100),Data!AJ100/100,"n/a")</f>
        <v>0.20499999999999999</v>
      </c>
      <c r="P109" s="9">
        <f>IF(ISNUMBER(Data!AK100),Data!AK100/100,"n/a")</f>
        <v>7.0000000000000007E-2</v>
      </c>
      <c r="Q109" s="8">
        <f>Data!AN100</f>
        <v>0.04</v>
      </c>
      <c r="R109" s="8">
        <f>Data!AP100</f>
        <v>5.7771863016419909</v>
      </c>
      <c r="S109" s="8"/>
      <c r="T109" s="8"/>
      <c r="U109" s="8"/>
      <c r="V109" s="1">
        <f t="shared" si="2"/>
        <v>7</v>
      </c>
      <c r="W109" s="1">
        <f t="shared" si="3"/>
        <v>0</v>
      </c>
    </row>
    <row r="110" spans="1:23" hidden="1" x14ac:dyDescent="0.2">
      <c r="A110" s="7" t="str">
        <f>Data!A91</f>
        <v>Black Hills Corporation</v>
      </c>
      <c r="B110" s="7" t="str">
        <f>Data!B91</f>
        <v>BKH</v>
      </c>
      <c r="C110" s="7" t="str">
        <f>Data!C91</f>
        <v>Utilities</v>
      </c>
      <c r="D110" s="8">
        <f>IF(ISNUMBER(Data!AL91),Data!AL91/1000,"n/a")</f>
        <v>4.21</v>
      </c>
      <c r="E110" s="1">
        <f>Data!E91</f>
        <v>52</v>
      </c>
      <c r="F110" s="28">
        <f>Data!J91/100</f>
        <v>3.8243842741318645E-2</v>
      </c>
      <c r="G110" s="28">
        <f>IF(ISNUMBER(Data!S91),Data!S91/100,"n/a")</f>
        <v>5.5299539170506895E-2</v>
      </c>
      <c r="H110" s="28">
        <f>IF(ISNUMBER(Data!T91),Data!T91/100,"n/a")</f>
        <v>5.8667037376161968E-2</v>
      </c>
      <c r="I110" s="28">
        <f>IF(ISNUMBER(Data!U91),Data!U91/100,"n/a")</f>
        <v>6.3910855335624683E-2</v>
      </c>
      <c r="J110" s="28">
        <f>IF(ISNUMBER(Data!V91),Data!V91/100,"n/a")</f>
        <v>4.6039929240880184E-2</v>
      </c>
      <c r="K110" s="9">
        <f>IF(ISNUMBER(Data!Z91),Data!Z91/100,"n/a")</f>
        <v>0.60532687651331718</v>
      </c>
      <c r="L110" s="10">
        <f>Data!AA91</f>
        <v>15.828087167070219</v>
      </c>
      <c r="M110" s="10">
        <f>Data!AF91</f>
        <v>1.48</v>
      </c>
      <c r="N110" s="28">
        <f>IF(ISNUMBER(Data!AG91),Data!AG91/100,"n/a")</f>
        <v>9.5000000000000001E-2</v>
      </c>
      <c r="O110" s="28">
        <f>IF(ISNUMBER(Data!AJ91),Data!AJ91/100,"n/a")</f>
        <v>7.6999999999999999E-2</v>
      </c>
      <c r="P110" s="9">
        <f>IF(ISNUMBER(Data!AK91),Data!AK91/100,"n/a")</f>
        <v>4.6699999999999998E-2</v>
      </c>
      <c r="Q110" s="8">
        <f>Data!AN91</f>
        <v>1.55</v>
      </c>
      <c r="R110" s="8">
        <f>Data!AP91</f>
        <v>10.215469807694333</v>
      </c>
      <c r="S110" s="8"/>
      <c r="T110" s="8"/>
      <c r="U110" s="8"/>
      <c r="V110" s="1">
        <f t="shared" si="2"/>
        <v>9</v>
      </c>
      <c r="W110" s="1">
        <f t="shared" si="3"/>
        <v>0</v>
      </c>
    </row>
    <row r="111" spans="1:23" hidden="1" x14ac:dyDescent="0.2">
      <c r="A111" s="7" t="str">
        <f>Data!A37</f>
        <v>The Allstate Corporation</v>
      </c>
      <c r="B111" s="7" t="str">
        <f>Data!B37</f>
        <v>ALL</v>
      </c>
      <c r="C111" s="7" t="str">
        <f>Data!C37</f>
        <v>Financials</v>
      </c>
      <c r="D111" s="8">
        <f>IF(ISNUMBER(Data!AL37),Data!AL37/1000,"n/a")</f>
        <v>33.130000000000003</v>
      </c>
      <c r="E111" s="1">
        <f>Data!E37</f>
        <v>12</v>
      </c>
      <c r="F111" s="28">
        <f>Data!J37/100</f>
        <v>2.6930693069306934E-2</v>
      </c>
      <c r="G111" s="28">
        <f>IF(ISNUMBER(Data!S37),Data!S37/100,"n/a")</f>
        <v>0.40094339622641506</v>
      </c>
      <c r="H111" s="28">
        <f>IF(ISNUMBER(Data!T37),Data!T37/100,"n/a")</f>
        <v>0.19281419896657748</v>
      </c>
      <c r="I111" s="28">
        <f>IF(ISNUMBER(Data!U37),Data!U37/100,"n/a")</f>
        <v>0.18149897120150135</v>
      </c>
      <c r="J111" s="28">
        <f>IF(ISNUMBER(Data!V37),Data!V37/100,"n/a")</f>
        <v>0.13461289830324619</v>
      </c>
      <c r="K111" s="9">
        <f>IF(ISNUMBER(Data!Z37),Data!Z37/100,"n/a")</f>
        <v>1.2186379928315412</v>
      </c>
      <c r="L111" s="10">
        <f>Data!AA37</f>
        <v>45.250896057347667</v>
      </c>
      <c r="M111" s="10">
        <f>Data!AF37</f>
        <v>1.91</v>
      </c>
      <c r="N111" s="28">
        <f>IF(ISNUMBER(Data!AG37),Data!AG37/100,"n/a")</f>
        <v>4.1000000000000009E-2</v>
      </c>
      <c r="O111" s="28">
        <f>IF(ISNUMBER(Data!AJ37),Data!AJ37/100,"n/a")</f>
        <v>0.29499999999999998</v>
      </c>
      <c r="P111" s="9">
        <f>IF(ISNUMBER(Data!AK37),Data!AK37/100,"n/a")</f>
        <v>3.9199999999999999E-2</v>
      </c>
      <c r="Q111" s="8">
        <f>Data!AN37</f>
        <v>0.44</v>
      </c>
      <c r="R111" s="8">
        <f>Data!AP37</f>
        <v>20.842966427080828</v>
      </c>
      <c r="S111" s="8"/>
      <c r="T111" s="8"/>
      <c r="U111" s="8"/>
      <c r="V111" s="1">
        <f t="shared" si="2"/>
        <v>9</v>
      </c>
      <c r="W111" s="1">
        <f t="shared" si="3"/>
        <v>0</v>
      </c>
    </row>
    <row r="112" spans="1:23" hidden="1" x14ac:dyDescent="0.2">
      <c r="A112" s="7" t="str">
        <f>Data!A23</f>
        <v>The AES Corporation</v>
      </c>
      <c r="B112" s="7" t="str">
        <f>Data!B23</f>
        <v>AES</v>
      </c>
      <c r="C112" s="7" t="str">
        <f>Data!C23</f>
        <v>Utilities</v>
      </c>
      <c r="D112" s="8">
        <f>IF(ISNUMBER(Data!AL23),Data!AL23/1000,"n/a")</f>
        <v>17.21</v>
      </c>
      <c r="E112" s="1">
        <f>Data!E23</f>
        <v>11</v>
      </c>
      <c r="F112" s="28">
        <f>Data!J23/100</f>
        <v>2.4159021406727828E-2</v>
      </c>
      <c r="G112" s="28">
        <f>IF(ISNUMBER(Data!S23),Data!S23/100,"n/a")</f>
        <v>5.0244242847173659E-2</v>
      </c>
      <c r="H112" s="28">
        <f>IF(ISNUMBER(Data!T23),Data!T23/100,"n/a")</f>
        <v>5.002034962595947E-2</v>
      </c>
      <c r="I112" s="28">
        <f>IF(ISNUMBER(Data!U23),Data!U23/100,"n/a")</f>
        <v>6.4703699137160342E-2</v>
      </c>
      <c r="J112" s="28" t="str">
        <f>IF(ISNUMBER(Data!V23),Data!V23/100,"n/a")</f>
        <v>n/a</v>
      </c>
      <c r="K112" s="9" t="str">
        <f>IF(ISNUMBER(Data!Z23),Data!Z23/100,"n/a")</f>
        <v>n/a</v>
      </c>
      <c r="L112" s="10" t="str">
        <f>Data!AA23</f>
        <v>n/a</v>
      </c>
      <c r="M112" s="10">
        <f>Data!AF23</f>
        <v>8.19</v>
      </c>
      <c r="N112" s="28">
        <f>IF(ISNUMBER(Data!AG23),Data!AG23/100,"n/a")</f>
        <v>-0.161</v>
      </c>
      <c r="O112" s="28">
        <f>IF(ISNUMBER(Data!AJ23),Data!AJ23/100,"n/a")</f>
        <v>4.3799999999999999E-2</v>
      </c>
      <c r="P112" s="9">
        <f>IF(ISNUMBER(Data!AK23),Data!AK23/100,"n/a")</f>
        <v>0.08</v>
      </c>
      <c r="Q112" s="8">
        <f>Data!AN23</f>
        <v>9.91</v>
      </c>
      <c r="R112" s="8">
        <f>Data!AP23</f>
        <v>8.886272054388817</v>
      </c>
      <c r="S112" s="8"/>
      <c r="T112" s="8"/>
      <c r="U112" s="8"/>
      <c r="V112" s="1">
        <f t="shared" si="2"/>
        <v>7</v>
      </c>
      <c r="W112" s="1">
        <f t="shared" si="3"/>
        <v>0</v>
      </c>
    </row>
    <row r="113" spans="1:23" hidden="1" x14ac:dyDescent="0.2">
      <c r="A113" s="7" t="str">
        <f>Data!A639</f>
        <v>Tennant Company</v>
      </c>
      <c r="B113" s="7" t="str">
        <f>Data!B639</f>
        <v>TNC</v>
      </c>
      <c r="C113" s="7" t="str">
        <f>Data!C639</f>
        <v>Industrials</v>
      </c>
      <c r="D113" s="8">
        <f>IF(ISNUMBER(Data!AL639),Data!AL639/1000,"n/a")</f>
        <v>1.08</v>
      </c>
      <c r="E113" s="1">
        <f>Data!E639</f>
        <v>51</v>
      </c>
      <c r="F113" s="28">
        <f>Data!J639/100</f>
        <v>1.8197424892703862E-2</v>
      </c>
      <c r="G113" s="28">
        <f>IF(ISNUMBER(Data!S639),Data!S639/100,"n/a")</f>
        <v>5.6179775280898792E-2</v>
      </c>
      <c r="H113" s="28">
        <f>IF(ISNUMBER(Data!T639),Data!T639/100,"n/a")</f>
        <v>3.4116916688413434E-2</v>
      </c>
      <c r="I113" s="28">
        <f>IF(ISNUMBER(Data!U639),Data!U639/100,"n/a")</f>
        <v>3.0216655759383704E-2</v>
      </c>
      <c r="J113" s="28">
        <f>IF(ISNUMBER(Data!V639),Data!V639/100,"n/a")</f>
        <v>3.2908601695392115E-2</v>
      </c>
      <c r="K113" s="9">
        <f>IF(ISNUMBER(Data!Z639),Data!Z639/100,"n/a")</f>
        <v>0.35333333333333333</v>
      </c>
      <c r="L113" s="10">
        <f>Data!AA639</f>
        <v>19.416666666666668</v>
      </c>
      <c r="M113" s="10">
        <f>Data!AF639</f>
        <v>2.54</v>
      </c>
      <c r="N113" s="28">
        <f>IF(ISNUMBER(Data!AG639),Data!AG639/100,"n/a")</f>
        <v>0.129</v>
      </c>
      <c r="O113" s="28">
        <f>IF(ISNUMBER(Data!AJ639),Data!AJ639/100,"n/a")</f>
        <v>5.800000000000001E-2</v>
      </c>
      <c r="P113" s="9">
        <f>IF(ISNUMBER(Data!AK639),Data!AK639/100,"n/a")</f>
        <v>0.15</v>
      </c>
      <c r="Q113" s="8">
        <f>Data!AN639</f>
        <v>0.61</v>
      </c>
      <c r="R113" s="8">
        <f>Data!AP639</f>
        <v>4.841408065208757</v>
      </c>
      <c r="S113" s="8"/>
      <c r="T113" s="8"/>
      <c r="U113" s="8"/>
      <c r="V113" s="1">
        <f t="shared" si="2"/>
        <v>6</v>
      </c>
      <c r="W113" s="1">
        <f t="shared" si="3"/>
        <v>0</v>
      </c>
    </row>
    <row r="114" spans="1:23" hidden="1" x14ac:dyDescent="0.2">
      <c r="A114" s="7" t="str">
        <f>Data!A649</f>
        <v>The Travelers Companies, Inc.</v>
      </c>
      <c r="B114" s="7" t="str">
        <f>Data!B649</f>
        <v>TRV</v>
      </c>
      <c r="C114" s="7" t="str">
        <f>Data!C649</f>
        <v>Financials</v>
      </c>
      <c r="D114" s="8">
        <f>IF(ISNUMBER(Data!AL649),Data!AL649/1000,"n/a")</f>
        <v>41.62</v>
      </c>
      <c r="E114" s="1">
        <f>Data!E649</f>
        <v>18</v>
      </c>
      <c r="F114" s="28">
        <f>Data!J649/100</f>
        <v>2.0166973869673647E-2</v>
      </c>
      <c r="G114" s="28">
        <f>IF(ISNUMBER(Data!S649),Data!S649/100,"n/a")</f>
        <v>3.5608308605341366E-2</v>
      </c>
      <c r="H114" s="28">
        <f>IF(ISNUMBER(Data!T649),Data!T649/100,"n/a")</f>
        <v>4.8240494332797423E-2</v>
      </c>
      <c r="I114" s="28">
        <f>IF(ISNUMBER(Data!U649),Data!U649/100,"n/a")</f>
        <v>5.9021621896794496E-2</v>
      </c>
      <c r="J114" s="28">
        <f>IF(ISNUMBER(Data!V649),Data!V649/100,"n/a")</f>
        <v>8.1789670528565228E-2</v>
      </c>
      <c r="K114" s="9">
        <f>IF(ISNUMBER(Data!Z649),Data!Z649/100,"n/a")</f>
        <v>0.27173119065010959</v>
      </c>
      <c r="L114" s="10">
        <f>Data!AA649</f>
        <v>13.474068663257853</v>
      </c>
      <c r="M114" s="10">
        <f>Data!AF649</f>
        <v>2.15</v>
      </c>
      <c r="N114" s="28">
        <f>IF(ISNUMBER(Data!AG649),Data!AG649/100,"n/a")</f>
        <v>0.13700000000000001</v>
      </c>
      <c r="O114" s="28">
        <f>IF(ISNUMBER(Data!AJ649),Data!AJ649/100,"n/a")</f>
        <v>7.0999999999999994E-2</v>
      </c>
      <c r="P114" s="9">
        <f>IF(ISNUMBER(Data!AK649),Data!AK649/100,"n/a")</f>
        <v>5.3399999999999996E-2</v>
      </c>
      <c r="Q114" s="8">
        <f>Data!AN649</f>
        <v>0.37</v>
      </c>
      <c r="R114" s="8">
        <f>Data!AP649</f>
        <v>7.9188595766468142</v>
      </c>
      <c r="S114" s="8"/>
      <c r="T114" s="8"/>
      <c r="U114" s="8"/>
      <c r="V114" s="1">
        <f t="shared" si="2"/>
        <v>9</v>
      </c>
      <c r="W114" s="1">
        <f t="shared" si="3"/>
        <v>0</v>
      </c>
    </row>
    <row r="115" spans="1:23" hidden="1" x14ac:dyDescent="0.2">
      <c r="A115" s="7" t="str">
        <f>Data!A664</f>
        <v>UGI Corporation</v>
      </c>
      <c r="B115" s="7" t="str">
        <f>Data!B664</f>
        <v>UGI</v>
      </c>
      <c r="C115" s="7" t="str">
        <f>Data!C664</f>
        <v>Utilities</v>
      </c>
      <c r="D115" s="8">
        <f>IF(ISNUMBER(Data!AL664),Data!AL664/1000,"n/a")</f>
        <v>7.24</v>
      </c>
      <c r="E115" s="1">
        <f>Data!E664</f>
        <v>35</v>
      </c>
      <c r="F115" s="28">
        <f>Data!J664/100</f>
        <v>4.0758562128502686E-2</v>
      </c>
      <c r="G115" s="28">
        <f>IF(ISNUMBER(Data!S664),Data!S664/100,"n/a")</f>
        <v>3.0534351145038219E-2</v>
      </c>
      <c r="H115" s="28">
        <f>IF(ISNUMBER(Data!T664),Data!T664/100,"n/a")</f>
        <v>9.7938124280034136E-2</v>
      </c>
      <c r="I115" s="28">
        <f>IF(ISNUMBER(Data!U664),Data!U664/100,"n/a")</f>
        <v>7.7383112741443938E-2</v>
      </c>
      <c r="J115" s="28">
        <f>IF(ISNUMBER(Data!V664),Data!V664/100,"n/a")</f>
        <v>7.0982774025257545E-2</v>
      </c>
      <c r="K115" s="9">
        <f>IF(ISNUMBER(Data!Z664),Data!Z664/100,"n/a")</f>
        <v>0.23113964686998392</v>
      </c>
      <c r="L115" s="10">
        <f>Data!AA664</f>
        <v>5.670947030497592</v>
      </c>
      <c r="M115" s="10">
        <f>Data!AF664</f>
        <v>1.27</v>
      </c>
      <c r="N115" s="28">
        <f>IF(ISNUMBER(Data!AG664),Data!AG664/100,"n/a")</f>
        <v>0.24299999999999999</v>
      </c>
      <c r="O115" s="28">
        <f>IF(ISNUMBER(Data!AJ664),Data!AJ664/100,"n/a")</f>
        <v>0.26800000000000002</v>
      </c>
      <c r="P115" s="9">
        <f>IF(ISNUMBER(Data!AK664),Data!AK664/100,"n/a")</f>
        <v>6.8500000000000005E-2</v>
      </c>
      <c r="Q115" s="8">
        <f>Data!AN664</f>
        <v>1.1499999999999999</v>
      </c>
      <c r="R115" s="8">
        <f>Data!AP664</f>
        <v>11.814167486994663</v>
      </c>
      <c r="S115" s="8"/>
      <c r="T115" s="8"/>
      <c r="U115" s="8"/>
      <c r="V115" s="1">
        <f t="shared" si="2"/>
        <v>10</v>
      </c>
      <c r="W115" s="1">
        <f t="shared" si="3"/>
        <v>0</v>
      </c>
    </row>
    <row r="116" spans="1:23" hidden="1" x14ac:dyDescent="0.2">
      <c r="A116" s="7" t="str">
        <f>Data!A663</f>
        <v>UFP Industries, Inc.</v>
      </c>
      <c r="B116" s="7" t="str">
        <f>Data!B663</f>
        <v>UFPI</v>
      </c>
      <c r="C116" s="7" t="str">
        <f>Data!C663</f>
        <v>Industrials</v>
      </c>
      <c r="D116" s="8">
        <f>IF(ISNUMBER(Data!AL663),Data!AL663/1000,"n/a")</f>
        <v>4.33</v>
      </c>
      <c r="E116" s="1">
        <f>Data!E663</f>
        <v>10</v>
      </c>
      <c r="F116" s="28">
        <f>Data!J663/100</f>
        <v>1.4039028499227852E-2</v>
      </c>
      <c r="G116" s="28">
        <f>IF(ISNUMBER(Data!S663),Data!S663/100,"n/a")</f>
        <v>0.30000000000000004</v>
      </c>
      <c r="H116" s="28">
        <f>IF(ISNUMBER(Data!T663),Data!T663/100,"n/a")</f>
        <v>0.21769059567713378</v>
      </c>
      <c r="I116" s="28">
        <f>IF(ISNUMBER(Data!U663),Data!U663/100,"n/a")</f>
        <v>0.17517642819737708</v>
      </c>
      <c r="J116" s="28">
        <f>IF(ISNUMBER(Data!V663),Data!V663/100,"n/a")</f>
        <v>0.17164882683060825</v>
      </c>
      <c r="K116" s="9">
        <f>IF(ISNUMBER(Data!Z663),Data!Z663/100,"n/a")</f>
        <v>9.00900900900901E-2</v>
      </c>
      <c r="L116" s="10">
        <f>Data!AA663</f>
        <v>6.417117117117118</v>
      </c>
      <c r="M116" s="10">
        <f>Data!AF663</f>
        <v>1.91</v>
      </c>
      <c r="N116" s="28" t="str">
        <f>IF(ISNUMBER(Data!AG663),Data!AG663/100,"n/a")</f>
        <v>n/a</v>
      </c>
      <c r="O116" s="28">
        <f>IF(ISNUMBER(Data!AJ663),Data!AJ663/100,"n/a")</f>
        <v>0.39</v>
      </c>
      <c r="P116" s="9">
        <f>IF(ISNUMBER(Data!AK663),Data!AK663/100,"n/a")</f>
        <v>0.17</v>
      </c>
      <c r="Q116" s="8">
        <f>Data!AN663</f>
        <v>0.14000000000000001</v>
      </c>
      <c r="R116" s="8">
        <f>Data!AP663</f>
        <v>18.921545669660496</v>
      </c>
      <c r="S116" s="8"/>
      <c r="T116" s="8"/>
      <c r="U116" s="8"/>
      <c r="V116" s="1">
        <f t="shared" si="2"/>
        <v>10</v>
      </c>
      <c r="W116" s="1">
        <f t="shared" si="3"/>
        <v>0</v>
      </c>
    </row>
    <row r="117" spans="1:23" hidden="1" x14ac:dyDescent="0.2">
      <c r="A117" s="7" t="str">
        <f>Data!A653</f>
        <v>The Toro Company</v>
      </c>
      <c r="B117" s="7" t="str">
        <f>Data!B653</f>
        <v>TTC</v>
      </c>
      <c r="C117" s="7" t="str">
        <f>Data!C653</f>
        <v>Industrials</v>
      </c>
      <c r="D117" s="8">
        <f>IF(ISNUMBER(Data!AL653),Data!AL653/1000,"n/a")</f>
        <v>10.84</v>
      </c>
      <c r="E117" s="1">
        <f>Data!E653</f>
        <v>13</v>
      </c>
      <c r="F117" s="28">
        <f>Data!J653/100</f>
        <v>1.138195959404344E-2</v>
      </c>
      <c r="G117" s="28">
        <f>IF(ISNUMBER(Data!S653),Data!S653/100,"n/a")</f>
        <v>5.0000000000000044E-2</v>
      </c>
      <c r="H117" s="28">
        <f>IF(ISNUMBER(Data!T653),Data!T653/100,"n/a")</f>
        <v>9.4879784971972261E-2</v>
      </c>
      <c r="I117" s="28">
        <f>IF(ISNUMBER(Data!U653),Data!U653/100,"n/a")</f>
        <v>0.11842691472014465</v>
      </c>
      <c r="J117" s="28">
        <f>IF(ISNUMBER(Data!V653),Data!V653/100,"n/a")</f>
        <v>0.18036393174546372</v>
      </c>
      <c r="K117" s="9">
        <f>IF(ISNUMBER(Data!Z653),Data!Z653/100,"n/a")</f>
        <v>0.32967032967032961</v>
      </c>
      <c r="L117" s="10">
        <f>Data!AA653</f>
        <v>28.964285714285715</v>
      </c>
      <c r="M117" s="10">
        <f>Data!AF653</f>
        <v>8.7100000000000009</v>
      </c>
      <c r="N117" s="28">
        <f>IF(ISNUMBER(Data!AG653),Data!AG653/100,"n/a")</f>
        <v>0.32300000000000006</v>
      </c>
      <c r="O117" s="28">
        <f>IF(ISNUMBER(Data!AJ653),Data!AJ653/100,"n/a")</f>
        <v>0.129</v>
      </c>
      <c r="P117" s="9">
        <f>IF(ISNUMBER(Data!AK653),Data!AK653/100,"n/a")</f>
        <v>0.10199999999999999</v>
      </c>
      <c r="Q117" s="8">
        <f>Data!AN653</f>
        <v>0.82</v>
      </c>
      <c r="R117" s="8">
        <f>Data!AP653</f>
        <v>12.980887431418809</v>
      </c>
      <c r="S117" s="8"/>
      <c r="T117" s="8"/>
      <c r="U117" s="8"/>
      <c r="V117" s="1">
        <f t="shared" si="2"/>
        <v>8</v>
      </c>
      <c r="W117" s="1">
        <f t="shared" si="3"/>
        <v>0</v>
      </c>
    </row>
    <row r="118" spans="1:23" hidden="1" x14ac:dyDescent="0.2">
      <c r="A118" s="7" t="str">
        <f>Data!A647</f>
        <v>Triton International Limited</v>
      </c>
      <c r="B118" s="7" t="str">
        <f>Data!B647</f>
        <v>TRTN</v>
      </c>
      <c r="C118" s="7" t="str">
        <f>Data!C647</f>
        <v>Industrials</v>
      </c>
      <c r="D118" s="8">
        <f>IF(ISNUMBER(Data!AL647),Data!AL647/1000,"n/a")</f>
        <v>3.72</v>
      </c>
      <c r="E118" s="1">
        <f>Data!E647</f>
        <v>6</v>
      </c>
      <c r="F118" s="28">
        <f>Data!J647/100</f>
        <v>4.2840665678035926E-2</v>
      </c>
      <c r="G118" s="28">
        <f>IF(ISNUMBER(Data!S647),Data!S647/100,"n/a")</f>
        <v>0.107981220657277</v>
      </c>
      <c r="H118" s="28">
        <f>IF(ISNUMBER(Data!T647),Data!T647/100,"n/a")</f>
        <v>5.4966450190959248E-2</v>
      </c>
      <c r="I118" s="28">
        <f>IF(ISNUMBER(Data!U647),Data!U647/100,"n/a")</f>
        <v>0.21264560951279754</v>
      </c>
      <c r="J118" s="28" t="str">
        <f>IF(ISNUMBER(Data!V647),Data!V647/100,"n/a")</f>
        <v>n/a</v>
      </c>
      <c r="K118" s="9">
        <f>IF(ISNUMBER(Data!Z647),Data!Z647/100,"n/a")</f>
        <v>0.25565388397246808</v>
      </c>
      <c r="L118" s="10">
        <f>Data!AA647</f>
        <v>5.9675516224188785</v>
      </c>
      <c r="M118" s="10">
        <f>Data!AF647</f>
        <v>1.51</v>
      </c>
      <c r="N118" s="28">
        <f>IF(ISNUMBER(Data!AG647),Data!AG647/100,"n/a")</f>
        <v>0.27800000000000002</v>
      </c>
      <c r="O118" s="28">
        <f>IF(ISNUMBER(Data!AJ647),Data!AJ647/100,"n/a")</f>
        <v>0.99900000000000011</v>
      </c>
      <c r="P118" s="9">
        <f>IF(ISNUMBER(Data!AK647),Data!AK647/100,"n/a")</f>
        <v>0.1</v>
      </c>
      <c r="Q118" s="8">
        <f>Data!AN647</f>
        <v>3.31</v>
      </c>
      <c r="R118" s="8">
        <f>Data!AP647</f>
        <v>25.548627519083347</v>
      </c>
      <c r="S118" s="8"/>
      <c r="T118" s="8"/>
      <c r="U118" s="8"/>
      <c r="V118" s="1">
        <f t="shared" si="2"/>
        <v>9</v>
      </c>
      <c r="W118" s="1">
        <f t="shared" si="3"/>
        <v>0</v>
      </c>
    </row>
    <row r="119" spans="1:23" hidden="1" x14ac:dyDescent="0.2">
      <c r="A119" s="7" t="str">
        <f>Data!A636</f>
        <v>The Timken Company</v>
      </c>
      <c r="B119" s="7" t="str">
        <f>Data!B636</f>
        <v>TKR</v>
      </c>
      <c r="C119" s="7" t="str">
        <f>Data!C636</f>
        <v>Industrials</v>
      </c>
      <c r="D119" s="8">
        <f>IF(ISNUMBER(Data!AL636),Data!AL636/1000,"n/a")</f>
        <v>4.99</v>
      </c>
      <c r="E119" s="1">
        <f>Data!E636</f>
        <v>9</v>
      </c>
      <c r="F119" s="28">
        <f>Data!J636/100</f>
        <v>1.7393743863094401E-2</v>
      </c>
      <c r="G119" s="28">
        <f>IF(ISNUMBER(Data!S636),Data!S636/100,"n/a")</f>
        <v>5.3097345132743445E-2</v>
      </c>
      <c r="H119" s="28">
        <f>IF(ISNUMBER(Data!T636),Data!T636/100,"n/a")</f>
        <v>2.3468924774241895E-2</v>
      </c>
      <c r="I119" s="28">
        <f>IF(ISNUMBER(Data!U636),Data!U636/100,"n/a")</f>
        <v>2.7312859363656905E-2</v>
      </c>
      <c r="J119" s="28">
        <f>IF(ISNUMBER(Data!V636),Data!V636/100,"n/a")</f>
        <v>4.3146333384732172E-2</v>
      </c>
      <c r="K119" s="9">
        <f>IF(ISNUMBER(Data!Z636),Data!Z636/100,"n/a")</f>
        <v>0.24899598393574293</v>
      </c>
      <c r="L119" s="10">
        <f>Data!AA636</f>
        <v>14.315261044176706</v>
      </c>
      <c r="M119" s="10">
        <f>Data!AF636</f>
        <v>2.46</v>
      </c>
      <c r="N119" s="28">
        <f>IF(ISNUMBER(Data!AG636),Data!AG636/100,"n/a")</f>
        <v>0.16800000000000001</v>
      </c>
      <c r="O119" s="28">
        <f>IF(ISNUMBER(Data!AJ636),Data!AJ636/100,"n/a")</f>
        <v>0.22</v>
      </c>
      <c r="P119" s="9">
        <f>IF(ISNUMBER(Data!AK636),Data!AK636/100,"n/a")</f>
        <v>0.12</v>
      </c>
      <c r="Q119" s="8">
        <f>Data!AN636</f>
        <v>0.85</v>
      </c>
      <c r="R119" s="8">
        <f>Data!AP636</f>
        <v>4.4706603226751307</v>
      </c>
      <c r="S119" s="8"/>
      <c r="T119" s="8"/>
      <c r="U119" s="8"/>
      <c r="V119" s="1">
        <f t="shared" si="2"/>
        <v>6</v>
      </c>
      <c r="W119" s="1">
        <f t="shared" si="3"/>
        <v>0</v>
      </c>
    </row>
    <row r="120" spans="1:23" hidden="1" x14ac:dyDescent="0.2">
      <c r="A120" s="7" t="str">
        <f>Data!A637</f>
        <v>Thermo Fisher Scientific Inc.</v>
      </c>
      <c r="B120" s="7" t="str">
        <f>Data!B637</f>
        <v>TMO</v>
      </c>
      <c r="C120" s="7" t="str">
        <f>Data!C637</f>
        <v>Health Care</v>
      </c>
      <c r="D120" s="8">
        <f>IF(ISNUMBER(Data!AL637),Data!AL637/1000,"n/a")</f>
        <v>195.24</v>
      </c>
      <c r="E120" s="1">
        <f>Data!E637</f>
        <v>5</v>
      </c>
      <c r="F120" s="28">
        <f>Data!J637/100</f>
        <v>2.3347666206198804E-3</v>
      </c>
      <c r="G120" s="28">
        <f>IF(ISNUMBER(Data!S637),Data!S637/100,"n/a")</f>
        <v>0.17647058823529391</v>
      </c>
      <c r="H120" s="28">
        <f>IF(ISNUMBER(Data!T637),Data!T637/100,"n/a")</f>
        <v>0.14855559430448251</v>
      </c>
      <c r="I120" s="28">
        <f>IF(ISNUMBER(Data!U637),Data!U637/100,"n/a")</f>
        <v>0.10756634324829006</v>
      </c>
      <c r="J120" s="28" t="str">
        <f>IF(ISNUMBER(Data!V637),Data!V637/100,"n/a")</f>
        <v>n/a</v>
      </c>
      <c r="K120" s="9">
        <f>IF(ISNUMBER(Data!Z637),Data!Z637/100,"n/a")</f>
        <v>6.7453625632377737E-2</v>
      </c>
      <c r="L120" s="10">
        <f>Data!AA637</f>
        <v>28.890949971894326</v>
      </c>
      <c r="M120" s="10">
        <f>Data!AF637</f>
        <v>4.67</v>
      </c>
      <c r="N120" s="28">
        <f>IF(ISNUMBER(Data!AG637),Data!AG637/100,"n/a")</f>
        <v>0.187</v>
      </c>
      <c r="O120" s="28">
        <f>IF(ISNUMBER(Data!AJ637),Data!AJ637/100,"n/a")</f>
        <v>0.307</v>
      </c>
      <c r="P120" s="9">
        <f>IF(ISNUMBER(Data!AK637),Data!AK637/100,"n/a")</f>
        <v>4.4900000000000002E-2</v>
      </c>
      <c r="Q120" s="8">
        <f>Data!AN637</f>
        <v>0.72</v>
      </c>
      <c r="R120" s="8">
        <f>Data!AP637</f>
        <v>10.990110986890995</v>
      </c>
      <c r="S120" s="8"/>
      <c r="T120" s="8"/>
      <c r="U120" s="8"/>
      <c r="V120" s="1">
        <f t="shared" si="2"/>
        <v>7</v>
      </c>
      <c r="W120" s="1">
        <f t="shared" si="3"/>
        <v>0</v>
      </c>
    </row>
    <row r="121" spans="1:23" hidden="1" x14ac:dyDescent="0.2">
      <c r="A121" s="7" t="str">
        <f>Data!A640</f>
        <v>TowneBank</v>
      </c>
      <c r="B121" s="7" t="str">
        <f>Data!B640</f>
        <v>TOWN</v>
      </c>
      <c r="C121" s="7" t="str">
        <f>Data!C640</f>
        <v>Financials</v>
      </c>
      <c r="D121" s="8">
        <f>IF(ISNUMBER(Data!AL640),Data!AL640/1000,"n/a")</f>
        <v>2.2599999999999998</v>
      </c>
      <c r="E121" s="1">
        <f>Data!E640</f>
        <v>11</v>
      </c>
      <c r="F121" s="28">
        <f>Data!J640/100</f>
        <v>2.7929568913175475E-2</v>
      </c>
      <c r="G121" s="28">
        <f>IF(ISNUMBER(Data!S640),Data!S640/100,"n/a")</f>
        <v>5.555555555555558E-2</v>
      </c>
      <c r="H121" s="28">
        <f>IF(ISNUMBER(Data!T640),Data!T640/100,"n/a")</f>
        <v>8.1983855523197757E-2</v>
      </c>
      <c r="I121" s="28">
        <f>IF(ISNUMBER(Data!U640),Data!U640/100,"n/a")</f>
        <v>8.7348394571074905E-2</v>
      </c>
      <c r="J121" s="28">
        <f>IF(ISNUMBER(Data!V640),Data!V640/100,"n/a")</f>
        <v>9.3578666855607798E-2</v>
      </c>
      <c r="K121" s="9">
        <f>IF(ISNUMBER(Data!Z640),Data!Z640/100,"n/a")</f>
        <v>0.36507936507936511</v>
      </c>
      <c r="L121" s="10">
        <f>Data!AA640</f>
        <v>13.071428571428571</v>
      </c>
      <c r="M121" s="10">
        <f>Data!AF640</f>
        <v>1.27</v>
      </c>
      <c r="N121" s="28">
        <f>IF(ISNUMBER(Data!AG640),Data!AG640/100,"n/a")</f>
        <v>0.10199999999999999</v>
      </c>
      <c r="O121" s="28">
        <f>IF(ISNUMBER(Data!AJ640),Data!AJ640/100,"n/a")</f>
        <v>0.20300000000000001</v>
      </c>
      <c r="P121" s="9" t="str">
        <f>IF(ISNUMBER(Data!AK640),Data!AK640/100,"n/a")</f>
        <v>n/a</v>
      </c>
      <c r="Q121" s="8">
        <f>Data!AN640</f>
        <v>0.27</v>
      </c>
      <c r="R121" s="8">
        <f>Data!AP640</f>
        <v>11.527796348425039</v>
      </c>
      <c r="S121" s="8"/>
      <c r="T121" s="8"/>
      <c r="U121" s="8"/>
      <c r="V121" s="1">
        <f t="shared" si="2"/>
        <v>10</v>
      </c>
      <c r="W121" s="1">
        <f t="shared" si="3"/>
        <v>0</v>
      </c>
    </row>
    <row r="122" spans="1:23" hidden="1" x14ac:dyDescent="0.2">
      <c r="A122" s="7" t="str">
        <f>Data!A633</f>
        <v>First Financial Corporation</v>
      </c>
      <c r="B122" s="7" t="str">
        <f>Data!B633</f>
        <v>THFF</v>
      </c>
      <c r="C122" s="7" t="str">
        <f>Data!C633</f>
        <v>Financials</v>
      </c>
      <c r="D122" s="8">
        <f>IF(ISNUMBER(Data!AL633),Data!AL633/1000,"n/a")</f>
        <v>0.57825000000000004</v>
      </c>
      <c r="E122" s="1">
        <f>Data!E633</f>
        <v>33</v>
      </c>
      <c r="F122" s="28">
        <f>Data!J633/100</f>
        <v>2.2272633532687148E-2</v>
      </c>
      <c r="G122" s="28">
        <f>IF(ISNUMBER(Data!S633),Data!S633/100,"n/a")</f>
        <v>1.9230769230769162E-2</v>
      </c>
      <c r="H122" s="28">
        <f>IF(ISNUMBER(Data!T633),Data!T633/100,"n/a")</f>
        <v>1.2904649119013012E-2</v>
      </c>
      <c r="I122" s="28">
        <f>IF(ISNUMBER(Data!U633),Data!U633/100,"n/a")</f>
        <v>1.3757625808976881E-2</v>
      </c>
      <c r="J122" s="28">
        <f>IF(ISNUMBER(Data!V633),Data!V633/100,"n/a")</f>
        <v>1.3169929633276789E-2</v>
      </c>
      <c r="K122" s="9">
        <f>IF(ISNUMBER(Data!Z633),Data!Z633/100,"n/a")</f>
        <v>0.21513944223107573</v>
      </c>
      <c r="L122" s="10">
        <f>Data!AA633</f>
        <v>9.6593625498007984</v>
      </c>
      <c r="M122" s="10">
        <f>Data!AF633</f>
        <v>1.3</v>
      </c>
      <c r="N122" s="28">
        <f>IF(ISNUMBER(Data!AG633),Data!AG633/100,"n/a")</f>
        <v>0.113</v>
      </c>
      <c r="O122" s="28">
        <f>IF(ISNUMBER(Data!AJ633),Data!AJ633/100,"n/a")</f>
        <v>5.2000000000000005E-2</v>
      </c>
      <c r="P122" s="9" t="str">
        <f>IF(ISNUMBER(Data!AK633),Data!AK633/100,"n/a")</f>
        <v>n/a</v>
      </c>
      <c r="Q122" s="8">
        <f>Data!AN633</f>
        <v>0</v>
      </c>
      <c r="R122" s="8">
        <f>Data!AP633</f>
        <v>3.603025934166403</v>
      </c>
      <c r="S122" s="8"/>
      <c r="T122" s="8"/>
      <c r="U122" s="8"/>
      <c r="V122" s="1">
        <f t="shared" si="2"/>
        <v>6</v>
      </c>
      <c r="W122" s="1">
        <f t="shared" si="3"/>
        <v>0</v>
      </c>
    </row>
    <row r="123" spans="1:23" hidden="1" x14ac:dyDescent="0.2">
      <c r="A123" s="7" t="str">
        <f>Data!A654</f>
        <v>TTEC Holdings, Inc.</v>
      </c>
      <c r="B123" s="7" t="str">
        <f>Data!B654</f>
        <v>TTEC</v>
      </c>
      <c r="C123" s="7" t="str">
        <f>Data!C654</f>
        <v>Information Technology</v>
      </c>
      <c r="D123" s="8">
        <f>IF(ISNUMBER(Data!AL654),Data!AL654/1000,"n/a")</f>
        <v>2.11</v>
      </c>
      <c r="E123" s="1">
        <f>Data!E654</f>
        <v>8</v>
      </c>
      <c r="F123" s="28">
        <f>Data!J654/100</f>
        <v>2.3386552732178999E-2</v>
      </c>
      <c r="G123" s="28">
        <f>IF(ISNUMBER(Data!S654),Data!S654/100,"n/a")</f>
        <v>0.2162162162162162</v>
      </c>
      <c r="H123" s="28">
        <f>IF(ISNUMBER(Data!T654),Data!T654/100,"n/a")</f>
        <v>0.17840146380897415</v>
      </c>
      <c r="I123" s="28">
        <f>IF(ISNUMBER(Data!U654),Data!U654/100,"n/a")</f>
        <v>0.18510370533357379</v>
      </c>
      <c r="J123" s="28" t="str">
        <f>IF(ISNUMBER(Data!V654),Data!V654/100,"n/a")</f>
        <v>n/a</v>
      </c>
      <c r="K123" s="9">
        <f>IF(ISNUMBER(Data!Z654),Data!Z654/100,"n/a")</f>
        <v>0.48372093023255824</v>
      </c>
      <c r="L123" s="10">
        <f>Data!AA654</f>
        <v>20.683720930232557</v>
      </c>
      <c r="M123" s="10">
        <f>Data!AF654</f>
        <v>3.98</v>
      </c>
      <c r="N123" s="28">
        <f>IF(ISNUMBER(Data!AG654),Data!AG654/100,"n/a")</f>
        <v>0.19600000000000001</v>
      </c>
      <c r="O123" s="28">
        <f>IF(ISNUMBER(Data!AJ654),Data!AJ654/100,"n/a")</f>
        <v>0.33399999999999996</v>
      </c>
      <c r="P123" s="9">
        <f>IF(ISNUMBER(Data!AK654),Data!AK654/100,"n/a")</f>
        <v>7.6499999999999999E-2</v>
      </c>
      <c r="Q123" s="8">
        <f>Data!AN654</f>
        <v>0</v>
      </c>
      <c r="R123" s="8">
        <f>Data!AP654</f>
        <v>20.849025806575277</v>
      </c>
      <c r="S123" s="8"/>
      <c r="T123" s="8"/>
      <c r="U123" s="8"/>
      <c r="V123" s="1">
        <f t="shared" si="2"/>
        <v>9</v>
      </c>
      <c r="W123" s="1">
        <f t="shared" si="3"/>
        <v>0</v>
      </c>
    </row>
    <row r="124" spans="1:23" hidden="1" x14ac:dyDescent="0.2">
      <c r="A124" s="7" t="str">
        <f>Data!A632</f>
        <v>Target Corporation</v>
      </c>
      <c r="B124" s="7" t="str">
        <f>Data!B632</f>
        <v>TGT</v>
      </c>
      <c r="C124" s="7" t="str">
        <f>Data!C632</f>
        <v>Consumer Discretionary</v>
      </c>
      <c r="D124" s="8">
        <f>IF(ISNUMBER(Data!AL632),Data!AL632/1000,"n/a")</f>
        <v>76.819999999999993</v>
      </c>
      <c r="E124" s="1">
        <f>Data!E632</f>
        <v>55</v>
      </c>
      <c r="F124" s="28">
        <f>Data!J632/100</f>
        <v>2.63013698630137E-2</v>
      </c>
      <c r="G124" s="28">
        <f>IF(ISNUMBER(Data!S632),Data!S632/100,"n/a")</f>
        <v>0.17910447761194034</v>
      </c>
      <c r="H124" s="28">
        <f>IF(ISNUMBER(Data!T632),Data!T632/100,"n/a")</f>
        <v>7.8356053416644755E-2</v>
      </c>
      <c r="I124" s="28">
        <f>IF(ISNUMBER(Data!U632),Data!U632/100,"n/a")</f>
        <v>6.3750603655610361E-2</v>
      </c>
      <c r="J124" s="28">
        <f>IF(ISNUMBER(Data!V632),Data!V632/100,"n/a")</f>
        <v>0.11129520316167785</v>
      </c>
      <c r="K124" s="9">
        <f>IF(ISNUMBER(Data!Z632),Data!Z632/100,"n/a")</f>
        <v>0.49035187287173665</v>
      </c>
      <c r="L124" s="10">
        <f>Data!AA632</f>
        <v>18.643586833144152</v>
      </c>
      <c r="M124" s="10">
        <f>Data!AF632</f>
        <v>7.3</v>
      </c>
      <c r="N124" s="28">
        <f>IF(ISNUMBER(Data!AG632),Data!AG632/100,"n/a")</f>
        <v>0.35199999999999998</v>
      </c>
      <c r="O124" s="28">
        <f>IF(ISNUMBER(Data!AJ632),Data!AJ632/100,"n/a")</f>
        <v>0.252</v>
      </c>
      <c r="P124" s="9">
        <f>IF(ISNUMBER(Data!AK632),Data!AK632/100,"n/a")</f>
        <v>0.19589999999999999</v>
      </c>
      <c r="Q124" s="8">
        <f>Data!AN632</f>
        <v>1.43</v>
      </c>
      <c r="R124" s="8">
        <f>Data!AP632</f>
        <v>9.0051973518624067</v>
      </c>
      <c r="S124" s="8"/>
      <c r="T124" s="8"/>
      <c r="U124" s="8"/>
      <c r="V124" s="1">
        <f t="shared" si="2"/>
        <v>11</v>
      </c>
      <c r="W124" s="1">
        <f t="shared" si="3"/>
        <v>0</v>
      </c>
    </row>
    <row r="125" spans="1:23" hidden="1" x14ac:dyDescent="0.2">
      <c r="A125" s="7" t="str">
        <f>Data!A603</f>
        <v>1st Source Corporation</v>
      </c>
      <c r="B125" s="7" t="str">
        <f>Data!B603</f>
        <v>SRCE</v>
      </c>
      <c r="C125" s="7" t="str">
        <f>Data!C603</f>
        <v>Financials</v>
      </c>
      <c r="D125" s="8">
        <f>IF(ISNUMBER(Data!AL603),Data!AL603/1000,"n/a")</f>
        <v>1.43</v>
      </c>
      <c r="E125" s="1">
        <f>Data!E603</f>
        <v>35</v>
      </c>
      <c r="F125" s="28">
        <f>Data!J603/100</f>
        <v>2.2008253094910592E-2</v>
      </c>
      <c r="G125" s="28">
        <f>IF(ISNUMBER(Data!S603),Data!S603/100,"n/a")</f>
        <v>7.079646017699126E-2</v>
      </c>
      <c r="H125" s="28">
        <f>IF(ISNUMBER(Data!T603),Data!T603/100,"n/a")</f>
        <v>8.0201341824893024E-2</v>
      </c>
      <c r="I125" s="28">
        <f>IF(ISNUMBER(Data!U603),Data!U603/100,"n/a")</f>
        <v>0.10940616459474641</v>
      </c>
      <c r="J125" s="28">
        <f>IF(ISNUMBER(Data!V603),Data!V603/100,"n/a")</f>
        <v>7.5969121894917224E-2</v>
      </c>
      <c r="K125" s="9">
        <f>IF(ISNUMBER(Data!Z603),Data!Z603/100,"n/a")</f>
        <v>0.2723404255319149</v>
      </c>
      <c r="L125" s="10">
        <f>Data!AA603</f>
        <v>12.374468085106383</v>
      </c>
      <c r="M125" s="10">
        <f>Data!AF603</f>
        <v>1.75</v>
      </c>
      <c r="N125" s="28">
        <f>IF(ISNUMBER(Data!AG603),Data!AG603/100,"n/a")</f>
        <v>0.13400000000000001</v>
      </c>
      <c r="O125" s="28">
        <f>IF(ISNUMBER(Data!AJ603),Data!AJ603/100,"n/a")</f>
        <v>0.16200000000000001</v>
      </c>
      <c r="P125" s="9">
        <f>IF(ISNUMBER(Data!AK603),Data!AK603/100,"n/a")</f>
        <v>0.1</v>
      </c>
      <c r="Q125" s="8">
        <f>Data!AN603</f>
        <v>0.13</v>
      </c>
      <c r="R125" s="8">
        <f>Data!AP603</f>
        <v>13.141441768965699</v>
      </c>
      <c r="S125" s="8"/>
      <c r="T125" s="8"/>
      <c r="U125" s="8"/>
      <c r="V125" s="1">
        <f t="shared" si="2"/>
        <v>11</v>
      </c>
      <c r="W125" s="1">
        <f t="shared" si="3"/>
        <v>0</v>
      </c>
    </row>
    <row r="126" spans="1:23" hidden="1" x14ac:dyDescent="0.2">
      <c r="A126" s="7" t="str">
        <f>Data!A624</f>
        <v>Sysco Corporation</v>
      </c>
      <c r="B126" s="7" t="str">
        <f>Data!B624</f>
        <v>SYY</v>
      </c>
      <c r="C126" s="7" t="str">
        <f>Data!C624</f>
        <v>Consumer Staples</v>
      </c>
      <c r="D126" s="8">
        <f>IF(ISNUMBER(Data!AL624),Data!AL624/1000,"n/a")</f>
        <v>42.44</v>
      </c>
      <c r="E126" s="1">
        <f>Data!E624</f>
        <v>52</v>
      </c>
      <c r="F126" s="28">
        <f>Data!J624/100</f>
        <v>2.2643253234750461E-2</v>
      </c>
      <c r="G126" s="28">
        <f>IF(ISNUMBER(Data!S624),Data!S624/100,"n/a")</f>
        <v>2.2222222222222143E-2</v>
      </c>
      <c r="H126" s="28">
        <f>IF(ISNUMBER(Data!T624),Data!T624/100,"n/a")</f>
        <v>8.5138345254405431E-2</v>
      </c>
      <c r="I126" s="28">
        <f>IF(ISNUMBER(Data!U624),Data!U624/100,"n/a")</f>
        <v>8.2129477676936791E-2</v>
      </c>
      <c r="J126" s="28">
        <f>IF(ISNUMBER(Data!V624),Data!V624/100,"n/a")</f>
        <v>5.8713493725206511E-2</v>
      </c>
      <c r="K126" s="9">
        <f>IF(ISNUMBER(Data!Z624),Data!Z624/100,"n/a")</f>
        <v>0.74242424242424254</v>
      </c>
      <c r="L126" s="10">
        <f>Data!AA624</f>
        <v>32.787878787878789</v>
      </c>
      <c r="M126" s="10">
        <f>Data!AF624</f>
        <v>31.73</v>
      </c>
      <c r="N126" s="28">
        <f>IF(ISNUMBER(Data!AG624),Data!AG624/100,"n/a")</f>
        <v>0.97099999999999997</v>
      </c>
      <c r="O126" s="28">
        <f>IF(ISNUMBER(Data!AJ624),Data!AJ624/100,"n/a")</f>
        <v>4.9000000000000002E-2</v>
      </c>
      <c r="P126" s="9">
        <f>IF(ISNUMBER(Data!AK624),Data!AK624/100,"n/a")</f>
        <v>0.41399999999999998</v>
      </c>
      <c r="Q126" s="8">
        <f>Data!AN624</f>
        <v>7.7</v>
      </c>
      <c r="R126" s="8">
        <f>Data!AP624</f>
        <v>10.477273091168726</v>
      </c>
      <c r="S126" s="8"/>
      <c r="T126" s="8"/>
      <c r="U126" s="8"/>
      <c r="V126" s="1">
        <f t="shared" si="2"/>
        <v>8</v>
      </c>
      <c r="W126" s="1">
        <f t="shared" si="3"/>
        <v>0</v>
      </c>
    </row>
    <row r="127" spans="1:23" hidden="1" x14ac:dyDescent="0.2">
      <c r="A127" s="7" t="str">
        <f>Data!A623</f>
        <v>Stryker Corporation</v>
      </c>
      <c r="B127" s="7" t="str">
        <f>Data!B623</f>
        <v>SYK</v>
      </c>
      <c r="C127" s="7" t="str">
        <f>Data!C623</f>
        <v>Health Care</v>
      </c>
      <c r="D127" s="8">
        <f>IF(ISNUMBER(Data!AL623),Data!AL623/1000,"n/a")</f>
        <v>86.36</v>
      </c>
      <c r="E127" s="1">
        <f>Data!E623</f>
        <v>29</v>
      </c>
      <c r="F127" s="28">
        <f>Data!J623/100</f>
        <v>1.2127028441807712E-2</v>
      </c>
      <c r="G127" s="28">
        <f>IF(ISNUMBER(Data!S623),Data!S623/100,"n/a")</f>
        <v>9.5652173913043578E-2</v>
      </c>
      <c r="H127" s="28">
        <f>IF(ISNUMBER(Data!T623),Data!T623/100,"n/a")</f>
        <v>0.10259046003776075</v>
      </c>
      <c r="I127" s="28">
        <f>IF(ISNUMBER(Data!U623),Data!U623/100,"n/a")</f>
        <v>0.10639802171942205</v>
      </c>
      <c r="J127" s="28">
        <f>IF(ISNUMBER(Data!V623),Data!V623/100,"n/a")</f>
        <v>0.13346158167069744</v>
      </c>
      <c r="K127" s="9">
        <f>IF(ISNUMBER(Data!Z623),Data!Z623/100,"n/a")</f>
        <v>0.51102941176470584</v>
      </c>
      <c r="L127" s="10">
        <f>Data!AA623</f>
        <v>42.139705882352942</v>
      </c>
      <c r="M127" s="10">
        <f>Data!AF623</f>
        <v>5.53</v>
      </c>
      <c r="N127" s="28">
        <f>IF(ISNUMBER(Data!AG623),Data!AG623/100,"n/a")</f>
        <v>0.13900000000000001</v>
      </c>
      <c r="O127" s="28">
        <f>IF(ISNUMBER(Data!AJ623),Data!AJ623/100,"n/a")</f>
        <v>3.6999999999999998E-2</v>
      </c>
      <c r="P127" s="9">
        <f>IF(ISNUMBER(Data!AK623),Data!AK623/100,"n/a")</f>
        <v>7.8200000000000006E-2</v>
      </c>
      <c r="Q127" s="8">
        <f>Data!AN623</f>
        <v>0.85</v>
      </c>
      <c r="R127" s="8">
        <f>Data!AP623</f>
        <v>11.852505016122976</v>
      </c>
      <c r="S127" s="8"/>
      <c r="T127" s="8"/>
      <c r="U127" s="8"/>
      <c r="V127" s="1">
        <f t="shared" si="2"/>
        <v>9</v>
      </c>
      <c r="W127" s="1">
        <f t="shared" si="3"/>
        <v>0</v>
      </c>
    </row>
    <row r="128" spans="1:23" hidden="1" x14ac:dyDescent="0.2">
      <c r="A128" s="7" t="str">
        <f>Data!A600</f>
        <v>S&amp;P Global Inc.</v>
      </c>
      <c r="B128" s="7" t="str">
        <f>Data!B600</f>
        <v>SPGI</v>
      </c>
      <c r="C128" s="7" t="str">
        <f>Data!C600</f>
        <v>Financials</v>
      </c>
      <c r="D128" s="8">
        <f>IF(ISNUMBER(Data!AL600),Data!AL600/1000,"n/a")</f>
        <v>106.49</v>
      </c>
      <c r="E128" s="1">
        <f>Data!E600</f>
        <v>49</v>
      </c>
      <c r="F128" s="28">
        <f>Data!J600/100</f>
        <v>1.0583657587548638E-2</v>
      </c>
      <c r="G128" s="28">
        <f>IF(ISNUMBER(Data!S600),Data!S600/100,"n/a")</f>
        <v>0.14925373134328357</v>
      </c>
      <c r="H128" s="28">
        <f>IF(ISNUMBER(Data!T600),Data!T600/100,"n/a")</f>
        <v>0.1548003502915456</v>
      </c>
      <c r="I128" s="28">
        <f>IF(ISNUMBER(Data!U600),Data!U600/100,"n/a")</f>
        <v>0.1642269408590358</v>
      </c>
      <c r="J128" s="28">
        <f>IF(ISNUMBER(Data!V600),Data!V600/100,"n/a")</f>
        <v>0.11906437833447958</v>
      </c>
      <c r="K128" s="9">
        <f>IF(ISNUMBER(Data!Z600),Data!Z600/100,"n/a")</f>
        <v>0.28428093645484948</v>
      </c>
      <c r="L128" s="10">
        <f>Data!AA600</f>
        <v>26.860367892976587</v>
      </c>
      <c r="M128" s="10">
        <f>Data!AF600</f>
        <v>2.8</v>
      </c>
      <c r="N128" s="28">
        <f>IF(ISNUMBER(Data!AG600),Data!AG600/100,"n/a")</f>
        <v>0.16900000000000001</v>
      </c>
      <c r="O128" s="28">
        <f>IF(ISNUMBER(Data!AJ600),Data!AJ600/100,"n/a")</f>
        <v>9.5000000000000001E-2</v>
      </c>
      <c r="P128" s="9">
        <f>IF(ISNUMBER(Data!AK600),Data!AK600/100,"n/a")</f>
        <v>8.2799999999999999E-2</v>
      </c>
      <c r="Q128" s="8">
        <f>Data!AN600</f>
        <v>0.27</v>
      </c>
      <c r="R128" s="8">
        <f>Data!AP600</f>
        <v>17.481059844658443</v>
      </c>
      <c r="S128" s="8"/>
      <c r="T128" s="8"/>
      <c r="U128" s="8"/>
      <c r="V128" s="1">
        <f t="shared" si="2"/>
        <v>10</v>
      </c>
      <c r="W128" s="1">
        <f t="shared" si="3"/>
        <v>0</v>
      </c>
    </row>
    <row r="129" spans="1:23" hidden="1" x14ac:dyDescent="0.2">
      <c r="A129" s="7" t="str">
        <f>Data!A631</f>
        <v>TFS Financial Corporation</v>
      </c>
      <c r="B129" s="7" t="str">
        <f>Data!B631</f>
        <v>TFSL</v>
      </c>
      <c r="C129" s="7" t="str">
        <f>Data!C631</f>
        <v>Financials</v>
      </c>
      <c r="D129" s="8">
        <f>IF(ISNUMBER(Data!AL631),Data!AL631/1000,"n/a")</f>
        <v>3.7</v>
      </c>
      <c r="E129" s="1">
        <f>Data!E631</f>
        <v>8</v>
      </c>
      <c r="F129" s="28">
        <f>Data!J631/100</f>
        <v>8.0427046263345195E-2</v>
      </c>
      <c r="G129" s="28">
        <f>IF(ISNUMBER(Data!S631),Data!S631/100,"n/a")</f>
        <v>4.4642857142855874E-3</v>
      </c>
      <c r="H129" s="28">
        <f>IF(ISNUMBER(Data!T631),Data!T631/100,"n/a")</f>
        <v>0.10227784577092326</v>
      </c>
      <c r="I129" s="28">
        <f>IF(ISNUMBER(Data!U631),Data!U631/100,"n/a")</f>
        <v>0.20112443398143132</v>
      </c>
      <c r="J129" s="28" t="str">
        <f>IF(ISNUMBER(Data!V631),Data!V631/100,"n/a")</f>
        <v>n/a</v>
      </c>
      <c r="K129" s="9">
        <f>IF(ISNUMBER(Data!Z631),Data!Z631/100,"n/a")</f>
        <v>4.9130434782608692</v>
      </c>
      <c r="L129" s="10">
        <f>Data!AA631</f>
        <v>61.086956521739133</v>
      </c>
      <c r="M129" s="10">
        <f>Data!AF631</f>
        <v>2.1800000000000002</v>
      </c>
      <c r="N129" s="28">
        <f>IF(ISNUMBER(Data!AG631),Data!AG631/100,"n/a")</f>
        <v>3.5999999999999997E-2</v>
      </c>
      <c r="O129" s="28">
        <f>IF(ISNUMBER(Data!AJ631),Data!AJ631/100,"n/a")</f>
        <v>3.0000000000000001E-3</v>
      </c>
      <c r="P129" s="9" t="str">
        <f>IF(ISNUMBER(Data!AK631),Data!AK631/100,"n/a")</f>
        <v>n/a</v>
      </c>
      <c r="Q129" s="8">
        <f>Data!AN631</f>
        <v>0</v>
      </c>
      <c r="R129" s="8">
        <f>Data!AP631</f>
        <v>28.155148024477651</v>
      </c>
      <c r="S129" s="8"/>
      <c r="T129" s="8"/>
      <c r="U129" s="8"/>
      <c r="V129" s="1">
        <f t="shared" si="2"/>
        <v>6</v>
      </c>
      <c r="W129" s="1">
        <f t="shared" si="3"/>
        <v>0</v>
      </c>
    </row>
    <row r="130" spans="1:23" hidden="1" x14ac:dyDescent="0.2">
      <c r="A130" s="7" t="str">
        <f>Data!A620</f>
        <v>Standex International Corporation</v>
      </c>
      <c r="B130" s="7" t="str">
        <f>Data!B620</f>
        <v>SXI</v>
      </c>
      <c r="C130" s="7" t="str">
        <f>Data!C620</f>
        <v>Industrials</v>
      </c>
      <c r="D130" s="8">
        <f>IF(ISNUMBER(Data!AL620),Data!AL620/1000,"n/a")</f>
        <v>1.1299999999999999</v>
      </c>
      <c r="E130" s="1">
        <f>Data!E620</f>
        <v>12</v>
      </c>
      <c r="F130" s="28">
        <f>Data!J620/100</f>
        <v>1.1307420494699648E-2</v>
      </c>
      <c r="G130" s="28">
        <f>IF(ISNUMBER(Data!S620),Data!S620/100,"n/a")</f>
        <v>8.8888888888888781E-2</v>
      </c>
      <c r="H130" s="28">
        <f>IF(ISNUMBER(Data!T620),Data!T620/100,"n/a")</f>
        <v>9.8157887721507672E-2</v>
      </c>
      <c r="I130" s="28">
        <f>IF(ISNUMBER(Data!U620),Data!U620/100,"n/a")</f>
        <v>0.11060497971884509</v>
      </c>
      <c r="J130" s="28">
        <f>IF(ISNUMBER(Data!V620),Data!V620/100,"n/a")</f>
        <v>0.14638001595560257</v>
      </c>
      <c r="K130" s="9">
        <f>IF(ISNUMBER(Data!Z620),Data!Z620/100,"n/a")</f>
        <v>0.22090729783037477</v>
      </c>
      <c r="L130" s="10">
        <f>Data!AA620</f>
        <v>19.536489151873766</v>
      </c>
      <c r="M130" s="10">
        <f>Data!AF620</f>
        <v>2.31</v>
      </c>
      <c r="N130" s="28">
        <f>IF(ISNUMBER(Data!AG620),Data!AG620/100,"n/a")</f>
        <v>0.11899999999999998</v>
      </c>
      <c r="O130" s="28">
        <f>IF(ISNUMBER(Data!AJ620),Data!AJ620/100,"n/a")</f>
        <v>0.106</v>
      </c>
      <c r="P130" s="9">
        <f>IF(ISNUMBER(Data!AK620),Data!AK620/100,"n/a")</f>
        <v>0.14000000000000001</v>
      </c>
      <c r="Q130" s="8">
        <f>Data!AN620</f>
        <v>0.35</v>
      </c>
      <c r="R130" s="8">
        <f>Data!AP620</f>
        <v>12.191240021354474</v>
      </c>
      <c r="S130" s="8"/>
      <c r="T130" s="8"/>
      <c r="U130" s="8"/>
      <c r="V130" s="1">
        <f t="shared" si="2"/>
        <v>8</v>
      </c>
      <c r="W130" s="1">
        <f t="shared" si="3"/>
        <v>0</v>
      </c>
    </row>
    <row r="131" spans="1:23" hidden="1" x14ac:dyDescent="0.2">
      <c r="A131" s="7" t="str">
        <f>Data!A630</f>
        <v>Truist Financial Corporation</v>
      </c>
      <c r="B131" s="7" t="str">
        <f>Data!B630</f>
        <v>TFC</v>
      </c>
      <c r="C131" s="7" t="str">
        <f>Data!C630</f>
        <v>Financials</v>
      </c>
      <c r="D131" s="8">
        <f>IF(ISNUMBER(Data!AL630),Data!AL630/1000,"n/a")</f>
        <v>58.62</v>
      </c>
      <c r="E131" s="1">
        <f>Data!E630</f>
        <v>12</v>
      </c>
      <c r="F131" s="28">
        <f>Data!J630/100</f>
        <v>4.6438937262781872E-2</v>
      </c>
      <c r="G131" s="28">
        <f>IF(ISNUMBER(Data!S630),Data!S630/100,"n/a")</f>
        <v>3.3333333333333437E-2</v>
      </c>
      <c r="H131" s="28">
        <f>IF(ISNUMBER(Data!T630),Data!T630/100,"n/a")</f>
        <v>7.0779637422353936E-2</v>
      </c>
      <c r="I131" s="28">
        <f>IF(ISNUMBER(Data!U630),Data!U630/100,"n/a")</f>
        <v>0.10093840223689397</v>
      </c>
      <c r="J131" s="28">
        <f>IF(ISNUMBER(Data!V630),Data!V630/100,"n/a")</f>
        <v>0.11258524744047517</v>
      </c>
      <c r="K131" s="9">
        <f>IF(ISNUMBER(Data!Z630),Data!Z630/100,"n/a")</f>
        <v>0.47706422018348621</v>
      </c>
      <c r="L131" s="10">
        <f>Data!AA630</f>
        <v>10.272935779816512</v>
      </c>
      <c r="M131" s="10">
        <f>Data!AF630</f>
        <v>1.06</v>
      </c>
      <c r="N131" s="28">
        <f>IF(ISNUMBER(Data!AG630),Data!AG630/100,"n/a")</f>
        <v>0.10100000000000002</v>
      </c>
      <c r="O131" s="28">
        <f>IF(ISNUMBER(Data!AJ630),Data!AJ630/100,"n/a")</f>
        <v>0.1</v>
      </c>
      <c r="P131" s="9">
        <f>IF(ISNUMBER(Data!AK630),Data!AK630/100,"n/a")</f>
        <v>2.0400000000000001E-2</v>
      </c>
      <c r="Q131" s="8">
        <f>Data!AN630</f>
        <v>0.54</v>
      </c>
      <c r="R131" s="8">
        <f>Data!AP630</f>
        <v>14.737733949967584</v>
      </c>
      <c r="S131" s="8"/>
      <c r="T131" s="8"/>
      <c r="U131" s="8"/>
      <c r="V131" s="1">
        <f t="shared" si="2"/>
        <v>10</v>
      </c>
      <c r="W131" s="1">
        <f t="shared" si="3"/>
        <v>0</v>
      </c>
    </row>
    <row r="132" spans="1:23" hidden="1" x14ac:dyDescent="0.2">
      <c r="A132" s="7" t="str">
        <f>Data!A584</f>
        <v>Sirius XM Holdings Inc.</v>
      </c>
      <c r="B132" s="7" t="str">
        <f>Data!B584</f>
        <v>SIRI</v>
      </c>
      <c r="C132" s="7" t="str">
        <f>Data!C584</f>
        <v>Communication Services</v>
      </c>
      <c r="D132" s="8">
        <f>IF(ISNUMBER(Data!AL584),Data!AL584/1000,"n/a")</f>
        <v>23.79</v>
      </c>
      <c r="E132" s="1">
        <f>Data!E584</f>
        <v>6</v>
      </c>
      <c r="F132" s="28">
        <f>Data!J584/100</f>
        <v>1.4544039735099337E-2</v>
      </c>
      <c r="G132" s="28">
        <f>IF(ISNUMBER(Data!S584),Data!S584/100,"n/a")</f>
        <v>0.20619010096937943</v>
      </c>
      <c r="H132" s="28">
        <f>IF(ISNUMBER(Data!T584),Data!T584/100,"n/a")</f>
        <v>0.13431509123242491</v>
      </c>
      <c r="I132" s="28">
        <f>IF(ISNUMBER(Data!U584),Data!U584/100,"n/a")</f>
        <v>0.45772477319365601</v>
      </c>
      <c r="J132" s="28" t="str">
        <f>IF(ISNUMBER(Data!V584),Data!V584/100,"n/a")</f>
        <v>n/a</v>
      </c>
      <c r="K132" s="9">
        <f>IF(ISNUMBER(Data!Z584),Data!Z584/100,"n/a")</f>
        <v>0.28337419354838705</v>
      </c>
      <c r="L132" s="10">
        <f>Data!AA584</f>
        <v>19.483870967741936</v>
      </c>
      <c r="M132" s="10" t="str">
        <f>Data!AF584</f>
        <v>n/a</v>
      </c>
      <c r="N132" s="28">
        <f>IF(ISNUMBER(Data!AG584),Data!AG584/100,"n/a")</f>
        <v>-0.40899999999999997</v>
      </c>
      <c r="O132" s="28">
        <f>IF(ISNUMBER(Data!AJ584),Data!AJ584/100,"n/a")</f>
        <v>0.16300000000000001</v>
      </c>
      <c r="P132" s="9">
        <f>IF(ISNUMBER(Data!AK584),Data!AK584/100,"n/a")</f>
        <v>5.0900000000000001E-2</v>
      </c>
      <c r="Q132" s="8" t="str">
        <f>Data!AN584</f>
        <v>n/a</v>
      </c>
      <c r="R132" s="8">
        <f>Data!AP584</f>
        <v>47.226881292875532</v>
      </c>
      <c r="S132" s="8"/>
      <c r="T132" s="8"/>
      <c r="U132" s="8"/>
      <c r="V132" s="1">
        <f t="shared" si="2"/>
        <v>7</v>
      </c>
      <c r="W132" s="1">
        <f t="shared" si="3"/>
        <v>0</v>
      </c>
    </row>
    <row r="133" spans="1:23" hidden="1" x14ac:dyDescent="0.2">
      <c r="A133" s="7" t="str">
        <f>Data!A618</f>
        <v>Skyworks Solutions, Inc.</v>
      </c>
      <c r="B133" s="7" t="str">
        <f>Data!B618</f>
        <v>SWKS</v>
      </c>
      <c r="C133" s="7" t="str">
        <f>Data!C618</f>
        <v>Information Technology</v>
      </c>
      <c r="D133" s="8">
        <f>IF(ISNUMBER(Data!AL618),Data!AL618/1000,"n/a")</f>
        <v>13.45</v>
      </c>
      <c r="E133" s="1">
        <f>Data!E618</f>
        <v>9</v>
      </c>
      <c r="F133" s="28">
        <f>Data!J618/100</f>
        <v>2.8833856528310661E-2</v>
      </c>
      <c r="G133" s="28">
        <f>IF(ISNUMBER(Data!S618),Data!S618/100,"n/a")</f>
        <v>0.12765957446808529</v>
      </c>
      <c r="H133" s="28">
        <f>IF(ISNUMBER(Data!T618),Data!T618/100,"n/a")</f>
        <v>0.14833678012614415</v>
      </c>
      <c r="I133" s="28">
        <f>IF(ISNUMBER(Data!U618),Data!U618/100,"n/a")</f>
        <v>0.1444120475235473</v>
      </c>
      <c r="J133" s="28" t="str">
        <f>IF(ISNUMBER(Data!V618),Data!V618/100,"n/a")</f>
        <v>n/a</v>
      </c>
      <c r="K133" s="9">
        <f>IF(ISNUMBER(Data!Z618),Data!Z618/100,"n/a")</f>
        <v>0.31512071156289706</v>
      </c>
      <c r="L133" s="10">
        <f>Data!AA618</f>
        <v>10.92884371029225</v>
      </c>
      <c r="M133" s="10">
        <f>Data!AF618</f>
        <v>2.68</v>
      </c>
      <c r="N133" s="28">
        <f>IF(ISNUMBER(Data!AG618),Data!AG618/100,"n/a")</f>
        <v>0.24600000000000002</v>
      </c>
      <c r="O133" s="28">
        <f>IF(ISNUMBER(Data!AJ618),Data!AJ618/100,"n/a")</f>
        <v>0.11600000000000002</v>
      </c>
      <c r="P133" s="9">
        <f>IF(ISNUMBER(Data!AK618),Data!AK618/100,"n/a")</f>
        <v>9.6500000000000002E-2</v>
      </c>
      <c r="Q133" s="8">
        <f>Data!AN618</f>
        <v>0.41</v>
      </c>
      <c r="R133" s="8">
        <f>Data!AP618</f>
        <v>17.324590405185795</v>
      </c>
      <c r="S133" s="8"/>
      <c r="T133" s="8"/>
      <c r="U133" s="8"/>
      <c r="V133" s="1">
        <f t="shared" ref="V133:V196" si="4">IF($D$4="+",IF(D133="n/a",0,IF(D133&gt;=$D$5,1,0)),0)+IF($E$4="+",IF(E133="n/a",0,IF(E133&gt;=$E$5,1,0)),0)+IF($F$4="+",IF(F133="n/a",0,IF(F133&gt;=$F$5,1,0)),0)+IF($G$4="+",IF(G133="n/a",0,IF(G133&gt;=$G$5,1,0)),0)+IF($H$4="+",IF(H133="n/a",0,IF(H133&gt;=$H$5,1,0)),0)+IF($I$4="+",IF(I133="n/a",0,IF(I133&gt;=$I$5,1,0)),0)+IF($J$4="+",IF(J133="n/a",0,IF(J133&gt;=$J$5,1,0)),0)+IF($K$4="+",IF(K133="n/a",0,IF(K133&lt;=$K$5,1,0)),0)+IF($L$4="+",IF(L133="n/a",0,IF(L133&lt;=$L$5,1,0)),0)+IF($M$4="+",IF(M133="n/a",0,IF(M133&lt;=$M$5,1,0)),0)+IF($N$4="+",IF(N133="n/a",0,IF(N133&gt;=$N$5,1,0)),0)+IF($O$4="+",IF(O133="n/a",0,IF(O133&gt;=$O$5,1,0)),0)+IF($P$4="+",IF(P133="n/a",0,IF(P133&gt;=$P$5,1,0)),0)+IF($Q$4="+",IF(Q133="n/a",0,IF(Q133&lt;=$Q$5,1,0)),0)+IF($R$4="+",IF(R133="n/a",0,IF(R133&gt;=$R$5,1,0)),0)+$Y$4</f>
        <v>10</v>
      </c>
      <c r="W133" s="1">
        <f t="shared" ref="W133:W196" si="5">IF(V133&gt;=$V$2,"",0)</f>
        <v>0</v>
      </c>
    </row>
    <row r="134" spans="1:23" hidden="1" x14ac:dyDescent="0.2">
      <c r="A134" s="7" t="str">
        <f>Data!A581</f>
        <v>The Sherwin-Williams Company</v>
      </c>
      <c r="B134" s="7" t="str">
        <f>Data!B581</f>
        <v>SHW</v>
      </c>
      <c r="C134" s="7" t="str">
        <f>Data!C581</f>
        <v>Materials</v>
      </c>
      <c r="D134" s="8">
        <f>IF(ISNUMBER(Data!AL581),Data!AL581/1000,"n/a")</f>
        <v>57.49</v>
      </c>
      <c r="E134" s="1">
        <f>Data!E581</f>
        <v>44</v>
      </c>
      <c r="F134" s="28">
        <f>Data!J581/100</f>
        <v>1.0665244634048793E-2</v>
      </c>
      <c r="G134" s="28">
        <f>IF(ISNUMBER(Data!S581),Data!S581/100,"n/a")</f>
        <v>0.23134328358208944</v>
      </c>
      <c r="H134" s="28">
        <f>IF(ISNUMBER(Data!T581),Data!T581/100,"n/a")</f>
        <v>0.24259184099287467</v>
      </c>
      <c r="I134" s="28">
        <f>IF(ISNUMBER(Data!U581),Data!U581/100,"n/a")</f>
        <v>0.14456623939757995</v>
      </c>
      <c r="J134" s="28">
        <f>IF(ISNUMBER(Data!V581),Data!V581/100,"n/a")</f>
        <v>0.16283771210929987</v>
      </c>
      <c r="K134" s="9">
        <f>IF(ISNUMBER(Data!Z581),Data!Z581/100,"n/a")</f>
        <v>0.32476319350473615</v>
      </c>
      <c r="L134" s="10">
        <f>Data!AA581</f>
        <v>30.450608930987823</v>
      </c>
      <c r="M134" s="10">
        <f>Data!AF581</f>
        <v>22.44</v>
      </c>
      <c r="N134" s="28">
        <f>IF(ISNUMBER(Data!AG581),Data!AG581/100,"n/a")</f>
        <v>0.81599999999999995</v>
      </c>
      <c r="O134" s="28">
        <f>IF(ISNUMBER(Data!AJ581),Data!AJ581/100,"n/a")</f>
        <v>0.11799999999999999</v>
      </c>
      <c r="P134" s="9">
        <f>IF(ISNUMBER(Data!AK581),Data!AK581/100,"n/a")</f>
        <v>0.1232</v>
      </c>
      <c r="Q134" s="8">
        <f>Data!AN581</f>
        <v>4.0599999999999996</v>
      </c>
      <c r="R134" s="8">
        <f>Data!AP581</f>
        <v>15.523148403162876</v>
      </c>
      <c r="S134" s="8"/>
      <c r="T134" s="8"/>
      <c r="U134" s="8"/>
      <c r="V134" s="1">
        <f t="shared" si="4"/>
        <v>9</v>
      </c>
      <c r="W134" s="1">
        <f t="shared" si="5"/>
        <v>0</v>
      </c>
    </row>
    <row r="135" spans="1:23" hidden="1" x14ac:dyDescent="0.2">
      <c r="A135" s="7" t="str">
        <f>Data!A619</f>
        <v>Southwest Gas Holdings, Inc.</v>
      </c>
      <c r="B135" s="7" t="str">
        <f>Data!B619</f>
        <v>SWX</v>
      </c>
      <c r="C135" s="7" t="str">
        <f>Data!C619</f>
        <v>Utilities</v>
      </c>
      <c r="D135" s="8">
        <f>IF(ISNUMBER(Data!AL619),Data!AL619/1000,"n/a")</f>
        <v>4.83</v>
      </c>
      <c r="E135" s="1">
        <f>Data!E619</f>
        <v>16</v>
      </c>
      <c r="F135" s="28">
        <f>Data!J619/100</f>
        <v>3.3940057479129607E-2</v>
      </c>
      <c r="G135" s="28">
        <f>IF(ISNUMBER(Data!S619),Data!S619/100,"n/a")</f>
        <v>4.434589800443467E-2</v>
      </c>
      <c r="H135" s="28">
        <f>IF(ISNUMBER(Data!T619),Data!T619/100,"n/a")</f>
        <v>4.6468985969915222E-2</v>
      </c>
      <c r="I135" s="28">
        <f>IF(ISNUMBER(Data!U619),Data!U619/100,"n/a")</f>
        <v>6.0578351666543906E-2</v>
      </c>
      <c r="J135" s="28">
        <f>IF(ISNUMBER(Data!V619),Data!V619/100,"n/a")</f>
        <v>8.3612098272158875E-2</v>
      </c>
      <c r="K135" s="9">
        <f>IF(ISNUMBER(Data!Z619),Data!Z619/100,"n/a")</f>
        <v>1.0163934426229508</v>
      </c>
      <c r="L135" s="10">
        <f>Data!AA619</f>
        <v>29.946721311475407</v>
      </c>
      <c r="M135" s="10">
        <f>Data!AF619</f>
        <v>1.43</v>
      </c>
      <c r="N135" s="28">
        <f>IF(ISNUMBER(Data!AG619),Data!AG619/100,"n/a")</f>
        <v>4.5999999999999999E-2</v>
      </c>
      <c r="O135" s="28">
        <f>IF(ISNUMBER(Data!AJ619),Data!AJ619/100,"n/a")</f>
        <v>1.3000000000000001E-2</v>
      </c>
      <c r="P135" s="9">
        <f>IF(ISNUMBER(Data!AK619),Data!AK619/100,"n/a")</f>
        <v>0.04</v>
      </c>
      <c r="Q135" s="8">
        <f>Data!AN619</f>
        <v>1.76</v>
      </c>
      <c r="R135" s="8">
        <f>Data!AP619</f>
        <v>9.4518409145673523</v>
      </c>
      <c r="S135" s="8"/>
      <c r="T135" s="8"/>
      <c r="U135" s="8"/>
      <c r="V135" s="1">
        <f t="shared" si="4"/>
        <v>6</v>
      </c>
      <c r="W135" s="1">
        <f t="shared" si="5"/>
        <v>0</v>
      </c>
    </row>
    <row r="136" spans="1:23" hidden="1" x14ac:dyDescent="0.2">
      <c r="A136" s="7" t="str">
        <f>Data!A621</f>
        <v>Sensient Technologies Corporation</v>
      </c>
      <c r="B136" s="7" t="str">
        <f>Data!B621</f>
        <v>SXT</v>
      </c>
      <c r="C136" s="7" t="str">
        <f>Data!C621</f>
        <v>Materials</v>
      </c>
      <c r="D136" s="8">
        <f>IF(ISNUMBER(Data!AL621),Data!AL621/1000,"n/a")</f>
        <v>2.91</v>
      </c>
      <c r="E136" s="1">
        <f>Data!E621</f>
        <v>16</v>
      </c>
      <c r="F136" s="28">
        <f>Data!J621/100</f>
        <v>2.2949902043101038E-2</v>
      </c>
      <c r="G136" s="28">
        <f>IF(ISNUMBER(Data!S621),Data!S621/100,"n/a")</f>
        <v>1.2820512820512775E-2</v>
      </c>
      <c r="H136" s="28">
        <f>IF(ISNUMBER(Data!T621),Data!T621/100,"n/a")</f>
        <v>5.3839419253607579E-2</v>
      </c>
      <c r="I136" s="28">
        <f>IF(ISNUMBER(Data!U621),Data!U621/100,"n/a")</f>
        <v>7.3165794198549072E-2</v>
      </c>
      <c r="J136" s="28">
        <f>IF(ISNUMBER(Data!V621),Data!V621/100,"n/a")</f>
        <v>6.5216242784202905E-2</v>
      </c>
      <c r="K136" s="9">
        <f>IF(ISNUMBER(Data!Z621),Data!Z621/100,"n/a")</f>
        <v>0.49848024316109418</v>
      </c>
      <c r="L136" s="10">
        <f>Data!AA621</f>
        <v>21.720364741641337</v>
      </c>
      <c r="M136" s="10">
        <f>Data!AF621</f>
        <v>3.09</v>
      </c>
      <c r="N136" s="28">
        <f>IF(ISNUMBER(Data!AG621),Data!AG621/100,"n/a")</f>
        <v>0.13100000000000001</v>
      </c>
      <c r="O136" s="28">
        <f>IF(ISNUMBER(Data!AJ621),Data!AJ621/100,"n/a")</f>
        <v>5.0000000000000001E-3</v>
      </c>
      <c r="P136" s="9">
        <f>IF(ISNUMBER(Data!AK621),Data!AK621/100,"n/a")</f>
        <v>3.7999999999999999E-2</v>
      </c>
      <c r="Q136" s="8">
        <f>Data!AN621</f>
        <v>0.55000000000000004</v>
      </c>
      <c r="R136" s="8">
        <f>Data!AP621</f>
        <v>9.6115696241650106</v>
      </c>
      <c r="S136" s="8"/>
      <c r="T136" s="8"/>
      <c r="U136" s="8"/>
      <c r="V136" s="1">
        <f t="shared" si="4"/>
        <v>9</v>
      </c>
      <c r="W136" s="1">
        <f t="shared" si="5"/>
        <v>0</v>
      </c>
    </row>
    <row r="137" spans="1:23" hidden="1" x14ac:dyDescent="0.2">
      <c r="A137" s="7" t="str">
        <f>Data!A579</f>
        <v>Simmons First National Corporation</v>
      </c>
      <c r="B137" s="7" t="str">
        <f>Data!B579</f>
        <v>SFNC</v>
      </c>
      <c r="C137" s="7" t="str">
        <f>Data!C579</f>
        <v>Financials</v>
      </c>
      <c r="D137" s="8">
        <f>IF(ISNUMBER(Data!AL579),Data!AL579/1000,"n/a")</f>
        <v>2.95</v>
      </c>
      <c r="E137" s="1">
        <f>Data!E579</f>
        <v>11</v>
      </c>
      <c r="F137" s="28">
        <f>Data!J579/100</f>
        <v>3.1839128613322158E-2</v>
      </c>
      <c r="G137" s="28">
        <f>IF(ISNUMBER(Data!S579),Data!S579/100,"n/a")</f>
        <v>5.9701492537313383E-2</v>
      </c>
      <c r="H137" s="28">
        <f>IF(ISNUMBER(Data!T579),Data!T579/100,"n/a")</f>
        <v>7.2828168622655509E-2</v>
      </c>
      <c r="I137" s="28">
        <f>IF(ISNUMBER(Data!U579),Data!U579/100,"n/a")</f>
        <v>8.3709668005360616E-2</v>
      </c>
      <c r="J137" s="28">
        <f>IF(ISNUMBER(Data!V579),Data!V579/100,"n/a")</f>
        <v>6.1742921208856272E-2</v>
      </c>
      <c r="K137" s="9">
        <f>IF(ISNUMBER(Data!Z579),Data!Z579/100,"n/a")</f>
        <v>0.41304347826086951</v>
      </c>
      <c r="L137" s="10">
        <f>Data!AA579</f>
        <v>12.972826086956522</v>
      </c>
      <c r="M137" s="10">
        <f>Data!AF579</f>
        <v>0.93</v>
      </c>
      <c r="N137" s="28">
        <f>IF(ISNUMBER(Data!AG579),Data!AG579/100,"n/a")</f>
        <v>8.5999999999999993E-2</v>
      </c>
      <c r="O137" s="28">
        <f>IF(ISNUMBER(Data!AJ579),Data!AJ579/100,"n/a")</f>
        <v>9.5000000000000001E-2</v>
      </c>
      <c r="P137" s="9">
        <f>IF(ISNUMBER(Data!AK579),Data!AK579/100,"n/a")</f>
        <v>0.05</v>
      </c>
      <c r="Q137" s="8">
        <f>Data!AN579</f>
        <v>0.14000000000000001</v>
      </c>
      <c r="R137" s="8">
        <f>Data!AP579</f>
        <v>11.554879661868277</v>
      </c>
      <c r="S137" s="8"/>
      <c r="T137" s="8"/>
      <c r="U137" s="8"/>
      <c r="V137" s="1">
        <f t="shared" si="4"/>
        <v>11</v>
      </c>
      <c r="W137" s="1">
        <f t="shared" si="5"/>
        <v>0</v>
      </c>
    </row>
    <row r="138" spans="1:23" hidden="1" x14ac:dyDescent="0.2">
      <c r="A138" s="7" t="str">
        <f>Data!A588</f>
        <v>SL Green Realty Corp.</v>
      </c>
      <c r="B138" s="7" t="str">
        <f>Data!B588</f>
        <v>SLG</v>
      </c>
      <c r="C138" s="7" t="str">
        <f>Data!C588</f>
        <v>Real Estate</v>
      </c>
      <c r="D138" s="8">
        <f>IF(ISNUMBER(Data!AL588),Data!AL588/1000,"n/a")</f>
        <v>2.57</v>
      </c>
      <c r="E138" s="1">
        <f>Data!E588</f>
        <v>11</v>
      </c>
      <c r="F138" s="28">
        <f>Data!J588/100</f>
        <v>9.3991935483870984E-2</v>
      </c>
      <c r="G138" s="28">
        <f>IF(ISNUMBER(Data!S588),Data!S588/100,"n/a")</f>
        <v>2.8135593220339095E-2</v>
      </c>
      <c r="H138" s="28">
        <f>IF(ISNUMBER(Data!T588),Data!T588/100,"n/a")</f>
        <v>3.8460778726889577E-2</v>
      </c>
      <c r="I138" s="28">
        <f>IF(ISNUMBER(Data!U588),Data!U588/100,"n/a")</f>
        <v>4.7929904109798027E-2</v>
      </c>
      <c r="J138" s="28">
        <f>IF(ISNUMBER(Data!V588),Data!V588/100,"n/a")</f>
        <v>0.24709450752540937</v>
      </c>
      <c r="K138" s="9">
        <f>IF(ISNUMBER(Data!Z588),Data!Z588/100,"n/a")</f>
        <v>0.5729032258064517</v>
      </c>
      <c r="L138" s="10">
        <f>Data!AA588</f>
        <v>6.0952380952380958</v>
      </c>
      <c r="M138" s="10">
        <f>Data!AF588</f>
        <v>0.56000000000000005</v>
      </c>
      <c r="N138" s="28">
        <f>IF(ISNUMBER(Data!AG588),Data!AG588/100,"n/a")</f>
        <v>9.7000000000000017E-2</v>
      </c>
      <c r="O138" s="28">
        <f>IF(ISNUMBER(Data!AJ588),Data!AJ588/100,"n/a")</f>
        <v>0.22699999999999998</v>
      </c>
      <c r="P138" s="9">
        <f>IF(ISNUMBER(Data!AK588),Data!AK588/100,"n/a")</f>
        <v>-0.1084</v>
      </c>
      <c r="Q138" s="8">
        <f>Data!AN588</f>
        <v>0.89</v>
      </c>
      <c r="R138" s="8">
        <f>Data!AP588</f>
        <v>14.192183959366901</v>
      </c>
      <c r="S138" s="8"/>
      <c r="T138" s="8"/>
      <c r="U138" s="8"/>
      <c r="V138" s="1">
        <f t="shared" si="4"/>
        <v>6</v>
      </c>
      <c r="W138" s="1">
        <f t="shared" si="5"/>
        <v>0</v>
      </c>
    </row>
    <row r="139" spans="1:23" hidden="1" x14ac:dyDescent="0.2">
      <c r="A139" s="7" t="str">
        <f>Data!A625</f>
        <v>Taitron Components Incorporated</v>
      </c>
      <c r="B139" s="7" t="str">
        <f>Data!B625</f>
        <v>TAIT</v>
      </c>
      <c r="C139" s="7" t="str">
        <f>Data!C625</f>
        <v>Information Technology</v>
      </c>
      <c r="D139" s="8">
        <f>IF(ISNUMBER(Data!AL625),Data!AL625/1000,"n/a")</f>
        <v>2.3390000000000001E-2</v>
      </c>
      <c r="E139" s="1">
        <f>Data!E625</f>
        <v>7</v>
      </c>
      <c r="F139" s="28">
        <f>Data!J625/100</f>
        <v>4.8780487804878057E-2</v>
      </c>
      <c r="G139" s="28">
        <f>IF(ISNUMBER(Data!S625),Data!S625/100,"n/a")</f>
        <v>0.13793103448275867</v>
      </c>
      <c r="H139" s="28">
        <f>IF(ISNUMBER(Data!T625),Data!T625/100,"n/a")</f>
        <v>0.16260329205681459</v>
      </c>
      <c r="I139" s="28">
        <f>IF(ISNUMBER(Data!U625),Data!U625/100,"n/a")</f>
        <v>0.17080491296489231</v>
      </c>
      <c r="J139" s="28" t="str">
        <f>IF(ISNUMBER(Data!V625),Data!V625/100,"n/a")</f>
        <v>n/a</v>
      </c>
      <c r="K139" s="9">
        <f>IF(ISNUMBER(Data!Z625),Data!Z625/100,"n/a")</f>
        <v>0.3174603174603175</v>
      </c>
      <c r="L139" s="10">
        <f>Data!AA625</f>
        <v>6.507936507936507</v>
      </c>
      <c r="M139" s="10">
        <f>Data!AF625</f>
        <v>1.44</v>
      </c>
      <c r="N139" s="28">
        <f>IF(ISNUMBER(Data!AG625),Data!AG625/100,"n/a")</f>
        <v>0.24600000000000002</v>
      </c>
      <c r="O139" s="28">
        <f>IF(ISNUMBER(Data!AJ625),Data!AJ625/100,"n/a")</f>
        <v>0.21099999999999997</v>
      </c>
      <c r="P139" s="9" t="str">
        <f>IF(ISNUMBER(Data!AK625),Data!AK625/100,"n/a")</f>
        <v>n/a</v>
      </c>
      <c r="Q139" s="8">
        <f>Data!AN625</f>
        <v>0</v>
      </c>
      <c r="R139" s="8">
        <f>Data!AP625</f>
        <v>21.958540076977037</v>
      </c>
      <c r="S139" s="8"/>
      <c r="T139" s="8"/>
      <c r="U139" s="8"/>
      <c r="V139" s="1">
        <f t="shared" si="4"/>
        <v>8</v>
      </c>
      <c r="W139" s="1">
        <f t="shared" si="5"/>
        <v>0</v>
      </c>
    </row>
    <row r="140" spans="1:23" hidden="1" x14ac:dyDescent="0.2">
      <c r="A140" s="7" t="str">
        <f>Data!A628</f>
        <v>Telephone and Data Systems, Inc.</v>
      </c>
      <c r="B140" s="7" t="str">
        <f>Data!B628</f>
        <v>TDS</v>
      </c>
      <c r="C140" s="7" t="str">
        <f>Data!C628</f>
        <v>Communication Services</v>
      </c>
      <c r="D140" s="8">
        <f>IF(ISNUMBER(Data!AL628),Data!AL628/1000,"n/a")</f>
        <v>1.88</v>
      </c>
      <c r="E140" s="1">
        <f>Data!E628</f>
        <v>48</v>
      </c>
      <c r="F140" s="28">
        <f>Data!J628/100</f>
        <v>4.2352941176470586E-2</v>
      </c>
      <c r="G140" s="28">
        <f>IF(ISNUMBER(Data!S628),Data!S628/100,"n/a")</f>
        <v>2.9411764705882248E-2</v>
      </c>
      <c r="H140" s="28">
        <f>IF(ISNUMBER(Data!T628),Data!T628/100,"n/a")</f>
        <v>3.0321324952139239E-2</v>
      </c>
      <c r="I140" s="28">
        <f>IF(ISNUMBER(Data!U628),Data!U628/100,"n/a")</f>
        <v>3.4082686025700637E-2</v>
      </c>
      <c r="J140" s="28">
        <f>IF(ISNUMBER(Data!V628),Data!V628/100,"n/a")</f>
        <v>4.0638809026424916E-2</v>
      </c>
      <c r="K140" s="9">
        <f>IF(ISNUMBER(Data!Z628),Data!Z628/100,"n/a")</f>
        <v>0.80898876404494369</v>
      </c>
      <c r="L140" s="10">
        <f>Data!AA628</f>
        <v>19.101123595505619</v>
      </c>
      <c r="M140" s="10">
        <f>Data!AF628</f>
        <v>0.4</v>
      </c>
      <c r="N140" s="28">
        <f>IF(ISNUMBER(Data!AG628),Data!AG628/100,"n/a")</f>
        <v>2.1000000000000001E-2</v>
      </c>
      <c r="O140" s="28">
        <f>IF(ISNUMBER(Data!AJ628),Data!AJ628/100,"n/a")</f>
        <v>0.21099999999999997</v>
      </c>
      <c r="P140" s="9" t="str">
        <f>IF(ISNUMBER(Data!AK628),Data!AK628/100,"n/a")</f>
        <v>n/a</v>
      </c>
      <c r="Q140" s="8">
        <f>Data!AN628</f>
        <v>0.71</v>
      </c>
      <c r="R140" s="8">
        <f>Data!AP628</f>
        <v>7.6435627202171226</v>
      </c>
      <c r="S140" s="8"/>
      <c r="T140" s="8"/>
      <c r="U140" s="8"/>
      <c r="V140" s="1">
        <f t="shared" si="4"/>
        <v>4</v>
      </c>
      <c r="W140" s="1">
        <f t="shared" si="5"/>
        <v>0</v>
      </c>
    </row>
    <row r="141" spans="1:23" hidden="1" x14ac:dyDescent="0.2">
      <c r="A141" s="7" t="str">
        <f>Data!A616</f>
        <v>Switch, Inc.</v>
      </c>
      <c r="B141" s="7" t="str">
        <f>Data!B616</f>
        <v>SWCH</v>
      </c>
      <c r="C141" s="7" t="str">
        <f>Data!C616</f>
        <v>Information Technology</v>
      </c>
      <c r="D141" s="8">
        <f>IF(ISNUMBER(Data!AL616),Data!AL616/1000,"n/a")</f>
        <v>5.34</v>
      </c>
      <c r="E141" s="1">
        <f>Data!E616</f>
        <v>5</v>
      </c>
      <c r="F141" s="28">
        <f>Data!J616/100</f>
        <v>6.1674008810572688E-3</v>
      </c>
      <c r="G141" s="28">
        <f>IF(ISNUMBER(Data!S616),Data!S616/100,"n/a")</f>
        <v>0.29093198992443292</v>
      </c>
      <c r="H141" s="28">
        <f>IF(ISNUMBER(Data!T616),Data!T616/100,"n/a")</f>
        <v>0.51632459143128262</v>
      </c>
      <c r="I141" s="28" t="str">
        <f>IF(ISNUMBER(Data!U616),Data!U616/100,"n/a")</f>
        <v>n/a</v>
      </c>
      <c r="J141" s="28" t="str">
        <f>IF(ISNUMBER(Data!V616),Data!V616/100,"n/a")</f>
        <v>n/a</v>
      </c>
      <c r="K141" s="9">
        <f>IF(ISNUMBER(Data!Z616),Data!Z616/100,"n/a")</f>
        <v>0.13815789473684209</v>
      </c>
      <c r="L141" s="10">
        <f>Data!AA616</f>
        <v>22.401315789473681</v>
      </c>
      <c r="M141" s="10">
        <f>Data!AF616</f>
        <v>6.87</v>
      </c>
      <c r="N141" s="28">
        <f>IF(ISNUMBER(Data!AG616),Data!AG616/100,"n/a")</f>
        <v>0.88099999999999989</v>
      </c>
      <c r="O141" s="28">
        <f>IF(ISNUMBER(Data!AJ616),Data!AJ616/100,"n/a")</f>
        <v>-0.47799999999999998</v>
      </c>
      <c r="P141" s="9">
        <f>IF(ISNUMBER(Data!AK616),Data!AK616/100,"n/a")</f>
        <v>0.26</v>
      </c>
      <c r="Q141" s="8">
        <f>Data!AN616</f>
        <v>2.48</v>
      </c>
      <c r="R141" s="8" t="str">
        <f>Data!AP616</f>
        <v>n/a</v>
      </c>
      <c r="S141" s="8"/>
      <c r="T141" s="8"/>
      <c r="U141" s="8"/>
      <c r="V141" s="1">
        <f t="shared" si="4"/>
        <v>5</v>
      </c>
      <c r="W141" s="1">
        <f t="shared" si="5"/>
        <v>0</v>
      </c>
    </row>
    <row r="142" spans="1:23" hidden="1" x14ac:dyDescent="0.2">
      <c r="A142" s="7" t="str">
        <f>Data!A615</f>
        <v>Sun Communities, Inc.</v>
      </c>
      <c r="B142" s="7" t="str">
        <f>Data!B615</f>
        <v>SUI</v>
      </c>
      <c r="C142" s="7" t="str">
        <f>Data!C615</f>
        <v>Real Estate</v>
      </c>
      <c r="D142" s="8">
        <f>IF(ISNUMBER(Data!AL615),Data!AL615/1000,"n/a")</f>
        <v>16.28</v>
      </c>
      <c r="E142" s="1">
        <f>Data!E615</f>
        <v>6</v>
      </c>
      <c r="F142" s="28">
        <f>Data!J615/100</f>
        <v>2.6103077493511311E-2</v>
      </c>
      <c r="G142" s="28">
        <f>IF(ISNUMBER(Data!S615),Data!S615/100,"n/a")</f>
        <v>5.12820512820511E-2</v>
      </c>
      <c r="H142" s="28">
        <f>IF(ISNUMBER(Data!T615),Data!T615/100,"n/a")</f>
        <v>5.4156936422339763E-2</v>
      </c>
      <c r="I142" s="28">
        <f>IF(ISNUMBER(Data!U615),Data!U615/100,"n/a")</f>
        <v>4.7562875622858991E-2</v>
      </c>
      <c r="J142" s="28">
        <f>IF(ISNUMBER(Data!V615),Data!V615/100,"n/a")</f>
        <v>2.6708908472750092E-2</v>
      </c>
      <c r="K142" s="9">
        <f>IF(ISNUMBER(Data!Z615),Data!Z615/100,"n/a")</f>
        <v>1.7087378640776698</v>
      </c>
      <c r="L142" s="10">
        <f>Data!AA615</f>
        <v>65.461165048543691</v>
      </c>
      <c r="M142" s="10">
        <f>Data!AF615</f>
        <v>2.0299999999999998</v>
      </c>
      <c r="N142" s="28">
        <f>IF(ISNUMBER(Data!AG615),Data!AG615/100,"n/a")</f>
        <v>3.4000000000000002E-2</v>
      </c>
      <c r="O142" s="28">
        <f>IF(ISNUMBER(Data!AJ615),Data!AJ615/100,"n/a")</f>
        <v>0.66</v>
      </c>
      <c r="P142" s="9">
        <f>IF(ISNUMBER(Data!AK615),Data!AK615/100,"n/a")</f>
        <v>0.03</v>
      </c>
      <c r="Q142" s="8">
        <f>Data!AN615</f>
        <v>0.84</v>
      </c>
      <c r="R142" s="8">
        <f>Data!AP615</f>
        <v>7.3665953116370302</v>
      </c>
      <c r="S142" s="8"/>
      <c r="T142" s="8"/>
      <c r="U142" s="8"/>
      <c r="V142" s="1">
        <f t="shared" si="4"/>
        <v>6</v>
      </c>
      <c r="W142" s="1">
        <f t="shared" si="5"/>
        <v>0</v>
      </c>
    </row>
    <row r="143" spans="1:23" hidden="1" x14ac:dyDescent="0.2">
      <c r="A143" s="7" t="str">
        <f>Data!A610</f>
        <v>STERIS plc</v>
      </c>
      <c r="B143" s="7" t="str">
        <f>Data!B610</f>
        <v>STE</v>
      </c>
      <c r="C143" s="7" t="str">
        <f>Data!C610</f>
        <v>Health Care</v>
      </c>
      <c r="D143" s="8">
        <f>IF(ISNUMBER(Data!AL610),Data!AL610/1000,"n/a")</f>
        <v>17.14</v>
      </c>
      <c r="E143" s="1">
        <f>Data!E610</f>
        <v>18</v>
      </c>
      <c r="F143" s="28">
        <f>Data!J610/100</f>
        <v>1.0893498667284736E-2</v>
      </c>
      <c r="G143" s="28">
        <f>IF(ISNUMBER(Data!S610),Data!S610/100,"n/a")</f>
        <v>7.7922077922077948E-2</v>
      </c>
      <c r="H143" s="28">
        <f>IF(ISNUMBER(Data!T610),Data!T610/100,"n/a")</f>
        <v>8.4896342939231761E-2</v>
      </c>
      <c r="I143" s="28">
        <f>IF(ISNUMBER(Data!U610),Data!U610/100,"n/a")</f>
        <v>9.385673350658541E-2</v>
      </c>
      <c r="J143" s="28">
        <f>IF(ISNUMBER(Data!V610),Data!V610/100,"n/a")</f>
        <v>0.10000031976494504</v>
      </c>
      <c r="K143" s="9">
        <f>IF(ISNUMBER(Data!Z610),Data!Z610/100,"n/a")</f>
        <v>0.50267379679144375</v>
      </c>
      <c r="L143" s="10">
        <f>Data!AA610</f>
        <v>46.144385026737972</v>
      </c>
      <c r="M143" s="10">
        <f>Data!AF610</f>
        <v>2.7</v>
      </c>
      <c r="N143" s="28">
        <f>IF(ISNUMBER(Data!AG610),Data!AG610/100,"n/a")</f>
        <v>5.800000000000001E-2</v>
      </c>
      <c r="O143" s="28">
        <f>IF(ISNUMBER(Data!AJ610),Data!AJ610/100,"n/a")</f>
        <v>0.14199999999999999</v>
      </c>
      <c r="P143" s="9">
        <f>IF(ISNUMBER(Data!AK610),Data!AK610/100,"n/a")</f>
        <v>0.1</v>
      </c>
      <c r="Q143" s="8">
        <f>Data!AN610</f>
        <v>0.47</v>
      </c>
      <c r="R143" s="8">
        <f>Data!AP610</f>
        <v>10.475023217387015</v>
      </c>
      <c r="S143" s="8"/>
      <c r="T143" s="8"/>
      <c r="U143" s="8"/>
      <c r="V143" s="1">
        <f t="shared" si="4"/>
        <v>9</v>
      </c>
      <c r="W143" s="1">
        <f t="shared" si="5"/>
        <v>0</v>
      </c>
    </row>
    <row r="144" spans="1:23" hidden="1" x14ac:dyDescent="0.2">
      <c r="A144" s="7" t="str">
        <f>Data!A609</f>
        <v>S&amp;T Bancorp, Inc.</v>
      </c>
      <c r="B144" s="7" t="str">
        <f>Data!B609</f>
        <v>STBA</v>
      </c>
      <c r="C144" s="7" t="str">
        <f>Data!C609</f>
        <v>Financials</v>
      </c>
      <c r="D144" s="8">
        <f>IF(ISNUMBER(Data!AL609),Data!AL609/1000,"n/a")</f>
        <v>1.42</v>
      </c>
      <c r="E144" s="1">
        <f>Data!E609</f>
        <v>10</v>
      </c>
      <c r="F144" s="28">
        <f>Data!J609/100</f>
        <v>3.2795556731023537E-2</v>
      </c>
      <c r="G144" s="28">
        <f>IF(ISNUMBER(Data!S609),Data!S609/100,"n/a")</f>
        <v>8.9285714285711748E-3</v>
      </c>
      <c r="H144" s="28">
        <f>IF(ISNUMBER(Data!T609),Data!T609/100,"n/a")</f>
        <v>4.5075699869106645E-2</v>
      </c>
      <c r="I144" s="28">
        <f>IF(ISNUMBER(Data!U609),Data!U609/100,"n/a")</f>
        <v>7.9735905589465084E-2</v>
      </c>
      <c r="J144" s="28">
        <f>IF(ISNUMBER(Data!V609),Data!V609/100,"n/a")</f>
        <v>6.535100353863732E-2</v>
      </c>
      <c r="K144" s="9">
        <f>IF(ISNUMBER(Data!Z609),Data!Z609/100,"n/a")</f>
        <v>0.41333333333333333</v>
      </c>
      <c r="L144" s="10">
        <f>Data!AA609</f>
        <v>12.603333333333333</v>
      </c>
      <c r="M144" s="10">
        <f>Data!AF609</f>
        <v>1.24</v>
      </c>
      <c r="N144" s="28" t="str">
        <f>IF(ISNUMBER(Data!AG609),Data!AG609/100,"n/a")</f>
        <v>n/a</v>
      </c>
      <c r="O144" s="28">
        <f>IF(ISNUMBER(Data!AJ609),Data!AJ609/100,"n/a")</f>
        <v>6.6000000000000003E-2</v>
      </c>
      <c r="P144" s="9">
        <f>IF(ISNUMBER(Data!AK609),Data!AK609/100,"n/a")</f>
        <v>0.1</v>
      </c>
      <c r="Q144" s="8">
        <f>Data!AN609</f>
        <v>0.06</v>
      </c>
      <c r="R144" s="8">
        <f>Data!AP609</f>
        <v>11.253146232048863</v>
      </c>
      <c r="S144" s="8"/>
      <c r="T144" s="8"/>
      <c r="U144" s="8"/>
      <c r="V144" s="1">
        <f t="shared" si="4"/>
        <v>8</v>
      </c>
      <c r="W144" s="1">
        <f t="shared" si="5"/>
        <v>0</v>
      </c>
    </row>
    <row r="145" spans="1:23" hidden="1" x14ac:dyDescent="0.2">
      <c r="A145" s="7" t="str">
        <f>Data!A627</f>
        <v>The Toronto-Dominion Bank</v>
      </c>
      <c r="B145" s="7" t="str">
        <f>Data!B627</f>
        <v>TD</v>
      </c>
      <c r="C145" s="7" t="str">
        <f>Data!C627</f>
        <v>Financials</v>
      </c>
      <c r="D145" s="8">
        <f>IF(ISNUMBER(Data!AL627),Data!AL627/1000,"n/a")</f>
        <v>116.85</v>
      </c>
      <c r="E145" s="1">
        <f>Data!E627</f>
        <v>8</v>
      </c>
      <c r="F145" s="28">
        <f>Data!J627/100</f>
        <v>4.3894358493514612E-2</v>
      </c>
      <c r="G145" s="28">
        <f>IF(ISNUMBER(Data!S627),Data!S627/100,"n/a")</f>
        <v>8.7225929456625551E-2</v>
      </c>
      <c r="H145" s="28">
        <f>IF(ISNUMBER(Data!T627),Data!T627/100,"n/a")</f>
        <v>7.1952760829538498E-2</v>
      </c>
      <c r="I145" s="28">
        <f>IF(ISNUMBER(Data!U627),Data!U627/100,"n/a")</f>
        <v>9.1064924396400779E-2</v>
      </c>
      <c r="J145" s="28">
        <f>IF(ISNUMBER(Data!V627),Data!V627/100,"n/a")</f>
        <v>6.6526842742349102E-2</v>
      </c>
      <c r="K145" s="9">
        <f>IF(ISNUMBER(Data!Z627),Data!Z627/100,"n/a")</f>
        <v>0.48261168384879727</v>
      </c>
      <c r="L145" s="10">
        <f>Data!AA627</f>
        <v>10.994845360824742</v>
      </c>
      <c r="M145" s="10">
        <f>Data!AF627</f>
        <v>1.66</v>
      </c>
      <c r="N145" s="28">
        <f>IF(ISNUMBER(Data!AG627),Data!AG627/100,"n/a")</f>
        <v>0.151</v>
      </c>
      <c r="O145" s="28">
        <f>IF(ISNUMBER(Data!AJ627),Data!AJ627/100,"n/a")</f>
        <v>0.105</v>
      </c>
      <c r="P145" s="9">
        <f>IF(ISNUMBER(Data!AK627),Data!AK627/100,"n/a")</f>
        <v>8.649999999999998E-2</v>
      </c>
      <c r="Q145" s="8">
        <f>Data!AN627</f>
        <v>3.5</v>
      </c>
      <c r="R145" s="8">
        <f>Data!AP627</f>
        <v>13.495928288991539</v>
      </c>
      <c r="S145" s="8"/>
      <c r="T145" s="8"/>
      <c r="U145" s="8"/>
      <c r="V145" s="1">
        <f t="shared" si="4"/>
        <v>10</v>
      </c>
      <c r="W145" s="1">
        <f t="shared" si="5"/>
        <v>0</v>
      </c>
    </row>
    <row r="146" spans="1:23" hidden="1" x14ac:dyDescent="0.2">
      <c r="A146" s="7" t="str">
        <f>Data!A613</f>
        <v>State Street Corporation</v>
      </c>
      <c r="B146" s="7" t="str">
        <f>Data!B613</f>
        <v>STT</v>
      </c>
      <c r="C146" s="7" t="str">
        <f>Data!C613</f>
        <v>Financials</v>
      </c>
      <c r="D146" s="8">
        <f>IF(ISNUMBER(Data!AL613),Data!AL613/1000,"n/a")</f>
        <v>26.82</v>
      </c>
      <c r="E146" s="1">
        <f>Data!E613</f>
        <v>12</v>
      </c>
      <c r="F146" s="28">
        <f>Data!J613/100</f>
        <v>3.4054054054054053E-2</v>
      </c>
      <c r="G146" s="28">
        <f>IF(ISNUMBER(Data!S613),Data!S613/100,"n/a")</f>
        <v>2.4038461538461453E-2</v>
      </c>
      <c r="H146" s="28">
        <f>IF(ISNUMBER(Data!T613),Data!T613/100,"n/a")</f>
        <v>6.1662637419033217E-2</v>
      </c>
      <c r="I146" s="28">
        <f>IF(ISNUMBER(Data!U613),Data!U613/100,"n/a")</f>
        <v>8.7552706572454841E-2</v>
      </c>
      <c r="J146" s="28">
        <f>IF(ISNUMBER(Data!V613),Data!V613/100,"n/a")</f>
        <v>0.14498999393623024</v>
      </c>
      <c r="K146" s="9">
        <f>IF(ISNUMBER(Data!Z613),Data!Z613/100,"n/a")</f>
        <v>0.35694050991501419</v>
      </c>
      <c r="L146" s="10">
        <f>Data!AA613</f>
        <v>10.48158640226629</v>
      </c>
      <c r="M146" s="10">
        <f>Data!AF613</f>
        <v>1.1599999999999999</v>
      </c>
      <c r="N146" s="28">
        <f>IF(ISNUMBER(Data!AG613),Data!AG613/100,"n/a")</f>
        <v>0.10800000000000001</v>
      </c>
      <c r="O146" s="28">
        <f>IF(ISNUMBER(Data!AJ613),Data!AJ613/100,"n/a")</f>
        <v>7.6999999999999999E-2</v>
      </c>
      <c r="P146" s="9">
        <f>IF(ISNUMBER(Data!AK613),Data!AK613/100,"n/a")</f>
        <v>4.5999999999999999E-2</v>
      </c>
      <c r="Q146" s="8">
        <f>Data!AN613</f>
        <v>0.59</v>
      </c>
      <c r="R146" s="8">
        <f>Data!AP613</f>
        <v>12.160676062650889</v>
      </c>
      <c r="S146" s="8"/>
      <c r="T146" s="8"/>
      <c r="U146" s="8"/>
      <c r="V146" s="1">
        <f t="shared" si="4"/>
        <v>10</v>
      </c>
      <c r="W146" s="1">
        <f t="shared" si="5"/>
        <v>0</v>
      </c>
    </row>
    <row r="147" spans="1:23" hidden="1" x14ac:dyDescent="0.2">
      <c r="A147" s="7" t="str">
        <f>Data!A578</f>
        <v>ServisFirst Bancshares, Inc.</v>
      </c>
      <c r="B147" s="7" t="str">
        <f>Data!B578</f>
        <v>SFBS</v>
      </c>
      <c r="C147" s="7" t="str">
        <f>Data!C578</f>
        <v>Financials</v>
      </c>
      <c r="D147" s="8">
        <f>IF(ISNUMBER(Data!AL578),Data!AL578/1000,"n/a")</f>
        <v>3.97</v>
      </c>
      <c r="E147" s="1">
        <f>Data!E578</f>
        <v>9</v>
      </c>
      <c r="F147" s="28">
        <f>Data!J578/100</f>
        <v>1.2212929775653792E-2</v>
      </c>
      <c r="G147" s="28">
        <f>IF(ISNUMBER(Data!S578),Data!S578/100,"n/a")</f>
        <v>0.14285714285714302</v>
      </c>
      <c r="H147" s="28">
        <f>IF(ISNUMBER(Data!T578),Data!T578/100,"n/a")</f>
        <v>0.2816480963393988</v>
      </c>
      <c r="I147" s="28">
        <f>IF(ISNUMBER(Data!U578),Data!U578/100,"n/a")</f>
        <v>0.39765423754315843</v>
      </c>
      <c r="J147" s="28" t="str">
        <f>IF(ISNUMBER(Data!V578),Data!V578/100,"n/a")</f>
        <v>n/a</v>
      </c>
      <c r="K147" s="9">
        <f>IF(ISNUMBER(Data!Z578),Data!Z578/100,"n/a")</f>
        <v>0.21149425287356322</v>
      </c>
      <c r="L147" s="10">
        <f>Data!AA578</f>
        <v>17.317241379310346</v>
      </c>
      <c r="M147" s="10">
        <f>Data!AF578</f>
        <v>3.36</v>
      </c>
      <c r="N147" s="28">
        <f>IF(ISNUMBER(Data!AG578),Data!AG578/100,"n/a")</f>
        <v>0.184</v>
      </c>
      <c r="O147" s="28">
        <f>IF(ISNUMBER(Data!AJ578),Data!AJ578/100,"n/a")</f>
        <v>0.20200000000000004</v>
      </c>
      <c r="P147" s="9" t="str">
        <f>IF(ISNUMBER(Data!AK578),Data!AK578/100,"n/a")</f>
        <v>n/a</v>
      </c>
      <c r="Q147" s="8">
        <f>Data!AN578</f>
        <v>0.05</v>
      </c>
      <c r="R147" s="8">
        <f>Data!AP578</f>
        <v>40.986716731881216</v>
      </c>
      <c r="S147" s="8"/>
      <c r="T147" s="8"/>
      <c r="U147" s="8"/>
      <c r="V147" s="1">
        <f t="shared" si="4"/>
        <v>8</v>
      </c>
      <c r="W147" s="1">
        <f t="shared" si="5"/>
        <v>0</v>
      </c>
    </row>
    <row r="148" spans="1:23" hidden="1" x14ac:dyDescent="0.2">
      <c r="A148" s="7" t="str">
        <f>Data!A598</f>
        <v>Sonoco Products Company</v>
      </c>
      <c r="B148" s="7" t="str">
        <f>Data!B598</f>
        <v>SON</v>
      </c>
      <c r="C148" s="7" t="str">
        <f>Data!C598</f>
        <v>Materials</v>
      </c>
      <c r="D148" s="8">
        <f>IF(ISNUMBER(Data!AL598),Data!AL598/1000,"n/a")</f>
        <v>6.17</v>
      </c>
      <c r="E148" s="1">
        <f>Data!E598</f>
        <v>40</v>
      </c>
      <c r="F148" s="28">
        <f>Data!J598/100</f>
        <v>3.1572164948453607E-2</v>
      </c>
      <c r="G148" s="28">
        <f>IF(ISNUMBER(Data!S598),Data!S598/100,"n/a")</f>
        <v>4.6511627906976827E-2</v>
      </c>
      <c r="H148" s="28">
        <f>IF(ISNUMBER(Data!T598),Data!T598/100,"n/a")</f>
        <v>3.5744168651286268E-2</v>
      </c>
      <c r="I148" s="28">
        <f>IF(ISNUMBER(Data!U598),Data!U598/100,"n/a")</f>
        <v>4.2758959076891534E-2</v>
      </c>
      <c r="J148" s="28">
        <f>IF(ISNUMBER(Data!V598),Data!V598/100,"n/a")</f>
        <v>4.5821260787133333E-2</v>
      </c>
      <c r="K148" s="9">
        <f>IF(ISNUMBER(Data!Z598),Data!Z598/100,"n/a")</f>
        <v>0.45687645687645684</v>
      </c>
      <c r="L148" s="10">
        <f>Data!AA598</f>
        <v>14.470862470862471</v>
      </c>
      <c r="M148" s="10">
        <f>Data!AF598</f>
        <v>3.29</v>
      </c>
      <c r="N148" s="28">
        <f>IF(ISNUMBER(Data!AG598),Data!AG598/100,"n/a")</f>
        <v>0.22500000000000001</v>
      </c>
      <c r="O148" s="28">
        <f>IF(ISNUMBER(Data!AJ598),Data!AJ598/100,"n/a")</f>
        <v>-0.182</v>
      </c>
      <c r="P148" s="9">
        <f>IF(ISNUMBER(Data!AK598),Data!AK598/100,"n/a")</f>
        <v>0.1351</v>
      </c>
      <c r="Q148" s="8">
        <f>Data!AN598</f>
        <v>1.62</v>
      </c>
      <c r="R148" s="8">
        <f>Data!AP598</f>
        <v>7.4331124025345137</v>
      </c>
      <c r="S148" s="8"/>
      <c r="T148" s="8"/>
      <c r="U148" s="8"/>
      <c r="V148" s="1">
        <f t="shared" si="4"/>
        <v>6</v>
      </c>
      <c r="W148" s="1">
        <f t="shared" si="5"/>
        <v>0</v>
      </c>
    </row>
    <row r="149" spans="1:23" hidden="1" x14ac:dyDescent="0.2">
      <c r="A149" s="7" t="str">
        <f>Data!A605</f>
        <v>SouthState Corporation</v>
      </c>
      <c r="B149" s="7" t="str">
        <f>Data!B605</f>
        <v>SSB</v>
      </c>
      <c r="C149" s="7" t="str">
        <f>Data!C605</f>
        <v>Financials</v>
      </c>
      <c r="D149" s="8">
        <f>IF(ISNUMBER(Data!AL605),Data!AL605/1000,"n/a")</f>
        <v>6.6</v>
      </c>
      <c r="E149" s="1">
        <f>Data!E605</f>
        <v>11</v>
      </c>
      <c r="F149" s="28">
        <f>Data!J605/100</f>
        <v>2.2116554240849275E-2</v>
      </c>
      <c r="G149" s="28">
        <f>IF(ISNUMBER(Data!S605),Data!S605/100,"n/a")</f>
        <v>2.1276595744680771E-2</v>
      </c>
      <c r="H149" s="28">
        <f>IF(ISNUMBER(Data!T605),Data!T605/100,"n/a")</f>
        <v>0.11636800399929627</v>
      </c>
      <c r="I149" s="28">
        <f>IF(ISNUMBER(Data!U605),Data!U605/100,"n/a")</f>
        <v>9.673870816363174E-2</v>
      </c>
      <c r="J149" s="28">
        <f>IF(ISNUMBER(Data!V605),Data!V605/100,"n/a")</f>
        <v>0.10937718880294355</v>
      </c>
      <c r="K149" s="9">
        <f>IF(ISNUMBER(Data!Z605),Data!Z605/100,"n/a")</f>
        <v>0.32154340836012862</v>
      </c>
      <c r="L149" s="10">
        <f>Data!AA605</f>
        <v>14.538585209003218</v>
      </c>
      <c r="M149" s="10">
        <f>Data!AF605</f>
        <v>1.35</v>
      </c>
      <c r="N149" s="28">
        <f>IF(ISNUMBER(Data!AG605),Data!AG605/100,"n/a")</f>
        <v>8.6999999999999994E-2</v>
      </c>
      <c r="O149" s="28">
        <f>IF(ISNUMBER(Data!AJ605),Data!AJ605/100,"n/a")</f>
        <v>9.9000000000000005E-2</v>
      </c>
      <c r="P149" s="9">
        <f>IF(ISNUMBER(Data!AK605),Data!AK605/100,"n/a")</f>
        <v>0.12</v>
      </c>
      <c r="Q149" s="8">
        <f>Data!AN605</f>
        <v>0.08</v>
      </c>
      <c r="R149" s="8">
        <f>Data!AP605</f>
        <v>11.885526240448101</v>
      </c>
      <c r="S149" s="8"/>
      <c r="T149" s="8"/>
      <c r="U149" s="8"/>
      <c r="V149" s="1">
        <f t="shared" si="4"/>
        <v>10</v>
      </c>
      <c r="W149" s="1">
        <f t="shared" si="5"/>
        <v>0</v>
      </c>
    </row>
    <row r="150" spans="1:23" hidden="1" x14ac:dyDescent="0.2">
      <c r="A150" s="7" t="str">
        <f>Data!A593</f>
        <v>Snap-on Incorporated</v>
      </c>
      <c r="B150" s="7" t="str">
        <f>Data!B593</f>
        <v>SNA</v>
      </c>
      <c r="C150" s="7" t="str">
        <f>Data!C593</f>
        <v>Industrials</v>
      </c>
      <c r="D150" s="8">
        <f>IF(ISNUMBER(Data!AL593),Data!AL593/1000,"n/a")</f>
        <v>11.43</v>
      </c>
      <c r="E150" s="1">
        <f>Data!E593</f>
        <v>12</v>
      </c>
      <c r="F150" s="28">
        <f>Data!J593/100</f>
        <v>2.5579824363882005E-2</v>
      </c>
      <c r="G150" s="28">
        <f>IF(ISNUMBER(Data!S593),Data!S593/100,"n/a")</f>
        <v>0.14317673378076079</v>
      </c>
      <c r="H150" s="28">
        <f>IF(ISNUMBER(Data!T593),Data!T593/100,"n/a")</f>
        <v>0.14434112836700752</v>
      </c>
      <c r="I150" s="28">
        <f>IF(ISNUMBER(Data!U593),Data!U593/100,"n/a")</f>
        <v>0.15005189177188427</v>
      </c>
      <c r="J150" s="28">
        <f>IF(ISNUMBER(Data!V593),Data!V593/100,"n/a")</f>
        <v>0.14669456684815363</v>
      </c>
      <c r="K150" s="9">
        <f>IF(ISNUMBER(Data!Z593),Data!Z593/100,"n/a")</f>
        <v>0.34424242424242424</v>
      </c>
      <c r="L150" s="10">
        <f>Data!AA593</f>
        <v>13.457575757575759</v>
      </c>
      <c r="M150" s="10">
        <f>Data!AF593</f>
        <v>2.71</v>
      </c>
      <c r="N150" s="28">
        <f>IF(ISNUMBER(Data!AG593),Data!AG593/100,"n/a")</f>
        <v>0.20899999999999999</v>
      </c>
      <c r="O150" s="28">
        <f>IF(ISNUMBER(Data!AJ593),Data!AJ593/100,"n/a")</f>
        <v>0.10199999999999999</v>
      </c>
      <c r="P150" s="9">
        <f>IF(ISNUMBER(Data!AK593),Data!AK593/100,"n/a")</f>
        <v>2.8000000000000004E-2</v>
      </c>
      <c r="Q150" s="8">
        <f>Data!AN593</f>
        <v>0.28000000000000003</v>
      </c>
      <c r="R150" s="8">
        <f>Data!AP593</f>
        <v>17.563171613576628</v>
      </c>
      <c r="S150" s="8"/>
      <c r="T150" s="8"/>
      <c r="U150" s="8"/>
      <c r="V150" s="1">
        <f t="shared" si="4"/>
        <v>11</v>
      </c>
      <c r="W150" s="1">
        <f t="shared" si="5"/>
        <v>0</v>
      </c>
    </row>
    <row r="151" spans="1:23" hidden="1" x14ac:dyDescent="0.2">
      <c r="A151" s="7" t="str">
        <f>Data!A585</f>
        <v>South Jersey Industries, Inc.</v>
      </c>
      <c r="B151" s="7" t="str">
        <f>Data!B585</f>
        <v>SJI</v>
      </c>
      <c r="C151" s="7" t="str">
        <f>Data!C585</f>
        <v>Utilities</v>
      </c>
      <c r="D151" s="8">
        <f>IF(ISNUMBER(Data!AL585),Data!AL585/1000,"n/a")</f>
        <v>4.26</v>
      </c>
      <c r="E151" s="1">
        <f>Data!E585</f>
        <v>23</v>
      </c>
      <c r="F151" s="28">
        <f>Data!J585/100</f>
        <v>3.576579175079319E-2</v>
      </c>
      <c r="G151" s="28">
        <f>IF(ISNUMBER(Data!S585),Data!S585/100,"n/a")</f>
        <v>2.5263157894736876E-2</v>
      </c>
      <c r="H151" s="28">
        <f>IF(ISNUMBER(Data!T585),Data!T585/100,"n/a")</f>
        <v>2.5929394249821325E-2</v>
      </c>
      <c r="I151" s="28">
        <f>IF(ISNUMBER(Data!U585),Data!U585/100,"n/a")</f>
        <v>2.7367633262026736E-2</v>
      </c>
      <c r="J151" s="28">
        <f>IF(ISNUMBER(Data!V585),Data!V585/100,"n/a")</f>
        <v>4.9816062815221107E-2</v>
      </c>
      <c r="K151" s="9">
        <f>IF(ISNUMBER(Data!Z585),Data!Z585/100,"n/a")</f>
        <v>0.87323943661971837</v>
      </c>
      <c r="L151" s="10">
        <f>Data!AA585</f>
        <v>24.41549295774648</v>
      </c>
      <c r="M151" s="10">
        <f>Data!AF585</f>
        <v>2.0099999999999998</v>
      </c>
      <c r="N151" s="28">
        <f>IF(ISNUMBER(Data!AG585),Data!AG585/100,"n/a")</f>
        <v>8.2000000000000017E-2</v>
      </c>
      <c r="O151" s="28">
        <f>IF(ISNUMBER(Data!AJ585),Data!AJ585/100,"n/a")</f>
        <v>-0.125</v>
      </c>
      <c r="P151" s="9">
        <f>IF(ISNUMBER(Data!AK585),Data!AK585/100,"n/a")</f>
        <v>0.09</v>
      </c>
      <c r="Q151" s="8">
        <f>Data!AN585</f>
        <v>1.67</v>
      </c>
      <c r="R151" s="8">
        <f>Data!AP585</f>
        <v>6.3133425012819924</v>
      </c>
      <c r="S151" s="8"/>
      <c r="T151" s="8"/>
      <c r="U151" s="8"/>
      <c r="V151" s="1">
        <f t="shared" si="4"/>
        <v>4</v>
      </c>
      <c r="W151" s="1">
        <f t="shared" si="5"/>
        <v>0</v>
      </c>
    </row>
    <row r="152" spans="1:23" hidden="1" x14ac:dyDescent="0.2">
      <c r="A152" s="7" t="str">
        <f>Data!A607</f>
        <v>SS&amp;C Technologies Holdings, Inc.</v>
      </c>
      <c r="B152" s="7" t="str">
        <f>Data!B607</f>
        <v>SSNC</v>
      </c>
      <c r="C152" s="7" t="str">
        <f>Data!C607</f>
        <v>Information Technology</v>
      </c>
      <c r="D152" s="8">
        <f>IF(ISNUMBER(Data!AL607),Data!AL607/1000,"n/a")</f>
        <v>12.6</v>
      </c>
      <c r="E152" s="1">
        <f>Data!E607</f>
        <v>5</v>
      </c>
      <c r="F152" s="28">
        <f>Data!J607/100</f>
        <v>1.5558148580318943E-2</v>
      </c>
      <c r="G152" s="28">
        <f>IF(ISNUMBER(Data!S607),Data!S607/100,"n/a")</f>
        <v>0.28301886792452824</v>
      </c>
      <c r="H152" s="28">
        <f>IF(ISNUMBER(Data!T607),Data!T607/100,"n/a")</f>
        <v>0.31359822417420324</v>
      </c>
      <c r="I152" s="28">
        <f>IF(ISNUMBER(Data!U607),Data!U607/100,"n/a")</f>
        <v>0.22155712398421756</v>
      </c>
      <c r="J152" s="28" t="str">
        <f>IF(ISNUMBER(Data!V607),Data!V607/100,"n/a")</f>
        <v>n/a</v>
      </c>
      <c r="K152" s="9">
        <f>IF(ISNUMBER(Data!Z607),Data!Z607/100,"n/a")</f>
        <v>0.30651340996168586</v>
      </c>
      <c r="L152" s="10">
        <f>Data!AA607</f>
        <v>19.701149425287358</v>
      </c>
      <c r="M152" s="10">
        <f>Data!AF607</f>
        <v>2.16</v>
      </c>
      <c r="N152" s="28">
        <f>IF(ISNUMBER(Data!AG607),Data!AG607/100,"n/a")</f>
        <v>0.13100000000000001</v>
      </c>
      <c r="O152" s="28">
        <f>IF(ISNUMBER(Data!AJ607),Data!AJ607/100,"n/a")</f>
        <v>0.36299999999999999</v>
      </c>
      <c r="P152" s="9">
        <f>IF(ISNUMBER(Data!AK607),Data!AK607/100,"n/a")</f>
        <v>7.8700000000000006E-2</v>
      </c>
      <c r="Q152" s="8">
        <f>Data!AN607</f>
        <v>1.2</v>
      </c>
      <c r="R152" s="8">
        <f>Data!AP607</f>
        <v>23.71152725645365</v>
      </c>
      <c r="S152" s="8"/>
      <c r="T152" s="8"/>
      <c r="U152" s="8"/>
      <c r="V152" s="1">
        <f t="shared" si="4"/>
        <v>7</v>
      </c>
      <c r="W152" s="1">
        <f t="shared" si="5"/>
        <v>0</v>
      </c>
    </row>
    <row r="153" spans="1:23" hidden="1" x14ac:dyDescent="0.2">
      <c r="A153" s="7" t="str">
        <f>Data!A606</f>
        <v>Simpson Manufacturing Co., Inc.</v>
      </c>
      <c r="B153" s="7" t="str">
        <f>Data!B606</f>
        <v>SSD</v>
      </c>
      <c r="C153" s="7" t="str">
        <f>Data!C606</f>
        <v>Industrials</v>
      </c>
      <c r="D153" s="8">
        <f>IF(ISNUMBER(Data!AL606),Data!AL606/1000,"n/a")</f>
        <v>3.62</v>
      </c>
      <c r="E153" s="1">
        <f>Data!E606</f>
        <v>9</v>
      </c>
      <c r="F153" s="28">
        <f>Data!J606/100</f>
        <v>1.2166588675713619E-2</v>
      </c>
      <c r="G153" s="28">
        <f>IF(ISNUMBER(Data!S606),Data!S606/100,"n/a")</f>
        <v>4.3478260869565188E-2</v>
      </c>
      <c r="H153" s="28">
        <f>IF(ISNUMBER(Data!T606),Data!T606/100,"n/a")</f>
        <v>3.7347490357151125E-2</v>
      </c>
      <c r="I153" s="28">
        <f>IF(ISNUMBER(Data!U606),Data!U606/100,"n/a")</f>
        <v>7.1402027941006807E-2</v>
      </c>
      <c r="J153" s="28">
        <f>IF(ISNUMBER(Data!V606),Data!V606/100,"n/a")</f>
        <v>7.2896336462774824E-2</v>
      </c>
      <c r="K153" s="9">
        <f>IF(ISNUMBER(Data!Z606),Data!Z606/100,"n/a")</f>
        <v>0.13</v>
      </c>
      <c r="L153" s="10">
        <f>Data!AA606</f>
        <v>10.685</v>
      </c>
      <c r="M153" s="10">
        <f>Data!AF606</f>
        <v>2.87</v>
      </c>
      <c r="N153" s="28">
        <f>IF(ISNUMBER(Data!AG606),Data!AG606/100,"n/a")</f>
        <v>0.25800000000000001</v>
      </c>
      <c r="O153" s="28">
        <f>IF(ISNUMBER(Data!AJ606),Data!AJ606/100,"n/a")</f>
        <v>0.26900000000000002</v>
      </c>
      <c r="P153" s="9">
        <f>IF(ISNUMBER(Data!AK606),Data!AK606/100,"n/a")</f>
        <v>0.05</v>
      </c>
      <c r="Q153" s="8">
        <f>Data!AN606</f>
        <v>0.54</v>
      </c>
      <c r="R153" s="8">
        <f>Data!AP606</f>
        <v>8.3568616616720419</v>
      </c>
      <c r="S153" s="8"/>
      <c r="T153" s="8"/>
      <c r="U153" s="8"/>
      <c r="V153" s="1">
        <f t="shared" si="4"/>
        <v>8</v>
      </c>
      <c r="W153" s="1">
        <f t="shared" si="5"/>
        <v>0</v>
      </c>
    </row>
    <row r="154" spans="1:23" hidden="1" x14ac:dyDescent="0.2">
      <c r="A154" s="7" t="str">
        <f>Data!A574</f>
        <v>Stepan Company</v>
      </c>
      <c r="B154" s="7" t="str">
        <f>Data!B574</f>
        <v>SCL</v>
      </c>
      <c r="C154" s="7" t="str">
        <f>Data!C574</f>
        <v>Materials</v>
      </c>
      <c r="D154" s="8">
        <f>IF(ISNUMBER(Data!AL574),Data!AL574/1000,"n/a")</f>
        <v>2.2599999999999998</v>
      </c>
      <c r="E154" s="1">
        <f>Data!E574</f>
        <v>55</v>
      </c>
      <c r="F154" s="28">
        <f>Data!J574/100</f>
        <v>1.3979318268862504E-2</v>
      </c>
      <c r="G154" s="28">
        <f>IF(ISNUMBER(Data!S574),Data!S574/100,"n/a")</f>
        <v>0.10619469026548689</v>
      </c>
      <c r="H154" s="28">
        <f>IF(ISNUMBER(Data!T574),Data!T574/100,"n/a")</f>
        <v>0.10557809853526301</v>
      </c>
      <c r="I154" s="28">
        <f>IF(ISNUMBER(Data!U574),Data!U574/100,"n/a")</f>
        <v>9.7508951834327076E-2</v>
      </c>
      <c r="J154" s="28">
        <f>IF(ISNUMBER(Data!V574),Data!V574/100,"n/a")</f>
        <v>8.959076672721554E-2</v>
      </c>
      <c r="K154" s="9">
        <f>IF(ISNUMBER(Data!Z574),Data!Z574/100,"n/a")</f>
        <v>0.21987951807228917</v>
      </c>
      <c r="L154" s="10">
        <f>Data!AA574</f>
        <v>15.728915662650603</v>
      </c>
      <c r="M154" s="10">
        <f>Data!AF574</f>
        <v>2.1</v>
      </c>
      <c r="N154" s="28">
        <f>IF(ISNUMBER(Data!AG574),Data!AG574/100,"n/a")</f>
        <v>0.13</v>
      </c>
      <c r="O154" s="28">
        <f>IF(ISNUMBER(Data!AJ574),Data!AJ574/100,"n/a")</f>
        <v>9.7000000000000017E-2</v>
      </c>
      <c r="P154" s="9">
        <f>IF(ISNUMBER(Data!AK574),Data!AK574/100,"n/a")</f>
        <v>4.3999999999999997E-2</v>
      </c>
      <c r="Q154" s="8">
        <f>Data!AN574</f>
        <v>0.47</v>
      </c>
      <c r="R154" s="8">
        <f>Data!AP574</f>
        <v>11.148827010318957</v>
      </c>
      <c r="S154" s="8"/>
      <c r="T154" s="8"/>
      <c r="U154" s="8"/>
      <c r="V154" s="1">
        <f t="shared" si="4"/>
        <v>11</v>
      </c>
      <c r="W154" s="1">
        <f t="shared" si="5"/>
        <v>0</v>
      </c>
    </row>
    <row r="155" spans="1:23" hidden="1" x14ac:dyDescent="0.2">
      <c r="A155" s="7" t="str">
        <f>Data!A601</f>
        <v>SpartanNash Company</v>
      </c>
      <c r="B155" s="7" t="str">
        <f>Data!B601</f>
        <v>SPTN</v>
      </c>
      <c r="C155" s="7" t="str">
        <f>Data!C601</f>
        <v>Consumer Staples</v>
      </c>
      <c r="D155" s="8">
        <f>IF(ISNUMBER(Data!AL601),Data!AL601/1000,"n/a")</f>
        <v>1.23</v>
      </c>
      <c r="E155" s="1">
        <f>Data!E601</f>
        <v>12</v>
      </c>
      <c r="F155" s="28">
        <f>Data!J601/100</f>
        <v>2.3522822738728646E-2</v>
      </c>
      <c r="G155" s="28">
        <f>IF(ISNUMBER(Data!S601),Data!S601/100,"n/a")</f>
        <v>3.8961038961039085E-2</v>
      </c>
      <c r="H155" s="28">
        <f>IF(ISNUMBER(Data!T601),Data!T601/100,"n/a")</f>
        <v>3.5744168651286268E-2</v>
      </c>
      <c r="I155" s="28">
        <f>IF(ISNUMBER(Data!U601),Data!U601/100,"n/a")</f>
        <v>5.9223841048812176E-2</v>
      </c>
      <c r="J155" s="28">
        <f>IF(ISNUMBER(Data!V601),Data!V601/100,"n/a")</f>
        <v>0.12562152718685105</v>
      </c>
      <c r="K155" s="9">
        <f>IF(ISNUMBER(Data!Z601),Data!Z601/100,"n/a")</f>
        <v>0.49122807017543857</v>
      </c>
      <c r="L155" s="10">
        <f>Data!AA601</f>
        <v>20.883040935672515</v>
      </c>
      <c r="M155" s="10">
        <f>Data!AF601</f>
        <v>1.58</v>
      </c>
      <c r="N155" s="28">
        <f>IF(ISNUMBER(Data!AG601),Data!AG601/100,"n/a")</f>
        <v>7.8E-2</v>
      </c>
      <c r="O155" s="28">
        <f>IF(ISNUMBER(Data!AJ601),Data!AJ601/100,"n/a")</f>
        <v>6.2E-2</v>
      </c>
      <c r="P155" s="9">
        <f>IF(ISNUMBER(Data!AK601),Data!AK601/100,"n/a")</f>
        <v>-8.6999999999999994E-2</v>
      </c>
      <c r="Q155" s="8">
        <f>Data!AN601</f>
        <v>0.61</v>
      </c>
      <c r="R155" s="8">
        <f>Data!AP601</f>
        <v>8.2746663787540822</v>
      </c>
      <c r="S155" s="8"/>
      <c r="T155" s="8"/>
      <c r="U155" s="8"/>
      <c r="V155" s="1">
        <f t="shared" si="4"/>
        <v>6</v>
      </c>
      <c r="W155" s="1">
        <f t="shared" si="5"/>
        <v>0</v>
      </c>
    </row>
    <row r="156" spans="1:23" hidden="1" x14ac:dyDescent="0.2">
      <c r="A156" s="7" t="str">
        <f>Data!A596</f>
        <v>The Southern Company</v>
      </c>
      <c r="B156" s="7" t="str">
        <f>Data!B596</f>
        <v>SO</v>
      </c>
      <c r="C156" s="7" t="str">
        <f>Data!C596</f>
        <v>Utilities</v>
      </c>
      <c r="D156" s="8">
        <f>IF(ISNUMBER(Data!AL596),Data!AL596/1000,"n/a")</f>
        <v>69.28</v>
      </c>
      <c r="E156" s="1">
        <f>Data!E596</f>
        <v>22</v>
      </c>
      <c r="F156" s="28">
        <f>Data!J596/100</f>
        <v>4.1539401343921811E-2</v>
      </c>
      <c r="G156" s="28">
        <f>IF(ISNUMBER(Data!S596),Data!S596/100,"n/a")</f>
        <v>3.1496062992125928E-2</v>
      </c>
      <c r="H156" s="28">
        <f>IF(ISNUMBER(Data!T596),Data!T596/100,"n/a")</f>
        <v>3.2542915904445913E-2</v>
      </c>
      <c r="I156" s="28">
        <f>IF(ISNUMBER(Data!U596),Data!U596/100,"n/a")</f>
        <v>3.3455793741262507E-2</v>
      </c>
      <c r="J156" s="28">
        <f>IF(ISNUMBER(Data!V596),Data!V596/100,"n/a")</f>
        <v>3.4160501715422065E-2</v>
      </c>
      <c r="K156" s="9">
        <f>IF(ISNUMBER(Data!Z596),Data!Z596/100,"n/a")</f>
        <v>0.86075949367088611</v>
      </c>
      <c r="L156" s="10">
        <f>Data!AA596</f>
        <v>20.721518987341774</v>
      </c>
      <c r="M156" s="10">
        <f>Data!AF596</f>
        <v>2.2999999999999998</v>
      </c>
      <c r="N156" s="28">
        <f>IF(ISNUMBER(Data!AG596),Data!AG596/100,"n/a")</f>
        <v>0.11700000000000001</v>
      </c>
      <c r="O156" s="28">
        <f>IF(ISNUMBER(Data!AJ596),Data!AJ596/100,"n/a")</f>
        <v>-2.6000000000000002E-2</v>
      </c>
      <c r="P156" s="9">
        <f>IF(ISNUMBER(Data!AK596),Data!AK596/100,"n/a")</f>
        <v>6.4799999999999996E-2</v>
      </c>
      <c r="Q156" s="8">
        <f>Data!AN596</f>
        <v>1.76</v>
      </c>
      <c r="R156" s="8">
        <f>Data!AP596</f>
        <v>7.4995195085184321</v>
      </c>
      <c r="S156" s="8"/>
      <c r="T156" s="8"/>
      <c r="U156" s="8"/>
      <c r="V156" s="1">
        <f t="shared" si="4"/>
        <v>4</v>
      </c>
      <c r="W156" s="1">
        <f t="shared" si="5"/>
        <v>0</v>
      </c>
    </row>
    <row r="157" spans="1:23" hidden="1" x14ac:dyDescent="0.2">
      <c r="A157" s="7" t="str">
        <f>Data!A626</f>
        <v>TriCo Bancshares</v>
      </c>
      <c r="B157" s="7" t="str">
        <f>Data!B626</f>
        <v>TCBK</v>
      </c>
      <c r="C157" s="7" t="str">
        <f>Data!C626</f>
        <v>Financials</v>
      </c>
      <c r="D157" s="8">
        <f>IF(ISNUMBER(Data!AL626),Data!AL626/1000,"n/a")</f>
        <v>1.85</v>
      </c>
      <c r="E157" s="1">
        <f>Data!E626</f>
        <v>10</v>
      </c>
      <c r="F157" s="28">
        <f>Data!J626/100</f>
        <v>2.0721809704714208E-2</v>
      </c>
      <c r="G157" s="28">
        <f>IF(ISNUMBER(Data!S626),Data!S626/100,"n/a")</f>
        <v>0.13636363636363646</v>
      </c>
      <c r="H157" s="28">
        <f>IF(ISNUMBER(Data!T626),Data!T626/100,"n/a")</f>
        <v>0.12624788044360602</v>
      </c>
      <c r="I157" s="28">
        <f>IF(ISNUMBER(Data!U626),Data!U626/100,"n/a")</f>
        <v>0.10756634324829006</v>
      </c>
      <c r="J157" s="28">
        <f>IF(ISNUMBER(Data!V626),Data!V626/100,"n/a")</f>
        <v>0.10756634324828983</v>
      </c>
      <c r="K157" s="9">
        <f>IF(ISNUMBER(Data!Z626),Data!Z626/100,"n/a")</f>
        <v>0.32697547683923711</v>
      </c>
      <c r="L157" s="10">
        <f>Data!AA626</f>
        <v>15.779291553133515</v>
      </c>
      <c r="M157" s="10">
        <f>Data!AF626</f>
        <v>1.84</v>
      </c>
      <c r="N157" s="28">
        <f>IF(ISNUMBER(Data!AG626),Data!AG626/100,"n/a")</f>
        <v>0.10100000000000002</v>
      </c>
      <c r="O157" s="28">
        <f>IF(ISNUMBER(Data!AJ626),Data!AJ626/100,"n/a")</f>
        <v>0.152</v>
      </c>
      <c r="P157" s="9">
        <f>IF(ISNUMBER(Data!AK626),Data!AK626/100,"n/a")</f>
        <v>7.0000000000000007E-2</v>
      </c>
      <c r="Q157" s="8">
        <f>Data!AN626</f>
        <v>0.1</v>
      </c>
      <c r="R157" s="8">
        <f>Data!AP626</f>
        <v>12.828815295300426</v>
      </c>
      <c r="S157" s="8"/>
      <c r="T157" s="8"/>
      <c r="U157" s="8"/>
      <c r="V157" s="1">
        <f t="shared" si="4"/>
        <v>10</v>
      </c>
      <c r="W157" s="1">
        <f t="shared" si="5"/>
        <v>0</v>
      </c>
    </row>
    <row r="158" spans="1:23" hidden="1" x14ac:dyDescent="0.2">
      <c r="A158" s="7" t="str">
        <f>Data!A299</f>
        <v>Home Bancorp, Inc.</v>
      </c>
      <c r="B158" s="7" t="str">
        <f>Data!B299</f>
        <v>HBCP</v>
      </c>
      <c r="C158" s="7" t="str">
        <f>Data!C299</f>
        <v>Financials</v>
      </c>
      <c r="D158" s="8">
        <f>IF(ISNUMBER(Data!AL299),Data!AL299/1000,"n/a")</f>
        <v>0.34699000000000002</v>
      </c>
      <c r="E158" s="1">
        <f>Data!E299</f>
        <v>9</v>
      </c>
      <c r="F158" s="28">
        <f>Data!J299/100</f>
        <v>2.2456140350877191E-2</v>
      </c>
      <c r="G158" s="28">
        <f>IF(ISNUMBER(Data!S299),Data!S299/100,"n/a")</f>
        <v>3.4090909090909172E-2</v>
      </c>
      <c r="H158" s="28">
        <f>IF(ISNUMBER(Data!T299),Data!T299/100,"n/a")</f>
        <v>8.6244726878486055E-2</v>
      </c>
      <c r="I158" s="28">
        <f>IF(ISNUMBER(Data!U299),Data!U299/100,"n/a")</f>
        <v>0.17287439988040032</v>
      </c>
      <c r="J158" s="28" t="str">
        <f>IF(ISNUMBER(Data!V299),Data!V299/100,"n/a")</f>
        <v>n/a</v>
      </c>
      <c r="K158" s="9">
        <f>IF(ISNUMBER(Data!Z299),Data!Z299/100,"n/a")</f>
        <v>0.23587223587223588</v>
      </c>
      <c r="L158" s="10">
        <f>Data!AA299</f>
        <v>10.503685503685503</v>
      </c>
      <c r="M158" s="10">
        <f>Data!AF299</f>
        <v>1.05</v>
      </c>
      <c r="N158" s="28">
        <f>IF(ISNUMBER(Data!AG299),Data!AG299/100,"n/a")</f>
        <v>0.121</v>
      </c>
      <c r="O158" s="28">
        <f>IF(ISNUMBER(Data!AJ299),Data!AJ299/100,"n/a")</f>
        <v>0.20699999999999999</v>
      </c>
      <c r="P158" s="9" t="str">
        <f>IF(ISNUMBER(Data!AK299),Data!AK299/100,"n/a")</f>
        <v>n/a</v>
      </c>
      <c r="Q158" s="8">
        <f>Data!AN299</f>
        <v>0.18</v>
      </c>
      <c r="R158" s="8">
        <f>Data!AP299</f>
        <v>19.53305402312775</v>
      </c>
      <c r="S158" s="8"/>
      <c r="T158" s="8"/>
      <c r="U158" s="8"/>
      <c r="V158" s="1">
        <f t="shared" si="4"/>
        <v>7</v>
      </c>
      <c r="W158" s="1">
        <f t="shared" si="5"/>
        <v>0</v>
      </c>
    </row>
    <row r="159" spans="1:23" hidden="1" x14ac:dyDescent="0.2">
      <c r="A159" s="7" t="str">
        <f>Data!A592</f>
        <v>Summit Financial Group, Inc.</v>
      </c>
      <c r="B159" s="7" t="str">
        <f>Data!B592</f>
        <v>SMMF</v>
      </c>
      <c r="C159" s="7" t="str">
        <f>Data!C592</f>
        <v>Financials</v>
      </c>
      <c r="D159" s="8">
        <f>IF(ISNUMBER(Data!AL592),Data!AL592/1000,"n/a")</f>
        <v>0.37060999999999999</v>
      </c>
      <c r="E159" s="1">
        <f>Data!E592</f>
        <v>8</v>
      </c>
      <c r="F159" s="28">
        <f>Data!J592/100</f>
        <v>2.7519779841761266E-2</v>
      </c>
      <c r="G159" s="28">
        <f>IF(ISNUMBER(Data!S592),Data!S592/100,"n/a")</f>
        <v>2.9411764705882248E-2</v>
      </c>
      <c r="H159" s="28">
        <f>IF(ISNUMBER(Data!T592),Data!T592/100,"n/a")</f>
        <v>9.7170335131538277E-2</v>
      </c>
      <c r="I159" s="28">
        <f>IF(ISNUMBER(Data!U592),Data!U592/100,"n/a")</f>
        <v>0.11842691472014465</v>
      </c>
      <c r="J159" s="28" t="str">
        <f>IF(ISNUMBER(Data!V592),Data!V592/100,"n/a")</f>
        <v>n/a</v>
      </c>
      <c r="K159" s="9">
        <f>IF(ISNUMBER(Data!Z592),Data!Z592/100,"n/a")</f>
        <v>0.20671834625322996</v>
      </c>
      <c r="L159" s="10">
        <f>Data!AA592</f>
        <v>7.5116279069767442</v>
      </c>
      <c r="M159" s="10">
        <f>Data!AF592</f>
        <v>1.18</v>
      </c>
      <c r="N159" s="28">
        <f>IF(ISNUMBER(Data!AG592),Data!AG592/100,"n/a")</f>
        <v>0.14699999999999999</v>
      </c>
      <c r="O159" s="28">
        <f>IF(ISNUMBER(Data!AJ592),Data!AJ592/100,"n/a")</f>
        <v>0.16600000000000001</v>
      </c>
      <c r="P159" s="9">
        <f>IF(ISNUMBER(Data!AK592),Data!AK592/100,"n/a")</f>
        <v>0.08</v>
      </c>
      <c r="Q159" s="8">
        <f>Data!AN592</f>
        <v>0.38</v>
      </c>
      <c r="R159" s="8">
        <f>Data!AP592</f>
        <v>14.594669456190591</v>
      </c>
      <c r="S159" s="8"/>
      <c r="T159" s="8"/>
      <c r="U159" s="8"/>
      <c r="V159" s="1">
        <f t="shared" si="4"/>
        <v>8</v>
      </c>
      <c r="W159" s="1">
        <f t="shared" si="5"/>
        <v>0</v>
      </c>
    </row>
    <row r="160" spans="1:23" hidden="1" x14ac:dyDescent="0.2">
      <c r="A160" s="7" t="str">
        <f>Data!A614</f>
        <v>Constellation Brands, Inc.</v>
      </c>
      <c r="B160" s="7" t="str">
        <f>Data!B614</f>
        <v>STZ</v>
      </c>
      <c r="C160" s="7" t="str">
        <f>Data!C614</f>
        <v>Consumer Staples</v>
      </c>
      <c r="D160" s="8">
        <f>IF(ISNUMBER(Data!AL614),Data!AL614/1000,"n/a")</f>
        <v>45.06</v>
      </c>
      <c r="E160" s="1">
        <f>Data!E614</f>
        <v>8</v>
      </c>
      <c r="F160" s="28">
        <f>Data!J614/100</f>
        <v>1.2951270843451514E-2</v>
      </c>
      <c r="G160" s="28">
        <f>IF(ISNUMBER(Data!S614),Data!S614/100,"n/a")</f>
        <v>1.0000000000000009E-2</v>
      </c>
      <c r="H160" s="28">
        <f>IF(ISNUMBER(Data!T614),Data!T614/100,"n/a")</f>
        <v>3.4103533006934805E-2</v>
      </c>
      <c r="I160" s="28">
        <f>IF(ISNUMBER(Data!U614),Data!U614/100,"n/a")</f>
        <v>0.14945807679570478</v>
      </c>
      <c r="J160" s="28" t="str">
        <f>IF(ISNUMBER(Data!V614),Data!V614/100,"n/a")</f>
        <v>n/a</v>
      </c>
      <c r="K160" s="9" t="str">
        <f>IF(ISNUMBER(Data!Z614),Data!Z614/100,"n/a")</f>
        <v>n/a</v>
      </c>
      <c r="L160" s="10" t="str">
        <f>Data!AA614</f>
        <v>n/a</v>
      </c>
      <c r="M160" s="10">
        <f>Data!AF614</f>
        <v>4.87</v>
      </c>
      <c r="N160" s="28">
        <f>IF(ISNUMBER(Data!AG614),Data!AG614/100,"n/a")</f>
        <v>0.01</v>
      </c>
      <c r="O160" s="28">
        <f>IF(ISNUMBER(Data!AJ614),Data!AJ614/100,"n/a")</f>
        <v>-0.152</v>
      </c>
      <c r="P160" s="9">
        <f>IF(ISNUMBER(Data!AK614),Data!AK614/100,"n/a")</f>
        <v>0.107</v>
      </c>
      <c r="Q160" s="8">
        <f>Data!AN614</f>
        <v>1.17</v>
      </c>
      <c r="R160" s="8">
        <f>Data!AP614</f>
        <v>16.240934763915629</v>
      </c>
      <c r="S160" s="8"/>
      <c r="T160" s="8"/>
      <c r="U160" s="8"/>
      <c r="V160" s="1">
        <f t="shared" si="4"/>
        <v>3</v>
      </c>
      <c r="W160" s="1">
        <f t="shared" si="5"/>
        <v>0</v>
      </c>
    </row>
    <row r="161" spans="1:23" hidden="1" x14ac:dyDescent="0.2">
      <c r="A161" s="7" t="str">
        <f>Data!A587</f>
        <v>SJW Group</v>
      </c>
      <c r="B161" s="7" t="str">
        <f>Data!B587</f>
        <v>SJW</v>
      </c>
      <c r="C161" s="7" t="str">
        <f>Data!C587</f>
        <v>Utilities</v>
      </c>
      <c r="D161" s="8">
        <f>IF(ISNUMBER(Data!AL587),Data!AL587/1000,"n/a")</f>
        <v>2.0299999999999998</v>
      </c>
      <c r="E161" s="1">
        <f>Data!E587</f>
        <v>55</v>
      </c>
      <c r="F161" s="28">
        <f>Data!J587/100</f>
        <v>2.0373514431239387E-2</v>
      </c>
      <c r="G161" s="28">
        <f>IF(ISNUMBER(Data!S587),Data!S587/100,"n/a")</f>
        <v>6.25E-2</v>
      </c>
      <c r="H161" s="28">
        <f>IF(ISNUMBER(Data!T587),Data!T587/100,"n/a")</f>
        <v>6.6858844342181811E-2</v>
      </c>
      <c r="I161" s="28">
        <f>IF(ISNUMBER(Data!U587),Data!U587/100,"n/a")</f>
        <v>0.10920234202640276</v>
      </c>
      <c r="J161" s="28">
        <f>IF(ISNUMBER(Data!V587),Data!V587/100,"n/a")</f>
        <v>7.0209943508566353E-2</v>
      </c>
      <c r="K161" s="9">
        <f>IF(ISNUMBER(Data!Z587),Data!Z587/100,"n/a")</f>
        <v>0.82758620689655171</v>
      </c>
      <c r="L161" s="10">
        <f>Data!AA587</f>
        <v>40.62068965517242</v>
      </c>
      <c r="M161" s="10">
        <f>Data!AF587</f>
        <v>2.06</v>
      </c>
      <c r="N161" s="28">
        <f>IF(ISNUMBER(Data!AG587),Data!AG587/100,"n/a")</f>
        <v>0.06</v>
      </c>
      <c r="O161" s="28">
        <f>IF(ISNUMBER(Data!AJ587),Data!AJ587/100,"n/a")</f>
        <v>-4.4999999999999998E-2</v>
      </c>
      <c r="P161" s="9">
        <f>IF(ISNUMBER(Data!AK587),Data!AK587/100,"n/a")</f>
        <v>9.8000000000000004E-2</v>
      </c>
      <c r="Q161" s="8">
        <f>Data!AN587</f>
        <v>1.59</v>
      </c>
      <c r="R161" s="8">
        <f>Data!AP587</f>
        <v>12.957585645764215</v>
      </c>
      <c r="S161" s="8"/>
      <c r="T161" s="8"/>
      <c r="U161" s="8"/>
      <c r="V161" s="1">
        <f t="shared" si="4"/>
        <v>8</v>
      </c>
      <c r="W161" s="1">
        <f t="shared" si="5"/>
        <v>0</v>
      </c>
    </row>
    <row r="162" spans="1:23" hidden="1" x14ac:dyDescent="0.2">
      <c r="A162" s="7" t="str">
        <f>Data!A591</f>
        <v>The Scotts Miracle-Gro Company</v>
      </c>
      <c r="B162" s="7" t="str">
        <f>Data!B591</f>
        <v>SMG</v>
      </c>
      <c r="C162" s="7" t="str">
        <f>Data!C591</f>
        <v>Materials</v>
      </c>
      <c r="D162" s="8">
        <f>IF(ISNUMBER(Data!AL591),Data!AL591/1000,"n/a")</f>
        <v>2.64</v>
      </c>
      <c r="E162" s="1">
        <f>Data!E591</f>
        <v>12</v>
      </c>
      <c r="F162" s="28">
        <f>Data!J591/100</f>
        <v>5.7503811805706823E-2</v>
      </c>
      <c r="G162" s="28">
        <f>IF(ISNUMBER(Data!S591),Data!S591/100,"n/a")</f>
        <v>6.6666666666666652E-2</v>
      </c>
      <c r="H162" s="28">
        <f>IF(ISNUMBER(Data!T591),Data!T591/100,"n/a")</f>
        <v>5.8267367978799722E-2</v>
      </c>
      <c r="I162" s="28">
        <f>IF(ISNUMBER(Data!U591),Data!U591/100,"n/a")</f>
        <v>5.7030812205358439E-2</v>
      </c>
      <c r="J162" s="28">
        <f>IF(ISNUMBER(Data!V591),Data!V591/100,"n/a")</f>
        <v>8.8139881656601235E-2</v>
      </c>
      <c r="K162" s="9" t="str">
        <f>IF(ISNUMBER(Data!Z591),Data!Z591/100,"n/a")</f>
        <v>n/a</v>
      </c>
      <c r="L162" s="10" t="str">
        <f>Data!AA591</f>
        <v>n/a</v>
      </c>
      <c r="M162" s="10">
        <f>Data!AF591</f>
        <v>6.36</v>
      </c>
      <c r="N162" s="28">
        <f>IF(ISNUMBER(Data!AG591),Data!AG591/100,"n/a")</f>
        <v>-0.32800000000000007</v>
      </c>
      <c r="O162" s="28">
        <f>IF(ISNUMBER(Data!AJ591),Data!AJ591/100,"n/a")</f>
        <v>0.17800000000000002</v>
      </c>
      <c r="P162" s="9">
        <f>IF(ISNUMBER(Data!AK591),Data!AK591/100,"n/a")</f>
        <v>0.04</v>
      </c>
      <c r="Q162" s="8">
        <f>Data!AN591</f>
        <v>8.32</v>
      </c>
      <c r="R162" s="8">
        <f>Data!AP591</f>
        <v>11.453462401106526</v>
      </c>
      <c r="S162" s="8"/>
      <c r="T162" s="8"/>
      <c r="U162" s="8"/>
      <c r="V162" s="1">
        <f t="shared" si="4"/>
        <v>8</v>
      </c>
      <c r="W162" s="1">
        <f t="shared" si="5"/>
        <v>0</v>
      </c>
    </row>
    <row r="163" spans="1:23" hidden="1" x14ac:dyDescent="0.2">
      <c r="A163" s="7" t="str">
        <f>Data!A597</f>
        <v>Southern Michigan Bancorp, Inc.</v>
      </c>
      <c r="B163" s="7" t="str">
        <f>Data!B597</f>
        <v>SOMC</v>
      </c>
      <c r="C163" s="7" t="str">
        <f>Data!C597</f>
        <v>Financials</v>
      </c>
      <c r="D163" s="8" t="str">
        <f>IF(ISNUMBER(Data!AL597),Data!AL597/1000,"n/a")</f>
        <v>n/a</v>
      </c>
      <c r="E163" s="1">
        <f>Data!E597</f>
        <v>11</v>
      </c>
      <c r="F163" s="28">
        <f>Data!J597/100</f>
        <v>2.6666666666666668E-2</v>
      </c>
      <c r="G163" s="28">
        <f>IF(ISNUMBER(Data!S597),Data!S597/100,"n/a")</f>
        <v>3.2608695652173836E-2</v>
      </c>
      <c r="H163" s="28">
        <f>IF(ISNUMBER(Data!T597),Data!T597/100,"n/a")</f>
        <v>3.3733009865599017E-2</v>
      </c>
      <c r="I163" s="28">
        <f>IF(ISNUMBER(Data!U597),Data!U597/100,"n/a")</f>
        <v>6.2980048262344379E-2</v>
      </c>
      <c r="J163" s="28">
        <f>IF(ISNUMBER(Data!V597),Data!V597/100,"n/a")</f>
        <v>0.16860936130231471</v>
      </c>
      <c r="K163" s="9" t="str">
        <f>IF(ISNUMBER(Data!Z597),Data!Z597/100,"n/a")</f>
        <v>n/a</v>
      </c>
      <c r="L163" s="10" t="str">
        <f>Data!AA597</f>
        <v>n/a</v>
      </c>
      <c r="M163" s="10" t="str">
        <f>Data!AF597</f>
        <v>n/a</v>
      </c>
      <c r="N163" s="28" t="str">
        <f>IF(ISNUMBER(Data!AG597),Data!AG597/100,"n/a")</f>
        <v>n/a</v>
      </c>
      <c r="O163" s="28" t="str">
        <f>IF(ISNUMBER(Data!AJ597),Data!AJ597/100,"n/a")</f>
        <v>n/a</v>
      </c>
      <c r="P163" s="9" t="str">
        <f>IF(ISNUMBER(Data!AK597),Data!AK597/100,"n/a")</f>
        <v>n/a</v>
      </c>
      <c r="Q163" s="8" t="str">
        <f>Data!AN597</f>
        <v>n/a</v>
      </c>
      <c r="R163" s="8">
        <f>Data!AP597</f>
        <v>8.964671492901104</v>
      </c>
      <c r="S163" s="8"/>
      <c r="T163" s="8"/>
      <c r="U163" s="8"/>
      <c r="V163" s="1">
        <f t="shared" si="4"/>
        <v>3</v>
      </c>
      <c r="W163" s="1">
        <f t="shared" si="5"/>
        <v>0</v>
      </c>
    </row>
    <row r="164" spans="1:23" hidden="1" x14ac:dyDescent="0.2">
      <c r="A164" s="7" t="str">
        <f>Data!A109</f>
        <v>BWX Technologies, Inc.</v>
      </c>
      <c r="B164" s="7" t="str">
        <f>Data!B109</f>
        <v>BWXT</v>
      </c>
      <c r="C164" s="7" t="str">
        <f>Data!C109</f>
        <v>Industrials</v>
      </c>
      <c r="D164" s="8">
        <f>IF(ISNUMBER(Data!AL109),Data!AL109/1000,"n/a")</f>
        <v>5.0999999999999996</v>
      </c>
      <c r="E164" s="1">
        <f>Data!E109</f>
        <v>7</v>
      </c>
      <c r="F164" s="28">
        <f>Data!J109/100</f>
        <v>1.5444015444015444E-2</v>
      </c>
      <c r="G164" s="28">
        <f>IF(ISNUMBER(Data!S109),Data!S109/100,"n/a")</f>
        <v>0.10526315789473673</v>
      </c>
      <c r="H164" s="28">
        <f>IF(ISNUMBER(Data!T109),Data!T109/100,"n/a")</f>
        <v>9.4879784971972261E-2</v>
      </c>
      <c r="I164" s="28">
        <f>IF(ISNUMBER(Data!U109),Data!U109/100,"n/a")</f>
        <v>0.18466445254224406</v>
      </c>
      <c r="J164" s="28" t="str">
        <f>IF(ISNUMBER(Data!V109),Data!V109/100,"n/a")</f>
        <v>n/a</v>
      </c>
      <c r="K164" s="9">
        <f>IF(ISNUMBER(Data!Z109),Data!Z109/100,"n/a")</f>
        <v>0.2626865671641791</v>
      </c>
      <c r="L164" s="10">
        <f>Data!AA109</f>
        <v>17.008955223880594</v>
      </c>
      <c r="M164" s="10">
        <f>Data!AF109</f>
        <v>7.45</v>
      </c>
      <c r="N164" s="28">
        <f>IF(ISNUMBER(Data!AG109),Data!AG109/100,"n/a")</f>
        <v>0.48100000000000004</v>
      </c>
      <c r="O164" s="28">
        <f>IF(ISNUMBER(Data!AJ109),Data!AJ109/100,"n/a")</f>
        <v>0.129</v>
      </c>
      <c r="P164" s="9">
        <f>IF(ISNUMBER(Data!AK109),Data!AK109/100,"n/a")</f>
        <v>3.1399999999999997E-2</v>
      </c>
      <c r="Q164" s="8">
        <f>Data!AN109</f>
        <v>0</v>
      </c>
      <c r="R164" s="8">
        <f>Data!AP109</f>
        <v>20.010846798625952</v>
      </c>
      <c r="S164" s="8"/>
      <c r="T164" s="8"/>
      <c r="U164" s="8"/>
      <c r="V164" s="1">
        <f t="shared" si="4"/>
        <v>9</v>
      </c>
      <c r="W164" s="1">
        <f t="shared" si="5"/>
        <v>0</v>
      </c>
    </row>
    <row r="165" spans="1:23" hidden="1" x14ac:dyDescent="0.2">
      <c r="A165" s="7" t="str">
        <f>Data!A582</f>
        <v>Selective Insurance Group, Inc.</v>
      </c>
      <c r="B165" s="7" t="str">
        <f>Data!B582</f>
        <v>SIGI</v>
      </c>
      <c r="C165" s="7" t="str">
        <f>Data!C582</f>
        <v>Financials</v>
      </c>
      <c r="D165" s="8">
        <f>IF(ISNUMBER(Data!AL582),Data!AL582/1000,"n/a")</f>
        <v>5.7</v>
      </c>
      <c r="E165" s="1">
        <f>Data!E582</f>
        <v>8</v>
      </c>
      <c r="F165" s="28">
        <f>Data!J582/100</f>
        <v>1.1419249592169658E-2</v>
      </c>
      <c r="G165" s="28">
        <f>IF(ISNUMBER(Data!S582),Data!S582/100,"n/a")</f>
        <v>9.5744680851064037E-2</v>
      </c>
      <c r="H165" s="28">
        <f>IF(ISNUMBER(Data!T582),Data!T582/100,"n/a")</f>
        <v>0.11652512828061103</v>
      </c>
      <c r="I165" s="28">
        <f>IF(ISNUMBER(Data!U582),Data!U582/100,"n/a")</f>
        <v>0.11045631429892389</v>
      </c>
      <c r="J165" s="28">
        <f>IF(ISNUMBER(Data!V582),Data!V582/100,"n/a")</f>
        <v>7.0738424667737609E-2</v>
      </c>
      <c r="K165" s="9">
        <f>IF(ISNUMBER(Data!Z582),Data!Z582/100,"n/a")</f>
        <v>0.26291079812206575</v>
      </c>
      <c r="L165" s="10">
        <f>Data!AA582</f>
        <v>23.023474178403756</v>
      </c>
      <c r="M165" s="10">
        <f>Data!AF582</f>
        <v>2.4500000000000002</v>
      </c>
      <c r="N165" s="28">
        <f>IF(ISNUMBER(Data!AG582),Data!AG582/100,"n/a")</f>
        <v>9.9000000000000005E-2</v>
      </c>
      <c r="O165" s="28">
        <f>IF(ISNUMBER(Data!AJ582),Data!AJ582/100,"n/a")</f>
        <v>0.192</v>
      </c>
      <c r="P165" s="9">
        <f>IF(ISNUMBER(Data!AK582),Data!AK582/100,"n/a")</f>
        <v>0.13400000000000001</v>
      </c>
      <c r="Q165" s="8">
        <f>Data!AN582</f>
        <v>0</v>
      </c>
      <c r="R165" s="8">
        <f>Data!AP582</f>
        <v>12.187556389109353</v>
      </c>
      <c r="S165" s="8"/>
      <c r="T165" s="8"/>
      <c r="U165" s="8"/>
      <c r="V165" s="1">
        <f t="shared" si="4"/>
        <v>9</v>
      </c>
      <c r="W165" s="1">
        <f t="shared" si="5"/>
        <v>0</v>
      </c>
    </row>
    <row r="166" spans="1:23" hidden="1" x14ac:dyDescent="0.2">
      <c r="A166" s="7" t="str">
        <f>Data!A586</f>
        <v>The J. M. Smucker Company</v>
      </c>
      <c r="B166" s="7" t="str">
        <f>Data!B586</f>
        <v>SJM</v>
      </c>
      <c r="C166" s="7" t="str">
        <f>Data!C586</f>
        <v>Consumer Staples</v>
      </c>
      <c r="D166" s="8">
        <f>IF(ISNUMBER(Data!AL586),Data!AL586/1000,"n/a")</f>
        <v>15.84</v>
      </c>
      <c r="E166" s="1">
        <f>Data!E586</f>
        <v>25</v>
      </c>
      <c r="F166" s="28">
        <f>Data!J586/100</f>
        <v>2.7080844285145362E-2</v>
      </c>
      <c r="G166" s="28">
        <f>IF(ISNUMBER(Data!S586),Data!S586/100,"n/a")</f>
        <v>6.1797752808988804E-2</v>
      </c>
      <c r="H166" s="28">
        <f>IF(ISNUMBER(Data!T586),Data!T586/100,"n/a")</f>
        <v>5.05693669256293E-2</v>
      </c>
      <c r="I166" s="28">
        <f>IF(ISNUMBER(Data!U586),Data!U586/100,"n/a")</f>
        <v>5.8850611977593781E-2</v>
      </c>
      <c r="J166" s="28">
        <f>IF(ISNUMBER(Data!V586),Data!V586/100,"n/a")</f>
        <v>7.4650877591693865E-2</v>
      </c>
      <c r="K166" s="9">
        <f>IF(ISNUMBER(Data!Z586),Data!Z586/100,"n/a")</f>
        <v>0.74862385321100922</v>
      </c>
      <c r="L166" s="10">
        <f>Data!AA586</f>
        <v>27.644036697247707</v>
      </c>
      <c r="M166" s="10">
        <f>Data!AF586</f>
        <v>1.97</v>
      </c>
      <c r="N166" s="28">
        <f>IF(ISNUMBER(Data!AG586),Data!AG586/100,"n/a")</f>
        <v>7.0999999999999994E-2</v>
      </c>
      <c r="O166" s="28">
        <f>IF(ISNUMBER(Data!AJ586),Data!AJ586/100,"n/a")</f>
        <v>2.7000000000000003E-2</v>
      </c>
      <c r="P166" s="9">
        <f>IF(ISNUMBER(Data!AK586),Data!AK586/100,"n/a")</f>
        <v>5.1400000000000008E-2</v>
      </c>
      <c r="Q166" s="8">
        <f>Data!AN586</f>
        <v>0.57999999999999996</v>
      </c>
      <c r="R166" s="8">
        <f>Data!AP586</f>
        <v>8.5931456262739143</v>
      </c>
      <c r="S166" s="8"/>
      <c r="T166" s="8"/>
      <c r="U166" s="8"/>
      <c r="V166" s="1">
        <f t="shared" si="4"/>
        <v>10</v>
      </c>
      <c r="W166" s="1">
        <f t="shared" si="5"/>
        <v>0</v>
      </c>
    </row>
    <row r="167" spans="1:23" hidden="1" x14ac:dyDescent="0.2">
      <c r="A167" s="7" t="str">
        <f>Data!A580</f>
        <v>Star Group, L.P.</v>
      </c>
      <c r="B167" s="7" t="str">
        <f>Data!B580</f>
        <v>SGU</v>
      </c>
      <c r="C167" s="7" t="str">
        <f>Data!C580</f>
        <v>Utilities</v>
      </c>
      <c r="D167" s="8">
        <f>IF(ISNUMBER(Data!AL580),Data!AL580/1000,"n/a")</f>
        <v>0.31583</v>
      </c>
      <c r="E167" s="1">
        <f>Data!E580</f>
        <v>10</v>
      </c>
      <c r="F167" s="28">
        <f>Data!J580/100</f>
        <v>6.9160997732426302E-2</v>
      </c>
      <c r="G167" s="28">
        <f>IF(ISNUMBER(Data!S580),Data!S580/100,"n/a")</f>
        <v>7.1770334928229929E-2</v>
      </c>
      <c r="H167" s="28">
        <f>IF(ISNUMBER(Data!T580),Data!T580/100,"n/a")</f>
        <v>6.5840200650529868E-2</v>
      </c>
      <c r="I167" s="28">
        <f>IF(ISNUMBER(Data!U580),Data!U580/100,"n/a")</f>
        <v>6.8278353688437932E-2</v>
      </c>
      <c r="J167" s="28">
        <f>IF(ISNUMBER(Data!V580),Data!V580/100,"n/a")</f>
        <v>6.0919991938518825E-2</v>
      </c>
      <c r="K167" s="9">
        <f>IF(ISNUMBER(Data!Z580),Data!Z580/100,"n/a")</f>
        <v>0.4206896551724138</v>
      </c>
      <c r="L167" s="10">
        <f>Data!AA580</f>
        <v>6.0827586206896553</v>
      </c>
      <c r="M167" s="10">
        <f>Data!AF580</f>
        <v>0.98</v>
      </c>
      <c r="N167" s="28">
        <f>IF(ISNUMBER(Data!AG580),Data!AG580/100,"n/a")</f>
        <v>0.27200000000000002</v>
      </c>
      <c r="O167" s="28">
        <f>IF(ISNUMBER(Data!AJ580),Data!AJ580/100,"n/a")</f>
        <v>0.184</v>
      </c>
      <c r="P167" s="9" t="str">
        <f>IF(ISNUMBER(Data!AK580),Data!AK580/100,"n/a")</f>
        <v>n/a</v>
      </c>
      <c r="Q167" s="8">
        <f>Data!AN580</f>
        <v>0.7</v>
      </c>
      <c r="R167" s="8">
        <f>Data!AP580</f>
        <v>13.743935142086423</v>
      </c>
      <c r="S167" s="8"/>
      <c r="T167" s="8"/>
      <c r="U167" s="8"/>
      <c r="V167" s="1">
        <f t="shared" si="4"/>
        <v>9</v>
      </c>
      <c r="W167" s="1">
        <f t="shared" si="5"/>
        <v>0</v>
      </c>
    </row>
    <row r="168" spans="1:23" hidden="1" x14ac:dyDescent="0.2">
      <c r="A168" s="7" t="str">
        <f>Data!A629</f>
        <v>TE Connectivity Ltd.</v>
      </c>
      <c r="B168" s="7" t="str">
        <f>Data!B629</f>
        <v>TEL</v>
      </c>
      <c r="C168" s="7" t="str">
        <f>Data!C629</f>
        <v>Information Technology</v>
      </c>
      <c r="D168" s="8">
        <f>IF(ISNUMBER(Data!AL629),Data!AL629/1000,"n/a")</f>
        <v>38.06</v>
      </c>
      <c r="E168" s="1">
        <f>Data!E629</f>
        <v>9</v>
      </c>
      <c r="F168" s="28">
        <f>Data!J629/100</f>
        <v>1.8326106520494153E-2</v>
      </c>
      <c r="G168" s="28">
        <f>IF(ISNUMBER(Data!S629),Data!S629/100,"n/a")</f>
        <v>4.2105263157894868E-2</v>
      </c>
      <c r="H168" s="28">
        <f>IF(ISNUMBER(Data!T629),Data!T629/100,"n/a")</f>
        <v>4.8042548330827772E-2</v>
      </c>
      <c r="I168" s="28">
        <f>IF(ISNUMBER(Data!U629),Data!U629/100,"n/a")</f>
        <v>6.5762756635474151E-2</v>
      </c>
      <c r="J168" s="28">
        <f>IF(ISNUMBER(Data!V629),Data!V629/100,"n/a")</f>
        <v>0.10957513286220966</v>
      </c>
      <c r="K168" s="9">
        <f>IF(ISNUMBER(Data!Z629),Data!Z629/100,"n/a")</f>
        <v>0.29319371727748694</v>
      </c>
      <c r="L168" s="10">
        <f>Data!AA629</f>
        <v>15.99869109947644</v>
      </c>
      <c r="M168" s="10">
        <f>Data!AF629</f>
        <v>3.79</v>
      </c>
      <c r="N168" s="28">
        <f>IF(ISNUMBER(Data!AG629),Data!AG629/100,"n/a")</f>
        <v>0.23599999999999999</v>
      </c>
      <c r="O168" s="28">
        <f>IF(ISNUMBER(Data!AJ629),Data!AJ629/100,"n/a")</f>
        <v>6.2E-2</v>
      </c>
      <c r="P168" s="9">
        <f>IF(ISNUMBER(Data!AK629),Data!AK629/100,"n/a")</f>
        <v>0.1036</v>
      </c>
      <c r="Q168" s="8">
        <f>Data!AN629</f>
        <v>0.4</v>
      </c>
      <c r="R168" s="8">
        <f>Data!AP629</f>
        <v>8.4088863155968312</v>
      </c>
      <c r="S168" s="8"/>
      <c r="T168" s="8"/>
      <c r="U168" s="8"/>
      <c r="V168" s="1">
        <f t="shared" si="4"/>
        <v>8</v>
      </c>
      <c r="W168" s="1">
        <f t="shared" si="5"/>
        <v>0</v>
      </c>
    </row>
    <row r="169" spans="1:23" hidden="1" x14ac:dyDescent="0.2">
      <c r="A169" s="7" t="str">
        <f>Data!A433</f>
        <v>Monro, Inc.</v>
      </c>
      <c r="B169" s="7" t="str">
        <f>Data!B433</f>
        <v>MNRO</v>
      </c>
      <c r="C169" s="7" t="str">
        <f>Data!C433</f>
        <v>Consumer Discretionary</v>
      </c>
      <c r="D169" s="8">
        <f>IF(ISNUMBER(Data!AL433),Data!AL433/1000,"n/a")</f>
        <v>1.47</v>
      </c>
      <c r="E169" s="1">
        <f>Data!E433</f>
        <v>18</v>
      </c>
      <c r="F169" s="28">
        <f>Data!J433/100</f>
        <v>2.3455497382198955E-2</v>
      </c>
      <c r="G169" s="28">
        <f>IF(ISNUMBER(Data!S433),Data!S433/100,"n/a")</f>
        <v>0.11363636363636352</v>
      </c>
      <c r="H169" s="28">
        <f>IF(ISNUMBER(Data!T433),Data!T433/100,"n/a")</f>
        <v>7.9055603436663846E-2</v>
      </c>
      <c r="I169" s="28">
        <f>IF(ISNUMBER(Data!U433),Data!U433/100,"n/a")</f>
        <v>8.2272013176834621E-2</v>
      </c>
      <c r="J169" s="28">
        <f>IF(ISNUMBER(Data!V433),Data!V433/100,"n/a")</f>
        <v>0.1116670053981812</v>
      </c>
      <c r="K169" s="9">
        <f>IF(ISNUMBER(Data!Z433),Data!Z433/100,"n/a")</f>
        <v>2.0363636363636366</v>
      </c>
      <c r="L169" s="10">
        <f>Data!AA433</f>
        <v>86.818181818181813</v>
      </c>
      <c r="M169" s="10">
        <f>Data!AF433</f>
        <v>2.04</v>
      </c>
      <c r="N169" s="28" t="str">
        <f>IF(ISNUMBER(Data!AG433),Data!AG433/100,"n/a")</f>
        <v>n/a</v>
      </c>
      <c r="O169" s="28">
        <f>IF(ISNUMBER(Data!AJ433),Data!AJ433/100,"n/a")</f>
        <v>-4.0000000000000001E-3</v>
      </c>
      <c r="P169" s="9">
        <f>IF(ISNUMBER(Data!AK433),Data!AK433/100,"n/a")</f>
        <v>0.15</v>
      </c>
      <c r="Q169" s="8">
        <f>Data!AN433</f>
        <v>0.64</v>
      </c>
      <c r="R169" s="8">
        <f>Data!AP433</f>
        <v>10.572751055903359</v>
      </c>
      <c r="S169" s="8"/>
      <c r="T169" s="8"/>
      <c r="U169" s="8"/>
      <c r="V169" s="1">
        <f t="shared" si="4"/>
        <v>7</v>
      </c>
      <c r="W169" s="1">
        <f t="shared" si="5"/>
        <v>0</v>
      </c>
    </row>
    <row r="170" spans="1:23" hidden="1" x14ac:dyDescent="0.2">
      <c r="A170" s="7" t="str">
        <f>Data!A590</f>
        <v>Southern Missouri Bancorp, Inc.</v>
      </c>
      <c r="B170" s="7" t="str">
        <f>Data!B590</f>
        <v>SMBC</v>
      </c>
      <c r="C170" s="7" t="str">
        <f>Data!C590</f>
        <v>Financials</v>
      </c>
      <c r="D170" s="8">
        <f>IF(ISNUMBER(Data!AL590),Data!AL590/1000,"n/a")</f>
        <v>0.45145999999999997</v>
      </c>
      <c r="E170" s="1">
        <f>Data!E590</f>
        <v>11</v>
      </c>
      <c r="F170" s="28">
        <f>Data!J590/100</f>
        <v>1.6390243902439025E-2</v>
      </c>
      <c r="G170" s="28">
        <f>IF(ISNUMBER(Data!S590),Data!S590/100,"n/a")</f>
        <v>0.19999999999999996</v>
      </c>
      <c r="H170" s="28">
        <f>IF(ISNUMBER(Data!T590),Data!T590/100,"n/a")</f>
        <v>0.14471424255333187</v>
      </c>
      <c r="I170" s="28">
        <f>IF(ISNUMBER(Data!U590),Data!U590/100,"n/a")</f>
        <v>0.13634388693076627</v>
      </c>
      <c r="J170" s="28">
        <f>IF(ISNUMBER(Data!V590),Data!V590/100,"n/a")</f>
        <v>0.11612317403390439</v>
      </c>
      <c r="K170" s="9">
        <f>IF(ISNUMBER(Data!Z590),Data!Z590/100,"n/a")</f>
        <v>0.16122840690978887</v>
      </c>
      <c r="L170" s="10">
        <f>Data!AA590</f>
        <v>9.8368522072936653</v>
      </c>
      <c r="M170" s="10">
        <f>Data!AF590</f>
        <v>1.45</v>
      </c>
      <c r="N170" s="28">
        <f>IF(ISNUMBER(Data!AG590),Data!AG590/100,"n/a")</f>
        <v>0.151</v>
      </c>
      <c r="O170" s="28">
        <f>IF(ISNUMBER(Data!AJ590),Data!AJ590/100,"n/a")</f>
        <v>0.20300000000000001</v>
      </c>
      <c r="P170" s="9" t="str">
        <f>IF(ISNUMBER(Data!AK590),Data!AK590/100,"n/a")</f>
        <v>n/a</v>
      </c>
      <c r="Q170" s="8">
        <f>Data!AN590</f>
        <v>7.0000000000000007E-2</v>
      </c>
      <c r="R170" s="8">
        <f>Data!AP590</f>
        <v>15.273413083320529</v>
      </c>
      <c r="S170" s="8"/>
      <c r="T170" s="8"/>
      <c r="U170" s="8"/>
      <c r="V170" s="1">
        <f t="shared" si="4"/>
        <v>8</v>
      </c>
      <c r="W170" s="1">
        <f t="shared" si="5"/>
        <v>0</v>
      </c>
    </row>
    <row r="171" spans="1:23" hidden="1" x14ac:dyDescent="0.2">
      <c r="A171" s="7" t="str">
        <f>Data!A583</f>
        <v>Silicon Motion Technology Corporation</v>
      </c>
      <c r="B171" s="7" t="str">
        <f>Data!B583</f>
        <v>SIMO</v>
      </c>
      <c r="C171" s="7" t="str">
        <f>Data!C583</f>
        <v>Information Technology</v>
      </c>
      <c r="D171" s="8">
        <f>IF(ISNUMBER(Data!AL583),Data!AL583/1000,"n/a")</f>
        <v>1.79</v>
      </c>
      <c r="E171" s="1">
        <f>Data!E583</f>
        <v>6</v>
      </c>
      <c r="F171" s="28">
        <f>Data!J583/100</f>
        <v>3.7390166386240417E-2</v>
      </c>
      <c r="G171" s="28">
        <f>IF(ISNUMBER(Data!S583),Data!S583/100,"n/a")</f>
        <v>0.10714285714285721</v>
      </c>
      <c r="H171" s="28">
        <f>IF(ISNUMBER(Data!T583),Data!T583/100,"n/a")</f>
        <v>8.9055846181262263E-2</v>
      </c>
      <c r="I171" s="28">
        <f>IF(ISNUMBER(Data!U583),Data!U583/100,"n/a")</f>
        <v>0.18982658475160608</v>
      </c>
      <c r="J171" s="28" t="str">
        <f>IF(ISNUMBER(Data!V583),Data!V583/100,"n/a")</f>
        <v>n/a</v>
      </c>
      <c r="K171" s="9">
        <f>IF(ISNUMBER(Data!Z583),Data!Z583/100,"n/a")</f>
        <v>0.31545741324921134</v>
      </c>
      <c r="L171" s="10">
        <f>Data!AA583</f>
        <v>8.4369085173501581</v>
      </c>
      <c r="M171" s="10">
        <f>Data!AF583</f>
        <v>2.93</v>
      </c>
      <c r="N171" s="28">
        <f>IF(ISNUMBER(Data!AG583),Data!AG583/100,"n/a")</f>
        <v>0.33800000000000002</v>
      </c>
      <c r="O171" s="28">
        <f>IF(ISNUMBER(Data!AJ583),Data!AJ583/100,"n/a")</f>
        <v>0.128</v>
      </c>
      <c r="P171" s="9">
        <f>IF(ISNUMBER(Data!AK583),Data!AK583/100,"n/a")</f>
        <v>0.05</v>
      </c>
      <c r="Q171" s="8">
        <f>Data!AN583</f>
        <v>0</v>
      </c>
      <c r="R171" s="8">
        <f>Data!AP583</f>
        <v>22.721675113784649</v>
      </c>
      <c r="S171" s="8"/>
      <c r="T171" s="8"/>
      <c r="U171" s="8"/>
      <c r="V171" s="1">
        <f t="shared" si="4"/>
        <v>9</v>
      </c>
      <c r="W171" s="1">
        <f t="shared" si="5"/>
        <v>0</v>
      </c>
    </row>
    <row r="172" spans="1:23" hidden="1" x14ac:dyDescent="0.2">
      <c r="A172" s="7" t="str">
        <f>Data!A602</f>
        <v>Spire Inc.</v>
      </c>
      <c r="B172" s="7" t="str">
        <f>Data!B602</f>
        <v>SR</v>
      </c>
      <c r="C172" s="7" t="str">
        <f>Data!C602</f>
        <v>Utilities</v>
      </c>
      <c r="D172" s="8">
        <f>IF(ISNUMBER(Data!AL602),Data!AL602/1000,"n/a")</f>
        <v>3.63</v>
      </c>
      <c r="E172" s="1">
        <f>Data!E602</f>
        <v>19</v>
      </c>
      <c r="F172" s="28">
        <f>Data!J602/100</f>
        <v>3.9249391204698468E-2</v>
      </c>
      <c r="G172" s="28">
        <f>IF(ISNUMBER(Data!S602),Data!S602/100,"n/a")</f>
        <v>4.417670682730912E-2</v>
      </c>
      <c r="H172" s="28">
        <f>IF(ISNUMBER(Data!T602),Data!T602/100,"n/a")</f>
        <v>4.9373944420962435E-2</v>
      </c>
      <c r="I172" s="28">
        <f>IF(ISNUMBER(Data!U602),Data!U602/100,"n/a")</f>
        <v>5.814078782077714E-2</v>
      </c>
      <c r="J172" s="28">
        <f>IF(ISNUMBER(Data!V602),Data!V602/100,"n/a")</f>
        <v>4.844543561189929E-2</v>
      </c>
      <c r="K172" s="9">
        <f>IF(ISNUMBER(Data!Z602),Data!Z602/100,"n/a")</f>
        <v>0.70076726342710993</v>
      </c>
      <c r="L172" s="10">
        <f>Data!AA602</f>
        <v>17.854219948849106</v>
      </c>
      <c r="M172" s="10">
        <f>Data!AF602</f>
        <v>1.4</v>
      </c>
      <c r="N172" s="28">
        <f>IF(ISNUMBER(Data!AG602),Data!AG602/100,"n/a")</f>
        <v>8.1000000000000003E-2</v>
      </c>
      <c r="O172" s="28">
        <f>IF(ISNUMBER(Data!AJ602),Data!AJ602/100,"n/a")</f>
        <v>8.900000000000001E-2</v>
      </c>
      <c r="P172" s="9">
        <f>IF(ISNUMBER(Data!AK602),Data!AK602/100,"n/a")</f>
        <v>4.2999999999999997E-2</v>
      </c>
      <c r="Q172" s="8">
        <f>Data!AN602</f>
        <v>1.52</v>
      </c>
      <c r="R172" s="8">
        <f>Data!AP602</f>
        <v>9.7390179025475607</v>
      </c>
      <c r="S172" s="8"/>
      <c r="T172" s="8"/>
      <c r="U172" s="8"/>
      <c r="V172" s="1">
        <f t="shared" si="4"/>
        <v>6</v>
      </c>
      <c r="W172" s="1">
        <f t="shared" si="5"/>
        <v>0</v>
      </c>
    </row>
    <row r="173" spans="1:23" hidden="1" x14ac:dyDescent="0.2">
      <c r="A173" s="7" t="str">
        <f>Data!A577</f>
        <v>Stifel Financial Corp.</v>
      </c>
      <c r="B173" s="7" t="str">
        <f>Data!B577</f>
        <v>SF</v>
      </c>
      <c r="C173" s="7" t="str">
        <f>Data!C577</f>
        <v>Financials</v>
      </c>
      <c r="D173" s="8">
        <f>IF(ISNUMBER(Data!AL577),Data!AL577/1000,"n/a")</f>
        <v>6.22</v>
      </c>
      <c r="E173" s="1">
        <f>Data!E577</f>
        <v>6</v>
      </c>
      <c r="F173" s="28">
        <f>Data!J577/100</f>
        <v>1.9395506707612736E-2</v>
      </c>
      <c r="G173" s="28">
        <f>IF(ISNUMBER(Data!S577),Data!S577/100,"n/a")</f>
        <v>0.32352941176470584</v>
      </c>
      <c r="H173" s="28">
        <f>IF(ISNUMBER(Data!T577),Data!T577/100,"n/a")</f>
        <v>0.23310603716523493</v>
      </c>
      <c r="I173" s="28" t="str">
        <f>IF(ISNUMBER(Data!U577),Data!U577/100,"n/a")</f>
        <v>n/a</v>
      </c>
      <c r="J173" s="28" t="str">
        <f>IF(ISNUMBER(Data!V577),Data!V577/100,"n/a")</f>
        <v>n/a</v>
      </c>
      <c r="K173" s="9">
        <f>IF(ISNUMBER(Data!Z577),Data!Z577/100,"n/a")</f>
        <v>0.19966722129783693</v>
      </c>
      <c r="L173" s="10">
        <f>Data!AA577</f>
        <v>10.29450915141431</v>
      </c>
      <c r="M173" s="10">
        <f>Data!AF577</f>
        <v>1.51</v>
      </c>
      <c r="N173" s="28">
        <f>IF(ISNUMBER(Data!AG577),Data!AG577/100,"n/a")</f>
        <v>0.183</v>
      </c>
      <c r="O173" s="28">
        <f>IF(ISNUMBER(Data!AJ577),Data!AJ577/100,"n/a")</f>
        <v>0.58399999999999996</v>
      </c>
      <c r="P173" s="9">
        <f>IF(ISNUMBER(Data!AK577),Data!AK577/100,"n/a")</f>
        <v>0.14180000000000001</v>
      </c>
      <c r="Q173" s="8">
        <f>Data!AN577</f>
        <v>6.38</v>
      </c>
      <c r="R173" s="8" t="str">
        <f>Data!AP577</f>
        <v>n/a</v>
      </c>
      <c r="S173" s="8"/>
      <c r="T173" s="8"/>
      <c r="U173" s="8"/>
      <c r="V173" s="1">
        <f t="shared" si="4"/>
        <v>7</v>
      </c>
      <c r="W173" s="1">
        <f t="shared" si="5"/>
        <v>0</v>
      </c>
    </row>
    <row r="174" spans="1:23" hidden="1" x14ac:dyDescent="0.2">
      <c r="A174" s="7" t="str">
        <f>Data!A575</f>
        <v>Shoe Carnival, Inc.</v>
      </c>
      <c r="B174" s="7" t="str">
        <f>Data!B575</f>
        <v>SCVL</v>
      </c>
      <c r="C174" s="7" t="str">
        <f>Data!C575</f>
        <v>Consumer Discretionary</v>
      </c>
      <c r="D174" s="8">
        <f>IF(ISNUMBER(Data!AL575),Data!AL575/1000,"n/a")</f>
        <v>0.65239000000000003</v>
      </c>
      <c r="E174" s="1">
        <f>Data!E575</f>
        <v>11</v>
      </c>
      <c r="F174" s="28">
        <f>Data!J575/100</f>
        <v>1.5012510425354461E-2</v>
      </c>
      <c r="G174" s="28">
        <f>IF(ISNUMBER(Data!S575),Data!S575/100,"n/a")</f>
        <v>0.4571428571428573</v>
      </c>
      <c r="H174" s="28">
        <f>IF(ISNUMBER(Data!T575),Data!T575/100,"n/a")</f>
        <v>0.18050952101049167</v>
      </c>
      <c r="I174" s="28">
        <f>IF(ISNUMBER(Data!U575),Data!U575/100,"n/a")</f>
        <v>0.13564157249607756</v>
      </c>
      <c r="J174" s="28" t="str">
        <f>IF(ISNUMBER(Data!V575),Data!V575/100,"n/a")</f>
        <v>n/a</v>
      </c>
      <c r="K174" s="9">
        <f>IF(ISNUMBER(Data!Z575),Data!Z575/100,"n/a")</f>
        <v>8.2758620689655171E-2</v>
      </c>
      <c r="L174" s="10">
        <f>Data!AA575</f>
        <v>5.51264367816092</v>
      </c>
      <c r="M174" s="10">
        <f>Data!AF575</f>
        <v>1.36</v>
      </c>
      <c r="N174" s="28">
        <f>IF(ISNUMBER(Data!AG575),Data!AG575/100,"n/a")</f>
        <v>0.27</v>
      </c>
      <c r="O174" s="28">
        <f>IF(ISNUMBER(Data!AJ575),Data!AJ575/100,"n/a")</f>
        <v>0.53300000000000003</v>
      </c>
      <c r="P174" s="9">
        <f>IF(ISNUMBER(Data!AK575),Data!AK575/100,"n/a")</f>
        <v>0.1</v>
      </c>
      <c r="Q174" s="8">
        <f>Data!AN575</f>
        <v>0</v>
      </c>
      <c r="R174" s="8">
        <f>Data!AP575</f>
        <v>15.065408292143204</v>
      </c>
      <c r="S174" s="8"/>
      <c r="T174" s="8"/>
      <c r="U174" s="8"/>
      <c r="V174" s="1">
        <f t="shared" si="4"/>
        <v>8</v>
      </c>
      <c r="W174" s="1">
        <f t="shared" si="5"/>
        <v>0</v>
      </c>
    </row>
    <row r="175" spans="1:23" hidden="1" x14ac:dyDescent="0.2">
      <c r="A175" s="7" t="str">
        <f>Data!A576</f>
        <v>SEI Investments Company</v>
      </c>
      <c r="B175" s="7" t="str">
        <f>Data!B576</f>
        <v>SEIC</v>
      </c>
      <c r="C175" s="7" t="str">
        <f>Data!C576</f>
        <v>Financials</v>
      </c>
      <c r="D175" s="8">
        <f>IF(ISNUMBER(Data!AL576),Data!AL576/1000,"n/a")</f>
        <v>7.1</v>
      </c>
      <c r="E175" s="1">
        <f>Data!E576</f>
        <v>31</v>
      </c>
      <c r="F175" s="28">
        <f>Data!J576/100</f>
        <v>1.4732965009208105E-2</v>
      </c>
      <c r="G175" s="28">
        <f>IF(ISNUMBER(Data!S576),Data!S576/100,"n/a")</f>
        <v>5.7142857142857162E-2</v>
      </c>
      <c r="H175" s="28">
        <f>IF(ISNUMBER(Data!T576),Data!T576/100,"n/a")</f>
        <v>7.2408274971694553E-2</v>
      </c>
      <c r="I175" s="28">
        <f>IF(ISNUMBER(Data!U576),Data!U576/100,"n/a")</f>
        <v>7.3113541506014013E-2</v>
      </c>
      <c r="J175" s="28">
        <f>IF(ISNUMBER(Data!V576),Data!V576/100,"n/a")</f>
        <v>0.12896610659322394</v>
      </c>
      <c r="K175" s="9">
        <f>IF(ISNUMBER(Data!Z576),Data!Z576/100,"n/a")</f>
        <v>0.21917808219178084</v>
      </c>
      <c r="L175" s="10">
        <f>Data!AA576</f>
        <v>14.876712328767123</v>
      </c>
      <c r="M175" s="10">
        <f>Data!AF576</f>
        <v>3.81</v>
      </c>
      <c r="N175" s="28">
        <f>IF(ISNUMBER(Data!AG576),Data!AG576/100,"n/a")</f>
        <v>0.32</v>
      </c>
      <c r="O175" s="28">
        <f>IF(ISNUMBER(Data!AJ576),Data!AJ576/100,"n/a")</f>
        <v>0.13400000000000001</v>
      </c>
      <c r="P175" s="9">
        <f>IF(ISNUMBER(Data!AK576),Data!AK576/100,"n/a")</f>
        <v>0.12</v>
      </c>
      <c r="Q175" s="8">
        <f>Data!AN576</f>
        <v>0</v>
      </c>
      <c r="R175" s="8">
        <f>Data!AP576</f>
        <v>8.7846506515222114</v>
      </c>
      <c r="S175" s="8"/>
      <c r="T175" s="8"/>
      <c r="U175" s="8"/>
      <c r="V175" s="1">
        <f t="shared" si="4"/>
        <v>11</v>
      </c>
      <c r="W175" s="1">
        <f t="shared" si="5"/>
        <v>0</v>
      </c>
    </row>
    <row r="176" spans="1:23" hidden="1" x14ac:dyDescent="0.2">
      <c r="A176" s="7" t="str">
        <f>Data!A617</f>
        <v>Stanley Black &amp; Decker, Inc.</v>
      </c>
      <c r="B176" s="7" t="str">
        <f>Data!B617</f>
        <v>SWK</v>
      </c>
      <c r="C176" s="7" t="str">
        <f>Data!C617</f>
        <v>Industrials</v>
      </c>
      <c r="D176" s="8">
        <f>IF(ISNUMBER(Data!AL617),Data!AL617/1000,"n/a")</f>
        <v>11.19</v>
      </c>
      <c r="E176" s="1">
        <f>Data!E617</f>
        <v>55</v>
      </c>
      <c r="F176" s="28">
        <f>Data!J617/100</f>
        <v>4.0769524780226787E-2</v>
      </c>
      <c r="G176" s="28">
        <f>IF(ISNUMBER(Data!S617),Data!S617/100,"n/a")</f>
        <v>7.1942446043165464E-2</v>
      </c>
      <c r="H176" s="28">
        <f>IF(ISNUMBER(Data!T617),Data!T617/100,"n/a")</f>
        <v>4.9217484907025488E-2</v>
      </c>
      <c r="I176" s="28">
        <f>IF(ISNUMBER(Data!U617),Data!U617/100,"n/a")</f>
        <v>5.6869987016935131E-2</v>
      </c>
      <c r="J176" s="28">
        <f>IF(ISNUMBER(Data!V617),Data!V617/100,"n/a")</f>
        <v>6.1542146321601265E-2</v>
      </c>
      <c r="K176" s="9">
        <f>IF(ISNUMBER(Data!Z617),Data!Z617/100,"n/a")</f>
        <v>0.57971014492753636</v>
      </c>
      <c r="L176" s="10">
        <f>Data!AA617</f>
        <v>14.219202898550725</v>
      </c>
      <c r="M176" s="10">
        <f>Data!AF617</f>
        <v>1.27</v>
      </c>
      <c r="N176" s="28">
        <f>IF(ISNUMBER(Data!AG617),Data!AG617/100,"n/a")</f>
        <v>0.155</v>
      </c>
      <c r="O176" s="28">
        <f>IF(ISNUMBER(Data!AJ617),Data!AJ617/100,"n/a")</f>
        <v>8.1000000000000003E-2</v>
      </c>
      <c r="P176" s="9">
        <f>IF(ISNUMBER(Data!AK617),Data!AK617/100,"n/a")</f>
        <v>2.3E-2</v>
      </c>
      <c r="Q176" s="8">
        <f>Data!AN617</f>
        <v>0.89</v>
      </c>
      <c r="R176" s="8">
        <f>Data!AP617</f>
        <v>9.7639511797161909</v>
      </c>
      <c r="S176" s="8"/>
      <c r="T176" s="8"/>
      <c r="U176" s="8"/>
      <c r="V176" s="1">
        <f t="shared" si="4"/>
        <v>10</v>
      </c>
      <c r="W176" s="1">
        <f t="shared" si="5"/>
        <v>0</v>
      </c>
    </row>
    <row r="177" spans="1:23" hidden="1" x14ac:dyDescent="0.2">
      <c r="A177" s="7" t="str">
        <f>Data!A608</f>
        <v>STAG Industrial, Inc.</v>
      </c>
      <c r="B177" s="7" t="str">
        <f>Data!B608</f>
        <v>STAG</v>
      </c>
      <c r="C177" s="7" t="str">
        <f>Data!C608</f>
        <v>Real Estate</v>
      </c>
      <c r="D177" s="8">
        <f>IF(ISNUMBER(Data!AL608),Data!AL608/1000,"n/a")</f>
        <v>5.49</v>
      </c>
      <c r="E177" s="1">
        <f>Data!E608</f>
        <v>12</v>
      </c>
      <c r="F177" s="28">
        <f>Data!J608/100</f>
        <v>4.6217283950617284E-2</v>
      </c>
      <c r="G177" s="28">
        <f>IF(ISNUMBER(Data!S608),Data!S608/100,"n/a")</f>
        <v>7.5013896609228414E-3</v>
      </c>
      <c r="H177" s="28">
        <f>IF(ISNUMBER(Data!T608),Data!T608/100,"n/a")</f>
        <v>6.9923082228569022E-3</v>
      </c>
      <c r="I177" s="28">
        <f>IF(ISNUMBER(Data!U608),Data!U608/100,"n/a")</f>
        <v>8.3711793311169735E-3</v>
      </c>
      <c r="J177" s="28">
        <f>IF(ISNUMBER(Data!V608),Data!V608/100,"n/a")</f>
        <v>0.12020650106915444</v>
      </c>
      <c r="K177" s="9">
        <f>IF(ISNUMBER(Data!Z608),Data!Z608/100,"n/a")</f>
        <v>1.1496094488188977</v>
      </c>
      <c r="L177" s="10">
        <f>Data!AA608</f>
        <v>24.874015748031496</v>
      </c>
      <c r="M177" s="10">
        <f>Data!AF608</f>
        <v>1.66</v>
      </c>
      <c r="N177" s="28">
        <f>IF(ISNUMBER(Data!AG608),Data!AG608/100,"n/a")</f>
        <v>6.9000000000000006E-2</v>
      </c>
      <c r="O177" s="28">
        <f>IF(ISNUMBER(Data!AJ608),Data!AJ608/100,"n/a")</f>
        <v>0.32</v>
      </c>
      <c r="P177" s="9">
        <f>IF(ISNUMBER(Data!AK608),Data!AK608/100,"n/a")</f>
        <v>7.0000000000000007E-2</v>
      </c>
      <c r="Q177" s="8">
        <f>Data!AN608</f>
        <v>0.72</v>
      </c>
      <c r="R177" s="8">
        <f>Data!AP608</f>
        <v>5.4588463281734256</v>
      </c>
      <c r="S177" s="8"/>
      <c r="T177" s="8"/>
      <c r="U177" s="8"/>
      <c r="V177" s="1">
        <f t="shared" si="4"/>
        <v>5</v>
      </c>
      <c r="W177" s="1">
        <f t="shared" si="5"/>
        <v>0</v>
      </c>
    </row>
    <row r="178" spans="1:23" hidden="1" x14ac:dyDescent="0.2">
      <c r="A178" s="7" t="str">
        <f>Data!A551</f>
        <v>Robert Half International Inc.</v>
      </c>
      <c r="B178" s="7" t="str">
        <f>Data!B551</f>
        <v>RHI</v>
      </c>
      <c r="C178" s="7" t="str">
        <f>Data!C551</f>
        <v>Industrials</v>
      </c>
      <c r="D178" s="8">
        <f>IF(ISNUMBER(Data!AL551),Data!AL551/1000,"n/a")</f>
        <v>8.19</v>
      </c>
      <c r="E178" s="1">
        <f>Data!E551</f>
        <v>19</v>
      </c>
      <c r="F178" s="28">
        <f>Data!J551/100</f>
        <v>2.249542244310751E-2</v>
      </c>
      <c r="G178" s="28">
        <f>IF(ISNUMBER(Data!S551),Data!S551/100,"n/a")</f>
        <v>0.11764705882352944</v>
      </c>
      <c r="H178" s="28">
        <f>IF(ISNUMBER(Data!T551),Data!T551/100,"n/a")</f>
        <v>0.10715524489384996</v>
      </c>
      <c r="I178" s="28">
        <f>IF(ISNUMBER(Data!U551),Data!U551/100,"n/a")</f>
        <v>0.11550670014054099</v>
      </c>
      <c r="J178" s="28">
        <f>IF(ISNUMBER(Data!V551),Data!V551/100,"n/a")</f>
        <v>0.10500834061722086</v>
      </c>
      <c r="K178" s="9">
        <f>IF(ISNUMBER(Data!Z551),Data!Z551/100,"n/a")</f>
        <v>0.27876823338735818</v>
      </c>
      <c r="L178" s="10">
        <f>Data!AA551</f>
        <v>12.392220421393841</v>
      </c>
      <c r="M178" s="10">
        <f>Data!AF551</f>
        <v>5.76</v>
      </c>
      <c r="N178" s="28">
        <f>IF(ISNUMBER(Data!AG551),Data!AG551/100,"n/a")</f>
        <v>0.46700000000000003</v>
      </c>
      <c r="O178" s="28">
        <f>IF(ISNUMBER(Data!AJ551),Data!AJ551/100,"n/a")</f>
        <v>0.15</v>
      </c>
      <c r="P178" s="9">
        <f>IF(ISNUMBER(Data!AK551),Data!AK551/100,"n/a")</f>
        <v>0.31</v>
      </c>
      <c r="Q178" s="8">
        <f>Data!AN551</f>
        <v>0</v>
      </c>
      <c r="R178" s="8">
        <f>Data!AP551</f>
        <v>13.80021225836485</v>
      </c>
      <c r="S178" s="8"/>
      <c r="T178" s="8"/>
      <c r="U178" s="8"/>
      <c r="V178" s="1">
        <f t="shared" si="4"/>
        <v>11</v>
      </c>
      <c r="W178" s="1">
        <f t="shared" si="5"/>
        <v>0</v>
      </c>
    </row>
    <row r="179" spans="1:23" hidden="1" x14ac:dyDescent="0.2">
      <c r="A179" s="7" t="str">
        <f>Data!A568</f>
        <v>SAP SE</v>
      </c>
      <c r="B179" s="7" t="str">
        <f>Data!B568</f>
        <v>SAP</v>
      </c>
      <c r="C179" s="7" t="str">
        <f>Data!C568</f>
        <v>Information Technology</v>
      </c>
      <c r="D179" s="8">
        <f>IF(ISNUMBER(Data!AL568),Data!AL568/1000,"n/a")</f>
        <v>121.27</v>
      </c>
      <c r="E179" s="1">
        <f>Data!E568</f>
        <v>7</v>
      </c>
      <c r="F179" s="28">
        <f>Data!J568/100</f>
        <v>2.7691026441807206E-2</v>
      </c>
      <c r="G179" s="28">
        <f>IF(ISNUMBER(Data!S568),Data!S568/100,"n/a")</f>
        <v>0.30351271846340189</v>
      </c>
      <c r="H179" s="28">
        <f>IF(ISNUMBER(Data!T568),Data!T568/100,"n/a")</f>
        <v>0.10951216261726128</v>
      </c>
      <c r="I179" s="28">
        <f>IF(ISNUMBER(Data!U568),Data!U568/100,"n/a")</f>
        <v>0.11604686382939278</v>
      </c>
      <c r="J179" s="28">
        <f>IF(ISNUMBER(Data!V568),Data!V568/100,"n/a")</f>
        <v>0.10272451507882362</v>
      </c>
      <c r="K179" s="9">
        <f>IF(ISNUMBER(Data!Z568),Data!Z568/100,"n/a")</f>
        <v>0.98154981549815501</v>
      </c>
      <c r="L179" s="10">
        <f>Data!AA568</f>
        <v>35.446494464944649</v>
      </c>
      <c r="M179" s="10">
        <f>Data!AF568</f>
        <v>2.67</v>
      </c>
      <c r="N179" s="28">
        <f>IF(ISNUMBER(Data!AG568),Data!AG568/100,"n/a")</f>
        <v>7.9000000000000001E-2</v>
      </c>
      <c r="O179" s="28">
        <f>IF(ISNUMBER(Data!AJ568),Data!AJ568/100,"n/a")</f>
        <v>0.08</v>
      </c>
      <c r="P179" s="9">
        <f>IF(ISNUMBER(Data!AK568),Data!AK568/100,"n/a")</f>
        <v>8.0000000000000004E-4</v>
      </c>
      <c r="Q179" s="8">
        <f>Data!AN568</f>
        <v>0.42</v>
      </c>
      <c r="R179" s="8">
        <f>Data!AP568</f>
        <v>14.373789027119997</v>
      </c>
      <c r="S179" s="8"/>
      <c r="T179" s="8"/>
      <c r="U179" s="8"/>
      <c r="V179" s="1">
        <f t="shared" si="4"/>
        <v>9</v>
      </c>
      <c r="W179" s="1">
        <f t="shared" si="5"/>
        <v>0</v>
      </c>
    </row>
    <row r="180" spans="1:23" hidden="1" x14ac:dyDescent="0.2">
      <c r="A180" s="7" t="str">
        <f>Data!A559</f>
        <v>RPM International Inc.</v>
      </c>
      <c r="B180" s="7" t="str">
        <f>Data!B559</f>
        <v>RPM</v>
      </c>
      <c r="C180" s="7" t="str">
        <f>Data!C559</f>
        <v>Materials</v>
      </c>
      <c r="D180" s="8">
        <f>IF(ISNUMBER(Data!AL559),Data!AL559/1000,"n/a")</f>
        <v>11.99</v>
      </c>
      <c r="E180" s="1">
        <f>Data!E559</f>
        <v>49</v>
      </c>
      <c r="F180" s="28">
        <f>Data!J559/100</f>
        <v>1.776461880088823E-2</v>
      </c>
      <c r="G180" s="28">
        <f>IF(ISNUMBER(Data!S559),Data!S559/100,"n/a")</f>
        <v>5.4794520547945202E-2</v>
      </c>
      <c r="H180" s="28">
        <f>IF(ISNUMBER(Data!T559),Data!T559/100,"n/a")</f>
        <v>5.539850599236229E-2</v>
      </c>
      <c r="I180" s="28">
        <f>IF(ISNUMBER(Data!U559),Data!U559/100,"n/a")</f>
        <v>6.481372328946744E-2</v>
      </c>
      <c r="J180" s="28">
        <f>IF(ISNUMBER(Data!V559),Data!V559/100,"n/a")</f>
        <v>6.185789690043908E-2</v>
      </c>
      <c r="K180" s="9">
        <f>IF(ISNUMBER(Data!Z559),Data!Z559/100,"n/a")</f>
        <v>0.41379310344827597</v>
      </c>
      <c r="L180" s="10">
        <f>Data!AA559</f>
        <v>23.293103448275861</v>
      </c>
      <c r="M180" s="10">
        <f>Data!AF559</f>
        <v>6.07</v>
      </c>
      <c r="N180" s="28" t="str">
        <f>IF(ISNUMBER(Data!AG559),Data!AG559/100,"n/a")</f>
        <v>n/a</v>
      </c>
      <c r="O180" s="28">
        <f>IF(ISNUMBER(Data!AJ559),Data!AJ559/100,"n/a")</f>
        <v>0.22699999999999998</v>
      </c>
      <c r="P180" s="9">
        <f>IF(ISNUMBER(Data!AK559),Data!AK559/100,"n/a")</f>
        <v>0.20990000000000003</v>
      </c>
      <c r="Q180" s="8">
        <f>Data!AN559</f>
        <v>1.42</v>
      </c>
      <c r="R180" s="8">
        <f>Data!AP559</f>
        <v>8.2578342090355665</v>
      </c>
      <c r="S180" s="8"/>
      <c r="T180" s="8"/>
      <c r="U180" s="8"/>
      <c r="V180" s="1">
        <f t="shared" si="4"/>
        <v>9</v>
      </c>
      <c r="W180" s="1">
        <f t="shared" si="5"/>
        <v>0</v>
      </c>
    </row>
    <row r="181" spans="1:23" hidden="1" x14ac:dyDescent="0.2">
      <c r="A181" s="7" t="str">
        <f>Data!A573</f>
        <v>Service Corporation International</v>
      </c>
      <c r="B181" s="7" t="str">
        <f>Data!B573</f>
        <v>SCI</v>
      </c>
      <c r="C181" s="7" t="str">
        <f>Data!C573</f>
        <v>Consumer Discretionary</v>
      </c>
      <c r="D181" s="8">
        <f>IF(ISNUMBER(Data!AL573),Data!AL573/1000,"n/a")</f>
        <v>9.34</v>
      </c>
      <c r="E181" s="1">
        <f>Data!E573</f>
        <v>12</v>
      </c>
      <c r="F181" s="28">
        <f>Data!J573/100</f>
        <v>1.6498927569707968E-2</v>
      </c>
      <c r="G181" s="28">
        <f>IF(ISNUMBER(Data!S573),Data!S573/100,"n/a")</f>
        <v>0.12820512820512819</v>
      </c>
      <c r="H181" s="28">
        <f>IF(ISNUMBER(Data!T573),Data!T573/100,"n/a")</f>
        <v>8.9744250818549531E-2</v>
      </c>
      <c r="I181" s="28">
        <f>IF(ISNUMBER(Data!U573),Data!U573/100,"n/a")</f>
        <v>0.11527636629885807</v>
      </c>
      <c r="J181" s="28">
        <f>IF(ISNUMBER(Data!V573),Data!V573/100,"n/a")</f>
        <v>0.16566271986361911</v>
      </c>
      <c r="K181" s="9">
        <f>IF(ISNUMBER(Data!Z573),Data!Z573/100,"n/a")</f>
        <v>0.21598272138228944</v>
      </c>
      <c r="L181" s="10">
        <f>Data!AA573</f>
        <v>13.090712742980562</v>
      </c>
      <c r="M181" s="10">
        <f>Data!AF573</f>
        <v>5.28</v>
      </c>
      <c r="N181" s="28">
        <f>IF(ISNUMBER(Data!AG573),Data!AG573/100,"n/a")</f>
        <v>0.40799999999999997</v>
      </c>
      <c r="O181" s="28">
        <f>IF(ISNUMBER(Data!AJ573),Data!AJ573/100,"n/a")</f>
        <v>0.39200000000000002</v>
      </c>
      <c r="P181" s="9">
        <f>IF(ISNUMBER(Data!AK573),Data!AK573/100,"n/a")</f>
        <v>0.12</v>
      </c>
      <c r="Q181" s="8">
        <f>Data!AN573</f>
        <v>2.1800000000000002</v>
      </c>
      <c r="R181" s="8">
        <f>Data!AP573</f>
        <v>13.177529386856603</v>
      </c>
      <c r="S181" s="8"/>
      <c r="T181" s="8"/>
      <c r="U181" s="8"/>
      <c r="V181" s="1">
        <f t="shared" si="4"/>
        <v>9</v>
      </c>
      <c r="W181" s="1">
        <f t="shared" si="5"/>
        <v>0</v>
      </c>
    </row>
    <row r="182" spans="1:23" hidden="1" x14ac:dyDescent="0.2">
      <c r="A182" s="7" t="str">
        <f>Data!A567</f>
        <v>Silvercrest Asset Management Group Inc.</v>
      </c>
      <c r="B182" s="7" t="str">
        <f>Data!B567</f>
        <v>SAMG</v>
      </c>
      <c r="C182" s="7" t="str">
        <f>Data!C567</f>
        <v>Financials</v>
      </c>
      <c r="D182" s="8">
        <f>IF(ISNUMBER(Data!AL567),Data!AL567/1000,"n/a")</f>
        <v>0.25686000000000003</v>
      </c>
      <c r="E182" s="1">
        <f>Data!E567</f>
        <v>5</v>
      </c>
      <c r="F182" s="28">
        <f>Data!J567/100</f>
        <v>3.7914691943127965E-2</v>
      </c>
      <c r="G182" s="28">
        <f>IF(ISNUMBER(Data!S567),Data!S567/100,"n/a")</f>
        <v>3.125E-2</v>
      </c>
      <c r="H182" s="28">
        <f>IF(ISNUMBER(Data!T567),Data!T567/100,"n/a")</f>
        <v>5.6295191645437948E-2</v>
      </c>
      <c r="I182" s="28">
        <f>IF(ISNUMBER(Data!U567),Data!U567/100,"n/a")</f>
        <v>6.5762756635474373E-2</v>
      </c>
      <c r="J182" s="28" t="str">
        <f>IF(ISNUMBER(Data!V567),Data!V567/100,"n/a")</f>
        <v>n/a</v>
      </c>
      <c r="K182" s="9">
        <f>IF(ISNUMBER(Data!Z567),Data!Z567/100,"n/a")</f>
        <v>0.32</v>
      </c>
      <c r="L182" s="10">
        <f>Data!AA567</f>
        <v>8.44</v>
      </c>
      <c r="M182" s="10">
        <f>Data!AF567</f>
        <v>2</v>
      </c>
      <c r="N182" s="28">
        <f>IF(ISNUMBER(Data!AG567),Data!AG567/100,"n/a")</f>
        <v>0.26600000000000001</v>
      </c>
      <c r="O182" s="28">
        <f>IF(ISNUMBER(Data!AJ567),Data!AJ567/100,"n/a")</f>
        <v>0.19400000000000003</v>
      </c>
      <c r="P182" s="9">
        <f>IF(ISNUMBER(Data!AK567),Data!AK567/100,"n/a")</f>
        <v>0.126</v>
      </c>
      <c r="Q182" s="8">
        <f>Data!AN567</f>
        <v>0.08</v>
      </c>
      <c r="R182" s="8">
        <f>Data!AP567</f>
        <v>10.367744857860234</v>
      </c>
      <c r="S182" s="8"/>
      <c r="T182" s="8"/>
      <c r="U182" s="8"/>
      <c r="V182" s="1">
        <f t="shared" si="4"/>
        <v>8</v>
      </c>
      <c r="W182" s="1">
        <f t="shared" si="5"/>
        <v>0</v>
      </c>
    </row>
    <row r="183" spans="1:23" hidden="1" x14ac:dyDescent="0.2">
      <c r="A183" s="7" t="str">
        <f>Data!A566</f>
        <v>Sonic Automotive, Inc.</v>
      </c>
      <c r="B183" s="7" t="str">
        <f>Data!B566</f>
        <v>SAH</v>
      </c>
      <c r="C183" s="7" t="str">
        <f>Data!C566</f>
        <v>Consumer Discretionary</v>
      </c>
      <c r="D183" s="8">
        <f>IF(ISNUMBER(Data!AL566),Data!AL566/1000,"n/a")</f>
        <v>1.85</v>
      </c>
      <c r="E183" s="1">
        <f>Data!E566</f>
        <v>8</v>
      </c>
      <c r="F183" s="28">
        <f>Data!J566/100</f>
        <v>2.3957219251336901E-2</v>
      </c>
      <c r="G183" s="28">
        <f>IF(ISNUMBER(Data!S566),Data!S566/100,"n/a")</f>
        <v>9.9999999999999853E-2</v>
      </c>
      <c r="H183" s="28">
        <f>IF(ISNUMBER(Data!T566),Data!T566/100,"n/a")</f>
        <v>0.24139010732152033</v>
      </c>
      <c r="I183" s="28">
        <f>IF(ISNUMBER(Data!U566),Data!U566/100,"n/a")</f>
        <v>0.18601527070796428</v>
      </c>
      <c r="J183" s="28">
        <f>IF(ISNUMBER(Data!V566),Data!V566/100,"n/a")</f>
        <v>0.15969895987933813</v>
      </c>
      <c r="K183" s="9">
        <f>IF(ISNUMBER(Data!Z566),Data!Z566/100,"n/a")</f>
        <v>0.12612612612612611</v>
      </c>
      <c r="L183" s="10">
        <f>Data!AA566</f>
        <v>5.2646396396396389</v>
      </c>
      <c r="M183" s="10">
        <f>Data!AF566</f>
        <v>1.6</v>
      </c>
      <c r="N183" s="28">
        <f>IF(ISNUMBER(Data!AG566),Data!AG566/100,"n/a")</f>
        <v>0.35699999999999998</v>
      </c>
      <c r="O183" s="28">
        <f>IF(ISNUMBER(Data!AJ566),Data!AJ566/100,"n/a")</f>
        <v>0.314</v>
      </c>
      <c r="P183" s="9">
        <f>IF(ISNUMBER(Data!AK566),Data!AK566/100,"n/a")</f>
        <v>0.153</v>
      </c>
      <c r="Q183" s="8">
        <f>Data!AN566</f>
        <v>2.56</v>
      </c>
      <c r="R183" s="8">
        <f>Data!AP566</f>
        <v>20.997248995930118</v>
      </c>
      <c r="S183" s="8"/>
      <c r="T183" s="8"/>
      <c r="U183" s="8"/>
      <c r="V183" s="1">
        <f t="shared" si="4"/>
        <v>9</v>
      </c>
      <c r="W183" s="1">
        <f t="shared" si="5"/>
        <v>0</v>
      </c>
    </row>
    <row r="184" spans="1:23" hidden="1" x14ac:dyDescent="0.2">
      <c r="A184" s="7" t="str">
        <f>Data!A560</f>
        <v>Regal Rexnord Corporation</v>
      </c>
      <c r="B184" s="7" t="str">
        <f>Data!B560</f>
        <v>RRX</v>
      </c>
      <c r="C184" s="7" t="str">
        <f>Data!C560</f>
        <v>Industrials</v>
      </c>
      <c r="D184" s="8">
        <f>IF(ISNUMBER(Data!AL560),Data!AL560/1000,"n/a")</f>
        <v>8.83</v>
      </c>
      <c r="E184" s="1">
        <f>Data!E560</f>
        <v>18</v>
      </c>
      <c r="F184" s="28">
        <f>Data!J560/100</f>
        <v>1.1063695274221588E-2</v>
      </c>
      <c r="G184" s="28">
        <f>IF(ISNUMBER(Data!S560),Data!S560/100,"n/a")</f>
        <v>5.0000000000000044E-2</v>
      </c>
      <c r="H184" s="28">
        <f>IF(ISNUMBER(Data!T560),Data!T560/100,"n/a")</f>
        <v>5.2726599609396407E-2</v>
      </c>
      <c r="I184" s="28">
        <f>IF(ISNUMBER(Data!U560),Data!U560/100,"n/a")</f>
        <v>6.0348285026669224E-2</v>
      </c>
      <c r="J184" s="28">
        <f>IF(ISNUMBER(Data!V560),Data!V560/100,"n/a")</f>
        <v>6.0540481614018704E-2</v>
      </c>
      <c r="K184" s="9">
        <f>IF(ISNUMBER(Data!Z560),Data!Z560/100,"n/a")</f>
        <v>0.25044722719141321</v>
      </c>
      <c r="L184" s="10">
        <f>Data!AA560</f>
        <v>22.636851520572453</v>
      </c>
      <c r="M184" s="10">
        <f>Data!AF560</f>
        <v>1.42</v>
      </c>
      <c r="N184" s="28">
        <f>IF(ISNUMBER(Data!AG560),Data!AG560/100,"n/a")</f>
        <v>6.0999999999999999E-2</v>
      </c>
      <c r="O184" s="28">
        <f>IF(ISNUMBER(Data!AJ560),Data!AJ560/100,"n/a")</f>
        <v>-5.0000000000000001E-3</v>
      </c>
      <c r="P184" s="9">
        <f>IF(ISNUMBER(Data!AK560),Data!AK560/100,"n/a")</f>
        <v>9.3000000000000013E-2</v>
      </c>
      <c r="Q184" s="8">
        <f>Data!AN560</f>
        <v>0.34</v>
      </c>
      <c r="R184" s="8">
        <f>Data!AP560</f>
        <v>7.1411980300890807</v>
      </c>
      <c r="S184" s="8"/>
      <c r="T184" s="8"/>
      <c r="U184" s="8"/>
      <c r="V184" s="1">
        <f t="shared" si="4"/>
        <v>8</v>
      </c>
      <c r="W184" s="1">
        <f t="shared" si="5"/>
        <v>0</v>
      </c>
    </row>
    <row r="185" spans="1:23" hidden="1" x14ac:dyDescent="0.2">
      <c r="A185" s="7" t="str">
        <f>Data!A562</f>
        <v>Republic Services, Inc.</v>
      </c>
      <c r="B185" s="7" t="str">
        <f>Data!B562</f>
        <v>RSG</v>
      </c>
      <c r="C185" s="7" t="str">
        <f>Data!C562</f>
        <v>Industrials</v>
      </c>
      <c r="D185" s="8">
        <f>IF(ISNUMBER(Data!AL562),Data!AL562/1000,"n/a")</f>
        <v>42.54</v>
      </c>
      <c r="E185" s="1">
        <f>Data!E562</f>
        <v>20</v>
      </c>
      <c r="F185" s="28">
        <f>Data!J562/100</f>
        <v>1.4929874830342331E-2</v>
      </c>
      <c r="G185" s="28">
        <f>IF(ISNUMBER(Data!S562),Data!S562/100,"n/a")</f>
        <v>5.7926829268292845E-2</v>
      </c>
      <c r="H185" s="28">
        <f>IF(ISNUMBER(Data!T562),Data!T562/100,"n/a")</f>
        <v>7.1585402386951102E-2</v>
      </c>
      <c r="I185" s="28">
        <f>IF(ISNUMBER(Data!U562),Data!U562/100,"n/a")</f>
        <v>7.2970865529310203E-2</v>
      </c>
      <c r="J185" s="28">
        <f>IF(ISNUMBER(Data!V562),Data!V562/100,"n/a")</f>
        <v>7.7825769099529873E-2</v>
      </c>
      <c r="K185" s="9">
        <f>IF(ISNUMBER(Data!Z562),Data!Z562/100,"n/a")</f>
        <v>0.43231441048034935</v>
      </c>
      <c r="L185" s="10">
        <f>Data!AA562</f>
        <v>28.956331877729259</v>
      </c>
      <c r="M185" s="10">
        <f>Data!AF562</f>
        <v>4.4400000000000004</v>
      </c>
      <c r="N185" s="28">
        <f>IF(ISNUMBER(Data!AG562),Data!AG562/100,"n/a")</f>
        <v>0.159</v>
      </c>
      <c r="O185" s="28">
        <f>IF(ISNUMBER(Data!AJ562),Data!AJ562/100,"n/a")</f>
        <v>0.17800000000000002</v>
      </c>
      <c r="P185" s="9">
        <f>IF(ISNUMBER(Data!AK562),Data!AK562/100,"n/a")</f>
        <v>0.129</v>
      </c>
      <c r="Q185" s="8">
        <f>Data!AN562</f>
        <v>1.23</v>
      </c>
      <c r="R185" s="8">
        <f>Data!AP562</f>
        <v>8.7900740359652527</v>
      </c>
      <c r="S185" s="8"/>
      <c r="T185" s="8"/>
      <c r="U185" s="8"/>
      <c r="V185" s="1">
        <f t="shared" si="4"/>
        <v>9</v>
      </c>
      <c r="W185" s="1">
        <f t="shared" si="5"/>
        <v>0</v>
      </c>
    </row>
    <row r="186" spans="1:23" hidden="1" x14ac:dyDescent="0.2">
      <c r="A186" s="7" t="str">
        <f>Data!A572</f>
        <v>Starbucks Corporation</v>
      </c>
      <c r="B186" s="7" t="str">
        <f>Data!B572</f>
        <v>SBUX</v>
      </c>
      <c r="C186" s="7" t="str">
        <f>Data!C572</f>
        <v>Consumer Discretionary</v>
      </c>
      <c r="D186" s="8">
        <f>IF(ISNUMBER(Data!AL572),Data!AL572/1000,"n/a")</f>
        <v>97.85</v>
      </c>
      <c r="E186" s="1">
        <f>Data!E572</f>
        <v>13</v>
      </c>
      <c r="F186" s="28">
        <f>Data!J572/100</f>
        <v>2.4483196673980828E-2</v>
      </c>
      <c r="G186" s="28">
        <f>IF(ISNUMBER(Data!S572),Data!S572/100,"n/a")</f>
        <v>9.5238095238095344E-2</v>
      </c>
      <c r="H186" s="28">
        <f>IF(ISNUMBER(Data!T572),Data!T572/100,"n/a")</f>
        <v>0.11707233731169708</v>
      </c>
      <c r="I186" s="28">
        <f>IF(ISNUMBER(Data!U572),Data!U572/100,"n/a")</f>
        <v>0.16702397850118178</v>
      </c>
      <c r="J186" s="28">
        <f>IF(ISNUMBER(Data!V572),Data!V572/100,"n/a")</f>
        <v>0.20716317646103932</v>
      </c>
      <c r="K186" s="9">
        <f>IF(ISNUMBER(Data!Z572),Data!Z572/100,"n/a")</f>
        <v>0.5955056179775281</v>
      </c>
      <c r="L186" s="10">
        <f>Data!AA572</f>
        <v>24.323033707865168</v>
      </c>
      <c r="M186" s="10" t="str">
        <f>Data!AF572</f>
        <v>n/a</v>
      </c>
      <c r="N186" s="28">
        <f>IF(ISNUMBER(Data!AG572),Data!AG572/100,"n/a")</f>
        <v>-0.53400000000000003</v>
      </c>
      <c r="O186" s="28">
        <f>IF(ISNUMBER(Data!AJ572),Data!AJ572/100,"n/a")</f>
        <v>0.13300000000000001</v>
      </c>
      <c r="P186" s="9">
        <f>IF(ISNUMBER(Data!AK572),Data!AK572/100,"n/a")</f>
        <v>6.7299999999999999E-2</v>
      </c>
      <c r="Q186" s="8" t="str">
        <f>Data!AN572</f>
        <v>n/a</v>
      </c>
      <c r="R186" s="8">
        <f>Data!AP572</f>
        <v>19.150717517516259</v>
      </c>
      <c r="S186" s="8"/>
      <c r="T186" s="8"/>
      <c r="U186" s="8"/>
      <c r="V186" s="1">
        <f t="shared" si="4"/>
        <v>9</v>
      </c>
      <c r="W186" s="1">
        <f t="shared" si="5"/>
        <v>0</v>
      </c>
    </row>
    <row r="187" spans="1:23" hidden="1" x14ac:dyDescent="0.2">
      <c r="A187" s="7" t="str">
        <f>Data!A552</f>
        <v>Raymond James Financial, Inc.</v>
      </c>
      <c r="B187" s="7" t="str">
        <f>Data!B552</f>
        <v>RJF</v>
      </c>
      <c r="C187" s="7" t="str">
        <f>Data!C552</f>
        <v>Financials</v>
      </c>
      <c r="D187" s="8">
        <f>IF(ISNUMBER(Data!AL552),Data!AL552/1000,"n/a")</f>
        <v>24.51</v>
      </c>
      <c r="E187" s="1">
        <f>Data!E552</f>
        <v>10</v>
      </c>
      <c r="F187" s="28">
        <f>Data!J552/100</f>
        <v>1.1511765701709838E-2</v>
      </c>
      <c r="G187" s="28">
        <f>IF(ISNUMBER(Data!S552),Data!S552/100,"n/a")</f>
        <v>5.4054054054054168E-2</v>
      </c>
      <c r="H187" s="28">
        <f>IF(ISNUMBER(Data!T552),Data!T552/100,"n/a")</f>
        <v>0.12351093677423597</v>
      </c>
      <c r="I187" s="28">
        <f>IF(ISNUMBER(Data!U552),Data!U552/100,"n/a")</f>
        <v>0.14289655141156077</v>
      </c>
      <c r="J187" s="28">
        <f>IF(ISNUMBER(Data!V552),Data!V552/100,"n/a")</f>
        <v>0.11612317403390439</v>
      </c>
      <c r="K187" s="9">
        <f>IF(ISNUMBER(Data!Z552),Data!Z552/100,"n/a")</f>
        <v>0.19484240687679083</v>
      </c>
      <c r="L187" s="10">
        <f>Data!AA552</f>
        <v>16.925501432664756</v>
      </c>
      <c r="M187" s="10">
        <f>Data!AF552</f>
        <v>2.67</v>
      </c>
      <c r="N187" s="28">
        <f>IF(ISNUMBER(Data!AG552),Data!AG552/100,"n/a")</f>
        <v>0.17299999999999996</v>
      </c>
      <c r="O187" s="28">
        <f>IF(ISNUMBER(Data!AJ552),Data!AJ552/100,"n/a")</f>
        <v>0.222</v>
      </c>
      <c r="P187" s="9">
        <f>IF(ISNUMBER(Data!AK552),Data!AK552/100,"n/a")</f>
        <v>0.1726</v>
      </c>
      <c r="Q187" s="8">
        <f>Data!AN552</f>
        <v>5.72</v>
      </c>
      <c r="R187" s="8">
        <f>Data!AP552</f>
        <v>15.440831711327061</v>
      </c>
      <c r="S187" s="8"/>
      <c r="T187" s="8"/>
      <c r="U187" s="8"/>
      <c r="V187" s="1">
        <f t="shared" si="4"/>
        <v>9</v>
      </c>
      <c r="W187" s="1">
        <f t="shared" si="5"/>
        <v>0</v>
      </c>
    </row>
    <row r="188" spans="1:23" hidden="1" x14ac:dyDescent="0.2">
      <c r="A188" s="7" t="str">
        <f>Data!A558</f>
        <v>Roper Technologies, Inc.</v>
      </c>
      <c r="B188" s="7" t="str">
        <f>Data!B558</f>
        <v>ROP</v>
      </c>
      <c r="C188" s="7" t="str">
        <f>Data!C558</f>
        <v>Industrials</v>
      </c>
      <c r="D188" s="8">
        <f>IF(ISNUMBER(Data!AL558),Data!AL558/1000,"n/a")</f>
        <v>42.44</v>
      </c>
      <c r="E188" s="1">
        <f>Data!E558</f>
        <v>29</v>
      </c>
      <c r="F188" s="28">
        <f>Data!J558/100</f>
        <v>5.9825348579147959E-3</v>
      </c>
      <c r="G188" s="28">
        <f>IF(ISNUMBER(Data!S558),Data!S558/100,"n/a")</f>
        <v>9.7560975609756184E-2</v>
      </c>
      <c r="H188" s="28">
        <f>IF(ISNUMBER(Data!T558),Data!T558/100,"n/a")</f>
        <v>0.10891823393038823</v>
      </c>
      <c r="I188" s="28">
        <f>IF(ISNUMBER(Data!U558),Data!U558/100,"n/a")</f>
        <v>0.13396657763302722</v>
      </c>
      <c r="J188" s="28">
        <f>IF(ISNUMBER(Data!V558),Data!V558/100,"n/a")</f>
        <v>0.17726161561467912</v>
      </c>
      <c r="K188" s="9">
        <f>IF(ISNUMBER(Data!Z558),Data!Z558/100,"n/a")</f>
        <v>0.28213879408418663</v>
      </c>
      <c r="L188" s="10">
        <f>Data!AA558</f>
        <v>47.160409556314001</v>
      </c>
      <c r="M188" s="10">
        <f>Data!AF558</f>
        <v>3.19</v>
      </c>
      <c r="N188" s="28">
        <f>IF(ISNUMBER(Data!AG558),Data!AG558/100,"n/a")</f>
        <v>0.23</v>
      </c>
      <c r="O188" s="28">
        <f>IF(ISNUMBER(Data!AJ558),Data!AJ558/100,"n/a")</f>
        <v>7.4999999999999997E-2</v>
      </c>
      <c r="P188" s="9">
        <f>IF(ISNUMBER(Data!AK558),Data!AK558/100,"n/a")</f>
        <v>0.1075</v>
      </c>
      <c r="Q188" s="8">
        <f>Data!AN558</f>
        <v>0.54</v>
      </c>
      <c r="R188" s="8">
        <f>Data!AP558</f>
        <v>13.994911249094201</v>
      </c>
      <c r="S188" s="8"/>
      <c r="T188" s="8"/>
      <c r="U188" s="8"/>
      <c r="V188" s="1">
        <f t="shared" si="4"/>
        <v>10</v>
      </c>
      <c r="W188" s="1">
        <f t="shared" si="5"/>
        <v>0</v>
      </c>
    </row>
    <row r="189" spans="1:23" hidden="1" x14ac:dyDescent="0.2">
      <c r="A189" s="7" t="str">
        <f>Data!A555</f>
        <v>ResMed Inc.</v>
      </c>
      <c r="B189" s="7" t="str">
        <f>Data!B555</f>
        <v>RMD</v>
      </c>
      <c r="C189" s="7" t="str">
        <f>Data!C555</f>
        <v>Health Care</v>
      </c>
      <c r="D189" s="8">
        <f>IF(ISNUMBER(Data!AL555),Data!AL555/1000,"n/a")</f>
        <v>34.020000000000003</v>
      </c>
      <c r="E189" s="1">
        <f>Data!E555</f>
        <v>11</v>
      </c>
      <c r="F189" s="28">
        <f>Data!J555/100</f>
        <v>7.8680316509455051E-3</v>
      </c>
      <c r="G189" s="28">
        <f>IF(ISNUMBER(Data!S555),Data!S555/100,"n/a")</f>
        <v>3.8461538461538547E-2</v>
      </c>
      <c r="H189" s="28">
        <f>IF(ISNUMBER(Data!T555),Data!T555/100,"n/a")</f>
        <v>4.0041911525952045E-2</v>
      </c>
      <c r="I189" s="28">
        <f>IF(ISNUMBER(Data!U555),Data!U555/100,"n/a")</f>
        <v>5.1547496797280434E-2</v>
      </c>
      <c r="J189" s="28" t="str">
        <f>IF(ISNUMBER(Data!V555),Data!V555/100,"n/a")</f>
        <v>n/a</v>
      </c>
      <c r="K189" s="9">
        <f>IF(ISNUMBER(Data!Z555),Data!Z555/100,"n/a")</f>
        <v>0.32897196261682249</v>
      </c>
      <c r="L189" s="10">
        <f>Data!AA555</f>
        <v>41.811214953271033</v>
      </c>
      <c r="M189" s="10">
        <f>Data!AF555</f>
        <v>9.33</v>
      </c>
      <c r="N189" s="28">
        <f>IF(ISNUMBER(Data!AG555),Data!AG555/100,"n/a")</f>
        <v>0.23799999999999996</v>
      </c>
      <c r="O189" s="28">
        <f>IF(ISNUMBER(Data!AJ555),Data!AJ555/100,"n/a")</f>
        <v>0.17100000000000001</v>
      </c>
      <c r="P189" s="9">
        <f>IF(ISNUMBER(Data!AK555),Data!AK555/100,"n/a")</f>
        <v>0.24</v>
      </c>
      <c r="Q189" s="8">
        <f>Data!AN555</f>
        <v>0.23</v>
      </c>
      <c r="R189" s="8">
        <f>Data!AP555</f>
        <v>5.9415528448225938</v>
      </c>
      <c r="S189" s="8"/>
      <c r="T189" s="8"/>
      <c r="U189" s="8"/>
      <c r="V189" s="1">
        <f t="shared" si="4"/>
        <v>6</v>
      </c>
      <c r="W189" s="1">
        <f t="shared" si="5"/>
        <v>0</v>
      </c>
    </row>
    <row r="190" spans="1:23" hidden="1" x14ac:dyDescent="0.2">
      <c r="A190" s="7" t="str">
        <f>Data!A550</f>
        <v>Royal Gold, Inc.</v>
      </c>
      <c r="B190" s="7" t="str">
        <f>Data!B550</f>
        <v>RGLD</v>
      </c>
      <c r="C190" s="7" t="str">
        <f>Data!C550</f>
        <v>Materials</v>
      </c>
      <c r="D190" s="8">
        <f>IF(ISNUMBER(Data!AL550),Data!AL550/1000,"n/a")</f>
        <v>6.37</v>
      </c>
      <c r="E190" s="1">
        <f>Data!E550</f>
        <v>21</v>
      </c>
      <c r="F190" s="28">
        <f>Data!J550/100</f>
        <v>1.4743049705139006E-2</v>
      </c>
      <c r="G190" s="28">
        <f>IF(ISNUMBER(Data!S550),Data!S550/100,"n/a")</f>
        <v>7.1428571428571397E-2</v>
      </c>
      <c r="H190" s="28">
        <f>IF(ISNUMBER(Data!T550),Data!T550/100,"n/a")</f>
        <v>6.2658569182611146E-2</v>
      </c>
      <c r="I190" s="28">
        <f>IF(ISNUMBER(Data!U550),Data!U550/100,"n/a")</f>
        <v>5.4577943305794463E-2</v>
      </c>
      <c r="J190" s="28">
        <f>IF(ISNUMBER(Data!V550),Data!V550/100,"n/a")</f>
        <v>0.10553591780423055</v>
      </c>
      <c r="K190" s="9">
        <f>IF(ISNUMBER(Data!Z550),Data!Z550/100,"n/a")</f>
        <v>0.33412887828162285</v>
      </c>
      <c r="L190" s="10">
        <f>Data!AA550</f>
        <v>22.663484486873504</v>
      </c>
      <c r="M190" s="10">
        <f>Data!AF550</f>
        <v>2.36</v>
      </c>
      <c r="N190" s="28">
        <f>IF(ISNUMBER(Data!AG550),Data!AG550/100,"n/a")</f>
        <v>0.105</v>
      </c>
      <c r="O190" s="28">
        <f>IF(ISNUMBER(Data!AJ550),Data!AJ550/100,"n/a")</f>
        <v>6.3E-2</v>
      </c>
      <c r="P190" s="9">
        <f>IF(ISNUMBER(Data!AK550),Data!AK550/100,"n/a")</f>
        <v>1.2500000000000001E-2</v>
      </c>
      <c r="Q190" s="8">
        <f>Data!AN550</f>
        <v>0</v>
      </c>
      <c r="R190" s="8">
        <f>Data!AP550</f>
        <v>6.9320993010933467</v>
      </c>
      <c r="S190" s="8"/>
      <c r="T190" s="8"/>
      <c r="U190" s="8"/>
      <c r="V190" s="1">
        <f t="shared" si="4"/>
        <v>10</v>
      </c>
      <c r="W190" s="1">
        <f t="shared" si="5"/>
        <v>0</v>
      </c>
    </row>
    <row r="191" spans="1:23" hidden="1" x14ac:dyDescent="0.2">
      <c r="A191" s="7" t="str">
        <f>Data!A564</f>
        <v>Riverview Bancorp, Inc.</v>
      </c>
      <c r="B191" s="7" t="str">
        <f>Data!B564</f>
        <v>RVSB</v>
      </c>
      <c r="C191" s="7" t="str">
        <f>Data!C564</f>
        <v>Financials</v>
      </c>
      <c r="D191" s="8">
        <f>IF(ISNUMBER(Data!AL564),Data!AL564/1000,"n/a")</f>
        <v>0.15368000000000001</v>
      </c>
      <c r="E191" s="1">
        <f>Data!E564</f>
        <v>8</v>
      </c>
      <c r="F191" s="28">
        <f>Data!J564/100</f>
        <v>3.5608308605341241E-2</v>
      </c>
      <c r="G191" s="28">
        <f>IF(ISNUMBER(Data!S564),Data!S564/100,"n/a")</f>
        <v>2.4999999999999911E-2</v>
      </c>
      <c r="H191" s="28">
        <f>IF(ISNUMBER(Data!T564),Data!T564/100,"n/a")</f>
        <v>0.16395673133719371</v>
      </c>
      <c r="I191" s="28">
        <f>IF(ISNUMBER(Data!U564),Data!U564/100,"n/a")</f>
        <v>0.2147598568275417</v>
      </c>
      <c r="J191" s="28" t="str">
        <f>IF(ISNUMBER(Data!V564),Data!V564/100,"n/a")</f>
        <v>n/a</v>
      </c>
      <c r="K191" s="9">
        <f>IF(ISNUMBER(Data!Z564),Data!Z564/100,"n/a")</f>
        <v>0.25531914893617019</v>
      </c>
      <c r="L191" s="10">
        <f>Data!AA564</f>
        <v>7.1702127659574471</v>
      </c>
      <c r="M191" s="10">
        <f>Data!AF564</f>
        <v>0.98</v>
      </c>
      <c r="N191" s="28">
        <f>IF(ISNUMBER(Data!AG564),Data!AG564/100,"n/a")</f>
        <v>0.13800000000000001</v>
      </c>
      <c r="O191" s="28">
        <f>IF(ISNUMBER(Data!AJ564),Data!AJ564/100,"n/a")</f>
        <v>0.245</v>
      </c>
      <c r="P191" s="9">
        <f>IF(ISNUMBER(Data!AK564),Data!AK564/100,"n/a")</f>
        <v>0.12</v>
      </c>
      <c r="Q191" s="8">
        <f>Data!AN564</f>
        <v>0</v>
      </c>
      <c r="R191" s="8">
        <f>Data!AP564</f>
        <v>25.036816543288296</v>
      </c>
      <c r="S191" s="8"/>
      <c r="T191" s="8"/>
      <c r="U191" s="8"/>
      <c r="V191" s="1">
        <f t="shared" si="4"/>
        <v>8</v>
      </c>
      <c r="W191" s="1">
        <f t="shared" si="5"/>
        <v>0</v>
      </c>
    </row>
    <row r="192" spans="1:23" hidden="1" x14ac:dyDescent="0.2">
      <c r="A192" s="7" t="str">
        <f>Data!A571</f>
        <v>Southside Bancshares, Inc.</v>
      </c>
      <c r="B192" s="7" t="str">
        <f>Data!B571</f>
        <v>SBSI</v>
      </c>
      <c r="C192" s="7" t="str">
        <f>Data!C571</f>
        <v>Financials</v>
      </c>
      <c r="D192" s="8">
        <f>IF(ISNUMBER(Data!AL571),Data!AL571/1000,"n/a")</f>
        <v>1.06</v>
      </c>
      <c r="E192" s="1">
        <f>Data!E571</f>
        <v>28</v>
      </c>
      <c r="F192" s="28">
        <f>Data!J571/100</f>
        <v>3.9719626168224297E-2</v>
      </c>
      <c r="G192" s="28">
        <f>IF(ISNUMBER(Data!S571),Data!S571/100,"n/a")</f>
        <v>4.8000000000000043E-2</v>
      </c>
      <c r="H192" s="28">
        <f>IF(ISNUMBER(Data!T571),Data!T571/100,"n/a")</f>
        <v>2.9666736894775392E-2</v>
      </c>
      <c r="I192" s="28">
        <f>IF(ISNUMBER(Data!U571),Data!U571/100,"n/a")</f>
        <v>7.4468659475645627E-2</v>
      </c>
      <c r="J192" s="28">
        <f>IF(ISNUMBER(Data!V571),Data!V571/100,"n/a")</f>
        <v>9.4947471357023083E-2</v>
      </c>
      <c r="K192" s="9">
        <f>IF(ISNUMBER(Data!Z571),Data!Z571/100,"n/a")</f>
        <v>0.41590214067278292</v>
      </c>
      <c r="L192" s="10">
        <f>Data!AA571</f>
        <v>10.470948012232416</v>
      </c>
      <c r="M192" s="10">
        <f>Data!AF571</f>
        <v>1.51</v>
      </c>
      <c r="N192" s="28">
        <f>IF(ISNUMBER(Data!AG571),Data!AG571/100,"n/a")</f>
        <v>0.126</v>
      </c>
      <c r="O192" s="28">
        <f>IF(ISNUMBER(Data!AJ571),Data!AJ571/100,"n/a")</f>
        <v>0.13900000000000001</v>
      </c>
      <c r="P192" s="9">
        <f>IF(ISNUMBER(Data!AK571),Data!AK571/100,"n/a")</f>
        <v>0.02</v>
      </c>
      <c r="Q192" s="8">
        <f>Data!AN571</f>
        <v>0.22</v>
      </c>
      <c r="R192" s="8">
        <f>Data!AP571</f>
        <v>11.418828564386992</v>
      </c>
      <c r="S192" s="8"/>
      <c r="T192" s="8"/>
      <c r="U192" s="8"/>
      <c r="V192" s="1">
        <f t="shared" si="4"/>
        <v>9</v>
      </c>
      <c r="W192" s="1">
        <f t="shared" si="5"/>
        <v>0</v>
      </c>
    </row>
    <row r="193" spans="1:23" hidden="1" x14ac:dyDescent="0.2">
      <c r="A193" s="7" t="str">
        <f>Data!A553</f>
        <v>RLI Corp.</v>
      </c>
      <c r="B193" s="7" t="str">
        <f>Data!B553</f>
        <v>RLI</v>
      </c>
      <c r="C193" s="7" t="str">
        <f>Data!C553</f>
        <v>Financials</v>
      </c>
      <c r="D193" s="8">
        <f>IF(ISNUMBER(Data!AL553),Data!AL553/1000,"n/a")</f>
        <v>5.73</v>
      </c>
      <c r="E193" s="1">
        <f>Data!E553</f>
        <v>47</v>
      </c>
      <c r="F193" s="28">
        <f>Data!J553/100</f>
        <v>7.9956946259706323E-3</v>
      </c>
      <c r="G193" s="28">
        <f>IF(ISNUMBER(Data!S553),Data!S553/100,"n/a")</f>
        <v>4.2105263157894868E-2</v>
      </c>
      <c r="H193" s="28">
        <f>IF(ISNUMBER(Data!T553),Data!T553/100,"n/a")</f>
        <v>4.4011575622509014E-2</v>
      </c>
      <c r="I193" s="28">
        <f>IF(ISNUMBER(Data!U553),Data!U553/100,"n/a")</f>
        <v>4.6168455012877585E-2</v>
      </c>
      <c r="J193" s="28">
        <f>IF(ISNUMBER(Data!V553),Data!V553/100,"n/a")</f>
        <v>5.2232769641770593E-2</v>
      </c>
      <c r="K193" s="9">
        <f>IF(ISNUMBER(Data!Z553),Data!Z553/100,"n/a")</f>
        <v>8.1825334382376075E-2</v>
      </c>
      <c r="L193" s="10">
        <f>Data!AA553</f>
        <v>10.233674272226592</v>
      </c>
      <c r="M193" s="10">
        <f>Data!AF553</f>
        <v>4.2</v>
      </c>
      <c r="N193" s="28">
        <f>IF(ISNUMBER(Data!AG553),Data!AG553/100,"n/a")</f>
        <v>0.48199999999999998</v>
      </c>
      <c r="O193" s="28">
        <f>IF(ISNUMBER(Data!AJ553),Data!AJ553/100,"n/a")</f>
        <v>0.188</v>
      </c>
      <c r="P193" s="9">
        <f>IF(ISNUMBER(Data!AK553),Data!AK553/100,"n/a")</f>
        <v>9.8000000000000004E-2</v>
      </c>
      <c r="Q193" s="8">
        <f>Data!AN553</f>
        <v>0.14000000000000001</v>
      </c>
      <c r="R193" s="8">
        <f>Data!AP553</f>
        <v>5.4164149638848214</v>
      </c>
      <c r="S193" s="8"/>
      <c r="T193" s="8"/>
      <c r="U193" s="8"/>
      <c r="V193" s="1">
        <f t="shared" si="4"/>
        <v>8</v>
      </c>
      <c r="W193" s="1">
        <f t="shared" si="5"/>
        <v>0</v>
      </c>
    </row>
    <row r="194" spans="1:23" hidden="1" x14ac:dyDescent="0.2">
      <c r="A194" s="7" t="str">
        <f>Data!A565</f>
        <v>Royal Bank of Canada</v>
      </c>
      <c r="B194" s="7" t="str">
        <f>Data!B565</f>
        <v>RY</v>
      </c>
      <c r="C194" s="7" t="str">
        <f>Data!C565</f>
        <v>Financials</v>
      </c>
      <c r="D194" s="8">
        <f>IF(ISNUMBER(Data!AL565),Data!AL565/1000,"n/a")</f>
        <v>128.13999999999999</v>
      </c>
      <c r="E194" s="1">
        <f>Data!E565</f>
        <v>7</v>
      </c>
      <c r="F194" s="28">
        <f>Data!J565/100</f>
        <v>4.3257272628960744E-2</v>
      </c>
      <c r="G194" s="28">
        <f>IF(ISNUMBER(Data!S565),Data!S565/100,"n/a")</f>
        <v>7.9740365620394549E-2</v>
      </c>
      <c r="H194" s="28">
        <f>IF(ISNUMBER(Data!T565),Data!T565/100,"n/a")</f>
        <v>5.391650882802379E-2</v>
      </c>
      <c r="I194" s="28">
        <f>IF(ISNUMBER(Data!U565),Data!U565/100,"n/a")</f>
        <v>7.2130496249805498E-2</v>
      </c>
      <c r="J194" s="28">
        <f>IF(ISNUMBER(Data!V565),Data!V565/100,"n/a")</f>
        <v>4.8974817969838602E-2</v>
      </c>
      <c r="K194" s="9">
        <f>IF(ISNUMBER(Data!Z565),Data!Z565/100,"n/a")</f>
        <v>0.49382716049382724</v>
      </c>
      <c r="L194" s="10">
        <f>Data!AA565</f>
        <v>11.41604938271605</v>
      </c>
      <c r="M194" s="10">
        <f>Data!AF565</f>
        <v>1.81</v>
      </c>
      <c r="N194" s="28">
        <f>IF(ISNUMBER(Data!AG565),Data!AG565/100,"n/a")</f>
        <v>0.16400000000000003</v>
      </c>
      <c r="O194" s="28">
        <f>IF(ISNUMBER(Data!AJ565),Data!AJ565/100,"n/a")</f>
        <v>0.10299999999999999</v>
      </c>
      <c r="P194" s="9">
        <f>IF(ISNUMBER(Data!AK565),Data!AK565/100,"n/a")</f>
        <v>6.6000000000000003E-2</v>
      </c>
      <c r="Q194" s="8">
        <f>Data!AN565</f>
        <v>3.41</v>
      </c>
      <c r="R194" s="8">
        <f>Data!AP565</f>
        <v>11.538776887876624</v>
      </c>
      <c r="S194" s="8"/>
      <c r="T194" s="8"/>
      <c r="U194" s="8"/>
      <c r="V194" s="1">
        <f t="shared" si="4"/>
        <v>9</v>
      </c>
      <c r="W194" s="1">
        <f t="shared" si="5"/>
        <v>0</v>
      </c>
    </row>
    <row r="195" spans="1:23" hidden="1" x14ac:dyDescent="0.2">
      <c r="A195" s="7" t="str">
        <f>Data!A570</f>
        <v>SB Financial Group, Inc.</v>
      </c>
      <c r="B195" s="7" t="str">
        <f>Data!B570</f>
        <v>SBFG</v>
      </c>
      <c r="C195" s="7" t="str">
        <f>Data!C570</f>
        <v>Financials</v>
      </c>
      <c r="D195" s="8">
        <f>IF(ISNUMBER(Data!AL570),Data!AL570/1000,"n/a")</f>
        <v>0.12012</v>
      </c>
      <c r="E195" s="1">
        <f>Data!E570</f>
        <v>10</v>
      </c>
      <c r="F195" s="28">
        <f>Data!J570/100</f>
        <v>2.9850746268656712E-2</v>
      </c>
      <c r="G195" s="28">
        <f>IF(ISNUMBER(Data!S570),Data!S570/100,"n/a")</f>
        <v>9.9999999999999853E-2</v>
      </c>
      <c r="H195" s="28">
        <f>IF(ISNUMBER(Data!T570),Data!T570/100,"n/a")</f>
        <v>0.11199004528465784</v>
      </c>
      <c r="I195" s="28">
        <f>IF(ISNUMBER(Data!U570),Data!U570/100,"n/a")</f>
        <v>0.12888132073019753</v>
      </c>
      <c r="J195" s="28" t="str">
        <f>IF(ISNUMBER(Data!V570),Data!V570/100,"n/a")</f>
        <v>n/a</v>
      </c>
      <c r="K195" s="9">
        <f>IF(ISNUMBER(Data!Z570),Data!Z570/100,"n/a")</f>
        <v>0.27027027027027023</v>
      </c>
      <c r="L195" s="10">
        <f>Data!AA570</f>
        <v>9.0540540540540544</v>
      </c>
      <c r="M195" s="10">
        <f>Data!AF570</f>
        <v>0.97</v>
      </c>
      <c r="N195" s="28">
        <f>IF(ISNUMBER(Data!AG570),Data!AG570/100,"n/a")</f>
        <v>9.6000000000000002E-2</v>
      </c>
      <c r="O195" s="28">
        <f>IF(ISNUMBER(Data!AJ570),Data!AJ570/100,"n/a")</f>
        <v>0.159</v>
      </c>
      <c r="P195" s="9" t="str">
        <f>IF(ISNUMBER(Data!AK570),Data!AK570/100,"n/a")</f>
        <v>n/a</v>
      </c>
      <c r="Q195" s="8">
        <f>Data!AN570</f>
        <v>0.24</v>
      </c>
      <c r="R195" s="8">
        <f>Data!AP570</f>
        <v>15.873206699885426</v>
      </c>
      <c r="S195" s="8"/>
      <c r="T195" s="8"/>
      <c r="U195" s="8"/>
      <c r="V195" s="1">
        <f t="shared" si="4"/>
        <v>8</v>
      </c>
      <c r="W195" s="1">
        <f t="shared" si="5"/>
        <v>0</v>
      </c>
    </row>
    <row r="196" spans="1:23" hidden="1" x14ac:dyDescent="0.2">
      <c r="A196" s="7" t="str">
        <f>Data!A557</f>
        <v>Rockwell Automation, Inc.</v>
      </c>
      <c r="B196" s="7" t="str">
        <f>Data!B557</f>
        <v>ROK</v>
      </c>
      <c r="C196" s="7" t="str">
        <f>Data!C557</f>
        <v>Industrials</v>
      </c>
      <c r="D196" s="8">
        <f>IF(ISNUMBER(Data!AL557),Data!AL557/1000,"n/a")</f>
        <v>28.47</v>
      </c>
      <c r="E196" s="1">
        <f>Data!E557</f>
        <v>13</v>
      </c>
      <c r="F196" s="28">
        <f>Data!J557/100</f>
        <v>1.8488053270661966E-2</v>
      </c>
      <c r="G196" s="28">
        <f>IF(ISNUMBER(Data!S557),Data!S557/100,"n/a")</f>
        <v>4.8426150121065437E-2</v>
      </c>
      <c r="H196" s="28">
        <f>IF(ISNUMBER(Data!T557),Data!T557/100,"n/a")</f>
        <v>5.9083303049897173E-2</v>
      </c>
      <c r="I196" s="28">
        <f>IF(ISNUMBER(Data!U557),Data!U557/100,"n/a")</f>
        <v>8.0876209984477962E-2</v>
      </c>
      <c r="J196" s="28">
        <f>IF(ISNUMBER(Data!V557),Data!V557/100,"n/a")</f>
        <v>0.10819355434766752</v>
      </c>
      <c r="K196" s="9">
        <f>IF(ISNUMBER(Data!Z557),Data!Z557/100,"n/a")</f>
        <v>0.8237347294938917</v>
      </c>
      <c r="L196" s="10">
        <f>Data!AA557</f>
        <v>44.554973821989527</v>
      </c>
      <c r="M196" s="10">
        <f>Data!AF557</f>
        <v>12.47</v>
      </c>
      <c r="N196" s="28">
        <f>IF(ISNUMBER(Data!AG557),Data!AG557/100,"n/a")</f>
        <v>0.27</v>
      </c>
      <c r="O196" s="28">
        <f>IF(ISNUMBER(Data!AJ557),Data!AJ557/100,"n/a")</f>
        <v>0.158</v>
      </c>
      <c r="P196" s="9">
        <f>IF(ISNUMBER(Data!AK557),Data!AK557/100,"n/a")</f>
        <v>8.77E-2</v>
      </c>
      <c r="Q196" s="8">
        <f>Data!AN557</f>
        <v>1.7</v>
      </c>
      <c r="R196" s="8">
        <f>Data!AP557</f>
        <v>9.9364263255139935</v>
      </c>
      <c r="S196" s="8"/>
      <c r="T196" s="8"/>
      <c r="U196" s="8"/>
      <c r="V196" s="1">
        <f t="shared" si="4"/>
        <v>6</v>
      </c>
      <c r="W196" s="1">
        <f t="shared" si="5"/>
        <v>0</v>
      </c>
    </row>
    <row r="197" spans="1:23" hidden="1" x14ac:dyDescent="0.2">
      <c r="A197" s="7" t="str">
        <f>Data!A556</f>
        <v>RenaissanceRe Holdings Ltd.</v>
      </c>
      <c r="B197" s="7" t="str">
        <f>Data!B556</f>
        <v>RNR</v>
      </c>
      <c r="C197" s="7" t="str">
        <f>Data!C556</f>
        <v>Financials</v>
      </c>
      <c r="D197" s="8">
        <f>IF(ISNUMBER(Data!AL556),Data!AL556/1000,"n/a")</f>
        <v>6.5</v>
      </c>
      <c r="E197" s="1">
        <f>Data!E556</f>
        <v>27</v>
      </c>
      <c r="F197" s="28">
        <f>Data!J556/100</f>
        <v>9.5681406775277988E-3</v>
      </c>
      <c r="G197" s="28">
        <f>IF(ISNUMBER(Data!S556),Data!S556/100,"n/a")</f>
        <v>2.8571428571428692E-2</v>
      </c>
      <c r="H197" s="28">
        <f>IF(ISNUMBER(Data!T556),Data!T556/100,"n/a")</f>
        <v>2.9428498400178693E-2</v>
      </c>
      <c r="I197" s="28">
        <f>IF(ISNUMBER(Data!U556),Data!U556/100,"n/a")</f>
        <v>3.0358033101851145E-2</v>
      </c>
      <c r="J197" s="28">
        <f>IF(ISNUMBER(Data!V556),Data!V556/100,"n/a")</f>
        <v>3.3077529462111066E-2</v>
      </c>
      <c r="K197" s="9" t="str">
        <f>IF(ISNUMBER(Data!Z556),Data!Z556/100,"n/a")</f>
        <v>n/a</v>
      </c>
      <c r="L197" s="10" t="str">
        <f>Data!AA556</f>
        <v>n/a</v>
      </c>
      <c r="M197" s="10">
        <f>Data!AF556</f>
        <v>1.34</v>
      </c>
      <c r="N197" s="28">
        <f>IF(ISNUMBER(Data!AG556),Data!AG556/100,"n/a")</f>
        <v>-0.17299999999999996</v>
      </c>
      <c r="O197" s="28">
        <f>IF(ISNUMBER(Data!AJ556),Data!AJ556/100,"n/a")</f>
        <v>-0.16400000000000003</v>
      </c>
      <c r="P197" s="9" t="str">
        <f>IF(ISNUMBER(Data!AK556),Data!AK556/100,"n/a")</f>
        <v>n/a</v>
      </c>
      <c r="Q197" s="8">
        <f>Data!AN556</f>
        <v>0.23</v>
      </c>
      <c r="R197" s="8">
        <f>Data!AP556</f>
        <v>3.9926173779378944</v>
      </c>
      <c r="S197" s="8"/>
      <c r="T197" s="8"/>
      <c r="U197" s="8"/>
      <c r="V197" s="1">
        <f t="shared" ref="V197:V260" si="6">IF($D$4="+",IF(D197="n/a",0,IF(D197&gt;=$D$5,1,0)),0)+IF($E$4="+",IF(E197="n/a",0,IF(E197&gt;=$E$5,1,0)),0)+IF($F$4="+",IF(F197="n/a",0,IF(F197&gt;=$F$5,1,0)),0)+IF($G$4="+",IF(G197="n/a",0,IF(G197&gt;=$G$5,1,0)),0)+IF($H$4="+",IF(H197="n/a",0,IF(H197&gt;=$H$5,1,0)),0)+IF($I$4="+",IF(I197="n/a",0,IF(I197&gt;=$I$5,1,0)),0)+IF($J$4="+",IF(J197="n/a",0,IF(J197&gt;=$J$5,1,0)),0)+IF($K$4="+",IF(K197="n/a",0,IF(K197&lt;=$K$5,1,0)),0)+IF($L$4="+",IF(L197="n/a",0,IF(L197&lt;=$L$5,1,0)),0)+IF($M$4="+",IF(M197="n/a",0,IF(M197&lt;=$M$5,1,0)),0)+IF($N$4="+",IF(N197="n/a",0,IF(N197&gt;=$N$5,1,0)),0)+IF($O$4="+",IF(O197="n/a",0,IF(O197&gt;=$O$5,1,0)),0)+IF($P$4="+",IF(P197="n/a",0,IF(P197&gt;=$P$5,1,0)),0)+IF($Q$4="+",IF(Q197="n/a",0,IF(Q197&lt;=$Q$5,1,0)),0)+IF($R$4="+",IF(R197="n/a",0,IF(R197&gt;=$R$5,1,0)),0)+$Y$4</f>
        <v>3</v>
      </c>
      <c r="W197" s="1">
        <f t="shared" ref="W197:W260" si="7">IF(V197&gt;=$V$2,"",0)</f>
        <v>0</v>
      </c>
    </row>
    <row r="198" spans="1:23" hidden="1" x14ac:dyDescent="0.2">
      <c r="A198" s="7" t="str">
        <f>Data!A655</f>
        <v>Tetra Tech, Inc.</v>
      </c>
      <c r="B198" s="7" t="str">
        <f>Data!B655</f>
        <v>TTEK</v>
      </c>
      <c r="C198" s="7" t="str">
        <f>Data!C655</f>
        <v>Industrials</v>
      </c>
      <c r="D198" s="8">
        <f>IF(ISNUMBER(Data!AL655),Data!AL655/1000,"n/a")</f>
        <v>7.25</v>
      </c>
      <c r="E198" s="1">
        <f>Data!E655</f>
        <v>9</v>
      </c>
      <c r="F198" s="28">
        <f>Data!J655/100</f>
        <v>6.5118912797281995E-3</v>
      </c>
      <c r="G198" s="28">
        <f>IF(ISNUMBER(Data!S655),Data!S655/100,"n/a")</f>
        <v>0.16666666666666674</v>
      </c>
      <c r="H198" s="28">
        <f>IF(ISNUMBER(Data!T655),Data!T655/100,"n/a")</f>
        <v>0.18734692314024959</v>
      </c>
      <c r="I198" s="28">
        <f>IF(ISNUMBER(Data!U655),Data!U655/100,"n/a")</f>
        <v>0.17080491296489231</v>
      </c>
      <c r="J198" s="28" t="str">
        <f>IF(ISNUMBER(Data!V655),Data!V655/100,"n/a")</f>
        <v>n/a</v>
      </c>
      <c r="K198" s="9">
        <f>IF(ISNUMBER(Data!Z655),Data!Z655/100,"n/a")</f>
        <v>0.19008264462809918</v>
      </c>
      <c r="L198" s="10">
        <f>Data!AA655</f>
        <v>29.190082644628099</v>
      </c>
      <c r="M198" s="10">
        <f>Data!AF655</f>
        <v>6.26</v>
      </c>
      <c r="N198" s="28">
        <f>IF(ISNUMBER(Data!AG655),Data!AG655/100,"n/a")</f>
        <v>0.214</v>
      </c>
      <c r="O198" s="28">
        <f>IF(ISNUMBER(Data!AJ655),Data!AJ655/100,"n/a")</f>
        <v>0.245</v>
      </c>
      <c r="P198" s="9">
        <f>IF(ISNUMBER(Data!AK655),Data!AK655/100,"n/a")</f>
        <v>4.9000000000000002E-2</v>
      </c>
      <c r="Q198" s="8">
        <f>Data!AN655</f>
        <v>0.22</v>
      </c>
      <c r="R198" s="8">
        <f>Data!AP655</f>
        <v>17.731680424462052</v>
      </c>
      <c r="S198" s="8"/>
      <c r="T198" s="8"/>
      <c r="U198" s="8"/>
      <c r="V198" s="1">
        <f t="shared" si="6"/>
        <v>8</v>
      </c>
      <c r="W198" s="1">
        <f t="shared" si="7"/>
        <v>0</v>
      </c>
    </row>
    <row r="199" spans="1:23" hidden="1" x14ac:dyDescent="0.2">
      <c r="A199" s="7" t="str">
        <f>Data!A569</f>
        <v>Sandy Spring Bancorp, Inc.</v>
      </c>
      <c r="B199" s="7" t="str">
        <f>Data!B569</f>
        <v>SASR</v>
      </c>
      <c r="C199" s="7" t="str">
        <f>Data!C569</f>
        <v>Financials</v>
      </c>
      <c r="D199" s="8">
        <f>IF(ISNUMBER(Data!AL569),Data!AL569/1000,"n/a")</f>
        <v>1.54</v>
      </c>
      <c r="E199" s="1">
        <f>Data!E569</f>
        <v>12</v>
      </c>
      <c r="F199" s="28">
        <f>Data!J569/100</f>
        <v>3.8374717832957116E-2</v>
      </c>
      <c r="G199" s="28">
        <f>IF(ISNUMBER(Data!S569),Data!S569/100,"n/a")</f>
        <v>6.6666666666666652E-2</v>
      </c>
      <c r="H199" s="28">
        <f>IF(ISNUMBER(Data!T569),Data!T569/100,"n/a")</f>
        <v>5.1814357731718053E-2</v>
      </c>
      <c r="I199" s="28">
        <f>IF(ISNUMBER(Data!U569),Data!U569/100,"n/a")</f>
        <v>5.4864747249031787E-2</v>
      </c>
      <c r="J199" s="28">
        <f>IF(ISNUMBER(Data!V569),Data!V569/100,"n/a")</f>
        <v>0.1417554813806472</v>
      </c>
      <c r="K199" s="9">
        <f>IF(ISNUMBER(Data!Z569),Data!Z569/100,"n/a")</f>
        <v>0.34517766497461932</v>
      </c>
      <c r="L199" s="10">
        <f>Data!AA569</f>
        <v>8.9949238578680202</v>
      </c>
      <c r="M199" s="10">
        <f>Data!AF569</f>
        <v>1.06</v>
      </c>
      <c r="N199" s="28" t="str">
        <f>IF(ISNUMBER(Data!AG569),Data!AG569/100,"n/a")</f>
        <v>n/a</v>
      </c>
      <c r="O199" s="28">
        <f>IF(ISNUMBER(Data!AJ569),Data!AJ569/100,"n/a")</f>
        <v>0.2</v>
      </c>
      <c r="P199" s="9">
        <f>IF(ISNUMBER(Data!AK569),Data!AK569/100,"n/a")</f>
        <v>9.3000000000000013E-2</v>
      </c>
      <c r="Q199" s="8">
        <f>Data!AN569</f>
        <v>0.25</v>
      </c>
      <c r="R199" s="8">
        <f>Data!AP569</f>
        <v>9.3239465081988904</v>
      </c>
      <c r="S199" s="8"/>
      <c r="T199" s="8"/>
      <c r="U199" s="8"/>
      <c r="V199" s="1">
        <f t="shared" si="6"/>
        <v>10</v>
      </c>
      <c r="W199" s="1">
        <f t="shared" si="7"/>
        <v>0</v>
      </c>
    </row>
    <row r="200" spans="1:23" hidden="1" x14ac:dyDescent="0.2">
      <c r="A200" s="7" t="str">
        <f>Data!A496</f>
        <v>Omnicom Group Inc.</v>
      </c>
      <c r="B200" s="7" t="str">
        <f>Data!B496</f>
        <v>OMC</v>
      </c>
      <c r="C200" s="7" t="str">
        <f>Data!C496</f>
        <v>Communication Services</v>
      </c>
      <c r="D200" s="8">
        <f>IF(ISNUMBER(Data!AL496),Data!AL496/1000,"n/a")</f>
        <v>14.51</v>
      </c>
      <c r="E200" s="1">
        <f>Data!E496</f>
        <v>12</v>
      </c>
      <c r="F200" s="28">
        <f>Data!J496/100</f>
        <v>3.848797250859106E-2</v>
      </c>
      <c r="G200" s="28">
        <f>IF(ISNUMBER(Data!S496),Data!S496/100,"n/a")</f>
        <v>5.7692307692307709E-2</v>
      </c>
      <c r="H200" s="28">
        <f>IF(ISNUMBER(Data!T496),Data!T496/100,"n/a")</f>
        <v>4.6422696369909477E-2</v>
      </c>
      <c r="I200" s="28">
        <f>IF(ISNUMBER(Data!U496),Data!U496/100,"n/a")</f>
        <v>5.5413584563397622E-2</v>
      </c>
      <c r="J200" s="28">
        <f>IF(ISNUMBER(Data!V496),Data!V496/100,"n/a")</f>
        <v>0.11214370723844012</v>
      </c>
      <c r="K200" s="9">
        <f>IF(ISNUMBER(Data!Z496),Data!Z496/100,"n/a")</f>
        <v>0.45676998368678634</v>
      </c>
      <c r="L200" s="10">
        <f>Data!AA496</f>
        <v>11.867862969004895</v>
      </c>
      <c r="M200" s="10">
        <f>Data!AF496</f>
        <v>5.42</v>
      </c>
      <c r="N200" s="28">
        <f>IF(ISNUMBER(Data!AG496),Data!AG496/100,"n/a")</f>
        <v>0.44</v>
      </c>
      <c r="O200" s="28">
        <f>IF(ISNUMBER(Data!AJ496),Data!AJ496/100,"n/a")</f>
        <v>0.06</v>
      </c>
      <c r="P200" s="9">
        <f>IF(ISNUMBER(Data!AK496),Data!AK496/100,"n/a")</f>
        <v>0.106</v>
      </c>
      <c r="Q200" s="8">
        <f>Data!AN496</f>
        <v>1.99</v>
      </c>
      <c r="R200" s="8">
        <f>Data!AP496</f>
        <v>9.3901557071988684</v>
      </c>
      <c r="S200" s="8"/>
      <c r="T200" s="8"/>
      <c r="U200" s="8"/>
      <c r="V200" s="1">
        <f t="shared" si="6"/>
        <v>9</v>
      </c>
      <c r="W200" s="1">
        <f t="shared" si="7"/>
        <v>0</v>
      </c>
    </row>
    <row r="201" spans="1:23" hidden="1" x14ac:dyDescent="0.2">
      <c r="A201" s="7">
        <f>Data!A747</f>
        <v>0</v>
      </c>
      <c r="B201" s="7">
        <f>Data!B747</f>
        <v>0</v>
      </c>
      <c r="C201" s="7">
        <f>Data!C747</f>
        <v>0</v>
      </c>
      <c r="D201" s="8" t="str">
        <f>IF(ISNUMBER(Data!AL747),Data!AL747/1000,"n/a")</f>
        <v>n/a</v>
      </c>
      <c r="E201" s="1">
        <f>Data!E747</f>
        <v>0</v>
      </c>
      <c r="F201" s="28">
        <f>Data!J747/100</f>
        <v>0</v>
      </c>
      <c r="G201" s="28" t="str">
        <f>IF(ISNUMBER(Data!S747),Data!S747/100,"n/a")</f>
        <v>n/a</v>
      </c>
      <c r="H201" s="28" t="str">
        <f>IF(ISNUMBER(Data!T747),Data!T747/100,"n/a")</f>
        <v>n/a</v>
      </c>
      <c r="I201" s="28" t="str">
        <f>IF(ISNUMBER(Data!U747),Data!U747/100,"n/a")</f>
        <v>n/a</v>
      </c>
      <c r="J201" s="28" t="str">
        <f>IF(ISNUMBER(Data!V747),Data!V747/100,"n/a")</f>
        <v>n/a</v>
      </c>
      <c r="K201" s="9" t="str">
        <f>IF(ISNUMBER(Data!Z747),Data!Z747/100,"n/a")</f>
        <v>n/a</v>
      </c>
      <c r="L201" s="10">
        <f>Data!AA747</f>
        <v>0</v>
      </c>
      <c r="M201" s="10">
        <f>Data!AF747</f>
        <v>0</v>
      </c>
      <c r="N201" s="28" t="str">
        <f>IF(ISNUMBER(Data!AG747),Data!AG747/100,"n/a")</f>
        <v>n/a</v>
      </c>
      <c r="O201" s="28" t="str">
        <f>IF(ISNUMBER(Data!AJ747),Data!AJ747/100,"n/a")</f>
        <v>n/a</v>
      </c>
      <c r="P201" s="9" t="str">
        <f>IF(ISNUMBER(Data!AK747),Data!AK747/100,"n/a")</f>
        <v>n/a</v>
      </c>
      <c r="Q201" s="8">
        <f>Data!AN747</f>
        <v>0</v>
      </c>
      <c r="R201" s="8">
        <f>Data!AP747</f>
        <v>0</v>
      </c>
      <c r="S201" s="8"/>
      <c r="T201" s="8"/>
      <c r="U201" s="8"/>
      <c r="V201" s="1">
        <f t="shared" si="6"/>
        <v>2</v>
      </c>
      <c r="W201" s="1">
        <f t="shared" si="7"/>
        <v>0</v>
      </c>
    </row>
    <row r="202" spans="1:23" hidden="1" x14ac:dyDescent="0.2">
      <c r="A202" s="7" t="str">
        <f>Data!A563</f>
        <v>Rush Enterprises, Inc.</v>
      </c>
      <c r="B202" s="7" t="str">
        <f>Data!B563</f>
        <v>RUSHA</v>
      </c>
      <c r="C202" s="7" t="str">
        <f>Data!C563</f>
        <v>Industrials</v>
      </c>
      <c r="D202" s="8">
        <f>IF(ISNUMBER(Data!AL563),Data!AL563/1000,"n/a")</f>
        <v>2.72</v>
      </c>
      <c r="E202" s="1">
        <f>Data!E563</f>
        <v>5</v>
      </c>
      <c r="F202" s="28">
        <f>Data!J563/100</f>
        <v>1.6837041491280819E-2</v>
      </c>
      <c r="G202" s="28">
        <f>IF(ISNUMBER(Data!S563),Data!S563/100,"n/a")</f>
        <v>0.81967213114754101</v>
      </c>
      <c r="H202" s="28">
        <f>IF(ISNUMBER(Data!T563),Data!T563/100,"n/a")</f>
        <v>0.66611092582297649</v>
      </c>
      <c r="I202" s="28" t="str">
        <f>IF(ISNUMBER(Data!U563),Data!U563/100,"n/a")</f>
        <v>n/a</v>
      </c>
      <c r="J202" s="28" t="str">
        <f>IF(ISNUMBER(Data!V563),Data!V563/100,"n/a")</f>
        <v>n/a</v>
      </c>
      <c r="K202" s="9">
        <f>IF(ISNUMBER(Data!Z563),Data!Z563/100,"n/a")</f>
        <v>0.13354531001589826</v>
      </c>
      <c r="L202" s="10">
        <f>Data!AA563</f>
        <v>7.9316375198728144</v>
      </c>
      <c r="M202" s="10">
        <f>Data!AF563</f>
        <v>1.73</v>
      </c>
      <c r="N202" s="28">
        <f>IF(ISNUMBER(Data!AG563),Data!AG563/100,"n/a")</f>
        <v>0.191</v>
      </c>
      <c r="O202" s="28">
        <f>IF(ISNUMBER(Data!AJ563),Data!AJ563/100,"n/a")</f>
        <v>0.44299999999999995</v>
      </c>
      <c r="P202" s="9">
        <f>IF(ISNUMBER(Data!AK563),Data!AK563/100,"n/a")</f>
        <v>1.4200000000000001E-2</v>
      </c>
      <c r="Q202" s="8">
        <f>Data!AN563</f>
        <v>0.85</v>
      </c>
      <c r="R202" s="8" t="str">
        <f>Data!AP563</f>
        <v>n/a</v>
      </c>
      <c r="S202" s="8"/>
      <c r="T202" s="8"/>
      <c r="U202" s="8"/>
      <c r="V202" s="1">
        <f t="shared" si="6"/>
        <v>7</v>
      </c>
      <c r="W202" s="1">
        <f t="shared" si="7"/>
        <v>0</v>
      </c>
    </row>
    <row r="203" spans="1:23" hidden="1" x14ac:dyDescent="0.2">
      <c r="A203" s="7" t="str">
        <f>Data!A561</f>
        <v>Reliance Steel &amp; Aluminum Co.</v>
      </c>
      <c r="B203" s="7" t="str">
        <f>Data!B561</f>
        <v>RS</v>
      </c>
      <c r="C203" s="7" t="str">
        <f>Data!C561</f>
        <v>Materials</v>
      </c>
      <c r="D203" s="8">
        <f>IF(ISNUMBER(Data!AL561),Data!AL561/1000,"n/a")</f>
        <v>12.05</v>
      </c>
      <c r="E203" s="1">
        <f>Data!E561</f>
        <v>12</v>
      </c>
      <c r="F203" s="28">
        <f>Data!J561/100</f>
        <v>1.7371451260671036E-2</v>
      </c>
      <c r="G203" s="28">
        <f>IF(ISNUMBER(Data!S561),Data!S561/100,"n/a")</f>
        <v>0.10000000000000009</v>
      </c>
      <c r="H203" s="28">
        <f>IF(ISNUMBER(Data!T561),Data!T561/100,"n/a")</f>
        <v>0.11199004528465784</v>
      </c>
      <c r="I203" s="28">
        <f>IF(ISNUMBER(Data!U561),Data!U561/100,"n/a")</f>
        <v>0.10756634324829006</v>
      </c>
      <c r="J203" s="28">
        <f>IF(ISNUMBER(Data!V561),Data!V561/100,"n/a")</f>
        <v>0.19071862174209683</v>
      </c>
      <c r="K203" s="9">
        <f>IF(ISNUMBER(Data!Z561),Data!Z561/100,"n/a")</f>
        <v>0.11445389143230872</v>
      </c>
      <c r="L203" s="10">
        <f>Data!AA561</f>
        <v>6.5886200130804449</v>
      </c>
      <c r="M203" s="10">
        <f>Data!AF561</f>
        <v>1.79</v>
      </c>
      <c r="N203" s="28">
        <f>IF(ISNUMBER(Data!AG561),Data!AG561/100,"n/a")</f>
        <v>0.26400000000000001</v>
      </c>
      <c r="O203" s="28">
        <f>IF(ISNUMBER(Data!AJ561),Data!AJ561/100,"n/a")</f>
        <v>0.39500000000000002</v>
      </c>
      <c r="P203" s="9">
        <f>IF(ISNUMBER(Data!AK561),Data!AK561/100,"n/a")</f>
        <v>0.17280000000000001</v>
      </c>
      <c r="Q203" s="8">
        <f>Data!AN561</f>
        <v>0.24</v>
      </c>
      <c r="R203" s="8">
        <f>Data!AP561</f>
        <v>12.49377945089611</v>
      </c>
      <c r="S203" s="8"/>
      <c r="T203" s="8"/>
      <c r="U203" s="8"/>
      <c r="V203" s="1">
        <f t="shared" si="6"/>
        <v>10</v>
      </c>
      <c r="W203" s="1">
        <f t="shared" si="7"/>
        <v>0</v>
      </c>
    </row>
    <row r="204" spans="1:23" hidden="1" x14ac:dyDescent="0.2">
      <c r="A204" s="7" t="str">
        <f>Data!A189</f>
        <v>Digital Realty Trust, Inc.</v>
      </c>
      <c r="B204" s="7" t="str">
        <f>Data!B189</f>
        <v>DLR</v>
      </c>
      <c r="C204" s="7" t="str">
        <f>Data!C189</f>
        <v>Real Estate</v>
      </c>
      <c r="D204" s="8">
        <f>IF(ISNUMBER(Data!AL189),Data!AL189/1000,"n/a")</f>
        <v>29.35</v>
      </c>
      <c r="E204" s="1">
        <f>Data!E189</f>
        <v>18</v>
      </c>
      <c r="F204" s="28">
        <f>Data!J189/100</f>
        <v>4.867830423940149E-2</v>
      </c>
      <c r="G204" s="28">
        <f>IF(ISNUMBER(Data!S189),Data!S189/100,"n/a")</f>
        <v>3.603603603603589E-2</v>
      </c>
      <c r="H204" s="28">
        <f>IF(ISNUMBER(Data!T189),Data!T189/100,"n/a")</f>
        <v>5.120531627664815E-2</v>
      </c>
      <c r="I204" s="28">
        <f>IF(ISNUMBER(Data!U189),Data!U189/100,"n/a")</f>
        <v>5.4977102369160535E-2</v>
      </c>
      <c r="J204" s="28">
        <f>IF(ISNUMBER(Data!V189),Data!V189/100,"n/a")</f>
        <v>5.394729309620816E-2</v>
      </c>
      <c r="K204" s="9">
        <f>IF(ISNUMBER(Data!Z189),Data!Z189/100,"n/a")</f>
        <v>1.0061855670103093</v>
      </c>
      <c r="L204" s="10">
        <f>Data!AA189</f>
        <v>20.670103092783506</v>
      </c>
      <c r="M204" s="10">
        <f>Data!AF189</f>
        <v>1.76</v>
      </c>
      <c r="N204" s="28">
        <f>IF(ISNUMBER(Data!AG189),Data!AG189/100,"n/a")</f>
        <v>8.2000000000000017E-2</v>
      </c>
      <c r="O204" s="28">
        <f>IF(ISNUMBER(Data!AJ189),Data!AJ189/100,"n/a")</f>
        <v>0.21899999999999997</v>
      </c>
      <c r="P204" s="9" t="str">
        <f>IF(ISNUMBER(Data!AK189),Data!AK189/100,"n/a")</f>
        <v>n/a</v>
      </c>
      <c r="Q204" s="8">
        <f>Data!AN189</f>
        <v>0.87</v>
      </c>
      <c r="R204" s="8">
        <f>Data!AP189</f>
        <v>10.365540660856203</v>
      </c>
      <c r="S204" s="8"/>
      <c r="T204" s="8"/>
      <c r="U204" s="8"/>
      <c r="V204" s="1">
        <f t="shared" si="6"/>
        <v>6</v>
      </c>
      <c r="W204" s="1">
        <f t="shared" si="7"/>
        <v>0</v>
      </c>
    </row>
    <row r="205" spans="1:23" hidden="1" x14ac:dyDescent="0.2">
      <c r="A205" s="7" t="str">
        <f>Data!A547</f>
        <v>Regions Financial Corporation</v>
      </c>
      <c r="B205" s="7" t="str">
        <f>Data!B547</f>
        <v>RF</v>
      </c>
      <c r="C205" s="7" t="str">
        <f>Data!C547</f>
        <v>Financials</v>
      </c>
      <c r="D205" s="8">
        <f>IF(ISNUMBER(Data!AL547),Data!AL547/1000,"n/a")</f>
        <v>20.13</v>
      </c>
      <c r="E205" s="1">
        <f>Data!E547</f>
        <v>10</v>
      </c>
      <c r="F205" s="28">
        <f>Data!J547/100</f>
        <v>3.6446469248291577E-2</v>
      </c>
      <c r="G205" s="28">
        <f>IF(ISNUMBER(Data!S547),Data!S547/100,"n/a")</f>
        <v>2.4193548387096753E-2</v>
      </c>
      <c r="H205" s="28">
        <f>IF(ISNUMBER(Data!T547),Data!T547/100,"n/a")</f>
        <v>0.15699093477071235</v>
      </c>
      <c r="I205" s="28">
        <f>IF(ISNUMBER(Data!U547),Data!U547/100,"n/a")</f>
        <v>0.20494366667930453</v>
      </c>
      <c r="J205" s="28">
        <f>IF(ISNUMBER(Data!V547),Data!V547/100,"n/a")</f>
        <v>0.31847340304676819</v>
      </c>
      <c r="K205" s="9">
        <f>IF(ISNUMBER(Data!Z547),Data!Z547/100,"n/a")</f>
        <v>0.39800995024875635</v>
      </c>
      <c r="L205" s="10">
        <f>Data!AA547</f>
        <v>10.920398009950249</v>
      </c>
      <c r="M205" s="10">
        <f>Data!AF547</f>
        <v>1.37</v>
      </c>
      <c r="N205" s="28">
        <f>IF(ISNUMBER(Data!AG547),Data!AG547/100,"n/a")</f>
        <v>0.14499999999999999</v>
      </c>
      <c r="O205" s="28">
        <f>IF(ISNUMBER(Data!AJ547),Data!AJ547/100,"n/a")</f>
        <v>0.23599999999999999</v>
      </c>
      <c r="P205" s="9">
        <f>IF(ISNUMBER(Data!AK547),Data!AK547/100,"n/a")</f>
        <v>-8.8000000000000005E-3</v>
      </c>
      <c r="Q205" s="8">
        <f>Data!AN547</f>
        <v>0.16</v>
      </c>
      <c r="R205" s="8">
        <f>Data!AP547</f>
        <v>24.139013592759611</v>
      </c>
      <c r="S205" s="8"/>
      <c r="T205" s="8"/>
      <c r="U205" s="8"/>
      <c r="V205" s="1">
        <f t="shared" si="6"/>
        <v>9</v>
      </c>
      <c r="W205" s="1">
        <f t="shared" si="7"/>
        <v>0</v>
      </c>
    </row>
    <row r="206" spans="1:23" hidden="1" x14ac:dyDescent="0.2">
      <c r="A206" s="7" t="str">
        <f>Data!A380</f>
        <v>Landmark Bancorp, Inc.</v>
      </c>
      <c r="B206" s="7" t="str">
        <f>Data!B380</f>
        <v>LARK</v>
      </c>
      <c r="C206" s="7" t="str">
        <f>Data!C380</f>
        <v>Financials</v>
      </c>
      <c r="D206" s="8">
        <f>IF(ISNUMBER(Data!AL380),Data!AL380/1000,"n/a")</f>
        <v>0.12950999999999999</v>
      </c>
      <c r="E206" s="1">
        <f>Data!E380</f>
        <v>19</v>
      </c>
      <c r="F206" s="28">
        <f>Data!J380/100</f>
        <v>3.2245681381957769E-2</v>
      </c>
      <c r="G206" s="28">
        <f>IF(ISNUMBER(Data!S380),Data!S380/100,"n/a")</f>
        <v>5.0131250000000183E-2</v>
      </c>
      <c r="H206" s="28">
        <f>IF(ISNUMBER(Data!T380),Data!T380/100,"n/a")</f>
        <v>5.0043748177210023E-2</v>
      </c>
      <c r="I206" s="28">
        <f>IF(ISNUMBER(Data!U380),Data!U380/100,"n/a")</f>
        <v>5.002624868759864E-2</v>
      </c>
      <c r="J206" s="28">
        <f>IF(ISNUMBER(Data!V380),Data!V380/100,"n/a")</f>
        <v>5.5412273453484762E-2</v>
      </c>
      <c r="K206" s="9">
        <f>IF(ISNUMBER(Data!Z380),Data!Z380/100,"n/a")</f>
        <v>0.30434782608695654</v>
      </c>
      <c r="L206" s="10">
        <f>Data!AA380</f>
        <v>9.438405797101451</v>
      </c>
      <c r="M206" s="10">
        <f>Data!AF380</f>
        <v>1.1000000000000001</v>
      </c>
      <c r="N206" s="28">
        <f>IF(ISNUMBER(Data!AG380),Data!AG380/100,"n/a")</f>
        <v>0.10800000000000001</v>
      </c>
      <c r="O206" s="28">
        <f>IF(ISNUMBER(Data!AJ380),Data!AJ380/100,"n/a")</f>
        <v>0.14699999999999999</v>
      </c>
      <c r="P206" s="9" t="str">
        <f>IF(ISNUMBER(Data!AK380),Data!AK380/100,"n/a")</f>
        <v>n/a</v>
      </c>
      <c r="Q206" s="8">
        <f>Data!AN380</f>
        <v>0.24</v>
      </c>
      <c r="R206" s="8">
        <f>Data!AP380</f>
        <v>8.2271930069556412</v>
      </c>
      <c r="S206" s="8"/>
      <c r="T206" s="8"/>
      <c r="U206" s="8"/>
      <c r="V206" s="1">
        <f t="shared" si="6"/>
        <v>9</v>
      </c>
      <c r="W206" s="1">
        <f t="shared" si="7"/>
        <v>0</v>
      </c>
    </row>
    <row r="207" spans="1:23" hidden="1" x14ac:dyDescent="0.2">
      <c r="A207" s="7" t="str">
        <f>Data!A549</f>
        <v>RGC Resources, Inc.</v>
      </c>
      <c r="B207" s="7" t="str">
        <f>Data!B549</f>
        <v>RGCO</v>
      </c>
      <c r="C207" s="7" t="str">
        <f>Data!C549</f>
        <v>Utilities</v>
      </c>
      <c r="D207" s="8">
        <f>IF(ISNUMBER(Data!AL549),Data!AL549/1000,"n/a")</f>
        <v>0.20665</v>
      </c>
      <c r="E207" s="1">
        <f>Data!E549</f>
        <v>18</v>
      </c>
      <c r="F207" s="28">
        <f>Data!J549/100</f>
        <v>3.6688617121354655E-2</v>
      </c>
      <c r="G207" s="28">
        <f>IF(ISNUMBER(Data!S549),Data!S549/100,"n/a")</f>
        <v>5.7142857142857162E-2</v>
      </c>
      <c r="H207" s="28">
        <f>IF(ISNUMBER(Data!T549),Data!T549/100,"n/a")</f>
        <v>6.0750740000032E-2</v>
      </c>
      <c r="I207" s="28">
        <f>IF(ISNUMBER(Data!U549),Data!U549/100,"n/a")</f>
        <v>6.5044102740563714E-2</v>
      </c>
      <c r="J207" s="28">
        <f>IF(ISNUMBER(Data!V549),Data!V549/100,"n/a")</f>
        <v>5.0222713332693569E-2</v>
      </c>
      <c r="K207" s="9" t="str">
        <f>IF(ISNUMBER(Data!Z549),Data!Z549/100,"n/a")</f>
        <v>n/a</v>
      </c>
      <c r="L207" s="10" t="str">
        <f>Data!AA549</f>
        <v>n/a</v>
      </c>
      <c r="M207" s="10">
        <f>Data!AF549</f>
        <v>1.98</v>
      </c>
      <c r="N207" s="28">
        <f>IF(ISNUMBER(Data!AG549),Data!AG549/100,"n/a")</f>
        <v>-0.19699999999999998</v>
      </c>
      <c r="O207" s="28">
        <f>IF(ISNUMBER(Data!AJ549),Data!AJ549/100,"n/a")</f>
        <v>8.5000000000000006E-2</v>
      </c>
      <c r="P207" s="9" t="str">
        <f>IF(ISNUMBER(Data!AK549),Data!AK549/100,"n/a")</f>
        <v>n/a</v>
      </c>
      <c r="Q207" s="8">
        <f>Data!AN549</f>
        <v>1.24</v>
      </c>
      <c r="R207" s="8">
        <f>Data!AP549</f>
        <v>10.173271986191837</v>
      </c>
      <c r="S207" s="8"/>
      <c r="T207" s="8"/>
      <c r="U207" s="8"/>
      <c r="V207" s="1">
        <f t="shared" si="6"/>
        <v>6</v>
      </c>
      <c r="W207" s="1">
        <f t="shared" si="7"/>
        <v>0</v>
      </c>
    </row>
    <row r="208" spans="1:23" hidden="1" x14ac:dyDescent="0.2">
      <c r="A208" s="7" t="str">
        <f>Data!A548</f>
        <v>Reinsurance Group of America, Incorporated</v>
      </c>
      <c r="B208" s="7" t="str">
        <f>Data!B548</f>
        <v>RGA</v>
      </c>
      <c r="C208" s="7" t="str">
        <f>Data!C548</f>
        <v>Financials</v>
      </c>
      <c r="D208" s="8">
        <f>IF(ISNUMBER(Data!AL548),Data!AL548/1000,"n/a")</f>
        <v>9.75</v>
      </c>
      <c r="E208" s="1">
        <f>Data!E548</f>
        <v>14</v>
      </c>
      <c r="F208" s="28">
        <f>Data!J548/100</f>
        <v>2.1743561867228377E-2</v>
      </c>
      <c r="G208" s="28">
        <f>IF(ISNUMBER(Data!S548),Data!S548/100,"n/a")</f>
        <v>2.1428571428571352E-2</v>
      </c>
      <c r="H208" s="28">
        <f>IF(ISNUMBER(Data!T548),Data!T548/100,"n/a")</f>
        <v>9.1392883061105726E-2</v>
      </c>
      <c r="I208" s="28">
        <f>IF(ISNUMBER(Data!U548),Data!U548/100,"n/a")</f>
        <v>0.12888132073019753</v>
      </c>
      <c r="J208" s="28">
        <f>IF(ISNUMBER(Data!V548),Data!V548/100,"n/a")</f>
        <v>0.16901875368077371</v>
      </c>
      <c r="K208" s="9">
        <f>IF(ISNUMBER(Data!Z548),Data!Z548/100,"n/a")</f>
        <v>0.81841432225063937</v>
      </c>
      <c r="L208" s="10">
        <f>Data!AA548</f>
        <v>37.63938618925831</v>
      </c>
      <c r="M208" s="10">
        <f>Data!AF548</f>
        <v>1.7</v>
      </c>
      <c r="N208" s="28">
        <f>IF(ISNUMBER(Data!AG548),Data!AG548/100,"n/a")</f>
        <v>2.6000000000000002E-2</v>
      </c>
      <c r="O208" s="28">
        <f>IF(ISNUMBER(Data!AJ548),Data!AJ548/100,"n/a")</f>
        <v>-3.5000000000000003E-2</v>
      </c>
      <c r="P208" s="9" t="str">
        <f>IF(ISNUMBER(Data!AK548),Data!AK548/100,"n/a")</f>
        <v>n/a</v>
      </c>
      <c r="Q208" s="8">
        <f>Data!AN548</f>
        <v>0.65</v>
      </c>
      <c r="R208" s="8">
        <f>Data!AP548</f>
        <v>15.062488259742592</v>
      </c>
      <c r="S208" s="8"/>
      <c r="T208" s="8"/>
      <c r="U208" s="8"/>
      <c r="V208" s="1">
        <f t="shared" si="6"/>
        <v>6</v>
      </c>
      <c r="W208" s="1">
        <f t="shared" si="7"/>
        <v>0</v>
      </c>
    </row>
    <row r="209" spans="1:23" hidden="1" x14ac:dyDescent="0.2">
      <c r="A209" s="7" t="str">
        <f>Data!A517</f>
        <v>Parker-Hannifin Corporation</v>
      </c>
      <c r="B209" s="7" t="str">
        <f>Data!B517</f>
        <v>PH</v>
      </c>
      <c r="C209" s="7" t="str">
        <f>Data!C517</f>
        <v>Industrials</v>
      </c>
      <c r="D209" s="8">
        <f>IF(ISNUMBER(Data!AL517),Data!AL517/1000,"n/a")</f>
        <v>36.43</v>
      </c>
      <c r="E209" s="1">
        <f>Data!E517</f>
        <v>66</v>
      </c>
      <c r="F209" s="28">
        <f>Data!J517/100</f>
        <v>1.8305691280710207E-2</v>
      </c>
      <c r="G209" s="28">
        <f>IF(ISNUMBER(Data!S517),Data!S517/100,"n/a")</f>
        <v>0.12784090909090917</v>
      </c>
      <c r="H209" s="28">
        <f>IF(ISNUMBER(Data!T517),Data!T517/100,"n/a")</f>
        <v>0.10530226194135928</v>
      </c>
      <c r="I209" s="28">
        <f>IF(ISNUMBER(Data!U517),Data!U517/100,"n/a")</f>
        <v>9.51610593701675E-2</v>
      </c>
      <c r="J209" s="28">
        <f>IF(ISNUMBER(Data!V517),Data!V517/100,"n/a")</f>
        <v>0.10750436589052924</v>
      </c>
      <c r="K209" s="9">
        <f>IF(ISNUMBER(Data!Z517),Data!Z517/100,"n/a")</f>
        <v>0.52777777777777779</v>
      </c>
      <c r="L209" s="10">
        <f>Data!AA517</f>
        <v>28.831349206349206</v>
      </c>
      <c r="M209" s="10">
        <f>Data!AF517</f>
        <v>4.24</v>
      </c>
      <c r="N209" s="28">
        <f>IF(ISNUMBER(Data!AG517),Data!AG517/100,"n/a")</f>
        <v>0.15</v>
      </c>
      <c r="O209" s="28">
        <f>IF(ISNUMBER(Data!AJ517),Data!AJ517/100,"n/a")</f>
        <v>6.8000000000000005E-2</v>
      </c>
      <c r="P209" s="9">
        <f>IF(ISNUMBER(Data!AK517),Data!AK517/100,"n/a")</f>
        <v>9.3599999999999989E-2</v>
      </c>
      <c r="Q209" s="8">
        <f>Data!AN517</f>
        <v>1.3</v>
      </c>
      <c r="R209" s="8">
        <f>Data!AP517</f>
        <v>11.346675065087771</v>
      </c>
      <c r="S209" s="8"/>
      <c r="T209" s="8"/>
      <c r="U209" s="8"/>
      <c r="V209" s="1">
        <f t="shared" si="6"/>
        <v>9</v>
      </c>
      <c r="W209" s="1">
        <f t="shared" si="7"/>
        <v>0</v>
      </c>
    </row>
    <row r="210" spans="1:23" hidden="1" x14ac:dyDescent="0.2">
      <c r="A210" s="7" t="str">
        <f>Data!A545</f>
        <v>Regency Centers Corporation</v>
      </c>
      <c r="B210" s="7" t="str">
        <f>Data!B545</f>
        <v>REG</v>
      </c>
      <c r="C210" s="7" t="str">
        <f>Data!C545</f>
        <v>Real Estate</v>
      </c>
      <c r="D210" s="8">
        <f>IF(ISNUMBER(Data!AL545),Data!AL545/1000,"n/a")</f>
        <v>10</v>
      </c>
      <c r="E210" s="1">
        <f>Data!E545</f>
        <v>8</v>
      </c>
      <c r="F210" s="28">
        <f>Data!J545/100</f>
        <v>4.1315485043794418E-2</v>
      </c>
      <c r="G210" s="28">
        <f>IF(ISNUMBER(Data!S545),Data!S545/100,"n/a")</f>
        <v>1.26050420168069E-2</v>
      </c>
      <c r="H210" s="28">
        <f>IF(ISNUMBER(Data!T545),Data!T545/100,"n/a")</f>
        <v>2.7751271406612599E-2</v>
      </c>
      <c r="I210" s="28">
        <f>IF(ISNUMBER(Data!U545),Data!U545/100,"n/a")</f>
        <v>3.8000133533338865E-2</v>
      </c>
      <c r="J210" s="28">
        <f>IF(ISNUMBER(Data!V545),Data!V545/100,"n/a")</f>
        <v>2.6796858845336446E-2</v>
      </c>
      <c r="K210" s="9">
        <f>IF(ISNUMBER(Data!Z545),Data!Z545/100,"n/a")</f>
        <v>0.88339222614840973</v>
      </c>
      <c r="L210" s="10">
        <f>Data!AA545</f>
        <v>21.381625441696112</v>
      </c>
      <c r="M210" s="10">
        <f>Data!AF545</f>
        <v>1.68</v>
      </c>
      <c r="N210" s="28">
        <f>IF(ISNUMBER(Data!AG545),Data!AG545/100,"n/a")</f>
        <v>0.08</v>
      </c>
      <c r="O210" s="28">
        <f>IF(ISNUMBER(Data!AJ545),Data!AJ545/100,"n/a")</f>
        <v>8.3000000000000004E-2</v>
      </c>
      <c r="P210" s="9">
        <f>IF(ISNUMBER(Data!AK545),Data!AK545/100,"n/a")</f>
        <v>5.1999999999999998E-3</v>
      </c>
      <c r="Q210" s="8">
        <f>Data!AN545</f>
        <v>0.61</v>
      </c>
      <c r="R210" s="8">
        <f>Data!AP545</f>
        <v>7.9315618577133282</v>
      </c>
      <c r="S210" s="8"/>
      <c r="T210" s="8"/>
      <c r="U210" s="8"/>
      <c r="V210" s="1">
        <f t="shared" si="6"/>
        <v>5</v>
      </c>
      <c r="W210" s="1">
        <f t="shared" si="7"/>
        <v>0</v>
      </c>
    </row>
    <row r="211" spans="1:23" hidden="1" x14ac:dyDescent="0.2">
      <c r="A211" s="7" t="str">
        <f>Data!A544</f>
        <v>Republic Bancorp, Inc.</v>
      </c>
      <c r="B211" s="7" t="str">
        <f>Data!B544</f>
        <v>RBCAA</v>
      </c>
      <c r="C211" s="7" t="str">
        <f>Data!C544</f>
        <v>Financials</v>
      </c>
      <c r="D211" s="8">
        <f>IF(ISNUMBER(Data!AL544),Data!AL544/1000,"n/a")</f>
        <v>0.89709000000000005</v>
      </c>
      <c r="E211" s="1">
        <f>Data!E544</f>
        <v>24</v>
      </c>
      <c r="F211" s="28">
        <f>Data!J544/100</f>
        <v>2.9428263214670979E-2</v>
      </c>
      <c r="G211" s="28">
        <f>IF(ISNUMBER(Data!S544),Data!S544/100,"n/a")</f>
        <v>7.8431372549019551E-2</v>
      </c>
      <c r="H211" s="28">
        <f>IF(ISNUMBER(Data!T544),Data!T544/100,"n/a")</f>
        <v>8.5503957932088634E-2</v>
      </c>
      <c r="I211" s="28">
        <f>IF(ISNUMBER(Data!U544),Data!U544/100,"n/a")</f>
        <v>8.2510688249816333E-2</v>
      </c>
      <c r="J211" s="28">
        <f>IF(ISNUMBER(Data!V544),Data!V544/100,"n/a")</f>
        <v>7.1773462536293131E-2</v>
      </c>
      <c r="K211" s="9">
        <f>IF(ISNUMBER(Data!Z544),Data!Z544/100,"n/a")</f>
        <v>0.29021276595744683</v>
      </c>
      <c r="L211" s="10">
        <f>Data!AA544</f>
        <v>9.8617021276595747</v>
      </c>
      <c r="M211" s="10">
        <f>Data!AF544</f>
        <v>1.1200000000000001</v>
      </c>
      <c r="N211" s="28">
        <f>IF(ISNUMBER(Data!AG544),Data!AG544/100,"n/a")</f>
        <v>0.115</v>
      </c>
      <c r="O211" s="28">
        <f>IF(ISNUMBER(Data!AJ544),Data!AJ544/100,"n/a")</f>
        <v>0.13800000000000001</v>
      </c>
      <c r="P211" s="9">
        <f>IF(ISNUMBER(Data!AK544),Data!AK544/100,"n/a")</f>
        <v>0.1</v>
      </c>
      <c r="Q211" s="8">
        <f>Data!AN544</f>
        <v>0</v>
      </c>
      <c r="R211" s="8">
        <f>Data!AP544</f>
        <v>11.193895146448732</v>
      </c>
      <c r="S211" s="8"/>
      <c r="T211" s="8"/>
      <c r="U211" s="8"/>
      <c r="V211" s="1">
        <f t="shared" si="6"/>
        <v>11</v>
      </c>
      <c r="W211" s="1">
        <f t="shared" si="7"/>
        <v>0</v>
      </c>
    </row>
    <row r="212" spans="1:23" hidden="1" x14ac:dyDescent="0.2">
      <c r="A212" s="7" t="str">
        <f>Data!A514</f>
        <v>Principal Financial Group, Inc.</v>
      </c>
      <c r="B212" s="7" t="str">
        <f>Data!B514</f>
        <v>PFG</v>
      </c>
      <c r="C212" s="7" t="str">
        <f>Data!C514</f>
        <v>Financials</v>
      </c>
      <c r="D212" s="8">
        <f>IF(ISNUMBER(Data!AL514),Data!AL514/1000,"n/a")</f>
        <v>20.399999999999999</v>
      </c>
      <c r="E212" s="1">
        <f>Data!E514</f>
        <v>13</v>
      </c>
      <c r="F212" s="28">
        <f>Data!J514/100</f>
        <v>2.9047997276750257E-2</v>
      </c>
      <c r="G212" s="28">
        <f>IF(ISNUMBER(Data!S514),Data!S514/100,"n/a")</f>
        <v>8.9285714285714204E-2</v>
      </c>
      <c r="H212" s="28">
        <f>IF(ISNUMBER(Data!T514),Data!T514/100,"n/a")</f>
        <v>5.1292365408900809E-2</v>
      </c>
      <c r="I212" s="28">
        <f>IF(ISNUMBER(Data!U514),Data!U514/100,"n/a")</f>
        <v>8.670781446071496E-2</v>
      </c>
      <c r="J212" s="28">
        <f>IF(ISNUMBER(Data!V514),Data!V514/100,"n/a")</f>
        <v>0.13299809234516347</v>
      </c>
      <c r="K212" s="9">
        <f>IF(ISNUMBER(Data!Z514),Data!Z514/100,"n/a")</f>
        <v>0.15571776155717762</v>
      </c>
      <c r="L212" s="10">
        <f>Data!AA514</f>
        <v>5.3607055961070555</v>
      </c>
      <c r="M212" s="10">
        <f>Data!AF514</f>
        <v>2.0099999999999998</v>
      </c>
      <c r="N212" s="28">
        <f>IF(ISNUMBER(Data!AG514),Data!AG514/100,"n/a")</f>
        <v>0.31</v>
      </c>
      <c r="O212" s="28">
        <f>IF(ISNUMBER(Data!AJ514),Data!AJ514/100,"n/a")</f>
        <v>6.9000000000000006E-2</v>
      </c>
      <c r="P212" s="9">
        <f>IF(ISNUMBER(Data!AK514),Data!AK514/100,"n/a")</f>
        <v>5.8299999999999998E-2</v>
      </c>
      <c r="Q212" s="8">
        <f>Data!AN514</f>
        <v>0.39</v>
      </c>
      <c r="R212" s="8">
        <f>Data!AP514</f>
        <v>11.575581173746521</v>
      </c>
      <c r="S212" s="8"/>
      <c r="T212" s="8"/>
      <c r="U212" s="8"/>
      <c r="V212" s="1">
        <f t="shared" si="6"/>
        <v>11</v>
      </c>
      <c r="W212" s="1">
        <f t="shared" si="7"/>
        <v>0</v>
      </c>
    </row>
    <row r="213" spans="1:23" hidden="1" x14ac:dyDescent="0.2">
      <c r="A213" s="7" t="str">
        <f>Data!A527</f>
        <v>Pool Corporation</v>
      </c>
      <c r="B213" s="7" t="str">
        <f>Data!B527</f>
        <v>POOL</v>
      </c>
      <c r="C213" s="7" t="str">
        <f>Data!C527</f>
        <v>Consumer Discretionary</v>
      </c>
      <c r="D213" s="8">
        <f>IF(ISNUMBER(Data!AL527),Data!AL527/1000,"n/a")</f>
        <v>12.04</v>
      </c>
      <c r="E213" s="1">
        <f>Data!E527</f>
        <v>12</v>
      </c>
      <c r="F213" s="28">
        <f>Data!J527/100</f>
        <v>1.3147947276731419E-2</v>
      </c>
      <c r="G213" s="28">
        <f>IF(ISNUMBER(Data!S527),Data!S527/100,"n/a")</f>
        <v>0.3013100436681222</v>
      </c>
      <c r="H213" s="28">
        <f>IF(ISNUMBER(Data!T527),Data!T527/100,"n/a")</f>
        <v>0.20105419850905767</v>
      </c>
      <c r="I213" s="28">
        <f>IF(ISNUMBER(Data!U527),Data!U527/100,"n/a")</f>
        <v>0.20152790213896998</v>
      </c>
      <c r="J213" s="28">
        <f>IF(ISNUMBER(Data!V527),Data!V527/100,"n/a")</f>
        <v>0.18409175605513828</v>
      </c>
      <c r="K213" s="9">
        <f>IF(ISNUMBER(Data!Z527),Data!Z527/100,"n/a")</f>
        <v>0.18717828731867103</v>
      </c>
      <c r="L213" s="10">
        <f>Data!AA527</f>
        <v>14.236312587739823</v>
      </c>
      <c r="M213" s="10">
        <f>Data!AF527</f>
        <v>10.5</v>
      </c>
      <c r="N213" s="28">
        <f>IF(ISNUMBER(Data!AG527),Data!AG527/100,"n/a")</f>
        <v>0.73</v>
      </c>
      <c r="O213" s="28">
        <f>IF(ISNUMBER(Data!AJ527),Data!AJ527/100,"n/a")</f>
        <v>0.35899999999999999</v>
      </c>
      <c r="P213" s="9">
        <f>IF(ISNUMBER(Data!AK527),Data!AK527/100,"n/a")</f>
        <v>0.12470000000000001</v>
      </c>
      <c r="Q213" s="8">
        <f>Data!AN527</f>
        <v>1.27</v>
      </c>
      <c r="R213" s="8">
        <f>Data!AP527</f>
        <v>21.467584941570141</v>
      </c>
      <c r="S213" s="8"/>
      <c r="T213" s="8"/>
      <c r="U213" s="8"/>
      <c r="V213" s="1">
        <f t="shared" si="6"/>
        <v>9</v>
      </c>
      <c r="W213" s="1">
        <f t="shared" si="7"/>
        <v>0</v>
      </c>
    </row>
    <row r="214" spans="1:23" hidden="1" x14ac:dyDescent="0.2">
      <c r="A214" s="7" t="str">
        <f>Data!A234</f>
        <v>Farmers Bankshares, Inc.</v>
      </c>
      <c r="B214" s="7" t="str">
        <f>Data!B234</f>
        <v>FBVA</v>
      </c>
      <c r="C214" s="7" t="str">
        <f>Data!C234</f>
        <v>Financials</v>
      </c>
      <c r="D214" s="8" t="str">
        <f>IF(ISNUMBER(Data!AL234),Data!AL234/1000,"n/a")</f>
        <v>n/a</v>
      </c>
      <c r="E214" s="1">
        <f>Data!E234</f>
        <v>10</v>
      </c>
      <c r="F214" s="28">
        <f>Data!J234/100</f>
        <v>3.1364349189754316E-2</v>
      </c>
      <c r="G214" s="28">
        <f>IF(ISNUMBER(Data!S234),Data!S234/100,"n/a")</f>
        <v>0.10416666666666675</v>
      </c>
      <c r="H214" s="28">
        <f>IF(ISNUMBER(Data!T234),Data!T234/100,"n/a")</f>
        <v>8.9341387842532871E-2</v>
      </c>
      <c r="I214" s="28">
        <f>IF(ISNUMBER(Data!U234),Data!U234/100,"n/a")</f>
        <v>0.10617841113805838</v>
      </c>
      <c r="J214" s="28" t="str">
        <f>IF(ISNUMBER(Data!V234),Data!V234/100,"n/a")</f>
        <v>n/a</v>
      </c>
      <c r="K214" s="9" t="str">
        <f>IF(ISNUMBER(Data!Z234),Data!Z234/100,"n/a")</f>
        <v>n/a</v>
      </c>
      <c r="L214" s="10" t="str">
        <f>Data!AA234</f>
        <v>n/a</v>
      </c>
      <c r="M214" s="10" t="str">
        <f>Data!AF234</f>
        <v>n/a</v>
      </c>
      <c r="N214" s="28" t="str">
        <f>IF(ISNUMBER(Data!AG234),Data!AG234/100,"n/a")</f>
        <v>n/a</v>
      </c>
      <c r="O214" s="28" t="str">
        <f>IF(ISNUMBER(Data!AJ234),Data!AJ234/100,"n/a")</f>
        <v>n/a</v>
      </c>
      <c r="P214" s="9" t="str">
        <f>IF(ISNUMBER(Data!AK234),Data!AK234/100,"n/a")</f>
        <v>n/a</v>
      </c>
      <c r="Q214" s="8" t="str">
        <f>Data!AN234</f>
        <v>n/a</v>
      </c>
      <c r="R214" s="8">
        <f>Data!AP234</f>
        <v>13.75427603278127</v>
      </c>
      <c r="S214" s="8"/>
      <c r="T214" s="8"/>
      <c r="U214" s="8"/>
      <c r="V214" s="1">
        <f t="shared" si="6"/>
        <v>4</v>
      </c>
      <c r="W214" s="1">
        <f t="shared" si="7"/>
        <v>0</v>
      </c>
    </row>
    <row r="215" spans="1:23" hidden="1" x14ac:dyDescent="0.2">
      <c r="A215" s="7" t="str">
        <f>Data!A522</f>
        <v>Pioneer Bankshares, Inc.</v>
      </c>
      <c r="B215" s="7" t="str">
        <f>Data!B522</f>
        <v>PNBI</v>
      </c>
      <c r="C215" s="7" t="str">
        <f>Data!C522</f>
        <v>Financials</v>
      </c>
      <c r="D215" s="8" t="str">
        <f>IF(ISNUMBER(Data!AL522),Data!AL522/1000,"n/a")</f>
        <v>n/a</v>
      </c>
      <c r="E215" s="1">
        <f>Data!E522</f>
        <v>12</v>
      </c>
      <c r="F215" s="28">
        <f>Data!J522/100</f>
        <v>3.692307692307692E-2</v>
      </c>
      <c r="G215" s="28">
        <f>IF(ISNUMBER(Data!S522),Data!S522/100,"n/a")</f>
        <v>4.3478260869565188E-2</v>
      </c>
      <c r="H215" s="28">
        <f>IF(ISNUMBER(Data!T522),Data!T522/100,"n/a")</f>
        <v>4.5515917149420382E-2</v>
      </c>
      <c r="I215" s="28">
        <f>IF(ISNUMBER(Data!U522),Data!U522/100,"n/a")</f>
        <v>4.7831688302757414E-2</v>
      </c>
      <c r="J215" s="28">
        <f>IF(ISNUMBER(Data!V522),Data!V522/100,"n/a")</f>
        <v>4.9885462363653987E-2</v>
      </c>
      <c r="K215" s="9" t="str">
        <f>IF(ISNUMBER(Data!Z522),Data!Z522/100,"n/a")</f>
        <v>n/a</v>
      </c>
      <c r="L215" s="10" t="str">
        <f>Data!AA522</f>
        <v>n/a</v>
      </c>
      <c r="M215" s="10" t="str">
        <f>Data!AF522</f>
        <v>n/a</v>
      </c>
      <c r="N215" s="28" t="str">
        <f>IF(ISNUMBER(Data!AG522),Data!AG522/100,"n/a")</f>
        <v>n/a</v>
      </c>
      <c r="O215" s="28" t="str">
        <f>IF(ISNUMBER(Data!AJ522),Data!AJ522/100,"n/a")</f>
        <v>n/a</v>
      </c>
      <c r="P215" s="9" t="str">
        <f>IF(ISNUMBER(Data!AK522),Data!AK522/100,"n/a")</f>
        <v>n/a</v>
      </c>
      <c r="Q215" s="8" t="str">
        <f>Data!AN522</f>
        <v>n/a</v>
      </c>
      <c r="R215" s="8">
        <f>Data!AP522</f>
        <v>8.475476522583433</v>
      </c>
      <c r="S215" s="8"/>
      <c r="T215" s="8"/>
      <c r="U215" s="8"/>
      <c r="V215" s="1">
        <f t="shared" si="6"/>
        <v>1</v>
      </c>
      <c r="W215" s="1">
        <f t="shared" si="7"/>
        <v>0</v>
      </c>
    </row>
    <row r="216" spans="1:23" hidden="1" x14ac:dyDescent="0.2">
      <c r="A216" s="7" t="str">
        <f>Data!A542</f>
        <v>Ryder System, Inc.</v>
      </c>
      <c r="B216" s="7" t="str">
        <f>Data!B542</f>
        <v>R</v>
      </c>
      <c r="C216" s="7" t="str">
        <f>Data!C542</f>
        <v>Industrials</v>
      </c>
      <c r="D216" s="8">
        <f>IF(ISNUMBER(Data!AL542),Data!AL542/1000,"n/a")</f>
        <v>4.12</v>
      </c>
      <c r="E216" s="1">
        <f>Data!E542</f>
        <v>18</v>
      </c>
      <c r="F216" s="28">
        <f>Data!J542/100</f>
        <v>3.0803626878648613E-2</v>
      </c>
      <c r="G216" s="28">
        <f>IF(ISNUMBER(Data!S542),Data!S542/100,"n/a")</f>
        <v>1.7857142857142572E-2</v>
      </c>
      <c r="H216" s="28">
        <f>IF(ISNUMBER(Data!T542),Data!T542/100,"n/a")</f>
        <v>2.45496171190136E-2</v>
      </c>
      <c r="I216" s="28">
        <f>IF(ISNUMBER(Data!U542),Data!U542/100,"n/a")</f>
        <v>6.0467064942837823E-2</v>
      </c>
      <c r="J216" s="28">
        <f>IF(ISNUMBER(Data!V542),Data!V542/100,"n/a")</f>
        <v>7.3672136029840241E-2</v>
      </c>
      <c r="K216" s="9">
        <f>IF(ISNUMBER(Data!Z542),Data!Z542/100,"n/a")</f>
        <v>0.15261538461538462</v>
      </c>
      <c r="L216" s="10">
        <f>Data!AA542</f>
        <v>4.9544615384615387</v>
      </c>
      <c r="M216" s="10">
        <f>Data!AF542</f>
        <v>1.35</v>
      </c>
      <c r="N216" s="28">
        <f>IF(ISNUMBER(Data!AG542),Data!AG542/100,"n/a")</f>
        <v>0.29499999999999998</v>
      </c>
      <c r="O216" s="28">
        <f>IF(ISNUMBER(Data!AJ542),Data!AJ542/100,"n/a")</f>
        <v>0.14399999999999999</v>
      </c>
      <c r="P216" s="9" t="str">
        <f>IF(ISNUMBER(Data!AK542),Data!AK542/100,"n/a")</f>
        <v>n/a</v>
      </c>
      <c r="Q216" s="8">
        <f>Data!AN542</f>
        <v>2.1</v>
      </c>
      <c r="R216" s="8">
        <f>Data!AP542</f>
        <v>9.1270691821486434</v>
      </c>
      <c r="S216" s="8"/>
      <c r="T216" s="8"/>
      <c r="U216" s="8"/>
      <c r="V216" s="1">
        <f t="shared" si="6"/>
        <v>7</v>
      </c>
      <c r="W216" s="1">
        <f t="shared" si="7"/>
        <v>0</v>
      </c>
    </row>
    <row r="217" spans="1:23" hidden="1" x14ac:dyDescent="0.2">
      <c r="A217" s="7" t="str">
        <f>Data!A520</f>
        <v>Douglas Dynamics, Inc.</v>
      </c>
      <c r="B217" s="7" t="str">
        <f>Data!B520</f>
        <v>PLOW</v>
      </c>
      <c r="C217" s="7" t="str">
        <f>Data!C520</f>
        <v>Industrials</v>
      </c>
      <c r="D217" s="8">
        <f>IF(ISNUMBER(Data!AL520),Data!AL520/1000,"n/a")</f>
        <v>0.75514000000000003</v>
      </c>
      <c r="E217" s="1">
        <f>Data!E520</f>
        <v>13</v>
      </c>
      <c r="F217" s="28">
        <f>Data!J520/100</f>
        <v>3.4167893961708391E-2</v>
      </c>
      <c r="G217" s="28">
        <f>IF(ISNUMBER(Data!S520),Data!S520/100,"n/a")</f>
        <v>1.7857142857142572E-2</v>
      </c>
      <c r="H217" s="28">
        <f>IF(ISNUMBER(Data!T520),Data!T520/100,"n/a")</f>
        <v>2.45496171190136E-2</v>
      </c>
      <c r="I217" s="28">
        <f>IF(ISNUMBER(Data!U520),Data!U520/100,"n/a")</f>
        <v>3.9334633807695418E-2</v>
      </c>
      <c r="J217" s="28">
        <f>IF(ISNUMBER(Data!V520),Data!V520/100,"n/a")</f>
        <v>3.5406523984148563E-2</v>
      </c>
      <c r="K217" s="9">
        <f>IF(ISNUMBER(Data!Z520),Data!Z520/100,"n/a")</f>
        <v>0.89922480620155032</v>
      </c>
      <c r="L217" s="10">
        <f>Data!AA520</f>
        <v>26.317829457364343</v>
      </c>
      <c r="M217" s="10">
        <f>Data!AF520</f>
        <v>3.57</v>
      </c>
      <c r="N217" s="28">
        <f>IF(ISNUMBER(Data!AG520),Data!AG520/100,"n/a")</f>
        <v>0.13900000000000001</v>
      </c>
      <c r="O217" s="28">
        <f>IF(ISNUMBER(Data!AJ520),Data!AJ520/100,"n/a")</f>
        <v>-4.8000000000000001E-2</v>
      </c>
      <c r="P217" s="9">
        <f>IF(ISNUMBER(Data!AK520),Data!AK520/100,"n/a")</f>
        <v>0.15</v>
      </c>
      <c r="Q217" s="8">
        <f>Data!AN520</f>
        <v>1.23</v>
      </c>
      <c r="R217" s="8">
        <f>Data!AP520</f>
        <v>7.3502527769403816</v>
      </c>
      <c r="S217" s="8"/>
      <c r="T217" s="8"/>
      <c r="U217" s="8"/>
      <c r="V217" s="1">
        <f t="shared" si="6"/>
        <v>2</v>
      </c>
      <c r="W217" s="1">
        <f t="shared" si="7"/>
        <v>0</v>
      </c>
    </row>
    <row r="218" spans="1:23" hidden="1" x14ac:dyDescent="0.2">
      <c r="A218" s="7" t="str">
        <f>Data!A538</f>
        <v>QUALCOMM Incorporated</v>
      </c>
      <c r="B218" s="7" t="str">
        <f>Data!B538</f>
        <v>QCOM</v>
      </c>
      <c r="C218" s="7" t="str">
        <f>Data!C538</f>
        <v>Information Technology</v>
      </c>
      <c r="D218" s="8">
        <f>IF(ISNUMBER(Data!AL538),Data!AL538/1000,"n/a")</f>
        <v>128.81</v>
      </c>
      <c r="E218" s="1">
        <f>Data!E538</f>
        <v>20</v>
      </c>
      <c r="F218" s="28">
        <f>Data!J538/100</f>
        <v>2.5497195308516064E-2</v>
      </c>
      <c r="G218" s="28">
        <f>IF(ISNUMBER(Data!S538),Data!S538/100,"n/a")</f>
        <v>5.836575875486405E-2</v>
      </c>
      <c r="H218" s="28">
        <f>IF(ISNUMBER(Data!T538),Data!T538/100,"n/a")</f>
        <v>3.8295272967835414E-2</v>
      </c>
      <c r="I218" s="28">
        <f>IF(ISNUMBER(Data!U538),Data!U538/100,"n/a")</f>
        <v>5.6135672318769814E-2</v>
      </c>
      <c r="J218" s="28">
        <f>IF(ISNUMBER(Data!V538),Data!V538/100,"n/a")</f>
        <v>0.12535162620107854</v>
      </c>
      <c r="K218" s="9">
        <f>IF(ISNUMBER(Data!Z538),Data!Z538/100,"n/a")</f>
        <v>0.26572187776793627</v>
      </c>
      <c r="L218" s="10">
        <f>Data!AA538</f>
        <v>10.42161204605846</v>
      </c>
      <c r="M218" s="10">
        <f>Data!AF538</f>
        <v>8.34</v>
      </c>
      <c r="N218" s="28">
        <f>IF(ISNUMBER(Data!AG538),Data!AG538/100,"n/a")</f>
        <v>1.0149999999999999</v>
      </c>
      <c r="O218" s="28">
        <f>IF(ISNUMBER(Data!AJ538),Data!AJ538/100,"n/a")</f>
        <v>0.156</v>
      </c>
      <c r="P218" s="9">
        <f>IF(ISNUMBER(Data!AK538),Data!AK538/100,"n/a")</f>
        <v>0.1109</v>
      </c>
      <c r="Q218" s="8">
        <f>Data!AN538</f>
        <v>0.97</v>
      </c>
      <c r="R218" s="8">
        <f>Data!AP538</f>
        <v>8.1632867627285872</v>
      </c>
      <c r="S218" s="8"/>
      <c r="T218" s="8"/>
      <c r="U218" s="8"/>
      <c r="V218" s="1">
        <f t="shared" si="6"/>
        <v>10</v>
      </c>
      <c r="W218" s="1">
        <f t="shared" si="7"/>
        <v>0</v>
      </c>
    </row>
    <row r="219" spans="1:23" hidden="1" x14ac:dyDescent="0.2">
      <c r="A219" s="7" t="str">
        <f>Data!A537</f>
        <v>Phillips 66</v>
      </c>
      <c r="B219" s="7" t="str">
        <f>Data!B537</f>
        <v>PSX</v>
      </c>
      <c r="C219" s="7" t="str">
        <f>Data!C537</f>
        <v>Energy</v>
      </c>
      <c r="D219" s="8">
        <f>IF(ISNUMBER(Data!AL537),Data!AL537/1000,"n/a")</f>
        <v>49.82</v>
      </c>
      <c r="E219" s="1">
        <f>Data!E537</f>
        <v>11</v>
      </c>
      <c r="F219" s="28">
        <f>Data!J537/100</f>
        <v>3.7203950522581263E-2</v>
      </c>
      <c r="G219" s="28">
        <f>IF(ISNUMBER(Data!S537),Data!S537/100,"n/a")</f>
        <v>5.5555555555555358E-3</v>
      </c>
      <c r="H219" s="28">
        <f>IF(ISNUMBER(Data!T537),Data!T537/100,"n/a")</f>
        <v>5.3049918609948898E-2</v>
      </c>
      <c r="I219" s="28">
        <f>IF(ISNUMBER(Data!U537),Data!U537/100,"n/a")</f>
        <v>8.1206124838088881E-2</v>
      </c>
      <c r="J219" s="28" t="str">
        <f>IF(ISNUMBER(Data!V537),Data!V537/100,"n/a")</f>
        <v>n/a</v>
      </c>
      <c r="K219" s="9">
        <f>IF(ISNUMBER(Data!Z537),Data!Z537/100,"n/a")</f>
        <v>0.33419465977605511</v>
      </c>
      <c r="L219" s="10">
        <f>Data!AA537</f>
        <v>8.9827734711455651</v>
      </c>
      <c r="M219" s="10">
        <f>Data!AF537</f>
        <v>2.0699999999999998</v>
      </c>
      <c r="N219" s="28">
        <f>IF(ISNUMBER(Data!AG537),Data!AG537/100,"n/a")</f>
        <v>0.26</v>
      </c>
      <c r="O219" s="28">
        <f>IF(ISNUMBER(Data!AJ537),Data!AJ537/100,"n/a")</f>
        <v>3.0000000000000001E-3</v>
      </c>
      <c r="P219" s="9">
        <f>IF(ISNUMBER(Data!AK537),Data!AK537/100,"n/a")</f>
        <v>6.3E-2</v>
      </c>
      <c r="Q219" s="8">
        <f>Data!AN537</f>
        <v>0.53</v>
      </c>
      <c r="R219" s="8">
        <f>Data!AP537</f>
        <v>11.841007536067014</v>
      </c>
      <c r="S219" s="8"/>
      <c r="T219" s="8"/>
      <c r="U219" s="8"/>
      <c r="V219" s="1">
        <f t="shared" si="6"/>
        <v>9</v>
      </c>
      <c r="W219" s="1">
        <f t="shared" si="7"/>
        <v>0</v>
      </c>
    </row>
    <row r="220" spans="1:23" hidden="1" x14ac:dyDescent="0.2">
      <c r="A220" s="7" t="str">
        <f>Data!A536</f>
        <v>PSB Holdings, Inc.</v>
      </c>
      <c r="B220" s="7" t="str">
        <f>Data!B536</f>
        <v>PSBQ</v>
      </c>
      <c r="C220" s="7" t="str">
        <f>Data!C536</f>
        <v>Financials</v>
      </c>
      <c r="D220" s="8" t="str">
        <f>IF(ISNUMBER(Data!AL536),Data!AL536/1000,"n/a")</f>
        <v>n/a</v>
      </c>
      <c r="E220" s="1">
        <f>Data!E536</f>
        <v>29</v>
      </c>
      <c r="F220" s="28">
        <f>Data!J536/100</f>
        <v>2.2988505747126436E-2</v>
      </c>
      <c r="G220" s="28">
        <f>IF(ISNUMBER(Data!S536),Data!S536/100,"n/a")</f>
        <v>7.3170731707317138E-2</v>
      </c>
      <c r="H220" s="28">
        <f>IF(ISNUMBER(Data!T536),Data!T536/100,"n/a")</f>
        <v>9.3292880588556226E-2</v>
      </c>
      <c r="I220" s="28">
        <f>IF(ISNUMBER(Data!U536),Data!U536/100,"n/a")</f>
        <v>9.4608784223157549E-2</v>
      </c>
      <c r="J220" s="28">
        <f>IF(ISNUMBER(Data!V536),Data!V536/100,"n/a")</f>
        <v>7.1418399095649399E-2</v>
      </c>
      <c r="K220" s="9" t="str">
        <f>IF(ISNUMBER(Data!Z536),Data!Z536/100,"n/a")</f>
        <v>n/a</v>
      </c>
      <c r="L220" s="10" t="str">
        <f>Data!AA536</f>
        <v>n/a</v>
      </c>
      <c r="M220" s="10" t="str">
        <f>Data!AF536</f>
        <v>n/a</v>
      </c>
      <c r="N220" s="28" t="str">
        <f>IF(ISNUMBER(Data!AG536),Data!AG536/100,"n/a")</f>
        <v>n/a</v>
      </c>
      <c r="O220" s="28" t="str">
        <f>IF(ISNUMBER(Data!AJ536),Data!AJ536/100,"n/a")</f>
        <v>n/a</v>
      </c>
      <c r="P220" s="9" t="str">
        <f>IF(ISNUMBER(Data!AK536),Data!AK536/100,"n/a")</f>
        <v>n/a</v>
      </c>
      <c r="Q220" s="8" t="str">
        <f>Data!AN536</f>
        <v>n/a</v>
      </c>
      <c r="R220" s="8">
        <f>Data!AP536</f>
        <v>11.759728997028398</v>
      </c>
      <c r="S220" s="8"/>
      <c r="T220" s="8"/>
      <c r="U220" s="8"/>
      <c r="V220" s="1">
        <f t="shared" si="6"/>
        <v>6</v>
      </c>
      <c r="W220" s="1">
        <f t="shared" si="7"/>
        <v>0</v>
      </c>
    </row>
    <row r="221" spans="1:23" hidden="1" x14ac:dyDescent="0.2">
      <c r="A221" s="7" t="str">
        <f>Data!A104</f>
        <v>Brady Corporation</v>
      </c>
      <c r="B221" s="7" t="str">
        <f>Data!B104</f>
        <v>BRC</v>
      </c>
      <c r="C221" s="7" t="str">
        <f>Data!C104</f>
        <v>Industrials</v>
      </c>
      <c r="D221" s="8">
        <f>IF(ISNUMBER(Data!AL104),Data!AL104/1000,"n/a")</f>
        <v>2.25</v>
      </c>
      <c r="E221" s="1">
        <f>Data!E104</f>
        <v>37</v>
      </c>
      <c r="F221" s="28">
        <f>Data!J104/100</f>
        <v>2.0109289617486339E-2</v>
      </c>
      <c r="G221" s="28">
        <f>IF(ISNUMBER(Data!S104),Data!S104/100,"n/a")</f>
        <v>1.4326647564469885E-2</v>
      </c>
      <c r="H221" s="28">
        <f>IF(ISNUMBER(Data!T104),Data!T104/100,"n/a")</f>
        <v>1.9981762821657423E-2</v>
      </c>
      <c r="I221" s="28">
        <f>IF(ISNUMBER(Data!U104),Data!U104/100,"n/a")</f>
        <v>1.7241290608433602E-2</v>
      </c>
      <c r="J221" s="28">
        <f>IF(ISNUMBER(Data!V104),Data!V104/100,"n/a")</f>
        <v>2.014176100368581E-2</v>
      </c>
      <c r="K221" s="9">
        <f>IF(ISNUMBER(Data!Z104),Data!Z104/100,"n/a")</f>
        <v>0.31833910034602075</v>
      </c>
      <c r="L221" s="10">
        <f>Data!AA104</f>
        <v>15.830449826989618</v>
      </c>
      <c r="M221" s="10">
        <f>Data!AF104</f>
        <v>2.54</v>
      </c>
      <c r="N221" s="28">
        <f>IF(ISNUMBER(Data!AG104),Data!AG104/100,"n/a")</f>
        <v>0.159</v>
      </c>
      <c r="O221" s="28">
        <f>IF(ISNUMBER(Data!AJ104),Data!AJ104/100,"n/a")</f>
        <v>9.6000000000000002E-2</v>
      </c>
      <c r="P221" s="9">
        <f>IF(ISNUMBER(Data!AK104),Data!AK104/100,"n/a")</f>
        <v>7.0000000000000007E-2</v>
      </c>
      <c r="Q221" s="8">
        <f>Data!AN104</f>
        <v>0.1</v>
      </c>
      <c r="R221" s="8">
        <f>Data!AP104</f>
        <v>3.735058022591994</v>
      </c>
      <c r="S221" s="8"/>
      <c r="T221" s="8"/>
      <c r="U221" s="8"/>
      <c r="V221" s="1">
        <f t="shared" si="6"/>
        <v>8</v>
      </c>
      <c r="W221" s="1">
        <f t="shared" si="7"/>
        <v>0</v>
      </c>
    </row>
    <row r="222" spans="1:23" hidden="1" x14ac:dyDescent="0.2">
      <c r="A222" s="7" t="str">
        <f>Data!A535</f>
        <v>Prudential Financial, Inc.</v>
      </c>
      <c r="B222" s="7" t="str">
        <f>Data!B535</f>
        <v>PRU</v>
      </c>
      <c r="C222" s="7" t="str">
        <f>Data!C535</f>
        <v>Financials</v>
      </c>
      <c r="D222" s="8">
        <f>IF(ISNUMBER(Data!AL535),Data!AL535/1000,"n/a")</f>
        <v>37.880000000000003</v>
      </c>
      <c r="E222" s="1">
        <f>Data!E535</f>
        <v>14</v>
      </c>
      <c r="F222" s="28">
        <f>Data!J535/100</f>
        <v>4.5631714041258674E-2</v>
      </c>
      <c r="G222" s="28">
        <f>IF(ISNUMBER(Data!S535),Data!S535/100,"n/a")</f>
        <v>4.5454545454545192E-2</v>
      </c>
      <c r="H222" s="28">
        <f>IF(ISNUMBER(Data!T535),Data!T535/100,"n/a")</f>
        <v>8.5138345254405431E-2</v>
      </c>
      <c r="I222" s="28">
        <f>IF(ISNUMBER(Data!U535),Data!U535/100,"n/a")</f>
        <v>0.10438362870438155</v>
      </c>
      <c r="J222" s="28">
        <f>IF(ISNUMBER(Data!V535),Data!V535/100,"n/a")</f>
        <v>0.12237758017183985</v>
      </c>
      <c r="K222" s="9">
        <f>IF(ISNUMBER(Data!Z535),Data!Z535/100,"n/a")</f>
        <v>0.88888888888888884</v>
      </c>
      <c r="L222" s="10">
        <f>Data!AA535</f>
        <v>19.479629629629628</v>
      </c>
      <c r="M222" s="10">
        <f>Data!AF535</f>
        <v>1.4</v>
      </c>
      <c r="N222" s="28">
        <f>IF(ISNUMBER(Data!AG535),Data!AG535/100,"n/a")</f>
        <v>4.2999999999999997E-2</v>
      </c>
      <c r="O222" s="28">
        <f>IF(ISNUMBER(Data!AJ535),Data!AJ535/100,"n/a")</f>
        <v>0.15</v>
      </c>
      <c r="P222" s="9">
        <f>IF(ISNUMBER(Data!AK535),Data!AK535/100,"n/a")</f>
        <v>-6.0100000000000001E-2</v>
      </c>
      <c r="Q222" s="8">
        <f>Data!AN535</f>
        <v>0.72</v>
      </c>
      <c r="R222" s="8">
        <f>Data!AP535</f>
        <v>15.001534274564023</v>
      </c>
      <c r="S222" s="8"/>
      <c r="T222" s="8"/>
      <c r="U222" s="8"/>
      <c r="V222" s="1">
        <f t="shared" si="6"/>
        <v>6</v>
      </c>
      <c r="W222" s="1">
        <f t="shared" si="7"/>
        <v>0</v>
      </c>
    </row>
    <row r="223" spans="1:23" hidden="1" x14ac:dyDescent="0.2">
      <c r="A223" s="7" t="str">
        <f>Data!A526</f>
        <v>Pinnacle West Capital Corporation</v>
      </c>
      <c r="B223" s="7" t="str">
        <f>Data!B526</f>
        <v>PNW</v>
      </c>
      <c r="C223" s="7" t="str">
        <f>Data!C526</f>
        <v>Utilities</v>
      </c>
      <c r="D223" s="8">
        <f>IF(ISNUMBER(Data!AL526),Data!AL526/1000,"n/a")</f>
        <v>7.51</v>
      </c>
      <c r="E223" s="1">
        <f>Data!E526</f>
        <v>11</v>
      </c>
      <c r="F223" s="28">
        <f>Data!J526/100</f>
        <v>5.148043445915787E-2</v>
      </c>
      <c r="G223" s="28">
        <f>IF(ISNUMBER(Data!S526),Data!S526/100,"n/a")</f>
        <v>5.1140833988984946E-2</v>
      </c>
      <c r="H223" s="28">
        <f>IF(ISNUMBER(Data!T526),Data!T526/100,"n/a")</f>
        <v>5.7720298124582126E-2</v>
      </c>
      <c r="I223" s="28">
        <f>IF(ISNUMBER(Data!U526),Data!U526/100,"n/a")</f>
        <v>5.7122189879624585E-2</v>
      </c>
      <c r="J223" s="28">
        <f>IF(ISNUMBER(Data!V526),Data!V526/100,"n/a")</f>
        <v>4.7496829653624006E-2</v>
      </c>
      <c r="K223" s="9">
        <f>IF(ISNUMBER(Data!Z526),Data!Z526/100,"n/a")</f>
        <v>0.76548672566371689</v>
      </c>
      <c r="L223" s="10">
        <f>Data!AA526</f>
        <v>14.869469026548673</v>
      </c>
      <c r="M223" s="10">
        <f>Data!AF526</f>
        <v>1.31</v>
      </c>
      <c r="N223" s="28">
        <f>IF(ISNUMBER(Data!AG526),Data!AG526/100,"n/a")</f>
        <v>9.1999999999999998E-2</v>
      </c>
      <c r="O223" s="28">
        <f>IF(ISNUMBER(Data!AJ526),Data!AJ526/100,"n/a")</f>
        <v>5.4000000000000006E-2</v>
      </c>
      <c r="P223" s="9">
        <f>IF(ISNUMBER(Data!AK526),Data!AK526/100,"n/a")</f>
        <v>1E-3</v>
      </c>
      <c r="Q223" s="8">
        <f>Data!AN526</f>
        <v>1.32</v>
      </c>
      <c r="R223" s="8">
        <f>Data!AP526</f>
        <v>10.860262433878246</v>
      </c>
      <c r="S223" s="8"/>
      <c r="T223" s="8"/>
      <c r="U223" s="8"/>
      <c r="V223" s="1">
        <f t="shared" si="6"/>
        <v>8</v>
      </c>
      <c r="W223" s="1">
        <f t="shared" si="7"/>
        <v>0</v>
      </c>
    </row>
    <row r="224" spans="1:23" hidden="1" x14ac:dyDescent="0.2">
      <c r="A224" s="7" t="str">
        <f>Data!A532</f>
        <v>Perrigo Company plc</v>
      </c>
      <c r="B224" s="7" t="str">
        <f>Data!B532</f>
        <v>PRGO</v>
      </c>
      <c r="C224" s="7" t="str">
        <f>Data!C532</f>
        <v>Health Care</v>
      </c>
      <c r="D224" s="8">
        <f>IF(ISNUMBER(Data!AL532),Data!AL532/1000,"n/a")</f>
        <v>5.32</v>
      </c>
      <c r="E224" s="1">
        <f>Data!E532</f>
        <v>20</v>
      </c>
      <c r="F224" s="28">
        <f>Data!J532/100</f>
        <v>2.5819265143992055E-2</v>
      </c>
      <c r="G224" s="28">
        <f>IF(ISNUMBER(Data!S532),Data!S532/100,"n/a")</f>
        <v>6.6666666666666652E-2</v>
      </c>
      <c r="H224" s="28">
        <f>IF(ISNUMBER(Data!T532),Data!T532/100,"n/a")</f>
        <v>8.0983869874452274E-2</v>
      </c>
      <c r="I224" s="28">
        <f>IF(ISNUMBER(Data!U532),Data!U532/100,"n/a")</f>
        <v>0.10603443372707044</v>
      </c>
      <c r="J224" s="28">
        <f>IF(ISNUMBER(Data!V532),Data!V532/100,"n/a")</f>
        <v>0.12716455524132009</v>
      </c>
      <c r="K224" s="9" t="str">
        <f>IF(ISNUMBER(Data!Z532),Data!Z532/100,"n/a")</f>
        <v>n/a</v>
      </c>
      <c r="L224" s="10" t="str">
        <f>Data!AA532</f>
        <v>n/a</v>
      </c>
      <c r="M224" s="10">
        <f>Data!AF532</f>
        <v>1.1299999999999999</v>
      </c>
      <c r="N224" s="28">
        <f>IF(ISNUMBER(Data!AG532),Data!AG532/100,"n/a")</f>
        <v>-2.3E-2</v>
      </c>
      <c r="O224" s="28">
        <f>IF(ISNUMBER(Data!AJ532),Data!AJ532/100,"n/a")</f>
        <v>0.48899999999999999</v>
      </c>
      <c r="P224" s="9">
        <f>IF(ISNUMBER(Data!AK532),Data!AK532/100,"n/a")</f>
        <v>0.04</v>
      </c>
      <c r="Q224" s="8">
        <f>Data!AN532</f>
        <v>0.85</v>
      </c>
      <c r="R224" s="8">
        <f>Data!AP532</f>
        <v>13.185369887106249</v>
      </c>
      <c r="S224" s="8"/>
      <c r="T224" s="8"/>
      <c r="U224" s="8"/>
      <c r="V224" s="1">
        <f t="shared" si="6"/>
        <v>9</v>
      </c>
      <c r="W224" s="1">
        <f t="shared" si="7"/>
        <v>0</v>
      </c>
    </row>
    <row r="225" spans="1:23" hidden="1" x14ac:dyDescent="0.2">
      <c r="A225" s="7" t="str">
        <f>Data!A530</f>
        <v>PPG Industries, Inc.</v>
      </c>
      <c r="B225" s="7" t="str">
        <f>Data!B530</f>
        <v>PPG</v>
      </c>
      <c r="C225" s="7" t="str">
        <f>Data!C530</f>
        <v>Materials</v>
      </c>
      <c r="D225" s="8">
        <f>IF(ISNUMBER(Data!AL530),Data!AL530/1000,"n/a")</f>
        <v>26.41</v>
      </c>
      <c r="E225" s="1">
        <f>Data!E530</f>
        <v>51</v>
      </c>
      <c r="F225" s="28">
        <f>Data!J530/100</f>
        <v>2.1720091084252931E-2</v>
      </c>
      <c r="G225" s="28">
        <f>IF(ISNUMBER(Data!S530),Data!S530/100,"n/a")</f>
        <v>7.6190476190476142E-2</v>
      </c>
      <c r="H225" s="28">
        <f>IF(ISNUMBER(Data!T530),Data!T530/100,"n/a")</f>
        <v>6.7083730277245346E-2</v>
      </c>
      <c r="I225" s="28">
        <f>IF(ISNUMBER(Data!U530),Data!U530/100,"n/a")</f>
        <v>7.6953044071672361E-2</v>
      </c>
      <c r="J225" s="28">
        <f>IF(ISNUMBER(Data!V530),Data!V530/100,"n/a")</f>
        <v>7.1773462536293131E-2</v>
      </c>
      <c r="K225" s="9">
        <f>IF(ISNUMBER(Data!Z530),Data!Z530/100,"n/a")</f>
        <v>0.55730337078651682</v>
      </c>
      <c r="L225" s="10">
        <f>Data!AA530</f>
        <v>25.658426966292136</v>
      </c>
      <c r="M225" s="10">
        <f>Data!AF530</f>
        <v>4.46</v>
      </c>
      <c r="N225" s="28">
        <f>IF(ISNUMBER(Data!AG530),Data!AG530/100,"n/a")</f>
        <v>0.17399999999999999</v>
      </c>
      <c r="O225" s="28">
        <f>IF(ISNUMBER(Data!AJ530),Data!AJ530/100,"n/a")</f>
        <v>0.23599999999999999</v>
      </c>
      <c r="P225" s="9">
        <f>IF(ISNUMBER(Data!AK530),Data!AK530/100,"n/a")</f>
        <v>5.7000000000000002E-2</v>
      </c>
      <c r="Q225" s="8">
        <f>Data!AN530</f>
        <v>1.1299999999999999</v>
      </c>
      <c r="R225" s="8">
        <f>Data!AP530</f>
        <v>9.8673135155925298</v>
      </c>
      <c r="S225" s="8"/>
      <c r="T225" s="8"/>
      <c r="U225" s="8"/>
      <c r="V225" s="1">
        <f t="shared" si="6"/>
        <v>10</v>
      </c>
      <c r="W225" s="1">
        <f t="shared" si="7"/>
        <v>0</v>
      </c>
    </row>
    <row r="226" spans="1:23" hidden="1" x14ac:dyDescent="0.2">
      <c r="A226" s="7" t="str">
        <f>Data!A534</f>
        <v>Park National Corporation</v>
      </c>
      <c r="B226" s="7" t="str">
        <f>Data!B534</f>
        <v>PRK</v>
      </c>
      <c r="C226" s="7" t="str">
        <f>Data!C534</f>
        <v>Financials</v>
      </c>
      <c r="D226" s="8">
        <f>IF(ISNUMBER(Data!AL534),Data!AL534/1000,"n/a")</f>
        <v>2.29</v>
      </c>
      <c r="E226" s="1">
        <f>Data!E534</f>
        <v>5</v>
      </c>
      <c r="F226" s="28">
        <f>Data!J534/100</f>
        <v>2.8203389830508477E-2</v>
      </c>
      <c r="G226" s="28">
        <f>IF(ISNUMBER(Data!S534),Data!S534/100,"n/a")</f>
        <v>9.8039215686274161E-3</v>
      </c>
      <c r="H226" s="28">
        <f>IF(ISNUMBER(Data!T534),Data!T534/100,"n/a")</f>
        <v>2.5521140952388111E-2</v>
      </c>
      <c r="I226" s="28">
        <f>IF(ISNUMBER(Data!U534),Data!U534/100,"n/a")</f>
        <v>1.845506936166208E-2</v>
      </c>
      <c r="J226" s="28">
        <f>IF(ISNUMBER(Data!V534),Data!V534/100,"n/a")</f>
        <v>9.1853493594038493E-3</v>
      </c>
      <c r="K226" s="9">
        <f>IF(ISNUMBER(Data!Z534),Data!Z534/100,"n/a")</f>
        <v>0.46899661781285235</v>
      </c>
      <c r="L226" s="10">
        <f>Data!AA534</f>
        <v>16.629086809470124</v>
      </c>
      <c r="M226" s="10">
        <f>Data!AF534</f>
        <v>2.2599999999999998</v>
      </c>
      <c r="N226" s="28">
        <f>IF(ISNUMBER(Data!AG534),Data!AG534/100,"n/a")</f>
        <v>0.13500000000000001</v>
      </c>
      <c r="O226" s="28">
        <f>IF(ISNUMBER(Data!AJ534),Data!AJ534/100,"n/a")</f>
        <v>0.109</v>
      </c>
      <c r="P226" s="9">
        <f>IF(ISNUMBER(Data!AK534),Data!AK534/100,"n/a")</f>
        <v>4.1000000000000009E-2</v>
      </c>
      <c r="Q226" s="8">
        <f>Data!AN534</f>
        <v>0.18</v>
      </c>
      <c r="R226" s="8">
        <f>Data!AP534</f>
        <v>4.6658459192170554</v>
      </c>
      <c r="S226" s="8"/>
      <c r="T226" s="8"/>
      <c r="U226" s="8"/>
      <c r="V226" s="1">
        <f t="shared" si="6"/>
        <v>7</v>
      </c>
      <c r="W226" s="1">
        <f t="shared" si="7"/>
        <v>0</v>
      </c>
    </row>
    <row r="227" spans="1:23" hidden="1" x14ac:dyDescent="0.2">
      <c r="A227" s="7" t="str">
        <f>Data!A546</f>
        <v>Rexford Industrial Realty, Inc.</v>
      </c>
      <c r="B227" s="7" t="str">
        <f>Data!B546</f>
        <v>REXR</v>
      </c>
      <c r="C227" s="7" t="str">
        <f>Data!C546</f>
        <v>Real Estate</v>
      </c>
      <c r="D227" s="8">
        <f>IF(ISNUMBER(Data!AL546),Data!AL546/1000,"n/a")</f>
        <v>10.02</v>
      </c>
      <c r="E227" s="1">
        <f>Data!E546</f>
        <v>9</v>
      </c>
      <c r="F227" s="28">
        <f>Data!J546/100</f>
        <v>2.2793053545586108E-2</v>
      </c>
      <c r="G227" s="28">
        <f>IF(ISNUMBER(Data!S546),Data!S546/100,"n/a")</f>
        <v>0.12650602409638556</v>
      </c>
      <c r="H227" s="28">
        <f>IF(ISNUMBER(Data!T546),Data!T546/100,"n/a")</f>
        <v>0.14369581297426315</v>
      </c>
      <c r="I227" s="28">
        <f>IF(ISNUMBER(Data!U546),Data!U546/100,"n/a")</f>
        <v>0.11604979032010497</v>
      </c>
      <c r="J227" s="28" t="str">
        <f>IF(ISNUMBER(Data!V546),Data!V546/100,"n/a")</f>
        <v>n/a</v>
      </c>
      <c r="K227" s="9">
        <f>IF(ISNUMBER(Data!Z546),Data!Z546/100,"n/a")</f>
        <v>1.3548387096774193</v>
      </c>
      <c r="L227" s="10">
        <f>Data!AA546</f>
        <v>59.44086021505376</v>
      </c>
      <c r="M227" s="10">
        <f>Data!AF546</f>
        <v>1.58</v>
      </c>
      <c r="N227" s="28">
        <f>IF(ISNUMBER(Data!AG546),Data!AG546/100,"n/a")</f>
        <v>2.9000000000000005E-2</v>
      </c>
      <c r="O227" s="28">
        <f>IF(ISNUMBER(Data!AJ546),Data!AJ546/100,"n/a")</f>
        <v>0.17100000000000001</v>
      </c>
      <c r="P227" s="9">
        <f>IF(ISNUMBER(Data!AK546),Data!AK546/100,"n/a")</f>
        <v>0.1</v>
      </c>
      <c r="Q227" s="8">
        <f>Data!AN546</f>
        <v>0</v>
      </c>
      <c r="R227" s="8">
        <f>Data!AP546</f>
        <v>13.884284386569108</v>
      </c>
      <c r="S227" s="8"/>
      <c r="T227" s="8"/>
      <c r="U227" s="8"/>
      <c r="V227" s="1">
        <f t="shared" si="6"/>
        <v>8</v>
      </c>
      <c r="W227" s="1">
        <f t="shared" si="7"/>
        <v>0</v>
      </c>
    </row>
    <row r="228" spans="1:23" hidden="1" x14ac:dyDescent="0.2">
      <c r="A228" s="7" t="str">
        <f>Data!A529</f>
        <v>Power Integrations, Inc.</v>
      </c>
      <c r="B228" s="7" t="str">
        <f>Data!B529</f>
        <v>POWI</v>
      </c>
      <c r="C228" s="7" t="str">
        <f>Data!C529</f>
        <v>Information Technology</v>
      </c>
      <c r="D228" s="8">
        <f>IF(ISNUMBER(Data!AL529),Data!AL529/1000,"n/a")</f>
        <v>3.73</v>
      </c>
      <c r="E228" s="1">
        <f>Data!E529</f>
        <v>10</v>
      </c>
      <c r="F228" s="28">
        <f>Data!J529/100</f>
        <v>1.0792984560035978E-2</v>
      </c>
      <c r="G228" s="28">
        <f>IF(ISNUMBER(Data!S529),Data!S529/100,"n/a")</f>
        <v>0.28571428571428581</v>
      </c>
      <c r="H228" s="28">
        <f>IF(ISNUMBER(Data!T529),Data!T529/100,"n/a")</f>
        <v>0.19055078897614952</v>
      </c>
      <c r="I228" s="28">
        <f>IF(ISNUMBER(Data!U529),Data!U529/100,"n/a")</f>
        <v>0.15740161058219848</v>
      </c>
      <c r="J228" s="28">
        <f>IF(ISNUMBER(Data!V529),Data!V529/100,"n/a")</f>
        <v>0.18369380853048423</v>
      </c>
      <c r="K228" s="9">
        <f>IF(ISNUMBER(Data!Z529),Data!Z529/100,"n/a")</f>
        <v>0.23452768729641693</v>
      </c>
      <c r="L228" s="10">
        <f>Data!AA529</f>
        <v>21.729641693811075</v>
      </c>
      <c r="M228" s="10">
        <f>Data!AF529</f>
        <v>5.47</v>
      </c>
      <c r="N228" s="28">
        <f>IF(ISNUMBER(Data!AG529),Data!AG529/100,"n/a")</f>
        <v>0.221</v>
      </c>
      <c r="O228" s="28">
        <f>IF(ISNUMBER(Data!AJ529),Data!AJ529/100,"n/a")</f>
        <v>0.26500000000000001</v>
      </c>
      <c r="P228" s="9">
        <f>IF(ISNUMBER(Data!AK529),Data!AK529/100,"n/a")</f>
        <v>2.8799999999999999E-2</v>
      </c>
      <c r="Q228" s="8">
        <f>Data!AN529</f>
        <v>0</v>
      </c>
      <c r="R228" s="8">
        <f>Data!AP529</f>
        <v>16.819459514223446</v>
      </c>
      <c r="S228" s="8"/>
      <c r="T228" s="8"/>
      <c r="U228" s="8"/>
      <c r="V228" s="1">
        <f t="shared" si="6"/>
        <v>9</v>
      </c>
      <c r="W228" s="1">
        <f t="shared" si="7"/>
        <v>0</v>
      </c>
    </row>
    <row r="229" spans="1:23" hidden="1" x14ac:dyDescent="0.2">
      <c r="A229" s="7" t="str">
        <f>Data!A521</f>
        <v>Philip Morris International Inc.</v>
      </c>
      <c r="B229" s="7" t="str">
        <f>Data!B521</f>
        <v>PM</v>
      </c>
      <c r="C229" s="7" t="str">
        <f>Data!C521</f>
        <v>Consumer Staples</v>
      </c>
      <c r="D229" s="8">
        <f>IF(ISNUMBER(Data!AL521),Data!AL521/1000,"n/a")</f>
        <v>138.80000000000001</v>
      </c>
      <c r="E229" s="1">
        <f>Data!E521</f>
        <v>15</v>
      </c>
      <c r="F229" s="28">
        <f>Data!J521/100</f>
        <v>5.5307566684812202E-2</v>
      </c>
      <c r="G229" s="28">
        <f>IF(ISNUMBER(Data!S521),Data!S521/100,"n/a")</f>
        <v>2.9723991507430991E-2</v>
      </c>
      <c r="H229" s="28">
        <f>IF(ISNUMBER(Data!T521),Data!T521/100,"n/a")</f>
        <v>3.1430152029267022E-2</v>
      </c>
      <c r="I229" s="28">
        <f>IF(ISNUMBER(Data!U521),Data!U521/100,"n/a")</f>
        <v>3.4169145380273935E-2</v>
      </c>
      <c r="J229" s="28">
        <f>IF(ISNUMBER(Data!V521),Data!V521/100,"n/a")</f>
        <v>6.0715575013404965E-2</v>
      </c>
      <c r="K229" s="9">
        <f>IF(ISNUMBER(Data!Z521),Data!Z521/100,"n/a")</f>
        <v>0.90552584670231728</v>
      </c>
      <c r="L229" s="10">
        <f>Data!AA521</f>
        <v>16.372549019607842</v>
      </c>
      <c r="M229" s="10" t="str">
        <f>Data!AF521</f>
        <v>n/a</v>
      </c>
      <c r="N229" s="28">
        <f>IF(ISNUMBER(Data!AG521),Data!AG521/100,"n/a")</f>
        <v>-0.90900000000000003</v>
      </c>
      <c r="O229" s="28">
        <f>IF(ISNUMBER(Data!AJ521),Data!AJ521/100,"n/a")</f>
        <v>5.4000000000000006E-2</v>
      </c>
      <c r="P229" s="9">
        <f>IF(ISNUMBER(Data!AK521),Data!AK521/100,"n/a")</f>
        <v>2.8300000000000002E-2</v>
      </c>
      <c r="Q229" s="8" t="str">
        <f>Data!AN521</f>
        <v>n/a</v>
      </c>
      <c r="R229" s="8">
        <f>Data!AP521</f>
        <v>8.9476712065086126</v>
      </c>
      <c r="S229" s="8"/>
      <c r="T229" s="8"/>
      <c r="U229" s="8"/>
      <c r="V229" s="1">
        <f t="shared" si="6"/>
        <v>6</v>
      </c>
      <c r="W229" s="1">
        <f t="shared" si="7"/>
        <v>0</v>
      </c>
    </row>
    <row r="230" spans="1:23" hidden="1" x14ac:dyDescent="0.2">
      <c r="A230" s="7" t="str">
        <f>Data!A519</f>
        <v>Prologis, Inc.</v>
      </c>
      <c r="B230" s="7" t="str">
        <f>Data!B519</f>
        <v>PLD</v>
      </c>
      <c r="C230" s="7" t="str">
        <f>Data!C519</f>
        <v>Real Estate</v>
      </c>
      <c r="D230" s="8">
        <f>IF(ISNUMBER(Data!AL519),Data!AL519/1000,"n/a")</f>
        <v>102.49</v>
      </c>
      <c r="E230" s="1">
        <f>Data!E519</f>
        <v>9</v>
      </c>
      <c r="F230" s="28">
        <f>Data!J519/100</f>
        <v>2.8532731376975172E-2</v>
      </c>
      <c r="G230" s="28">
        <f>IF(ISNUMBER(Data!S519),Data!S519/100,"n/a")</f>
        <v>8.6206896551724199E-2</v>
      </c>
      <c r="H230" s="28">
        <f>IF(ISNUMBER(Data!T519),Data!T519/100,"n/a")</f>
        <v>9.4879784971972261E-2</v>
      </c>
      <c r="I230" s="28">
        <f>IF(ISNUMBER(Data!U519),Data!U519/100,"n/a")</f>
        <v>8.4471771197698539E-2</v>
      </c>
      <c r="J230" s="28">
        <f>IF(ISNUMBER(Data!V519),Data!V519/100,"n/a")</f>
        <v>8.4471771197698539E-2</v>
      </c>
      <c r="K230" s="9">
        <f>IF(ISNUMBER(Data!Z519),Data!Z519/100,"n/a")</f>
        <v>0.58518518518518514</v>
      </c>
      <c r="L230" s="10">
        <f>Data!AA519</f>
        <v>20.50925925925926</v>
      </c>
      <c r="M230" s="10">
        <f>Data!AF519</f>
        <v>2.38</v>
      </c>
      <c r="N230" s="28">
        <f>IF(ISNUMBER(Data!AG519),Data!AG519/100,"n/a")</f>
        <v>0.11700000000000001</v>
      </c>
      <c r="O230" s="28">
        <f>IF(ISNUMBER(Data!AJ519),Data!AJ519/100,"n/a")</f>
        <v>0.11700000000000001</v>
      </c>
      <c r="P230" s="9">
        <f>IF(ISNUMBER(Data!AK519),Data!AK519/100,"n/a")</f>
        <v>-6.0499999999999998E-2</v>
      </c>
      <c r="Q230" s="8">
        <f>Data!AN519</f>
        <v>0.51</v>
      </c>
      <c r="R230" s="8">
        <f>Data!AP519</f>
        <v>11.300450257467372</v>
      </c>
      <c r="S230" s="8"/>
      <c r="T230" s="8"/>
      <c r="U230" s="8"/>
      <c r="V230" s="1">
        <f t="shared" si="6"/>
        <v>9</v>
      </c>
      <c r="W230" s="1">
        <f t="shared" si="7"/>
        <v>0</v>
      </c>
    </row>
    <row r="231" spans="1:23" hidden="1" x14ac:dyDescent="0.2">
      <c r="A231" s="7" t="str">
        <f>Data!A540</f>
        <v>Quaint Oak Bancorp, Inc.</v>
      </c>
      <c r="B231" s="7" t="str">
        <f>Data!B540</f>
        <v>QNTO</v>
      </c>
      <c r="C231" s="7" t="str">
        <f>Data!C540</f>
        <v>Financials</v>
      </c>
      <c r="D231" s="8" t="str">
        <f>IF(ISNUMBER(Data!AL540),Data!AL540/1000,"n/a")</f>
        <v>n/a</v>
      </c>
      <c r="E231" s="1">
        <f>Data!E540</f>
        <v>15</v>
      </c>
      <c r="F231" s="28">
        <f>Data!J540/100</f>
        <v>2.3370786516853932E-2</v>
      </c>
      <c r="G231" s="28">
        <f>IF(ISNUMBER(Data!S540),Data!S540/100,"n/a")</f>
        <v>0.16666666666666674</v>
      </c>
      <c r="H231" s="28">
        <f>IF(ISNUMBER(Data!T540),Data!T540/100,"n/a")</f>
        <v>0.17334388455582039</v>
      </c>
      <c r="I231" s="28">
        <f>IF(ISNUMBER(Data!U540),Data!U540/100,"n/a")</f>
        <v>0.21672868378641152</v>
      </c>
      <c r="J231" s="28">
        <f>IF(ISNUMBER(Data!V540),Data!V540/100,"n/a")</f>
        <v>0.20058953021849812</v>
      </c>
      <c r="K231" s="9" t="str">
        <f>IF(ISNUMBER(Data!Z540),Data!Z540/100,"n/a")</f>
        <v>n/a</v>
      </c>
      <c r="L231" s="10" t="str">
        <f>Data!AA540</f>
        <v>n/a</v>
      </c>
      <c r="M231" s="10" t="str">
        <f>Data!AF540</f>
        <v>n/a</v>
      </c>
      <c r="N231" s="28" t="str">
        <f>IF(ISNUMBER(Data!AG540),Data!AG540/100,"n/a")</f>
        <v>n/a</v>
      </c>
      <c r="O231" s="28" t="str">
        <f>IF(ISNUMBER(Data!AJ540),Data!AJ540/100,"n/a")</f>
        <v>n/a</v>
      </c>
      <c r="P231" s="9" t="str">
        <f>IF(ISNUMBER(Data!AK540),Data!AK540/100,"n/a")</f>
        <v>n/a</v>
      </c>
      <c r="Q231" s="8" t="str">
        <f>Data!AN540</f>
        <v>n/a</v>
      </c>
      <c r="R231" s="8">
        <f>Data!AP540</f>
        <v>24.009947030326543</v>
      </c>
      <c r="S231" s="8"/>
      <c r="T231" s="8"/>
      <c r="U231" s="8"/>
      <c r="V231" s="1">
        <f t="shared" si="6"/>
        <v>5</v>
      </c>
      <c r="W231" s="1">
        <f t="shared" si="7"/>
        <v>0</v>
      </c>
    </row>
    <row r="232" spans="1:23" hidden="1" x14ac:dyDescent="0.2">
      <c r="A232" s="7" t="str">
        <f>Data!A518</f>
        <v>Polaris Inc.</v>
      </c>
      <c r="B232" s="7" t="str">
        <f>Data!B518</f>
        <v>PII</v>
      </c>
      <c r="C232" s="7" t="str">
        <f>Data!C518</f>
        <v>Consumer Discretionary</v>
      </c>
      <c r="D232" s="8">
        <f>IF(ISNUMBER(Data!AL518),Data!AL518/1000,"n/a")</f>
        <v>5.83</v>
      </c>
      <c r="E232" s="1">
        <f>Data!E518</f>
        <v>27</v>
      </c>
      <c r="F232" s="28">
        <f>Data!J518/100</f>
        <v>2.5196850393700791E-2</v>
      </c>
      <c r="G232" s="28">
        <f>IF(ISNUMBER(Data!S518),Data!S518/100,"n/a")</f>
        <v>1.6129032258064502E-2</v>
      </c>
      <c r="H232" s="28">
        <f>IF(ISNUMBER(Data!T518),Data!T518/100,"n/a")</f>
        <v>1.6396356814853519E-2</v>
      </c>
      <c r="I232" s="28">
        <f>IF(ISNUMBER(Data!U518),Data!U518/100,"n/a")</f>
        <v>2.7532511481100252E-2</v>
      </c>
      <c r="J232" s="28">
        <f>IF(ISNUMBER(Data!V518),Data!V518/100,"n/a")</f>
        <v>0.108449222600272</v>
      </c>
      <c r="K232" s="9">
        <f>IF(ISNUMBER(Data!Z518),Data!Z518/100,"n/a")</f>
        <v>0.31372549019607843</v>
      </c>
      <c r="L232" s="10">
        <f>Data!AA518</f>
        <v>12.450980392156861</v>
      </c>
      <c r="M232" s="10">
        <f>Data!AF518</f>
        <v>5.93</v>
      </c>
      <c r="N232" s="28">
        <f>IF(ISNUMBER(Data!AG518),Data!AG518/100,"n/a")</f>
        <v>0.30499999999999999</v>
      </c>
      <c r="O232" s="28">
        <f>IF(ISNUMBER(Data!AJ518),Data!AJ518/100,"n/a")</f>
        <v>0.192</v>
      </c>
      <c r="P232" s="9">
        <f>IF(ISNUMBER(Data!AK518),Data!AK518/100,"n/a")</f>
        <v>0.15</v>
      </c>
      <c r="Q232" s="8">
        <f>Data!AN518</f>
        <v>2.1</v>
      </c>
      <c r="R232" s="8">
        <f>Data!AP518</f>
        <v>5.272936187480104</v>
      </c>
      <c r="S232" s="8"/>
      <c r="T232" s="8"/>
      <c r="U232" s="8"/>
      <c r="V232" s="1">
        <f t="shared" si="6"/>
        <v>8</v>
      </c>
      <c r="W232" s="1">
        <f t="shared" si="7"/>
        <v>0</v>
      </c>
    </row>
    <row r="233" spans="1:23" hidden="1" x14ac:dyDescent="0.2">
      <c r="A233" s="7" t="str">
        <f>Data!A539</f>
        <v>QNB Corp.</v>
      </c>
      <c r="B233" s="7" t="str">
        <f>Data!B539</f>
        <v>QNBC</v>
      </c>
      <c r="C233" s="7" t="str">
        <f>Data!C539</f>
        <v>Financials</v>
      </c>
      <c r="D233" s="8" t="str">
        <f>IF(ISNUMBER(Data!AL539),Data!AL539/1000,"n/a")</f>
        <v>n/a</v>
      </c>
      <c r="E233" s="1">
        <f>Data!E539</f>
        <v>12</v>
      </c>
      <c r="F233" s="28">
        <f>Data!J539/100</f>
        <v>5.3631284916201102E-2</v>
      </c>
      <c r="G233" s="28">
        <f>IF(ISNUMBER(Data!S539),Data!S539/100,"n/a")</f>
        <v>2.9411764705882248E-2</v>
      </c>
      <c r="H233" s="28">
        <f>IF(ISNUMBER(Data!T539),Data!T539/100,"n/a")</f>
        <v>3.0321324952139239E-2</v>
      </c>
      <c r="I233" s="28">
        <f>IF(ISNUMBER(Data!U539),Data!U539/100,"n/a")</f>
        <v>3.1310306477545069E-2</v>
      </c>
      <c r="J233" s="28">
        <f>IF(ISNUMBER(Data!V539),Data!V539/100,"n/a")</f>
        <v>3.4219694129380196E-2</v>
      </c>
      <c r="K233" s="9" t="str">
        <f>IF(ISNUMBER(Data!Z539),Data!Z539/100,"n/a")</f>
        <v>n/a</v>
      </c>
      <c r="L233" s="10" t="str">
        <f>Data!AA539</f>
        <v>n/a</v>
      </c>
      <c r="M233" s="10" t="str">
        <f>Data!AF539</f>
        <v>n/a</v>
      </c>
      <c r="N233" s="28" t="str">
        <f>IF(ISNUMBER(Data!AG539),Data!AG539/100,"n/a")</f>
        <v>n/a</v>
      </c>
      <c r="O233" s="28" t="str">
        <f>IF(ISNUMBER(Data!AJ539),Data!AJ539/100,"n/a")</f>
        <v>n/a</v>
      </c>
      <c r="P233" s="9" t="str">
        <f>IF(ISNUMBER(Data!AK539),Data!AK539/100,"n/a")</f>
        <v>n/a</v>
      </c>
      <c r="Q233" s="8" t="str">
        <f>Data!AN539</f>
        <v>n/a</v>
      </c>
      <c r="R233" s="8">
        <f>Data!AP539</f>
        <v>8.4941591393746165</v>
      </c>
      <c r="S233" s="8"/>
      <c r="T233" s="8"/>
      <c r="U233" s="8"/>
      <c r="V233" s="1">
        <f t="shared" si="6"/>
        <v>1</v>
      </c>
      <c r="W233" s="1">
        <f t="shared" si="7"/>
        <v>0</v>
      </c>
    </row>
    <row r="234" spans="1:23" hidden="1" x14ac:dyDescent="0.2">
      <c r="A234" s="7" t="str">
        <f>Data!A523</f>
        <v>The PNC Financial Services Group, Inc.</v>
      </c>
      <c r="B234" s="7" t="str">
        <f>Data!B523</f>
        <v>PNC</v>
      </c>
      <c r="C234" s="7" t="str">
        <f>Data!C523</f>
        <v>Financials</v>
      </c>
      <c r="D234" s="8">
        <f>IF(ISNUMBER(Data!AL523),Data!AL523/1000,"n/a")</f>
        <v>65.040000000000006</v>
      </c>
      <c r="E234" s="1">
        <f>Data!E523</f>
        <v>12</v>
      </c>
      <c r="F234" s="28">
        <f>Data!J523/100</f>
        <v>3.7075943891738239E-2</v>
      </c>
      <c r="G234" s="28">
        <f>IF(ISNUMBER(Data!S523),Data!S523/100,"n/a")</f>
        <v>4.3478260869565188E-2</v>
      </c>
      <c r="H234" s="28">
        <f>IF(ISNUMBER(Data!T523),Data!T523/100,"n/a")</f>
        <v>0.12181378776036711</v>
      </c>
      <c r="I234" s="28">
        <f>IF(ISNUMBER(Data!U523),Data!U523/100,"n/a")</f>
        <v>0.17755465956757388</v>
      </c>
      <c r="J234" s="28">
        <f>IF(ISNUMBER(Data!V523),Data!V523/100,"n/a")</f>
        <v>0.16303701590463818</v>
      </c>
      <c r="K234" s="9">
        <f>IF(ISNUMBER(Data!Z523),Data!Z523/100,"n/a")</f>
        <v>0.46985121378230227</v>
      </c>
      <c r="L234" s="10">
        <f>Data!AA523</f>
        <v>12.672670321064997</v>
      </c>
      <c r="M234" s="10">
        <f>Data!AF523</f>
        <v>1.42</v>
      </c>
      <c r="N234" s="28">
        <f>IF(ISNUMBER(Data!AG523),Data!AG523/100,"n/a")</f>
        <v>9.6000000000000002E-2</v>
      </c>
      <c r="O234" s="28">
        <f>IF(ISNUMBER(Data!AJ523),Data!AJ523/100,"n/a")</f>
        <v>0.11600000000000002</v>
      </c>
      <c r="P234" s="9">
        <f>IF(ISNUMBER(Data!AK523),Data!AK523/100,"n/a")</f>
        <v>-4.0199999999999993E-2</v>
      </c>
      <c r="Q234" s="8">
        <f>Data!AN523</f>
        <v>0.55000000000000004</v>
      </c>
      <c r="R234" s="8">
        <f>Data!AP523</f>
        <v>21.463060345931211</v>
      </c>
      <c r="S234" s="8"/>
      <c r="T234" s="8"/>
      <c r="U234" s="8"/>
      <c r="V234" s="1">
        <f t="shared" si="6"/>
        <v>9</v>
      </c>
      <c r="W234" s="1">
        <f t="shared" si="7"/>
        <v>0</v>
      </c>
    </row>
    <row r="235" spans="1:23" hidden="1" x14ac:dyDescent="0.2">
      <c r="A235" s="7" t="str">
        <f>Data!A513</f>
        <v>Pfizer Inc.</v>
      </c>
      <c r="B235" s="7" t="str">
        <f>Data!B513</f>
        <v>PFE</v>
      </c>
      <c r="C235" s="7" t="str">
        <f>Data!C513</f>
        <v>Health Care</v>
      </c>
      <c r="D235" s="8">
        <f>IF(ISNUMBER(Data!AL513),Data!AL513/1000,"n/a")</f>
        <v>256.70999999999998</v>
      </c>
      <c r="E235" s="1">
        <f>Data!E513</f>
        <v>12</v>
      </c>
      <c r="F235" s="28">
        <f>Data!J513/100</f>
        <v>3.4371643394199791E-2</v>
      </c>
      <c r="G235" s="28">
        <f>IF(ISNUMBER(Data!S513),Data!S513/100,"n/a")</f>
        <v>2.6315789473684292E-2</v>
      </c>
      <c r="H235" s="28">
        <f>IF(ISNUMBER(Data!T513),Data!T513/100,"n/a")</f>
        <v>4.6795619671746724E-2</v>
      </c>
      <c r="I235" s="28">
        <f>IF(ISNUMBER(Data!U513),Data!U513/100,"n/a")</f>
        <v>5.387395206178347E-2</v>
      </c>
      <c r="J235" s="28">
        <f>IF(ISNUMBER(Data!V513),Data!V513/100,"n/a")</f>
        <v>6.9063399154400296E-2</v>
      </c>
      <c r="K235" s="9">
        <f>IF(ISNUMBER(Data!Z513),Data!Z513/100,"n/a")</f>
        <v>0.30828516377649323</v>
      </c>
      <c r="L235" s="10">
        <f>Data!AA513</f>
        <v>8.9691714836223486</v>
      </c>
      <c r="M235" s="10">
        <f>Data!AF513</f>
        <v>3.04</v>
      </c>
      <c r="N235" s="28">
        <f>IF(ISNUMBER(Data!AG513),Data!AG513/100,"n/a")</f>
        <v>0.36299999999999999</v>
      </c>
      <c r="O235" s="28">
        <f>IF(ISNUMBER(Data!AJ513),Data!AJ513/100,"n/a")</f>
        <v>0.27400000000000002</v>
      </c>
      <c r="P235" s="9">
        <f>IF(ISNUMBER(Data!AK513),Data!AK513/100,"n/a")</f>
        <v>-1.7999999999999999E-2</v>
      </c>
      <c r="Q235" s="8">
        <f>Data!AN513</f>
        <v>0.46</v>
      </c>
      <c r="R235" s="8">
        <f>Data!AP513</f>
        <v>8.8245595455983263</v>
      </c>
      <c r="S235" s="8"/>
      <c r="T235" s="8"/>
      <c r="U235" s="8"/>
      <c r="V235" s="1">
        <f t="shared" si="6"/>
        <v>8</v>
      </c>
      <c r="W235" s="1">
        <f t="shared" si="7"/>
        <v>0</v>
      </c>
    </row>
    <row r="236" spans="1:23" hidden="1" x14ac:dyDescent="0.2">
      <c r="A236" s="7" t="str">
        <f>Data!A516</f>
        <v>The Procter &amp; Gamble Company</v>
      </c>
      <c r="B236" s="7" t="str">
        <f>Data!B516</f>
        <v>PG</v>
      </c>
      <c r="C236" s="7" t="str">
        <f>Data!C516</f>
        <v>Consumer Staples</v>
      </c>
      <c r="D236" s="8">
        <f>IF(ISNUMBER(Data!AL516),Data!AL516/1000,"n/a")</f>
        <v>312.52</v>
      </c>
      <c r="E236" s="1">
        <f>Data!E516</f>
        <v>66</v>
      </c>
      <c r="F236" s="28">
        <f>Data!J516/100</f>
        <v>2.7127051310611126E-2</v>
      </c>
      <c r="G236" s="28">
        <f>IF(ISNUMBER(Data!S516),Data!S516/100,"n/a")</f>
        <v>9.0474663245670328E-2</v>
      </c>
      <c r="H236" s="28">
        <f>IF(ISNUMBER(Data!T516),Data!T516/100,"n/a")</f>
        <v>6.168731407043837E-2</v>
      </c>
      <c r="I236" s="28">
        <f>IF(ISNUMBER(Data!U516),Data!U516/100,"n/a")</f>
        <v>4.9422940563122797E-2</v>
      </c>
      <c r="J236" s="28">
        <f>IF(ISNUMBER(Data!V516),Data!V516/100,"n/a")</f>
        <v>5.1550084598174672E-2</v>
      </c>
      <c r="K236" s="9">
        <f>IF(ISNUMBER(Data!Z516),Data!Z516/100,"n/a")</f>
        <v>0.63313691507798964</v>
      </c>
      <c r="L236" s="10">
        <f>Data!AA516</f>
        <v>23.339688041594453</v>
      </c>
      <c r="M236" s="10">
        <f>Data!AF516</f>
        <v>7.46</v>
      </c>
      <c r="N236" s="28">
        <f>IF(ISNUMBER(Data!AG516),Data!AG516/100,"n/a")</f>
        <v>0.32200000000000001</v>
      </c>
      <c r="O236" s="28">
        <f>IF(ISNUMBER(Data!AJ516),Data!AJ516/100,"n/a")</f>
        <v>9.5000000000000001E-2</v>
      </c>
      <c r="P236" s="9">
        <f>IF(ISNUMBER(Data!AK516),Data!AK516/100,"n/a")</f>
        <v>4.7899999999999998E-2</v>
      </c>
      <c r="Q236" s="8">
        <f>Data!AN516</f>
        <v>0.76</v>
      </c>
      <c r="R236" s="8">
        <f>Data!AP516</f>
        <v>7.6549991873733925</v>
      </c>
      <c r="S236" s="8"/>
      <c r="T236" s="8"/>
      <c r="U236" s="8"/>
      <c r="V236" s="1">
        <f t="shared" si="6"/>
        <v>8</v>
      </c>
      <c r="W236" s="1">
        <f t="shared" si="7"/>
        <v>0</v>
      </c>
    </row>
    <row r="237" spans="1:23" hidden="1" x14ac:dyDescent="0.2">
      <c r="A237" s="7" t="str">
        <f>Data!A533</f>
        <v>Primerica, Inc.</v>
      </c>
      <c r="B237" s="7" t="str">
        <f>Data!B533</f>
        <v>PRI</v>
      </c>
      <c r="C237" s="7" t="str">
        <f>Data!C533</f>
        <v>Financials</v>
      </c>
      <c r="D237" s="8">
        <f>IF(ISNUMBER(Data!AL533),Data!AL533/1000,"n/a")</f>
        <v>5.17</v>
      </c>
      <c r="E237" s="1">
        <f>Data!E533</f>
        <v>13</v>
      </c>
      <c r="F237" s="28">
        <f>Data!J533/100</f>
        <v>1.5203870076019355E-2</v>
      </c>
      <c r="G237" s="28">
        <f>IF(ISNUMBER(Data!S533),Data!S533/100,"n/a")</f>
        <v>0.17499999999999982</v>
      </c>
      <c r="H237" s="28">
        <f>IF(ISNUMBER(Data!T533),Data!T533/100,"n/a")</f>
        <v>0.23420115855534362</v>
      </c>
      <c r="I237" s="28">
        <f>IF(ISNUMBER(Data!U533),Data!U533/100,"n/a")</f>
        <v>0.21846192255890506</v>
      </c>
      <c r="J237" s="28">
        <f>IF(ISNUMBER(Data!V533),Data!V533/100,"n/a")</f>
        <v>0.34095988147943168</v>
      </c>
      <c r="K237" s="9">
        <f>IF(ISNUMBER(Data!Z533),Data!Z533/100,"n/a")</f>
        <v>0.25730994152046782</v>
      </c>
      <c r="L237" s="10">
        <f>Data!AA533</f>
        <v>16.923976608187132</v>
      </c>
      <c r="M237" s="10">
        <f>Data!AF533</f>
        <v>3.09</v>
      </c>
      <c r="N237" s="28">
        <f>IF(ISNUMBER(Data!AG533),Data!AG533/100,"n/a")</f>
        <v>0.17</v>
      </c>
      <c r="O237" s="28">
        <f>IF(ISNUMBER(Data!AJ533),Data!AJ533/100,"n/a")</f>
        <v>0.154</v>
      </c>
      <c r="P237" s="9">
        <f>IF(ISNUMBER(Data!AK533),Data!AK533/100,"n/a")</f>
        <v>9.4E-2</v>
      </c>
      <c r="Q237" s="8">
        <f>Data!AN533</f>
        <v>1.1299999999999999</v>
      </c>
      <c r="R237" s="8">
        <f>Data!AP533</f>
        <v>23.366579263492444</v>
      </c>
      <c r="S237" s="8"/>
      <c r="T237" s="8"/>
      <c r="U237" s="8"/>
      <c r="V237" s="1">
        <f t="shared" si="6"/>
        <v>9</v>
      </c>
      <c r="W237" s="1">
        <f t="shared" si="7"/>
        <v>0</v>
      </c>
    </row>
    <row r="238" spans="1:23" hidden="1" x14ac:dyDescent="0.2">
      <c r="A238" s="7" t="str">
        <f>Data!A515</f>
        <v>Peoples Financial Services Corp.</v>
      </c>
      <c r="B238" s="7" t="str">
        <f>Data!B515</f>
        <v>PFIS</v>
      </c>
      <c r="C238" s="7" t="str">
        <f>Data!C515</f>
        <v>Financials</v>
      </c>
      <c r="D238" s="8">
        <f>IF(ISNUMBER(Data!AL515),Data!AL515/1000,"n/a")</f>
        <v>0.39550999999999997</v>
      </c>
      <c r="E238" s="1">
        <f>Data!E515</f>
        <v>6</v>
      </c>
      <c r="F238" s="28">
        <f>Data!J515/100</f>
        <v>2.9096199308965266E-2</v>
      </c>
      <c r="G238" s="28">
        <f>IF(ISNUMBER(Data!S515),Data!S515/100,"n/a")</f>
        <v>4.1666666666666741E-2</v>
      </c>
      <c r="H238" s="28">
        <f>IF(ISNUMBER(Data!T515),Data!T515/100,"n/a")</f>
        <v>4.6180580975712093E-2</v>
      </c>
      <c r="I238" s="28">
        <f>IF(ISNUMBER(Data!U515),Data!U515/100,"n/a")</f>
        <v>3.8804721244317664E-2</v>
      </c>
      <c r="J238" s="28">
        <f>IF(ISNUMBER(Data!V515),Data!V515/100,"n/a")</f>
        <v>6.4878668033606202E-2</v>
      </c>
      <c r="K238" s="9">
        <f>IF(ISNUMBER(Data!Z515),Data!Z515/100,"n/a")</f>
        <v>0.25437201907790147</v>
      </c>
      <c r="L238" s="10">
        <f>Data!AA515</f>
        <v>8.7424483306836258</v>
      </c>
      <c r="M238" s="10">
        <f>Data!AF515</f>
        <v>1.3</v>
      </c>
      <c r="N238" s="28">
        <f>IF(ISNUMBER(Data!AG515),Data!AG515/100,"n/a")</f>
        <v>0.13400000000000001</v>
      </c>
      <c r="O238" s="28">
        <f>IF(ISNUMBER(Data!AJ515),Data!AJ515/100,"n/a")</f>
        <v>0.17800000000000002</v>
      </c>
      <c r="P238" s="9" t="str">
        <f>IF(ISNUMBER(Data!AK515),Data!AK515/100,"n/a")</f>
        <v>n/a</v>
      </c>
      <c r="Q238" s="8">
        <f>Data!AN515</f>
        <v>0.11</v>
      </c>
      <c r="R238" s="8">
        <f>Data!AP515</f>
        <v>6.7900920553282926</v>
      </c>
      <c r="S238" s="8"/>
      <c r="T238" s="8"/>
      <c r="U238" s="8"/>
      <c r="V238" s="1">
        <f t="shared" si="6"/>
        <v>6</v>
      </c>
      <c r="W238" s="1">
        <f t="shared" si="7"/>
        <v>0</v>
      </c>
    </row>
    <row r="239" spans="1:23" hidden="1" x14ac:dyDescent="0.2">
      <c r="A239" s="7" t="str">
        <f>Data!A525</f>
        <v>Pentair plc</v>
      </c>
      <c r="B239" s="7" t="str">
        <f>Data!B525</f>
        <v>PNR</v>
      </c>
      <c r="C239" s="7" t="str">
        <f>Data!C525</f>
        <v>Industrials</v>
      </c>
      <c r="D239" s="8">
        <f>IF(ISNUMBER(Data!AL525),Data!AL525/1000,"n/a")</f>
        <v>6.8</v>
      </c>
      <c r="E239" s="1">
        <f>Data!E525</f>
        <v>46</v>
      </c>
      <c r="F239" s="28">
        <f>Data!J525/100</f>
        <v>1.9557625145518041E-2</v>
      </c>
      <c r="G239" s="28">
        <f>IF(ISNUMBER(Data!S525),Data!S525/100,"n/a")</f>
        <v>5.2631578947368363E-2</v>
      </c>
      <c r="H239" s="28">
        <f>IF(ISNUMBER(Data!T525),Data!T525/100,"n/a")</f>
        <v>-8.1970899914064477E-3</v>
      </c>
      <c r="I239" s="28">
        <f>IF(ISNUMBER(Data!U525),Data!U525/100,"n/a")</f>
        <v>-2.6156532725383652E-2</v>
      </c>
      <c r="J239" s="28">
        <f>IF(ISNUMBER(Data!V525),Data!V525/100,"n/a")</f>
        <v>4.0613533607269048E-2</v>
      </c>
      <c r="K239" s="9">
        <f>IF(ISNUMBER(Data!Z525),Data!Z525/100,"n/a")</f>
        <v>0.26006191950464397</v>
      </c>
      <c r="L239" s="10">
        <f>Data!AA525</f>
        <v>13.297213622291023</v>
      </c>
      <c r="M239" s="10">
        <f>Data!AF525</f>
        <v>2.67</v>
      </c>
      <c r="N239" s="28">
        <f>IF(ISNUMBER(Data!AG525),Data!AG525/100,"n/a")</f>
        <v>0.21099999999999997</v>
      </c>
      <c r="O239" s="28">
        <f>IF(ISNUMBER(Data!AJ525),Data!AJ525/100,"n/a")</f>
        <v>0.27800000000000002</v>
      </c>
      <c r="P239" s="9">
        <f>IF(ISNUMBER(Data!AK525),Data!AK525/100,"n/a")</f>
        <v>5.0999999999999997E-2</v>
      </c>
      <c r="Q239" s="8">
        <f>Data!AN525</f>
        <v>0.93</v>
      </c>
      <c r="R239" s="8">
        <f>Data!AP525</f>
        <v>-0.65989075798656116</v>
      </c>
      <c r="S239" s="8"/>
      <c r="T239" s="8"/>
      <c r="U239" s="8"/>
      <c r="V239" s="1">
        <f t="shared" si="6"/>
        <v>7</v>
      </c>
      <c r="W239" s="1">
        <f t="shared" si="7"/>
        <v>0</v>
      </c>
    </row>
    <row r="240" spans="1:23" hidden="1" x14ac:dyDescent="0.2">
      <c r="A240" s="7" t="str">
        <f>Data!A543</f>
        <v>Ritchie Bros. Auctioneers Incorporated</v>
      </c>
      <c r="B240" s="7" t="str">
        <f>Data!B543</f>
        <v>RBA</v>
      </c>
      <c r="C240" s="7" t="str">
        <f>Data!C543</f>
        <v>Industrials</v>
      </c>
      <c r="D240" s="8">
        <f>IF(ISNUMBER(Data!AL543),Data!AL543/1000,"n/a")</f>
        <v>7.07</v>
      </c>
      <c r="E240" s="1">
        <f>Data!E543</f>
        <v>22</v>
      </c>
      <c r="F240" s="28">
        <f>Data!J543/100</f>
        <v>1.653145568651462E-2</v>
      </c>
      <c r="G240" s="28">
        <f>IF(ISNUMBER(Data!S543),Data!S543/100,"n/a")</f>
        <v>0.11904761904761907</v>
      </c>
      <c r="H240" s="28">
        <f>IF(ISNUMBER(Data!T543),Data!T543/100,"n/a")</f>
        <v>0.10325677865290107</v>
      </c>
      <c r="I240" s="28">
        <f>IF(ISNUMBER(Data!U543),Data!U543/100,"n/a")</f>
        <v>7.3289260123837519E-2</v>
      </c>
      <c r="J240" s="28">
        <f>IF(ISNUMBER(Data!V543),Data!V543/100,"n/a")</f>
        <v>8.0099735348794679E-2</v>
      </c>
      <c r="K240" s="9">
        <f>IF(ISNUMBER(Data!Z543),Data!Z543/100,"n/a")</f>
        <v>0.40909090909090912</v>
      </c>
      <c r="L240" s="10">
        <f>Data!AA543</f>
        <v>24.746212121212121</v>
      </c>
      <c r="M240" s="10">
        <f>Data!AF543</f>
        <v>5.87</v>
      </c>
      <c r="N240" s="28">
        <f>IF(ISNUMBER(Data!AG543),Data!AG543/100,"n/a")</f>
        <v>0.25600000000000001</v>
      </c>
      <c r="O240" s="28">
        <f>IF(ISNUMBER(Data!AJ543),Data!AJ543/100,"n/a")</f>
        <v>9.8000000000000004E-2</v>
      </c>
      <c r="P240" s="9">
        <f>IF(ISNUMBER(Data!AK543),Data!AK543/100,"n/a")</f>
        <v>0.12</v>
      </c>
      <c r="Q240" s="8">
        <f>Data!AN543</f>
        <v>0.54</v>
      </c>
      <c r="R240" s="8">
        <f>Data!AP543</f>
        <v>8.9820715810352141</v>
      </c>
      <c r="S240" s="8"/>
      <c r="T240" s="8"/>
      <c r="U240" s="8"/>
      <c r="V240" s="1">
        <f t="shared" si="6"/>
        <v>10</v>
      </c>
      <c r="W240" s="1">
        <f t="shared" si="7"/>
        <v>0</v>
      </c>
    </row>
    <row r="241" spans="1:23" hidden="1" x14ac:dyDescent="0.2">
      <c r="A241" s="7" t="str">
        <f>Data!A498</f>
        <v>Old Republic International Corporation</v>
      </c>
      <c r="B241" s="7" t="str">
        <f>Data!B498</f>
        <v>ORI</v>
      </c>
      <c r="C241" s="7" t="str">
        <f>Data!C498</f>
        <v>Financials</v>
      </c>
      <c r="D241" s="8">
        <f>IF(ISNUMBER(Data!AL498),Data!AL498/1000,"n/a")</f>
        <v>7.13</v>
      </c>
      <c r="E241" s="1">
        <f>Data!E498</f>
        <v>41</v>
      </c>
      <c r="F241" s="28">
        <f>Data!J498/100</f>
        <v>3.9638087031451961E-2</v>
      </c>
      <c r="G241" s="28">
        <f>IF(ISNUMBER(Data!S498),Data!S498/100,"n/a")</f>
        <v>4.7619047619047672E-2</v>
      </c>
      <c r="H241" s="28">
        <f>IF(ISNUMBER(Data!T498),Data!T498/100,"n/a")</f>
        <v>4.102866914963843E-2</v>
      </c>
      <c r="I241" s="28">
        <f>IF(ISNUMBER(Data!U498),Data!U498/100,"n/a")</f>
        <v>3.2486261992623389E-2</v>
      </c>
      <c r="J241" s="28">
        <f>IF(ISNUMBER(Data!V498),Data!V498/100,"n/a")</f>
        <v>2.3148008395632802E-2</v>
      </c>
      <c r="K241" s="9">
        <f>IF(ISNUMBER(Data!Z498),Data!Z498/100,"n/a")</f>
        <v>0.35249042145593878</v>
      </c>
      <c r="L241" s="10">
        <f>Data!AA498</f>
        <v>8.8927203065134108</v>
      </c>
      <c r="M241" s="10">
        <f>Data!AF498</f>
        <v>1.1100000000000001</v>
      </c>
      <c r="N241" s="28">
        <f>IF(ISNUMBER(Data!AG498),Data!AG498/100,"n/a")</f>
        <v>0.20300000000000001</v>
      </c>
      <c r="O241" s="28">
        <f>IF(ISNUMBER(Data!AJ498),Data!AJ498/100,"n/a")</f>
        <v>0.26200000000000001</v>
      </c>
      <c r="P241" s="9">
        <f>IF(ISNUMBER(Data!AK498),Data!AK498/100,"n/a")</f>
        <v>0.1</v>
      </c>
      <c r="Q241" s="8">
        <f>Data!AN498</f>
        <v>0.25</v>
      </c>
      <c r="R241" s="8">
        <f>Data!AP498</f>
        <v>7.2124349024075354</v>
      </c>
      <c r="S241" s="8"/>
      <c r="T241" s="8"/>
      <c r="U241" s="8"/>
      <c r="V241" s="1">
        <f t="shared" si="6"/>
        <v>8</v>
      </c>
      <c r="W241" s="1">
        <f t="shared" si="7"/>
        <v>0</v>
      </c>
    </row>
    <row r="242" spans="1:23" hidden="1" x14ac:dyDescent="0.2">
      <c r="A242" s="7" t="str">
        <f>Data!A510</f>
        <v>PepsiCo, Inc.</v>
      </c>
      <c r="B242" s="7" t="str">
        <f>Data!B510</f>
        <v>PEP</v>
      </c>
      <c r="C242" s="7" t="str">
        <f>Data!C510</f>
        <v>Consumer Staples</v>
      </c>
      <c r="D242" s="8">
        <f>IF(ISNUMBER(Data!AL510),Data!AL510/1000,"n/a")</f>
        <v>246.44</v>
      </c>
      <c r="E242" s="1">
        <f>Data!E510</f>
        <v>50</v>
      </c>
      <c r="F242" s="28">
        <f>Data!J510/100</f>
        <v>2.5333186474281306E-2</v>
      </c>
      <c r="G242" s="28">
        <f>IF(ISNUMBER(Data!S510),Data!S510/100,"n/a")</f>
        <v>6.0682680151706858E-2</v>
      </c>
      <c r="H242" s="28">
        <f>IF(ISNUMBER(Data!T510),Data!T510/100,"n/a")</f>
        <v>6.5801291265680684E-2</v>
      </c>
      <c r="I242" s="28">
        <f>IF(ISNUMBER(Data!U510),Data!U510/100,"n/a")</f>
        <v>7.5889812490382846E-2</v>
      </c>
      <c r="J242" s="28">
        <f>IF(ISNUMBER(Data!V510),Data!V510/100,"n/a")</f>
        <v>7.7427084941719349E-2</v>
      </c>
      <c r="K242" s="9">
        <f>IF(ISNUMBER(Data!Z510),Data!Z510/100,"n/a")</f>
        <v>0.65248226950354604</v>
      </c>
      <c r="L242" s="10">
        <f>Data!AA510</f>
        <v>25.756028368794329</v>
      </c>
      <c r="M242" s="10">
        <f>Data!AF510</f>
        <v>13.25</v>
      </c>
      <c r="N242" s="28">
        <f>IF(ISNUMBER(Data!AG510),Data!AG510/100,"n/a")</f>
        <v>0.54100000000000004</v>
      </c>
      <c r="O242" s="28">
        <f>IF(ISNUMBER(Data!AJ510),Data!AJ510/100,"n/a")</f>
        <v>5.2000000000000005E-2</v>
      </c>
      <c r="P242" s="9">
        <f>IF(ISNUMBER(Data!AK510),Data!AK510/100,"n/a")</f>
        <v>8.1699999999999995E-2</v>
      </c>
      <c r="Q242" s="8">
        <f>Data!AN510</f>
        <v>2.0699999999999998</v>
      </c>
      <c r="R242" s="8">
        <f>Data!AP510</f>
        <v>10.122299896466416</v>
      </c>
      <c r="S242" s="8"/>
      <c r="T242" s="8"/>
      <c r="U242" s="8"/>
      <c r="V242" s="1">
        <f t="shared" si="6"/>
        <v>9</v>
      </c>
      <c r="W242" s="1">
        <f t="shared" si="7"/>
        <v>0</v>
      </c>
    </row>
    <row r="243" spans="1:23" hidden="1" x14ac:dyDescent="0.2">
      <c r="A243" s="7" t="str">
        <f>Data!A508</f>
        <v>Peoples Bancorp Inc.</v>
      </c>
      <c r="B243" s="7" t="str">
        <f>Data!B508</f>
        <v>PEBO</v>
      </c>
      <c r="C243" s="7" t="str">
        <f>Data!C508</f>
        <v>Financials</v>
      </c>
      <c r="D243" s="8">
        <f>IF(ISNUMBER(Data!AL508),Data!AL508/1000,"n/a")</f>
        <v>0.82426999999999995</v>
      </c>
      <c r="E243" s="1">
        <f>Data!E508</f>
        <v>7</v>
      </c>
      <c r="F243" s="28">
        <f>Data!J508/100</f>
        <v>5.0214734060125533E-2</v>
      </c>
      <c r="G243" s="28">
        <f>IF(ISNUMBER(Data!S508),Data!S508/100,"n/a")</f>
        <v>4.3795620437956151E-2</v>
      </c>
      <c r="H243" s="28">
        <f>IF(ISNUMBER(Data!T508),Data!T508/100,"n/a")</f>
        <v>8.485743963863035E-2</v>
      </c>
      <c r="I243" s="28">
        <f>IF(ISNUMBER(Data!U508),Data!U508/100,"n/a")</f>
        <v>0.17444102309794474</v>
      </c>
      <c r="J243" s="28">
        <f>IF(ISNUMBER(Data!V508),Data!V508/100,"n/a")</f>
        <v>0.13586731989941092</v>
      </c>
      <c r="K243" s="9">
        <f>IF(ISNUMBER(Data!Z508),Data!Z508/100,"n/a")</f>
        <v>0.58914728682170536</v>
      </c>
      <c r="L243" s="10">
        <f>Data!AA508</f>
        <v>11.732558139534882</v>
      </c>
      <c r="M243" s="10">
        <f>Data!AF508</f>
        <v>1.07</v>
      </c>
      <c r="N243" s="28" t="str">
        <f>IF(ISNUMBER(Data!AG508),Data!AG508/100,"n/a")</f>
        <v>n/a</v>
      </c>
      <c r="O243" s="28">
        <f>IF(ISNUMBER(Data!AJ508),Data!AJ508/100,"n/a")</f>
        <v>4.5999999999999999E-2</v>
      </c>
      <c r="P243" s="9">
        <f>IF(ISNUMBER(Data!AK508),Data!AK508/100,"n/a")</f>
        <v>0.08</v>
      </c>
      <c r="Q243" s="8">
        <f>Data!AN508</f>
        <v>0.11</v>
      </c>
      <c r="R243" s="8">
        <f>Data!AP508</f>
        <v>22.465575715807027</v>
      </c>
      <c r="S243" s="8"/>
      <c r="T243" s="8"/>
      <c r="U243" s="8"/>
      <c r="V243" s="1">
        <f t="shared" si="6"/>
        <v>9</v>
      </c>
      <c r="W243" s="1">
        <f t="shared" si="7"/>
        <v>0</v>
      </c>
    </row>
    <row r="244" spans="1:23" hidden="1" x14ac:dyDescent="0.2">
      <c r="A244" s="7" t="str">
        <f>Data!A507</f>
        <v>Peoples Bancorp of North Carolina, Inc.</v>
      </c>
      <c r="B244" s="7" t="str">
        <f>Data!B507</f>
        <v>PEBK</v>
      </c>
      <c r="C244" s="7" t="str">
        <f>Data!C507</f>
        <v>Financials</v>
      </c>
      <c r="D244" s="8">
        <f>IF(ISNUMBER(Data!AL507),Data!AL507/1000,"n/a")</f>
        <v>0.15518000000000001</v>
      </c>
      <c r="E244" s="1">
        <f>Data!E507</f>
        <v>10</v>
      </c>
      <c r="F244" s="28">
        <f>Data!J507/100</f>
        <v>2.5577264653641206E-2</v>
      </c>
      <c r="G244" s="28">
        <f>IF(ISNUMBER(Data!S507),Data!S507/100,"n/a")</f>
        <v>0.10000000000000009</v>
      </c>
      <c r="H244" s="28">
        <f>IF(ISNUMBER(Data!T507),Data!T507/100,"n/a")</f>
        <v>8.2713447015707833E-2</v>
      </c>
      <c r="I244" s="28">
        <f>IF(ISNUMBER(Data!U507),Data!U507/100,"n/a")</f>
        <v>0.13823151176952675</v>
      </c>
      <c r="J244" s="28">
        <f>IF(ISNUMBER(Data!V507),Data!V507/100,"n/a")</f>
        <v>0.24676517624525673</v>
      </c>
      <c r="K244" s="9">
        <f>IF(ISNUMBER(Data!Z507),Data!Z507/100,"n/a")</f>
        <v>0.27272727272727271</v>
      </c>
      <c r="L244" s="10">
        <f>Data!AA507</f>
        <v>10.662878787878787</v>
      </c>
      <c r="M244" s="10">
        <f>Data!AF507</f>
        <v>1.4</v>
      </c>
      <c r="N244" s="28">
        <f>IF(ISNUMBER(Data!AG507),Data!AG507/100,"n/a")</f>
        <v>0.11</v>
      </c>
      <c r="O244" s="28">
        <f>IF(ISNUMBER(Data!AJ507),Data!AJ507/100,"n/a")</f>
        <v>0.11799999999999999</v>
      </c>
      <c r="P244" s="9" t="str">
        <f>IF(ISNUMBER(Data!AK507),Data!AK507/100,"n/a")</f>
        <v>n/a</v>
      </c>
      <c r="Q244" s="8">
        <f>Data!AN507</f>
        <v>0.14000000000000001</v>
      </c>
      <c r="R244" s="8">
        <f>Data!AP507</f>
        <v>16.380877642316793</v>
      </c>
      <c r="S244" s="8"/>
      <c r="T244" s="8"/>
      <c r="U244" s="8"/>
      <c r="V244" s="1">
        <f t="shared" si="6"/>
        <v>9</v>
      </c>
      <c r="W244" s="1">
        <f t="shared" si="7"/>
        <v>0</v>
      </c>
    </row>
    <row r="245" spans="1:23" hidden="1" x14ac:dyDescent="0.2">
      <c r="A245" s="7" t="str">
        <f>Data!A497</f>
        <v>Oracle Corporation</v>
      </c>
      <c r="B245" s="7" t="str">
        <f>Data!B497</f>
        <v>ORCL</v>
      </c>
      <c r="C245" s="7" t="str">
        <f>Data!C497</f>
        <v>Information Technology</v>
      </c>
      <c r="D245" s="8">
        <f>IF(ISNUMBER(Data!AL497),Data!AL497/1000,"n/a")</f>
        <v>202.62</v>
      </c>
      <c r="E245" s="1">
        <f>Data!E497</f>
        <v>13</v>
      </c>
      <c r="F245" s="28">
        <f>Data!J497/100</f>
        <v>1.6395542461893176E-2</v>
      </c>
      <c r="G245" s="28">
        <f>IF(ISNUMBER(Data!S497),Data!S497/100,"n/a")</f>
        <v>0.25</v>
      </c>
      <c r="H245" s="28">
        <f>IF(ISNUMBER(Data!T497),Data!T497/100,"n/a")</f>
        <v>0.1644545743112158</v>
      </c>
      <c r="I245" s="28">
        <f>IF(ISNUMBER(Data!U497),Data!U497/100,"n/a")</f>
        <v>0.1486983549970351</v>
      </c>
      <c r="J245" s="28">
        <f>IF(ISNUMBER(Data!V497),Data!V497/100,"n/a")</f>
        <v>0.17962872918499428</v>
      </c>
      <c r="K245" s="9">
        <f>IF(ISNUMBER(Data!Z497),Data!Z497/100,"n/a")</f>
        <v>0.60952380952380947</v>
      </c>
      <c r="L245" s="10">
        <f>Data!AA497</f>
        <v>37.17619047619047</v>
      </c>
      <c r="M245" s="10" t="str">
        <f>Data!AF497</f>
        <v>n/a</v>
      </c>
      <c r="N245" s="28">
        <f>IF(ISNUMBER(Data!AG497),Data!AG497/100,"n/a")</f>
        <v>-0.752</v>
      </c>
      <c r="O245" s="28">
        <f>IF(ISNUMBER(Data!AJ497),Data!AJ497/100,"n/a")</f>
        <v>1.4999999999999999E-2</v>
      </c>
      <c r="P245" s="9">
        <f>IF(ISNUMBER(Data!AK497),Data!AK497/100,"n/a")</f>
        <v>0.10800000000000001</v>
      </c>
      <c r="Q245" s="8" t="str">
        <f>Data!AN497</f>
        <v>n/a</v>
      </c>
      <c r="R245" s="8">
        <f>Data!AP497</f>
        <v>16.509389745892825</v>
      </c>
      <c r="S245" s="8"/>
      <c r="T245" s="8"/>
      <c r="U245" s="8"/>
      <c r="V245" s="1">
        <f t="shared" si="6"/>
        <v>7</v>
      </c>
      <c r="W245" s="1">
        <f t="shared" si="7"/>
        <v>0</v>
      </c>
    </row>
    <row r="246" spans="1:23" hidden="1" x14ac:dyDescent="0.2">
      <c r="A246" s="7" t="str">
        <f>Data!A505</f>
        <v>Paychex, Inc.</v>
      </c>
      <c r="B246" s="7" t="str">
        <f>Data!B505</f>
        <v>PAYX</v>
      </c>
      <c r="C246" s="7" t="str">
        <f>Data!C505</f>
        <v>Information Technology</v>
      </c>
      <c r="D246" s="8">
        <f>IF(ISNUMBER(Data!AL505),Data!AL505/1000,"n/a")</f>
        <v>41.72</v>
      </c>
      <c r="E246" s="1">
        <f>Data!E505</f>
        <v>12</v>
      </c>
      <c r="F246" s="28">
        <f>Data!J505/100</f>
        <v>2.6709492012509509E-2</v>
      </c>
      <c r="G246" s="28">
        <f>IF(ISNUMBER(Data!S505),Data!S505/100,"n/a")</f>
        <v>4.8387096774193505E-2</v>
      </c>
      <c r="H246" s="28">
        <f>IF(ISNUMBER(Data!T505),Data!T505/100,"n/a")</f>
        <v>6.0487656968408743E-2</v>
      </c>
      <c r="I246" s="28">
        <f>IF(ISNUMBER(Data!U505),Data!U505/100,"n/a")</f>
        <v>8.1165393261328767E-2</v>
      </c>
      <c r="J246" s="28">
        <f>IF(ISNUMBER(Data!V505),Data!V505/100,"n/a")</f>
        <v>7.5985288632311354E-2</v>
      </c>
      <c r="K246" s="9">
        <f>IF(ISNUMBER(Data!Z505),Data!Z505/100,"n/a")</f>
        <v>0.79797979797979801</v>
      </c>
      <c r="L246" s="10">
        <f>Data!AA505</f>
        <v>29.876262626262626</v>
      </c>
      <c r="M246" s="10">
        <f>Data!AF505</f>
        <v>13.75</v>
      </c>
      <c r="N246" s="28">
        <f>IF(ISNUMBER(Data!AG505),Data!AG505/100,"n/a")</f>
        <v>0.45600000000000002</v>
      </c>
      <c r="O246" s="28">
        <f>IF(ISNUMBER(Data!AJ505),Data!AJ505/100,"n/a")</f>
        <v>0.11</v>
      </c>
      <c r="P246" s="9">
        <f>IF(ISNUMBER(Data!AK505),Data!AK505/100,"n/a")</f>
        <v>0.1431</v>
      </c>
      <c r="Q246" s="8">
        <f>Data!AN505</f>
        <v>0.26</v>
      </c>
      <c r="R246" s="8">
        <f>Data!AP505</f>
        <v>10.787488527383827</v>
      </c>
      <c r="S246" s="8"/>
      <c r="T246" s="8"/>
      <c r="U246" s="8"/>
      <c r="V246" s="1">
        <f t="shared" si="6"/>
        <v>8</v>
      </c>
      <c r="W246" s="1">
        <f t="shared" si="7"/>
        <v>0</v>
      </c>
    </row>
    <row r="247" spans="1:23" hidden="1" x14ac:dyDescent="0.2">
      <c r="A247" s="7" t="str">
        <f>Data!A509</f>
        <v>Public Service Enterprise Group Incorporated</v>
      </c>
      <c r="B247" s="7" t="str">
        <f>Data!B509</f>
        <v>PEG</v>
      </c>
      <c r="C247" s="7" t="str">
        <f>Data!C509</f>
        <v>Utilities</v>
      </c>
      <c r="D247" s="8">
        <f>IF(ISNUMBER(Data!AL509),Data!AL509/1000,"n/a")</f>
        <v>27.68</v>
      </c>
      <c r="E247" s="1">
        <f>Data!E509</f>
        <v>11</v>
      </c>
      <c r="F247" s="28">
        <f>Data!J509/100</f>
        <v>3.8523274478330663E-2</v>
      </c>
      <c r="G247" s="28">
        <f>IF(ISNUMBER(Data!S509),Data!S509/100,"n/a")</f>
        <v>4.081632653061229E-2</v>
      </c>
      <c r="H247" s="28">
        <f>IF(ISNUMBER(Data!T509),Data!T509/100,"n/a")</f>
        <v>4.2603601458844453E-2</v>
      </c>
      <c r="I247" s="28">
        <f>IF(ISNUMBER(Data!U509),Data!U509/100,"n/a")</f>
        <v>4.4617420086995985E-2</v>
      </c>
      <c r="J247" s="28">
        <f>IF(ISNUMBER(Data!V509),Data!V509/100,"n/a")</f>
        <v>4.0617104407372873E-2</v>
      </c>
      <c r="K247" s="9" t="str">
        <f>IF(ISNUMBER(Data!Z509),Data!Z509/100,"n/a")</f>
        <v>n/a</v>
      </c>
      <c r="L247" s="10" t="str">
        <f>Data!AA509</f>
        <v>n/a</v>
      </c>
      <c r="M247" s="10">
        <f>Data!AF509</f>
        <v>2.13</v>
      </c>
      <c r="N247" s="28">
        <f>IF(ISNUMBER(Data!AG509),Data!AG509/100,"n/a")</f>
        <v>-7.0999999999999994E-2</v>
      </c>
      <c r="O247" s="28">
        <f>IF(ISNUMBER(Data!AJ509),Data!AJ509/100,"n/a")</f>
        <v>-0.223</v>
      </c>
      <c r="P247" s="9">
        <f>IF(ISNUMBER(Data!AK509),Data!AK509/100,"n/a")</f>
        <v>3.7999999999999999E-2</v>
      </c>
      <c r="Q247" s="8">
        <f>Data!AN509</f>
        <v>1.56</v>
      </c>
      <c r="R247" s="8">
        <f>Data!AP509</f>
        <v>8.314069456532664</v>
      </c>
      <c r="S247" s="8"/>
      <c r="T247" s="8"/>
      <c r="U247" s="8"/>
      <c r="V247" s="1">
        <f t="shared" si="6"/>
        <v>3</v>
      </c>
      <c r="W247" s="1">
        <f t="shared" si="7"/>
        <v>0</v>
      </c>
    </row>
    <row r="248" spans="1:23" hidden="1" x14ac:dyDescent="0.2">
      <c r="A248" s="7" t="str">
        <f>Data!A502</f>
        <v>Otter Tail Corporation</v>
      </c>
      <c r="B248" s="7" t="str">
        <f>Data!B502</f>
        <v>OTTR</v>
      </c>
      <c r="C248" s="7" t="str">
        <f>Data!C502</f>
        <v>Utilities</v>
      </c>
      <c r="D248" s="8">
        <f>IF(ISNUMBER(Data!AL502),Data!AL502/1000,"n/a")</f>
        <v>2.78</v>
      </c>
      <c r="E248" s="1">
        <f>Data!E502</f>
        <v>9</v>
      </c>
      <c r="F248" s="28">
        <f>Data!J502/100</f>
        <v>2.4473450014832393E-2</v>
      </c>
      <c r="G248" s="28">
        <f>IF(ISNUMBER(Data!S502),Data!S502/100,"n/a")</f>
        <v>5.4054054054054168E-2</v>
      </c>
      <c r="H248" s="28">
        <f>IF(ISNUMBER(Data!T502),Data!T502/100,"n/a")</f>
        <v>5.1977860665757269E-2</v>
      </c>
      <c r="I248" s="28">
        <f>IF(ISNUMBER(Data!U502),Data!U502/100,"n/a")</f>
        <v>4.5304733581652101E-2</v>
      </c>
      <c r="J248" s="28">
        <f>IF(ISNUMBER(Data!V502),Data!V502/100,"n/a")</f>
        <v>2.7443061663912083E-2</v>
      </c>
      <c r="K248" s="9">
        <f>IF(ISNUMBER(Data!Z502),Data!Z502/100,"n/a")</f>
        <v>0.26357827476038337</v>
      </c>
      <c r="L248" s="10">
        <f>Data!AA502</f>
        <v>10.769968051118212</v>
      </c>
      <c r="M248" s="10">
        <f>Data!AF502</f>
        <v>2.56</v>
      </c>
      <c r="N248" s="28">
        <f>IF(ISNUMBER(Data!AG502),Data!AG502/100,"n/a")</f>
        <v>0.255</v>
      </c>
      <c r="O248" s="28">
        <f>IF(ISNUMBER(Data!AJ502),Data!AJ502/100,"n/a")</f>
        <v>0.214</v>
      </c>
      <c r="P248" s="9">
        <f>IF(ISNUMBER(Data!AK502),Data!AK502/100,"n/a")</f>
        <v>0.09</v>
      </c>
      <c r="Q248" s="8">
        <f>Data!AN502</f>
        <v>0.76</v>
      </c>
      <c r="R248" s="8">
        <f>Data!AP502</f>
        <v>6.9778183596484489</v>
      </c>
      <c r="S248" s="8"/>
      <c r="T248" s="8"/>
      <c r="U248" s="8"/>
      <c r="V248" s="1">
        <f t="shared" si="6"/>
        <v>8</v>
      </c>
      <c r="W248" s="1">
        <f t="shared" si="7"/>
        <v>0</v>
      </c>
    </row>
    <row r="249" spans="1:23" x14ac:dyDescent="0.2">
      <c r="A249" s="7" t="str">
        <f>Data!A504</f>
        <v>Bank OZK</v>
      </c>
      <c r="B249" s="7" t="str">
        <f>Data!B504</f>
        <v>OZK</v>
      </c>
      <c r="C249" s="7" t="str">
        <f>Data!C504</f>
        <v>Financials</v>
      </c>
      <c r="D249" s="8">
        <f>IF(ISNUMBER(Data!AL504),Data!AL504/1000,"n/a")</f>
        <v>5.33</v>
      </c>
      <c r="E249" s="1">
        <f>Data!E504</f>
        <v>26</v>
      </c>
      <c r="F249" s="28">
        <f>Data!J504/100</f>
        <v>3.0711959050721268E-2</v>
      </c>
      <c r="G249" s="28">
        <f>IF(ISNUMBER(Data!S504),Data!S504/100,"n/a")</f>
        <v>5.1044083526682327E-2</v>
      </c>
      <c r="H249" s="28">
        <f>IF(ISNUMBER(Data!T504),Data!T504/100,"n/a")</f>
        <v>0.12518437850757125</v>
      </c>
      <c r="I249" s="28">
        <f>IF(ISNUMBER(Data!U504),Data!U504/100,"n/a")</f>
        <v>0.124448403700389</v>
      </c>
      <c r="J249" s="28">
        <f>IF(ISNUMBER(Data!V504),Data!V504/100,"n/a")</f>
        <v>0.19863415361785353</v>
      </c>
      <c r="K249" s="9">
        <f>IF(ISNUMBER(Data!Z504),Data!Z504/100,"n/a")</f>
        <v>0.30205949656750575</v>
      </c>
      <c r="L249" s="10">
        <f>Data!AA504</f>
        <v>9.835240274599542</v>
      </c>
      <c r="M249" s="10">
        <f>Data!AF504</f>
        <v>1.21</v>
      </c>
      <c r="N249" s="28">
        <f>IF(ISNUMBER(Data!AG504),Data!AG504/100,"n/a")</f>
        <v>0.126</v>
      </c>
      <c r="O249" s="28">
        <f>IF(ISNUMBER(Data!AJ504),Data!AJ504/100,"n/a")</f>
        <v>0.11600000000000002</v>
      </c>
      <c r="P249" s="9">
        <f>IF(ISNUMBER(Data!AK504),Data!AK504/100,"n/a")</f>
        <v>0.12</v>
      </c>
      <c r="Q249" s="8">
        <f>Data!AN504</f>
        <v>0.23</v>
      </c>
      <c r="R249" s="8">
        <f>Data!AP504</f>
        <v>15.516036275111027</v>
      </c>
      <c r="S249" s="8"/>
      <c r="T249" s="8"/>
      <c r="U249" s="8"/>
      <c r="V249" s="1">
        <f t="shared" si="6"/>
        <v>12</v>
      </c>
      <c r="W249" s="1" t="str">
        <f t="shared" si="7"/>
        <v/>
      </c>
    </row>
    <row r="250" spans="1:23" x14ac:dyDescent="0.2">
      <c r="A250" s="7" t="str">
        <f>Data!A506</f>
        <v>Prosperity Bancshares, Inc.</v>
      </c>
      <c r="B250" s="7" t="str">
        <f>Data!B506</f>
        <v>PB</v>
      </c>
      <c r="C250" s="7" t="str">
        <f>Data!C506</f>
        <v>Financials</v>
      </c>
      <c r="D250" s="8">
        <f>IF(ISNUMBER(Data!AL506),Data!AL506/1000,"n/a")</f>
        <v>6.41</v>
      </c>
      <c r="E250" s="1">
        <f>Data!E506</f>
        <v>25</v>
      </c>
      <c r="F250" s="28">
        <f>Data!J506/100</f>
        <v>3.0739136509710777E-2</v>
      </c>
      <c r="G250" s="28">
        <f>IF(ISNUMBER(Data!S506),Data!S506/100,"n/a")</f>
        <v>6.5217391304347672E-2</v>
      </c>
      <c r="H250" s="28">
        <f>IF(ISNUMBER(Data!T506),Data!T506/100,"n/a")</f>
        <v>0.10823329352516264</v>
      </c>
      <c r="I250" s="28">
        <f>IF(ISNUMBER(Data!U506),Data!U506/100,"n/a")</f>
        <v>0.10310020440058289</v>
      </c>
      <c r="J250" s="28">
        <f>IF(ISNUMBER(Data!V506),Data!V506/100,"n/a")</f>
        <v>0.108449222600272</v>
      </c>
      <c r="K250" s="9">
        <f>IF(ISNUMBER(Data!Z506),Data!Z506/100,"n/a")</f>
        <v>0.3935599284436494</v>
      </c>
      <c r="L250" s="10">
        <f>Data!AA506</f>
        <v>12.803220035778175</v>
      </c>
      <c r="M250" s="10">
        <f>Data!AF506</f>
        <v>1.01</v>
      </c>
      <c r="N250" s="28">
        <f>IF(ISNUMBER(Data!AG506),Data!AG506/100,"n/a")</f>
        <v>7.9000000000000001E-2</v>
      </c>
      <c r="O250" s="28">
        <f>IF(ISNUMBER(Data!AJ506),Data!AJ506/100,"n/a")</f>
        <v>7.2999999999999995E-2</v>
      </c>
      <c r="P250" s="9">
        <f>IF(ISNUMBER(Data!AK506),Data!AK506/100,"n/a")</f>
        <v>9.1200000000000003E-2</v>
      </c>
      <c r="Q250" s="8">
        <f>Data!AN506</f>
        <v>0</v>
      </c>
      <c r="R250" s="8">
        <f>Data!AP506</f>
        <v>13.383934091029365</v>
      </c>
      <c r="S250" s="8"/>
      <c r="T250" s="8"/>
      <c r="U250" s="8"/>
      <c r="V250" s="1">
        <f t="shared" si="6"/>
        <v>12</v>
      </c>
      <c r="W250" s="1" t="str">
        <f t="shared" si="7"/>
        <v/>
      </c>
    </row>
    <row r="251" spans="1:23" hidden="1" x14ac:dyDescent="0.2">
      <c r="A251" s="7" t="str">
        <f>Data!A500</f>
        <v>Oshkosh Corporation</v>
      </c>
      <c r="B251" s="7" t="str">
        <f>Data!B500</f>
        <v>OSK</v>
      </c>
      <c r="C251" s="7" t="str">
        <f>Data!C500</f>
        <v>Industrials</v>
      </c>
      <c r="D251" s="8">
        <f>IF(ISNUMBER(Data!AL500),Data!AL500/1000,"n/a")</f>
        <v>5.57</v>
      </c>
      <c r="E251" s="1">
        <f>Data!E500</f>
        <v>9</v>
      </c>
      <c r="F251" s="28">
        <f>Data!J500/100</f>
        <v>1.6818181818181819E-2</v>
      </c>
      <c r="G251" s="28">
        <f>IF(ISNUMBER(Data!S500),Data!S500/100,"n/a")</f>
        <v>0.10569105691056911</v>
      </c>
      <c r="H251" s="28">
        <f>IF(ISNUMBER(Data!T500),Data!T500/100,"n/a")</f>
        <v>0.11164957066285928</v>
      </c>
      <c r="I251" s="28">
        <f>IF(ISNUMBER(Data!U500),Data!U500/100,"n/a")</f>
        <v>0.11760635116972784</v>
      </c>
      <c r="J251" s="28" t="str">
        <f>IF(ISNUMBER(Data!V500),Data!V500/100,"n/a")</f>
        <v>n/a</v>
      </c>
      <c r="K251" s="9">
        <f>IF(ISNUMBER(Data!Z500),Data!Z500/100,"n/a")</f>
        <v>1.0802919708029197</v>
      </c>
      <c r="L251" s="10">
        <f>Data!AA500</f>
        <v>64.233576642335763</v>
      </c>
      <c r="M251" s="10">
        <f>Data!AF500</f>
        <v>2</v>
      </c>
      <c r="N251" s="28">
        <f>IF(ISNUMBER(Data!AG500),Data!AG500/100,"n/a")</f>
        <v>3.1E-2</v>
      </c>
      <c r="O251" s="28">
        <f>IF(ISNUMBER(Data!AJ500),Data!AJ500/100,"n/a")</f>
        <v>-0.52500000000000002</v>
      </c>
      <c r="P251" s="9">
        <f>IF(ISNUMBER(Data!AK500),Data!AK500/100,"n/a")</f>
        <v>0.17080000000000001</v>
      </c>
      <c r="Q251" s="8">
        <f>Data!AN500</f>
        <v>0.21</v>
      </c>
      <c r="R251" s="8">
        <f>Data!AP500</f>
        <v>13.442453298790966</v>
      </c>
      <c r="S251" s="8"/>
      <c r="T251" s="8"/>
      <c r="U251" s="8"/>
      <c r="V251" s="1">
        <f t="shared" si="6"/>
        <v>6</v>
      </c>
      <c r="W251" s="1">
        <f t="shared" si="7"/>
        <v>0</v>
      </c>
    </row>
    <row r="252" spans="1:23" hidden="1" x14ac:dyDescent="0.2">
      <c r="A252" s="7" t="str">
        <f>Data!A499</f>
        <v>Orrstown Financial Services, Inc.</v>
      </c>
      <c r="B252" s="7" t="str">
        <f>Data!B499</f>
        <v>ORRF</v>
      </c>
      <c r="C252" s="7" t="str">
        <f>Data!C499</f>
        <v>Financials</v>
      </c>
      <c r="D252" s="8">
        <f>IF(ISNUMBER(Data!AL499),Data!AL499/1000,"n/a")</f>
        <v>0.27625</v>
      </c>
      <c r="E252" s="1">
        <f>Data!E499</f>
        <v>7</v>
      </c>
      <c r="F252" s="28">
        <f>Data!J499/100</f>
        <v>2.8711749149981113E-2</v>
      </c>
      <c r="G252" s="28">
        <f>IF(ISNUMBER(Data!S499),Data!S499/100,"n/a")</f>
        <v>8.8235294117646954E-2</v>
      </c>
      <c r="H252" s="28">
        <f>IF(ISNUMBER(Data!T499),Data!T499/100,"n/a")</f>
        <v>0.13960384306101292</v>
      </c>
      <c r="I252" s="28">
        <f>IF(ISNUMBER(Data!U499),Data!U499/100,"n/a")</f>
        <v>0.16153616167554616</v>
      </c>
      <c r="J252" s="28">
        <f>IF(ISNUMBER(Data!V499),Data!V499/100,"n/a")</f>
        <v>7.0203870465042062E-3</v>
      </c>
      <c r="K252" s="9">
        <f>IF(ISNUMBER(Data!Z499),Data!Z499/100,"n/a")</f>
        <v>0.28044280442804431</v>
      </c>
      <c r="L252" s="10">
        <f>Data!AA499</f>
        <v>9.767527675276753</v>
      </c>
      <c r="M252" s="10">
        <f>Data!AF499</f>
        <v>1.18</v>
      </c>
      <c r="N252" s="28">
        <f>IF(ISNUMBER(Data!AG499),Data!AG499/100,"n/a")</f>
        <v>0.12</v>
      </c>
      <c r="O252" s="28">
        <f>IF(ISNUMBER(Data!AJ499),Data!AJ499/100,"n/a")</f>
        <v>0.29499999999999998</v>
      </c>
      <c r="P252" s="9" t="str">
        <f>IF(ISNUMBER(Data!AK499),Data!AK499/100,"n/a")</f>
        <v>n/a</v>
      </c>
      <c r="Q252" s="8">
        <f>Data!AN499</f>
        <v>0.13</v>
      </c>
      <c r="R252" s="8">
        <f>Data!AP499</f>
        <v>19.024791082552728</v>
      </c>
      <c r="S252" s="8"/>
      <c r="T252" s="8"/>
      <c r="U252" s="8"/>
      <c r="V252" s="1">
        <f t="shared" si="6"/>
        <v>8</v>
      </c>
      <c r="W252" s="1">
        <f t="shared" si="7"/>
        <v>0</v>
      </c>
    </row>
    <row r="253" spans="1:23" hidden="1" x14ac:dyDescent="0.2">
      <c r="A253" s="7" t="str">
        <f>Data!A501</f>
        <v>Open Text Corporation</v>
      </c>
      <c r="B253" s="7" t="str">
        <f>Data!B501</f>
        <v>OTEX</v>
      </c>
      <c r="C253" s="7" t="str">
        <f>Data!C501</f>
        <v>Information Technology</v>
      </c>
      <c r="D253" s="8">
        <f>IF(ISNUMBER(Data!AL501),Data!AL501/1000,"n/a")</f>
        <v>7.84</v>
      </c>
      <c r="E253" s="1">
        <f>Data!E501</f>
        <v>10</v>
      </c>
      <c r="F253" s="28">
        <f>Data!J501/100</f>
        <v>3.3575129533678756E-2</v>
      </c>
      <c r="G253" s="28">
        <f>IF(ISNUMBER(Data!S501),Data!S501/100,"n/a")</f>
        <v>0.16395252553132766</v>
      </c>
      <c r="H253" s="28">
        <f>IF(ISNUMBER(Data!T501),Data!T501/100,"n/a")</f>
        <v>0.12814923047891336</v>
      </c>
      <c r="I253" s="28">
        <f>IF(ISNUMBER(Data!U501),Data!U501/100,"n/a")</f>
        <v>0.13640913763748097</v>
      </c>
      <c r="J253" s="28" t="str">
        <f>IF(ISNUMBER(Data!V501),Data!V501/100,"n/a")</f>
        <v>n/a</v>
      </c>
      <c r="K253" s="9">
        <f>IF(ISNUMBER(Data!Z501),Data!Z501/100,"n/a")</f>
        <v>0.66575342465753418</v>
      </c>
      <c r="L253" s="10">
        <f>Data!AA501</f>
        <v>19.828767123287673</v>
      </c>
      <c r="M253" s="10">
        <f>Data!AF501</f>
        <v>2.0099999999999998</v>
      </c>
      <c r="N253" s="28">
        <f>IF(ISNUMBER(Data!AG501),Data!AG501/100,"n/a")</f>
        <v>9.7000000000000017E-2</v>
      </c>
      <c r="O253" s="28">
        <f>IF(ISNUMBER(Data!AJ501),Data!AJ501/100,"n/a")</f>
        <v>-0.183</v>
      </c>
      <c r="P253" s="9">
        <f>IF(ISNUMBER(Data!AK501),Data!AK501/100,"n/a")</f>
        <v>-1.2E-2</v>
      </c>
      <c r="Q253" s="8">
        <f>Data!AN501</f>
        <v>1.05</v>
      </c>
      <c r="R253" s="8">
        <f>Data!AP501</f>
        <v>16.998426717115972</v>
      </c>
      <c r="S253" s="8"/>
      <c r="T253" s="8"/>
      <c r="U253" s="8"/>
      <c r="V253" s="1">
        <f t="shared" si="6"/>
        <v>5</v>
      </c>
      <c r="W253" s="1">
        <f t="shared" si="7"/>
        <v>0</v>
      </c>
    </row>
    <row r="254" spans="1:23" hidden="1" x14ac:dyDescent="0.2">
      <c r="A254" s="7" t="str">
        <f>Data!A511</f>
        <v>PetMed Express, Inc.</v>
      </c>
      <c r="B254" s="7" t="str">
        <f>Data!B511</f>
        <v>PETS</v>
      </c>
      <c r="C254" s="7" t="str">
        <f>Data!C511</f>
        <v>Consumer Discretionary</v>
      </c>
      <c r="D254" s="8">
        <f>IF(ISNUMBER(Data!AL511),Data!AL511/1000,"n/a")</f>
        <v>0.45230000000000004</v>
      </c>
      <c r="E254" s="1">
        <f>Data!E511</f>
        <v>13</v>
      </c>
      <c r="F254" s="28">
        <f>Data!J511/100</f>
        <v>5.6285178236397747E-2</v>
      </c>
      <c r="G254" s="28">
        <f>IF(ISNUMBER(Data!S511),Data!S511/100,"n/a")</f>
        <v>6.3063063063062863E-2</v>
      </c>
      <c r="H254" s="28">
        <f>IF(ISNUMBER(Data!T511),Data!T511/100,"n/a")</f>
        <v>4.2996591922543681E-2</v>
      </c>
      <c r="I254" s="28">
        <f>IF(ISNUMBER(Data!U511),Data!U511/100,"n/a")</f>
        <v>9.4874015362663724E-2</v>
      </c>
      <c r="J254" s="28">
        <f>IF(ISNUMBER(Data!V511),Data!V511/100,"n/a")</f>
        <v>8.9660480461085643E-2</v>
      </c>
      <c r="K254" s="9">
        <f>IF(ISNUMBER(Data!Z511),Data!Z511/100,"n/a")</f>
        <v>1.263157894736842</v>
      </c>
      <c r="L254" s="10">
        <f>Data!AA511</f>
        <v>22.442105263157895</v>
      </c>
      <c r="M254" s="10">
        <f>Data!AF511</f>
        <v>3.15</v>
      </c>
      <c r="N254" s="28">
        <f>IF(ISNUMBER(Data!AG511),Data!AG511/100,"n/a")</f>
        <v>0.13800000000000001</v>
      </c>
      <c r="O254" s="28">
        <f>IF(ISNUMBER(Data!AJ511),Data!AJ511/100,"n/a")</f>
        <v>-2.4E-2</v>
      </c>
      <c r="P254" s="9">
        <f>IF(ISNUMBER(Data!AK511),Data!AK511/100,"n/a")</f>
        <v>-2.0000000000000001E-4</v>
      </c>
      <c r="Q254" s="8">
        <f>Data!AN511</f>
        <v>0</v>
      </c>
      <c r="R254" s="8">
        <f>Data!AP511</f>
        <v>15.115919359906147</v>
      </c>
      <c r="S254" s="8"/>
      <c r="T254" s="8"/>
      <c r="U254" s="8"/>
      <c r="V254" s="1">
        <f t="shared" si="6"/>
        <v>5</v>
      </c>
      <c r="W254" s="1">
        <f t="shared" si="7"/>
        <v>0</v>
      </c>
    </row>
    <row r="255" spans="1:23" hidden="1" x14ac:dyDescent="0.2">
      <c r="A255" s="7" t="str">
        <f>Data!A493</f>
        <v>OGE Energy Corp.</v>
      </c>
      <c r="B255" s="7" t="str">
        <f>Data!B493</f>
        <v>OGE</v>
      </c>
      <c r="C255" s="7" t="str">
        <f>Data!C493</f>
        <v>Utilities</v>
      </c>
      <c r="D255" s="8">
        <f>IF(ISNUMBER(Data!AL493),Data!AL493/1000,"n/a")</f>
        <v>7.21</v>
      </c>
      <c r="E255" s="1">
        <f>Data!E493</f>
        <v>16</v>
      </c>
      <c r="F255" s="28">
        <f>Data!J493/100</f>
        <v>4.5219765219765222E-2</v>
      </c>
      <c r="G255" s="28">
        <f>IF(ISNUMBER(Data!S493),Data!S493/100,"n/a")</f>
        <v>3.3546325878594185E-2</v>
      </c>
      <c r="H255" s="28">
        <f>IF(ISNUMBER(Data!T493),Data!T493/100,"n/a")</f>
        <v>5.8853621010347856E-2</v>
      </c>
      <c r="I255" s="28">
        <f>IF(ISNUMBER(Data!U493),Data!U493/100,"n/a")</f>
        <v>7.4844275406748206E-2</v>
      </c>
      <c r="J255" s="28">
        <f>IF(ISNUMBER(Data!V493),Data!V493/100,"n/a")</f>
        <v>7.988697403091316E-2</v>
      </c>
      <c r="K255" s="9">
        <f>IF(ISNUMBER(Data!Z493),Data!Z493/100,"n/a")</f>
        <v>0.35930585683297184</v>
      </c>
      <c r="L255" s="10">
        <f>Data!AA493</f>
        <v>7.945770065075922</v>
      </c>
      <c r="M255" s="10">
        <f>Data!AF493</f>
        <v>1.74</v>
      </c>
      <c r="N255" s="28">
        <f>IF(ISNUMBER(Data!AG493),Data!AG493/100,"n/a")</f>
        <v>0.22600000000000001</v>
      </c>
      <c r="O255" s="28">
        <f>IF(ISNUMBER(Data!AJ493),Data!AJ493/100,"n/a")</f>
        <v>0.16800000000000001</v>
      </c>
      <c r="P255" s="9">
        <f>IF(ISNUMBER(Data!AK493),Data!AK493/100,"n/a")</f>
        <v>1.9E-2</v>
      </c>
      <c r="Q255" s="8">
        <f>Data!AN493</f>
        <v>1.17</v>
      </c>
      <c r="R255" s="8">
        <f>Data!AP493</f>
        <v>12.006404062651342</v>
      </c>
      <c r="S255" s="8"/>
      <c r="T255" s="8"/>
      <c r="U255" s="8"/>
      <c r="V255" s="1">
        <f t="shared" si="6"/>
        <v>9</v>
      </c>
      <c r="W255" s="1">
        <f t="shared" si="7"/>
        <v>0</v>
      </c>
    </row>
    <row r="256" spans="1:23" hidden="1" x14ac:dyDescent="0.2">
      <c r="A256" s="7" t="str">
        <f>Data!A487</f>
        <v>Nexstar Media Group, Inc.</v>
      </c>
      <c r="B256" s="7" t="str">
        <f>Data!B487</f>
        <v>NXST</v>
      </c>
      <c r="C256" s="7" t="str">
        <f>Data!C487</f>
        <v>Communication Services</v>
      </c>
      <c r="D256" s="8">
        <f>IF(ISNUMBER(Data!AL487),Data!AL487/1000,"n/a")</f>
        <v>6.92</v>
      </c>
      <c r="E256" s="1">
        <f>Data!E487</f>
        <v>10</v>
      </c>
      <c r="F256" s="28">
        <f>Data!J487/100</f>
        <v>2.1015761821366025E-2</v>
      </c>
      <c r="G256" s="28">
        <f>IF(ISNUMBER(Data!S487),Data!S487/100,"n/a")</f>
        <v>0.24999999999999978</v>
      </c>
      <c r="H256" s="28">
        <f>IF(ISNUMBER(Data!T487),Data!T487/100,"n/a")</f>
        <v>0.23127650029855551</v>
      </c>
      <c r="I256" s="28">
        <f>IF(ISNUMBER(Data!U487),Data!U487/100,"n/a")</f>
        <v>0.23873200812705764</v>
      </c>
      <c r="J256" s="28" t="str">
        <f>IF(ISNUMBER(Data!V487),Data!V487/100,"n/a")</f>
        <v>n/a</v>
      </c>
      <c r="K256" s="9">
        <f>IF(ISNUMBER(Data!Z487),Data!Z487/100,"n/a")</f>
        <v>0.16635859519408502</v>
      </c>
      <c r="L256" s="10">
        <f>Data!AA487</f>
        <v>7.9158964879852132</v>
      </c>
      <c r="M256" s="10">
        <f>Data!AF487</f>
        <v>2.54</v>
      </c>
      <c r="N256" s="28">
        <f>IF(ISNUMBER(Data!AG487),Data!AG487/100,"n/a")</f>
        <v>0.32400000000000001</v>
      </c>
      <c r="O256" s="28">
        <f>IF(ISNUMBER(Data!AJ487),Data!AJ487/100,"n/a")</f>
        <v>0.45700000000000002</v>
      </c>
      <c r="P256" s="9">
        <f>IF(ISNUMBER(Data!AK487),Data!AK487/100,"n/a")</f>
        <v>0.20219999999999999</v>
      </c>
      <c r="Q256" s="8">
        <f>Data!AN487</f>
        <v>2.52</v>
      </c>
      <c r="R256" s="8">
        <f>Data!AP487</f>
        <v>25.974776994842365</v>
      </c>
      <c r="S256" s="8"/>
      <c r="T256" s="8"/>
      <c r="U256" s="8"/>
      <c r="V256" s="1">
        <f t="shared" si="6"/>
        <v>9</v>
      </c>
      <c r="W256" s="1">
        <f t="shared" si="7"/>
        <v>0</v>
      </c>
    </row>
    <row r="257" spans="1:23" hidden="1" x14ac:dyDescent="0.2">
      <c r="A257" s="7" t="str">
        <f>Data!A488</f>
        <v>Realty Income Corporation</v>
      </c>
      <c r="B257" s="7" t="str">
        <f>Data!B488</f>
        <v>O</v>
      </c>
      <c r="C257" s="7" t="str">
        <f>Data!C488</f>
        <v>Real Estate</v>
      </c>
      <c r="D257" s="8">
        <f>IF(ISNUMBER(Data!AL488),Data!AL488/1000,"n/a")</f>
        <v>37.76</v>
      </c>
      <c r="E257" s="1">
        <f>Data!E488</f>
        <v>29</v>
      </c>
      <c r="F257" s="28">
        <f>Data!J488/100</f>
        <v>4.7791874096675763E-2</v>
      </c>
      <c r="G257" s="28">
        <f>IF(ISNUMBER(Data!S488),Data!S488/100,"n/a")</f>
        <v>1.3958482462419486E-2</v>
      </c>
      <c r="H257" s="28">
        <f>IF(ISNUMBER(Data!T488),Data!T488/100,"n/a")</f>
        <v>2.5028851042950606E-2</v>
      </c>
      <c r="I257" s="28">
        <f>IF(ISNUMBER(Data!U488),Data!U488/100,"n/a")</f>
        <v>3.4463657762223932E-2</v>
      </c>
      <c r="J257" s="28">
        <f>IF(ISNUMBER(Data!V488),Data!V488/100,"n/a")</f>
        <v>5.0156567161881327E-2</v>
      </c>
      <c r="K257" s="9">
        <f>IF(ISNUMBER(Data!Z488),Data!Z488/100,"n/a")</f>
        <v>2.8075471698113206</v>
      </c>
      <c r="L257" s="10">
        <f>Data!AA488</f>
        <v>58.745283018867923</v>
      </c>
      <c r="M257" s="10">
        <f>Data!AF488</f>
        <v>1.42</v>
      </c>
      <c r="N257" s="28">
        <f>IF(ISNUMBER(Data!AG488),Data!AG488/100,"n/a")</f>
        <v>2.5000000000000001E-2</v>
      </c>
      <c r="O257" s="28">
        <f>IF(ISNUMBER(Data!AJ488),Data!AJ488/100,"n/a")</f>
        <v>-5.0999999999999997E-2</v>
      </c>
      <c r="P257" s="9">
        <f>IF(ISNUMBER(Data!AK488),Data!AK488/100,"n/a")</f>
        <v>0.14099999999999999</v>
      </c>
      <c r="Q257" s="8">
        <f>Data!AN488</f>
        <v>0.61</v>
      </c>
      <c r="R257" s="8">
        <f>Data!AP488</f>
        <v>8.2255531858899698</v>
      </c>
      <c r="S257" s="8"/>
      <c r="T257" s="8"/>
      <c r="U257" s="8"/>
      <c r="V257" s="1">
        <f t="shared" si="6"/>
        <v>6</v>
      </c>
      <c r="W257" s="1">
        <f t="shared" si="7"/>
        <v>0</v>
      </c>
    </row>
    <row r="258" spans="1:23" hidden="1" x14ac:dyDescent="0.2">
      <c r="A258" s="7" t="str">
        <f>Data!A491</f>
        <v>Oil-Dri Corporation of America</v>
      </c>
      <c r="B258" s="7" t="str">
        <f>Data!B491</f>
        <v>ODC</v>
      </c>
      <c r="C258" s="7" t="str">
        <f>Data!C491</f>
        <v>Consumer Staples</v>
      </c>
      <c r="D258" s="8">
        <f>IF(ISNUMBER(Data!AL491),Data!AL491/1000,"n/a")</f>
        <v>0.19791999999999998</v>
      </c>
      <c r="E258" s="1">
        <f>Data!E491</f>
        <v>20</v>
      </c>
      <c r="F258" s="28">
        <f>Data!J491/100</f>
        <v>3.792753132407721E-2</v>
      </c>
      <c r="G258" s="28">
        <f>IF(ISNUMBER(Data!S491),Data!S491/100,"n/a")</f>
        <v>3.9215686274509887E-2</v>
      </c>
      <c r="H258" s="28">
        <f>IF(ISNUMBER(Data!T491),Data!T491/100,"n/a")</f>
        <v>4.0860842503307904E-2</v>
      </c>
      <c r="I258" s="28">
        <f>IF(ISNUMBER(Data!U491),Data!U491/100,"n/a")</f>
        <v>4.2705064154178629E-2</v>
      </c>
      <c r="J258" s="28">
        <f>IF(ISNUMBER(Data!V491),Data!V491/100,"n/a")</f>
        <v>4.8518730412687949E-2</v>
      </c>
      <c r="K258" s="9">
        <f>IF(ISNUMBER(Data!Z491),Data!Z491/100,"n/a")</f>
        <v>1.3827160493827162</v>
      </c>
      <c r="L258" s="10">
        <f>Data!AA491</f>
        <v>36.456790123456791</v>
      </c>
      <c r="M258" s="10">
        <f>Data!AF491</f>
        <v>1.35</v>
      </c>
      <c r="N258" s="28">
        <f>IF(ISNUMBER(Data!AG491),Data!AG491/100,"n/a")</f>
        <v>3.6999999999999998E-2</v>
      </c>
      <c r="O258" s="28">
        <f>IF(ISNUMBER(Data!AJ491),Data!AJ491/100,"n/a")</f>
        <v>-0.114</v>
      </c>
      <c r="P258" s="9" t="str">
        <f>IF(ISNUMBER(Data!AK491),Data!AK491/100,"n/a")</f>
        <v>n/a</v>
      </c>
      <c r="Q258" s="8">
        <f>Data!AN491</f>
        <v>0.22</v>
      </c>
      <c r="R258" s="8">
        <f>Data!AP491</f>
        <v>8.0632595478255844</v>
      </c>
      <c r="S258" s="8"/>
      <c r="T258" s="8"/>
      <c r="U258" s="8"/>
      <c r="V258" s="1">
        <f t="shared" si="6"/>
        <v>3</v>
      </c>
      <c r="W258" s="1">
        <f t="shared" si="7"/>
        <v>0</v>
      </c>
    </row>
    <row r="259" spans="1:23" hidden="1" x14ac:dyDescent="0.2">
      <c r="A259" s="7" t="str">
        <f>Data!A490</f>
        <v>Owens Corning</v>
      </c>
      <c r="B259" s="7" t="str">
        <f>Data!B490</f>
        <v>OC</v>
      </c>
      <c r="C259" s="7" t="str">
        <f>Data!C490</f>
        <v>Industrials</v>
      </c>
      <c r="D259" s="8">
        <f>IF(ISNUMBER(Data!AL490),Data!AL490/1000,"n/a")</f>
        <v>7.8</v>
      </c>
      <c r="E259" s="1">
        <f>Data!E490</f>
        <v>9</v>
      </c>
      <c r="F259" s="28">
        <f>Data!J490/100</f>
        <v>1.6353229762878167E-2</v>
      </c>
      <c r="G259" s="28">
        <f>IF(ISNUMBER(Data!S490),Data!S490/100,"n/a")</f>
        <v>8.3333333333333481E-2</v>
      </c>
      <c r="H259" s="28">
        <f>IF(ISNUMBER(Data!T490),Data!T490/100,"n/a")</f>
        <v>7.3786693294802586E-2</v>
      </c>
      <c r="I259" s="28">
        <f>IF(ISNUMBER(Data!U490),Data!U490/100,"n/a")</f>
        <v>7.933186310173812E-2</v>
      </c>
      <c r="J259" s="28" t="str">
        <f>IF(ISNUMBER(Data!V490),Data!V490/100,"n/a")</f>
        <v>n/a</v>
      </c>
      <c r="K259" s="9">
        <f>IF(ISNUMBER(Data!Z490),Data!Z490/100,"n/a")</f>
        <v>0.10301692420897718</v>
      </c>
      <c r="L259" s="10">
        <f>Data!AA490</f>
        <v>6.2994849153789554</v>
      </c>
      <c r="M259" s="10">
        <f>Data!AF490</f>
        <v>1.76</v>
      </c>
      <c r="N259" s="28">
        <f>IF(ISNUMBER(Data!AG490),Data!AG490/100,"n/a")</f>
        <v>0.30199999999999999</v>
      </c>
      <c r="O259" s="28">
        <f>IF(ISNUMBER(Data!AJ490),Data!AJ490/100,"n/a")</f>
        <v>0.22900000000000001</v>
      </c>
      <c r="P259" s="9">
        <f>IF(ISNUMBER(Data!AK490),Data!AK490/100,"n/a")</f>
        <v>7.3999999999999996E-2</v>
      </c>
      <c r="Q259" s="8">
        <f>Data!AN490</f>
        <v>0.64</v>
      </c>
      <c r="R259" s="8">
        <f>Data!AP490</f>
        <v>9.5685092864616283</v>
      </c>
      <c r="S259" s="8"/>
      <c r="T259" s="8"/>
      <c r="U259" s="8"/>
      <c r="V259" s="1">
        <f t="shared" si="6"/>
        <v>9</v>
      </c>
      <c r="W259" s="1">
        <f t="shared" si="7"/>
        <v>0</v>
      </c>
    </row>
    <row r="260" spans="1:23" hidden="1" x14ac:dyDescent="0.2">
      <c r="A260" s="7" t="str">
        <f>Data!A492</f>
        <v>Old Dominion Freight Line, Inc.</v>
      </c>
      <c r="B260" s="7" t="str">
        <f>Data!B492</f>
        <v>ODFL</v>
      </c>
      <c r="C260" s="7" t="str">
        <f>Data!C492</f>
        <v>Industrials</v>
      </c>
      <c r="D260" s="8">
        <f>IF(ISNUMBER(Data!AL492),Data!AL492/1000,"n/a")</f>
        <v>29.55</v>
      </c>
      <c r="E260" s="1">
        <f>Data!E492</f>
        <v>6</v>
      </c>
      <c r="F260" s="28">
        <f>Data!J492/100</f>
        <v>4.3699927166788053E-3</v>
      </c>
      <c r="G260" s="28">
        <f>IF(ISNUMBER(Data!S492),Data!S492/100,"n/a")</f>
        <v>0.32604011271340982</v>
      </c>
      <c r="H260" s="28">
        <f>IF(ISNUMBER(Data!T492),Data!T492/100,"n/a")</f>
        <v>0.32130668643241833</v>
      </c>
      <c r="I260" s="28" t="str">
        <f>IF(ISNUMBER(Data!U492),Data!U492/100,"n/a")</f>
        <v>n/a</v>
      </c>
      <c r="J260" s="28" t="str">
        <f>IF(ISNUMBER(Data!V492),Data!V492/100,"n/a")</f>
        <v>n/a</v>
      </c>
      <c r="K260" s="9">
        <f>IF(ISNUMBER(Data!Z492),Data!Z492/100,"n/a")</f>
        <v>0.10273972602739725</v>
      </c>
      <c r="L260" s="10">
        <f>Data!AA492</f>
        <v>23.510273972602743</v>
      </c>
      <c r="M260" s="10">
        <f>Data!AF492</f>
        <v>8.6</v>
      </c>
      <c r="N260" s="28">
        <f>IF(ISNUMBER(Data!AG492),Data!AG492/100,"n/a")</f>
        <v>0.32100000000000001</v>
      </c>
      <c r="O260" s="28">
        <f>IF(ISNUMBER(Data!AJ492),Data!AJ492/100,"n/a")</f>
        <v>0.30199999999999999</v>
      </c>
      <c r="P260" s="9">
        <f>IF(ISNUMBER(Data!AK492),Data!AK492/100,"n/a")</f>
        <v>0.14949999999999999</v>
      </c>
      <c r="Q260" s="8">
        <f>Data!AN492</f>
        <v>0.03</v>
      </c>
      <c r="R260" s="8" t="str">
        <f>Data!AP492</f>
        <v>n/a</v>
      </c>
      <c r="S260" s="8"/>
      <c r="T260" s="8"/>
      <c r="U260" s="8"/>
      <c r="V260" s="1">
        <f t="shared" si="6"/>
        <v>7</v>
      </c>
      <c r="W260" s="1">
        <f t="shared" si="7"/>
        <v>0</v>
      </c>
    </row>
    <row r="261" spans="1:23" hidden="1" x14ac:dyDescent="0.2">
      <c r="A261" s="7" t="str">
        <f>Data!A489</f>
        <v>Origin Bancorp, Inc.</v>
      </c>
      <c r="B261" s="7" t="str">
        <f>Data!B489</f>
        <v>OBNK</v>
      </c>
      <c r="C261" s="7" t="str">
        <f>Data!C489</f>
        <v>Financials</v>
      </c>
      <c r="D261" s="8">
        <f>IF(ISNUMBER(Data!AL489),Data!AL489/1000,"n/a")</f>
        <v>1.23</v>
      </c>
      <c r="E261" s="1">
        <f>Data!E489</f>
        <v>5</v>
      </c>
      <c r="F261" s="28">
        <f>Data!J489/100</f>
        <v>1.4517299782240504E-2</v>
      </c>
      <c r="G261" s="28">
        <f>IF(ISNUMBER(Data!S489),Data!S489/100,"n/a")</f>
        <v>0.29801324503311233</v>
      </c>
      <c r="H261" s="28">
        <f>IF(ISNUMBER(Data!T489),Data!T489/100,"n/a")</f>
        <v>0.71289400002754033</v>
      </c>
      <c r="I261" s="28" t="str">
        <f>IF(ISNUMBER(Data!U489),Data!U489/100,"n/a")</f>
        <v>n/a</v>
      </c>
      <c r="J261" s="28" t="str">
        <f>IF(ISNUMBER(Data!V489),Data!V489/100,"n/a")</f>
        <v>n/a</v>
      </c>
      <c r="K261" s="9">
        <f>IF(ISNUMBER(Data!Z489),Data!Z489/100,"n/a")</f>
        <v>0.16949152542372878</v>
      </c>
      <c r="L261" s="10">
        <f>Data!AA489</f>
        <v>11.675141242937853</v>
      </c>
      <c r="M261" s="10">
        <f>Data!AF489</f>
        <v>1.49</v>
      </c>
      <c r="N261" s="28">
        <f>IF(ISNUMBER(Data!AG489),Data!AG489/100,"n/a")</f>
        <v>0.15</v>
      </c>
      <c r="O261" s="28">
        <f>IF(ISNUMBER(Data!AJ489),Data!AJ489/100,"n/a")</f>
        <v>0.65600000000000014</v>
      </c>
      <c r="P261" s="9" t="str">
        <f>IF(ISNUMBER(Data!AK489),Data!AK489/100,"n/a")</f>
        <v>n/a</v>
      </c>
      <c r="Q261" s="8">
        <f>Data!AN489</f>
        <v>0.24</v>
      </c>
      <c r="R261" s="8" t="str">
        <f>Data!AP489</f>
        <v>n/a</v>
      </c>
      <c r="S261" s="8"/>
      <c r="T261" s="8"/>
      <c r="U261" s="8"/>
      <c r="V261" s="1">
        <f t="shared" ref="V261:V324" si="8">IF($D$4="+",IF(D261="n/a",0,IF(D261&gt;=$D$5,1,0)),0)+IF($E$4="+",IF(E261="n/a",0,IF(E261&gt;=$E$5,1,0)),0)+IF($F$4="+",IF(F261="n/a",0,IF(F261&gt;=$F$5,1,0)),0)+IF($G$4="+",IF(G261="n/a",0,IF(G261&gt;=$G$5,1,0)),0)+IF($H$4="+",IF(H261="n/a",0,IF(H261&gt;=$H$5,1,0)),0)+IF($I$4="+",IF(I261="n/a",0,IF(I261&gt;=$I$5,1,0)),0)+IF($J$4="+",IF(J261="n/a",0,IF(J261&gt;=$J$5,1,0)),0)+IF($K$4="+",IF(K261="n/a",0,IF(K261&lt;=$K$5,1,0)),0)+IF($L$4="+",IF(L261="n/a",0,IF(L261&lt;=$L$5,1,0)),0)+IF($M$4="+",IF(M261="n/a",0,IF(M261&lt;=$M$5,1,0)),0)+IF($N$4="+",IF(N261="n/a",0,IF(N261&gt;=$N$5,1,0)),0)+IF($O$4="+",IF(O261="n/a",0,IF(O261&gt;=$O$5,1,0)),0)+IF($P$4="+",IF(P261="n/a",0,IF(P261&gt;=$P$5,1,0)),0)+IF($Q$4="+",IF(Q261="n/a",0,IF(Q261&lt;=$Q$5,1,0)),0)+IF($R$4="+",IF(R261="n/a",0,IF(R261&gt;=$R$5,1,0)),0)+$Y$4</f>
        <v>6</v>
      </c>
      <c r="W261" s="1">
        <f t="shared" ref="W261:W324" si="9">IF(V261&gt;=$V$2,"",0)</f>
        <v>0</v>
      </c>
    </row>
    <row r="262" spans="1:23" hidden="1" x14ac:dyDescent="0.2">
      <c r="A262" s="7" t="str">
        <f>Data!A479</f>
        <v>Nucor Corporation</v>
      </c>
      <c r="B262" s="7" t="str">
        <f>Data!B479</f>
        <v>NUE</v>
      </c>
      <c r="C262" s="7" t="str">
        <f>Data!C479</f>
        <v>Materials</v>
      </c>
      <c r="D262" s="8">
        <f>IF(ISNUMBER(Data!AL479),Data!AL479/1000,"n/a")</f>
        <v>35.47</v>
      </c>
      <c r="E262" s="1">
        <f>Data!E479</f>
        <v>49</v>
      </c>
      <c r="F262" s="28">
        <f>Data!J479/100</f>
        <v>1.5223017202009439E-2</v>
      </c>
      <c r="G262" s="28">
        <f>IF(ISNUMBER(Data!S479),Data!S479/100,"n/a")</f>
        <v>6.2111801242235032E-3</v>
      </c>
      <c r="H262" s="28">
        <f>IF(ISNUMBER(Data!T479),Data!T479/100,"n/a")</f>
        <v>2.146574918873223E-2</v>
      </c>
      <c r="I262" s="28">
        <f>IF(ISNUMBER(Data!U479),Data!U479/100,"n/a")</f>
        <v>1.5511278397481565E-2</v>
      </c>
      <c r="J262" s="28">
        <f>IF(ISNUMBER(Data!V479),Data!V479/100,"n/a")</f>
        <v>1.1147939577457411E-2</v>
      </c>
      <c r="K262" s="9">
        <f>IF(ISNUMBER(Data!Z479),Data!Z479/100,"n/a")</f>
        <v>6.3151247237132932E-2</v>
      </c>
      <c r="L262" s="10">
        <f>Data!AA479</f>
        <v>4.1484054310072622</v>
      </c>
      <c r="M262" s="10">
        <f>Data!AF479</f>
        <v>2.1</v>
      </c>
      <c r="N262" s="28" t="str">
        <f>IF(ISNUMBER(Data!AG479),Data!AG479/100,"n/a")</f>
        <v>n/a</v>
      </c>
      <c r="O262" s="28">
        <f>IF(ISNUMBER(Data!AJ479),Data!AJ479/100,"n/a")</f>
        <v>0.56299999999999994</v>
      </c>
      <c r="P262" s="9">
        <f>IF(ISNUMBER(Data!AK479),Data!AK479/100,"n/a")</f>
        <v>0.40369999999999995</v>
      </c>
      <c r="Q262" s="8">
        <f>Data!AN479</f>
        <v>0.44</v>
      </c>
      <c r="R262" s="8">
        <f>Data!AP479</f>
        <v>3.0734295599491004</v>
      </c>
      <c r="S262" s="8"/>
      <c r="T262" s="8"/>
      <c r="U262" s="8"/>
      <c r="V262" s="1">
        <f t="shared" si="8"/>
        <v>7</v>
      </c>
      <c r="W262" s="1">
        <f t="shared" si="9"/>
        <v>0</v>
      </c>
    </row>
    <row r="263" spans="1:23" hidden="1" x14ac:dyDescent="0.2">
      <c r="A263" s="7" t="str">
        <f>Data!A482</f>
        <v>NorthWestern Corporation</v>
      </c>
      <c r="B263" s="7" t="str">
        <f>Data!B482</f>
        <v>NWE</v>
      </c>
      <c r="C263" s="7" t="str">
        <f>Data!C482</f>
        <v>Utilities</v>
      </c>
      <c r="D263" s="8">
        <f>IF(ISNUMBER(Data!AL482),Data!AL482/1000,"n/a")</f>
        <v>3.07</v>
      </c>
      <c r="E263" s="1">
        <f>Data!E482</f>
        <v>18</v>
      </c>
      <c r="F263" s="28">
        <f>Data!J482/100</f>
        <v>4.770017035775128E-2</v>
      </c>
      <c r="G263" s="28">
        <f>IF(ISNUMBER(Data!S482),Data!S482/100,"n/a")</f>
        <v>3.3333333333333437E-2</v>
      </c>
      <c r="H263" s="28">
        <f>IF(ISNUMBER(Data!T482),Data!T482/100,"n/a")</f>
        <v>4.0741805351937943E-2</v>
      </c>
      <c r="I263" s="28">
        <f>IF(ISNUMBER(Data!U482),Data!U482/100,"n/a")</f>
        <v>4.3961149790192833E-2</v>
      </c>
      <c r="J263" s="28">
        <f>IF(ISNUMBER(Data!V482),Data!V482/100,"n/a")</f>
        <v>5.5866275967445089E-2</v>
      </c>
      <c r="K263" s="9">
        <f>IF(ISNUMBER(Data!Z482),Data!Z482/100,"n/a")</f>
        <v>0.82352941176470584</v>
      </c>
      <c r="L263" s="10">
        <f>Data!AA482</f>
        <v>17.264705882352942</v>
      </c>
      <c r="M263" s="10">
        <f>Data!AF482</f>
        <v>1.19</v>
      </c>
      <c r="N263" s="28">
        <f>IF(ISNUMBER(Data!AG482),Data!AG482/100,"n/a")</f>
        <v>6.9000000000000006E-2</v>
      </c>
      <c r="O263" s="28">
        <f>IF(ISNUMBER(Data!AJ482),Data!AJ482/100,"n/a")</f>
        <v>1.2E-2</v>
      </c>
      <c r="P263" s="9">
        <f>IF(ISNUMBER(Data!AK482),Data!AK482/100,"n/a")</f>
        <v>4.4999999999999998E-2</v>
      </c>
      <c r="Q263" s="8">
        <f>Data!AN482</f>
        <v>1.01</v>
      </c>
      <c r="R263" s="8">
        <f>Data!AP482</f>
        <v>9.1661320147944103</v>
      </c>
      <c r="S263" s="8"/>
      <c r="T263" s="8"/>
      <c r="U263" s="8"/>
      <c r="V263" s="1">
        <f t="shared" si="8"/>
        <v>6</v>
      </c>
      <c r="W263" s="1">
        <f t="shared" si="9"/>
        <v>0</v>
      </c>
    </row>
    <row r="264" spans="1:23" hidden="1" x14ac:dyDescent="0.2">
      <c r="A264" s="7" t="str">
        <f>Data!A471</f>
        <v>National Retail Properties, Inc.</v>
      </c>
      <c r="B264" s="7" t="str">
        <f>Data!B471</f>
        <v>NNN</v>
      </c>
      <c r="C264" s="7" t="str">
        <f>Data!C471</f>
        <v>Real Estate</v>
      </c>
      <c r="D264" s="8">
        <f>IF(ISNUMBER(Data!AL471),Data!AL471/1000,"n/a")</f>
        <v>7.38</v>
      </c>
      <c r="E264" s="1">
        <f>Data!E471</f>
        <v>33</v>
      </c>
      <c r="F264" s="28">
        <f>Data!J471/100</f>
        <v>5.2343564120866048E-2</v>
      </c>
      <c r="G264" s="28">
        <f>IF(ISNUMBER(Data!S471),Data!S471/100,"n/a")</f>
        <v>1.449275362318847E-2</v>
      </c>
      <c r="H264" s="28">
        <f>IF(ISNUMBER(Data!T471),Data!T471/100,"n/a")</f>
        <v>2.501029596576787E-2</v>
      </c>
      <c r="I264" s="28">
        <f>IF(ISNUMBER(Data!U471),Data!U471/100,"n/a")</f>
        <v>3.3617511439721914E-2</v>
      </c>
      <c r="J264" s="28">
        <f>IF(ISNUMBER(Data!V471),Data!V471/100,"n/a")</f>
        <v>3.2173693892471489E-2</v>
      </c>
      <c r="K264" s="9">
        <f>IF(ISNUMBER(Data!Z471),Data!Z471/100,"n/a")</f>
        <v>1.2865497076023393</v>
      </c>
      <c r="L264" s="10">
        <f>Data!AA471</f>
        <v>24.578947368421055</v>
      </c>
      <c r="M264" s="10">
        <f>Data!AF471</f>
        <v>1.87</v>
      </c>
      <c r="N264" s="28">
        <f>IF(ISNUMBER(Data!AG471),Data!AG471/100,"n/a")</f>
        <v>7.5999999999999998E-2</v>
      </c>
      <c r="O264" s="28">
        <f>IF(ISNUMBER(Data!AJ471),Data!AJ471/100,"n/a")</f>
        <v>1.7000000000000001E-2</v>
      </c>
      <c r="P264" s="9">
        <f>IF(ISNUMBER(Data!AK471),Data!AK471/100,"n/a")</f>
        <v>0.10459999999999998</v>
      </c>
      <c r="Q264" s="8">
        <f>Data!AN471</f>
        <v>0.97</v>
      </c>
      <c r="R264" s="8">
        <f>Data!AP471</f>
        <v>8.5961075560587972</v>
      </c>
      <c r="S264" s="8"/>
      <c r="T264" s="8"/>
      <c r="U264" s="8"/>
      <c r="V264" s="1">
        <f t="shared" si="8"/>
        <v>5</v>
      </c>
      <c r="W264" s="1">
        <f t="shared" si="9"/>
        <v>0</v>
      </c>
    </row>
    <row r="265" spans="1:23" hidden="1" x14ac:dyDescent="0.2">
      <c r="A265" s="7" t="str">
        <f>Data!A474</f>
        <v>Northrim BanCorp, Inc.</v>
      </c>
      <c r="B265" s="7" t="str">
        <f>Data!B474</f>
        <v>NRIM</v>
      </c>
      <c r="C265" s="7" t="str">
        <f>Data!C474</f>
        <v>Financials</v>
      </c>
      <c r="D265" s="8">
        <f>IF(ISNUMBER(Data!AL474),Data!AL474/1000,"n/a")</f>
        <v>0.26621</v>
      </c>
      <c r="E265" s="1">
        <f>Data!E474</f>
        <v>13</v>
      </c>
      <c r="F265" s="28">
        <f>Data!J474/100</f>
        <v>4.1042478965729524E-2</v>
      </c>
      <c r="G265" s="28">
        <f>IF(ISNUMBER(Data!S474),Data!S474/100,"n/a")</f>
        <v>8.6956521739130613E-2</v>
      </c>
      <c r="H265" s="28">
        <f>IF(ISNUMBER(Data!T474),Data!T474/100,"n/a")</f>
        <v>0.13718300976297648</v>
      </c>
      <c r="I265" s="28">
        <f>IF(ISNUMBER(Data!U474),Data!U474/100,"n/a")</f>
        <v>0.13972304907201583</v>
      </c>
      <c r="J265" s="28">
        <f>IF(ISNUMBER(Data!V474),Data!V474/100,"n/a")</f>
        <v>0.11612317403390439</v>
      </c>
      <c r="K265" s="9">
        <f>IF(ISNUMBER(Data!Z474),Data!Z474/100,"n/a")</f>
        <v>0.39138943248532287</v>
      </c>
      <c r="L265" s="10">
        <f>Data!AA474</f>
        <v>9.5362035225048913</v>
      </c>
      <c r="M265" s="10">
        <f>Data!AF474</f>
        <v>1.29</v>
      </c>
      <c r="N265" s="28">
        <f>IF(ISNUMBER(Data!AG474),Data!AG474/100,"n/a")</f>
        <v>0.14099999999999999</v>
      </c>
      <c r="O265" s="28">
        <f>IF(ISNUMBER(Data!AJ474),Data!AJ474/100,"n/a")</f>
        <v>0.23799999999999996</v>
      </c>
      <c r="P265" s="9" t="str">
        <f>IF(ISNUMBER(Data!AK474),Data!AK474/100,"n/a")</f>
        <v>n/a</v>
      </c>
      <c r="Q265" s="8">
        <f>Data!AN474</f>
        <v>0.05</v>
      </c>
      <c r="R265" s="8">
        <f>Data!AP474</f>
        <v>18.076552803774536</v>
      </c>
      <c r="S265" s="8"/>
      <c r="T265" s="8"/>
      <c r="U265" s="8"/>
      <c r="V265" s="1">
        <f t="shared" si="8"/>
        <v>9</v>
      </c>
      <c r="W265" s="1">
        <f t="shared" si="9"/>
        <v>0</v>
      </c>
    </row>
    <row r="266" spans="1:23" hidden="1" x14ac:dyDescent="0.2">
      <c r="A266" s="7" t="str">
        <f>Data!A484</f>
        <v>Northwest Natural Holding Company</v>
      </c>
      <c r="B266" s="7" t="str">
        <f>Data!B484</f>
        <v>NWN</v>
      </c>
      <c r="C266" s="7" t="str">
        <f>Data!C484</f>
        <v>Utilities</v>
      </c>
      <c r="D266" s="8">
        <f>IF(ISNUMBER(Data!AL484),Data!AL484/1000,"n/a")</f>
        <v>1.65</v>
      </c>
      <c r="E266" s="1">
        <f>Data!E484</f>
        <v>67</v>
      </c>
      <c r="F266" s="28">
        <f>Data!J484/100</f>
        <v>4.0341027240590549E-2</v>
      </c>
      <c r="G266" s="28">
        <f>IF(ISNUMBER(Data!S484),Data!S484/100,"n/a")</f>
        <v>5.2287581699346219E-3</v>
      </c>
      <c r="H266" s="28">
        <f>IF(ISNUMBER(Data!T484),Data!T484/100,"n/a")</f>
        <v>5.2563383499120153E-3</v>
      </c>
      <c r="I266" s="28">
        <f>IF(ISNUMBER(Data!U484),Data!U484/100,"n/a")</f>
        <v>5.2843101725581487E-3</v>
      </c>
      <c r="J266" s="28">
        <f>IF(ISNUMBER(Data!V484),Data!V484/100,"n/a")</f>
        <v>9.4453922469110996E-3</v>
      </c>
      <c r="K266" s="9">
        <f>IF(ISNUMBER(Data!Z484),Data!Z484/100,"n/a")</f>
        <v>0.77911646586345373</v>
      </c>
      <c r="L266" s="10">
        <f>Data!AA484</f>
        <v>19.313253012048193</v>
      </c>
      <c r="M266" s="10">
        <f>Data!AF484</f>
        <v>1.45</v>
      </c>
      <c r="N266" s="28">
        <f>IF(ISNUMBER(Data!AG484),Data!AG484/100,"n/a")</f>
        <v>7.9000000000000001E-2</v>
      </c>
      <c r="O266" s="28">
        <f>IF(ISNUMBER(Data!AJ484),Data!AJ484/100,"n/a")</f>
        <v>2.6000000000000002E-2</v>
      </c>
      <c r="P266" s="9">
        <f>IF(ISNUMBER(Data!AK484),Data!AK484/100,"n/a")</f>
        <v>4.2999999999999997E-2</v>
      </c>
      <c r="Q266" s="8">
        <f>Data!AN484</f>
        <v>1.1100000000000001</v>
      </c>
      <c r="R266" s="8">
        <f>Data!AP484</f>
        <v>4.5625337413148701</v>
      </c>
      <c r="S266" s="8"/>
      <c r="T266" s="8"/>
      <c r="U266" s="8"/>
      <c r="V266" s="1">
        <f t="shared" si="8"/>
        <v>5</v>
      </c>
      <c r="W266" s="1">
        <f t="shared" si="9"/>
        <v>0</v>
      </c>
    </row>
    <row r="267" spans="1:23" hidden="1" x14ac:dyDescent="0.2">
      <c r="A267" s="7" t="str">
        <f>Data!A467</f>
        <v>Northeast Indiana Bancorp, Inc.</v>
      </c>
      <c r="B267" s="7" t="str">
        <f>Data!B467</f>
        <v>NIDB</v>
      </c>
      <c r="C267" s="7" t="str">
        <f>Data!C467</f>
        <v>Financials</v>
      </c>
      <c r="D267" s="8" t="str">
        <f>IF(ISNUMBER(Data!AL467),Data!AL467/1000,"n/a")</f>
        <v>n/a</v>
      </c>
      <c r="E267" s="1">
        <f>Data!E467</f>
        <v>28</v>
      </c>
      <c r="F267" s="28">
        <f>Data!J467/100</f>
        <v>3.0843373493975906E-2</v>
      </c>
      <c r="G267" s="28">
        <f>IF(ISNUMBER(Data!S467),Data!S467/100,"n/a")</f>
        <v>4.5871559633027248E-2</v>
      </c>
      <c r="H267" s="28">
        <f>IF(ISNUMBER(Data!T467),Data!T467/100,"n/a")</f>
        <v>5.5304295011634697E-2</v>
      </c>
      <c r="I267" s="28">
        <f>IF(ISNUMBER(Data!U467),Data!U467/100,"n/a")</f>
        <v>6.0467064942837823E-2</v>
      </c>
      <c r="J267" s="28">
        <f>IF(ISNUMBER(Data!V467),Data!V467/100,"n/a")</f>
        <v>4.9232111096895403E-2</v>
      </c>
      <c r="K267" s="9" t="str">
        <f>IF(ISNUMBER(Data!Z467),Data!Z467/100,"n/a")</f>
        <v>n/a</v>
      </c>
      <c r="L267" s="10" t="str">
        <f>Data!AA467</f>
        <v>n/a</v>
      </c>
      <c r="M267" s="10" t="str">
        <f>Data!AF467</f>
        <v>n/a</v>
      </c>
      <c r="N267" s="28" t="str">
        <f>IF(ISNUMBER(Data!AG467),Data!AG467/100,"n/a")</f>
        <v>n/a</v>
      </c>
      <c r="O267" s="28" t="str">
        <f>IF(ISNUMBER(Data!AJ467),Data!AJ467/100,"n/a")</f>
        <v>n/a</v>
      </c>
      <c r="P267" s="9" t="str">
        <f>IF(ISNUMBER(Data!AK467),Data!AK467/100,"n/a")</f>
        <v>n/a</v>
      </c>
      <c r="Q267" s="8" t="str">
        <f>Data!AN467</f>
        <v>n/a</v>
      </c>
      <c r="R267" s="8">
        <f>Data!AP467</f>
        <v>9.1310438436813719</v>
      </c>
      <c r="S267" s="8"/>
      <c r="T267" s="8"/>
      <c r="U267" s="8"/>
      <c r="V267" s="1">
        <f t="shared" si="8"/>
        <v>4</v>
      </c>
      <c r="W267" s="1">
        <f t="shared" si="9"/>
        <v>0</v>
      </c>
    </row>
    <row r="268" spans="1:23" hidden="1" x14ac:dyDescent="0.2">
      <c r="A268" s="7" t="str">
        <f>Data!A473</f>
        <v>EnPro Industries, Inc.</v>
      </c>
      <c r="B268" s="7" t="str">
        <f>Data!B473</f>
        <v>NPO</v>
      </c>
      <c r="C268" s="7" t="str">
        <f>Data!C473</f>
        <v>Industrials</v>
      </c>
      <c r="D268" s="8">
        <f>IF(ISNUMBER(Data!AL473),Data!AL473/1000,"n/a")</f>
        <v>2.15</v>
      </c>
      <c r="E268" s="1">
        <f>Data!E473</f>
        <v>8</v>
      </c>
      <c r="F268" s="28">
        <f>Data!J473/100</f>
        <v>1.051643192488263E-2</v>
      </c>
      <c r="G268" s="28">
        <f>IF(ISNUMBER(Data!S473),Data!S473/100,"n/a")</f>
        <v>3.8461538461538547E-2</v>
      </c>
      <c r="H268" s="28">
        <f>IF(ISNUMBER(Data!T473),Data!T473/100,"n/a")</f>
        <v>4.0041911525952045E-2</v>
      </c>
      <c r="I268" s="28">
        <f>IF(ISNUMBER(Data!U473),Data!U473/100,"n/a")</f>
        <v>5.1547496797280434E-2</v>
      </c>
      <c r="J268" s="28" t="str">
        <f>IF(ISNUMBER(Data!V473),Data!V473/100,"n/a")</f>
        <v>n/a</v>
      </c>
      <c r="K268" s="9">
        <f>IF(ISNUMBER(Data!Z473),Data!Z473/100,"n/a")</f>
        <v>0.12993039443155455</v>
      </c>
      <c r="L268" s="10">
        <f>Data!AA473</f>
        <v>12.354988399071926</v>
      </c>
      <c r="M268" s="10">
        <f>Data!AF473</f>
        <v>1.75</v>
      </c>
      <c r="N268" s="28">
        <f>IF(ISNUMBER(Data!AG473),Data!AG473/100,"n/a")</f>
        <v>0.14499999999999999</v>
      </c>
      <c r="O268" s="28">
        <f>IF(ISNUMBER(Data!AJ473),Data!AJ473/100,"n/a")</f>
        <v>0.45800000000000002</v>
      </c>
      <c r="P268" s="9">
        <f>IF(ISNUMBER(Data!AK473),Data!AK473/100,"n/a")</f>
        <v>5.0999999999999997E-2</v>
      </c>
      <c r="Q268" s="8">
        <f>Data!AN473</f>
        <v>0.78</v>
      </c>
      <c r="R268" s="8">
        <f>Data!AP473</f>
        <v>6.2063928722163064</v>
      </c>
      <c r="S268" s="8"/>
      <c r="T268" s="8"/>
      <c r="U268" s="8"/>
      <c r="V268" s="1">
        <f t="shared" si="8"/>
        <v>6</v>
      </c>
      <c r="W268" s="1">
        <f t="shared" si="9"/>
        <v>0</v>
      </c>
    </row>
    <row r="269" spans="1:23" hidden="1" x14ac:dyDescent="0.2">
      <c r="A269" s="7" t="str">
        <f>Data!A476</f>
        <v>Norfolk Southern Corporation</v>
      </c>
      <c r="B269" s="7" t="str">
        <f>Data!B476</f>
        <v>NSC</v>
      </c>
      <c r="C269" s="7" t="str">
        <f>Data!C476</f>
        <v>Industrials</v>
      </c>
      <c r="D269" s="8">
        <f>IF(ISNUMBER(Data!AL476),Data!AL476/1000,"n/a")</f>
        <v>51.77</v>
      </c>
      <c r="E269" s="1">
        <f>Data!E476</f>
        <v>6</v>
      </c>
      <c r="F269" s="28">
        <f>Data!J476/100</f>
        <v>2.1747709036699262E-2</v>
      </c>
      <c r="G269" s="28">
        <f>IF(ISNUMBER(Data!S476),Data!S476/100,"n/a")</f>
        <v>0.10638297872340431</v>
      </c>
      <c r="H269" s="28">
        <f>IF(ISNUMBER(Data!T476),Data!T476/100,"n/a")</f>
        <v>0.11021370033491194</v>
      </c>
      <c r="I269" s="28">
        <f>IF(ISNUMBER(Data!U476),Data!U476/100,"n/a")</f>
        <v>0.12004704741706673</v>
      </c>
      <c r="J269" s="28">
        <f>IF(ISNUMBER(Data!V476),Data!V476/100,"n/a")</f>
        <v>9.6222026782419659E-2</v>
      </c>
      <c r="K269" s="9">
        <f>IF(ISNUMBER(Data!Z476),Data!Z476/100,"n/a")</f>
        <v>0.36497424576894777</v>
      </c>
      <c r="L269" s="10">
        <f>Data!AA476</f>
        <v>16.782192788815305</v>
      </c>
      <c r="M269" s="10">
        <f>Data!AF476</f>
        <v>4.0999999999999996</v>
      </c>
      <c r="N269" s="28">
        <f>IF(ISNUMBER(Data!AG476),Data!AG476/100,"n/a")</f>
        <v>0.24299999999999999</v>
      </c>
      <c r="O269" s="28">
        <f>IF(ISNUMBER(Data!AJ476),Data!AJ476/100,"n/a")</f>
        <v>0.16600000000000001</v>
      </c>
      <c r="P269" s="9">
        <f>IF(ISNUMBER(Data!AK476),Data!AK476/100,"n/a")</f>
        <v>9.6500000000000002E-2</v>
      </c>
      <c r="Q269" s="8">
        <f>Data!AN476</f>
        <v>1.1599999999999999</v>
      </c>
      <c r="R269" s="8">
        <f>Data!AP476</f>
        <v>14.179475645376598</v>
      </c>
      <c r="S269" s="8"/>
      <c r="T269" s="8"/>
      <c r="U269" s="8"/>
      <c r="V269" s="1">
        <f t="shared" si="8"/>
        <v>10</v>
      </c>
      <c r="W269" s="1">
        <f t="shared" si="9"/>
        <v>0</v>
      </c>
    </row>
    <row r="270" spans="1:23" hidden="1" x14ac:dyDescent="0.2">
      <c r="A270" s="7" t="str">
        <f>Data!A468</f>
        <v>New Jersey Resources Corporation</v>
      </c>
      <c r="B270" s="7" t="str">
        <f>Data!B468</f>
        <v>NJR</v>
      </c>
      <c r="C270" s="7" t="str">
        <f>Data!C468</f>
        <v>Utilities</v>
      </c>
      <c r="D270" s="8">
        <f>IF(ISNUMBER(Data!AL468),Data!AL468/1000,"n/a")</f>
        <v>4.28</v>
      </c>
      <c r="E270" s="1">
        <f>Data!E468</f>
        <v>27</v>
      </c>
      <c r="F270" s="28">
        <f>Data!J468/100</f>
        <v>3.4946236559139789E-2</v>
      </c>
      <c r="G270" s="28">
        <f>IF(ISNUMBER(Data!S468),Data!S468/100,"n/a")</f>
        <v>7.0866141732283561E-2</v>
      </c>
      <c r="H270" s="28">
        <f>IF(ISNUMBER(Data!T468),Data!T468/100,"n/a")</f>
        <v>7.005305155927255E-2</v>
      </c>
      <c r="I270" s="28">
        <f>IF(ISNUMBER(Data!U468),Data!U468/100,"n/a")</f>
        <v>6.8825627722391092E-2</v>
      </c>
      <c r="J270" s="28">
        <f>IF(ISNUMBER(Data!V468),Data!V468/100,"n/a")</f>
        <v>6.5664849986184715E-2</v>
      </c>
      <c r="K270" s="9">
        <f>IF(ISNUMBER(Data!Z468),Data!Z468/100,"n/a")</f>
        <v>0.68722466960352424</v>
      </c>
      <c r="L270" s="10">
        <f>Data!AA468</f>
        <v>19.665198237885463</v>
      </c>
      <c r="M270" s="10">
        <f>Data!AF468</f>
        <v>2.46</v>
      </c>
      <c r="N270" s="28">
        <f>IF(ISNUMBER(Data!AG468),Data!AG468/100,"n/a")</f>
        <v>0.127</v>
      </c>
      <c r="O270" s="28">
        <f>IF(ISNUMBER(Data!AJ468),Data!AJ468/100,"n/a")</f>
        <v>-4.2999999999999997E-2</v>
      </c>
      <c r="P270" s="9">
        <f>IF(ISNUMBER(Data!AK468),Data!AK468/100,"n/a")</f>
        <v>0.06</v>
      </c>
      <c r="Q270" s="8">
        <f>Data!AN468</f>
        <v>1.65</v>
      </c>
      <c r="R270" s="8">
        <f>Data!AP468</f>
        <v>10.377186428153088</v>
      </c>
      <c r="S270" s="8"/>
      <c r="T270" s="8"/>
      <c r="U270" s="8"/>
      <c r="V270" s="1">
        <f t="shared" si="8"/>
        <v>8</v>
      </c>
      <c r="W270" s="1">
        <f t="shared" si="9"/>
        <v>0</v>
      </c>
    </row>
    <row r="271" spans="1:23" hidden="1" x14ac:dyDescent="0.2">
      <c r="A271" s="7" t="str">
        <f>Data!A469</f>
        <v>NIKE, Inc.</v>
      </c>
      <c r="B271" s="7" t="str">
        <f>Data!B469</f>
        <v>NKE</v>
      </c>
      <c r="C271" s="7" t="str">
        <f>Data!C469</f>
        <v>Consumer Discretionary</v>
      </c>
      <c r="D271" s="8">
        <f>IF(ISNUMBER(Data!AL469),Data!AL469/1000,"n/a")</f>
        <v>141.66</v>
      </c>
      <c r="E271" s="1">
        <f>Data!E469</f>
        <v>19</v>
      </c>
      <c r="F271" s="28">
        <f>Data!J469/100</f>
        <v>1.316357358653431E-2</v>
      </c>
      <c r="G271" s="28">
        <f>IF(ISNUMBER(Data!S469),Data!S469/100,"n/a")</f>
        <v>0.15306122448979576</v>
      </c>
      <c r="H271" s="28">
        <f>IF(ISNUMBER(Data!T469),Data!T469/100,"n/a")</f>
        <v>0.12200851329591501</v>
      </c>
      <c r="I271" s="28">
        <f>IF(ISNUMBER(Data!U469),Data!U469/100,"n/a")</f>
        <v>0.1204170107889244</v>
      </c>
      <c r="J271" s="28">
        <f>IF(ISNUMBER(Data!V469),Data!V469/100,"n/a")</f>
        <v>0.13807707447767714</v>
      </c>
      <c r="K271" s="9">
        <f>IF(ISNUMBER(Data!Z469),Data!Z469/100,"n/a")</f>
        <v>0.34659090909090906</v>
      </c>
      <c r="L271" s="10">
        <f>Data!AA469</f>
        <v>26.329545454545457</v>
      </c>
      <c r="M271" s="10">
        <f>Data!AF469</f>
        <v>9.2899999999999991</v>
      </c>
      <c r="N271" s="28">
        <f>IF(ISNUMBER(Data!AG469),Data!AG469/100,"n/a")</f>
        <v>0.371</v>
      </c>
      <c r="O271" s="28">
        <f>IF(ISNUMBER(Data!AJ469),Data!AJ469/100,"n/a")</f>
        <v>8.4000000000000005E-2</v>
      </c>
      <c r="P271" s="9">
        <f>IF(ISNUMBER(Data!AK469),Data!AK469/100,"n/a")</f>
        <v>6.5000000000000002E-2</v>
      </c>
      <c r="Q271" s="8">
        <f>Data!AN469</f>
        <v>0.6</v>
      </c>
      <c r="R271" s="8">
        <f>Data!AP469</f>
        <v>13.358058437545871</v>
      </c>
      <c r="S271" s="8"/>
      <c r="T271" s="8"/>
      <c r="U271" s="8"/>
      <c r="V271" s="1">
        <f t="shared" si="8"/>
        <v>9</v>
      </c>
      <c r="W271" s="1">
        <f t="shared" si="9"/>
        <v>0</v>
      </c>
    </row>
    <row r="272" spans="1:23" hidden="1" x14ac:dyDescent="0.2">
      <c r="A272" s="7" t="str">
        <f>Data!A495</f>
        <v>Universal Display Corporation</v>
      </c>
      <c r="B272" s="7" t="str">
        <f>Data!B495</f>
        <v>OLED</v>
      </c>
      <c r="C272" s="7" t="str">
        <f>Data!C495</f>
        <v>Information Technology</v>
      </c>
      <c r="D272" s="8">
        <f>IF(ISNUMBER(Data!AL495),Data!AL495/1000,"n/a")</f>
        <v>4.58</v>
      </c>
      <c r="E272" s="1">
        <f>Data!E495</f>
        <v>6</v>
      </c>
      <c r="F272" s="28">
        <f>Data!J495/100</f>
        <v>1.2602394454946439E-2</v>
      </c>
      <c r="G272" s="28">
        <f>IF(ISNUMBER(Data!S495),Data!S495/100,"n/a")</f>
        <v>0.33333333333333348</v>
      </c>
      <c r="H272" s="28">
        <f>IF(ISNUMBER(Data!T495),Data!T495/100,"n/a")</f>
        <v>0.49380158218572157</v>
      </c>
      <c r="I272" s="28" t="str">
        <f>IF(ISNUMBER(Data!U495),Data!U495/100,"n/a")</f>
        <v>n/a</v>
      </c>
      <c r="J272" s="28" t="str">
        <f>IF(ISNUMBER(Data!V495),Data!V495/100,"n/a")</f>
        <v>n/a</v>
      </c>
      <c r="K272" s="9">
        <f>IF(ISNUMBER(Data!Z495),Data!Z495/100,"n/a")</f>
        <v>0.31168831168831168</v>
      </c>
      <c r="L272" s="10">
        <f>Data!AA495</f>
        <v>24.732467532467531</v>
      </c>
      <c r="M272" s="10">
        <f>Data!AF495</f>
        <v>4.03</v>
      </c>
      <c r="N272" s="28">
        <f>IF(ISNUMBER(Data!AG495),Data!AG495/100,"n/a")</f>
        <v>0.16500000000000001</v>
      </c>
      <c r="O272" s="28">
        <f>IF(ISNUMBER(Data!AJ495),Data!AJ495/100,"n/a")</f>
        <v>0.30199999999999999</v>
      </c>
      <c r="P272" s="9">
        <f>IF(ISNUMBER(Data!AK495),Data!AK495/100,"n/a")</f>
        <v>0.2107</v>
      </c>
      <c r="Q272" s="8">
        <f>Data!AN495</f>
        <v>0</v>
      </c>
      <c r="R272" s="8" t="str">
        <f>Data!AP495</f>
        <v>n/a</v>
      </c>
      <c r="S272" s="8"/>
      <c r="T272" s="8"/>
      <c r="U272" s="8"/>
      <c r="V272" s="1">
        <f t="shared" si="8"/>
        <v>7</v>
      </c>
      <c r="W272" s="1">
        <f t="shared" si="9"/>
        <v>0</v>
      </c>
    </row>
    <row r="273" spans="1:23" hidden="1" x14ac:dyDescent="0.2">
      <c r="A273" s="7" t="str">
        <f>Data!A494</f>
        <v>ONE Gas, Inc.</v>
      </c>
      <c r="B273" s="7" t="str">
        <f>Data!B494</f>
        <v>OGS</v>
      </c>
      <c r="C273" s="7" t="str">
        <f>Data!C494</f>
        <v>Utilities</v>
      </c>
      <c r="D273" s="8">
        <f>IF(ISNUMBER(Data!AL494),Data!AL494/1000,"n/a")</f>
        <v>4.09</v>
      </c>
      <c r="E273" s="1">
        <f>Data!E494</f>
        <v>9</v>
      </c>
      <c r="F273" s="28">
        <f>Data!J494/100</f>
        <v>3.200826019617966E-2</v>
      </c>
      <c r="G273" s="28">
        <f>IF(ISNUMBER(Data!S494),Data!S494/100,"n/a")</f>
        <v>7.4074074074073959E-2</v>
      </c>
      <c r="H273" s="28">
        <f>IF(ISNUMBER(Data!T494),Data!T494/100,"n/a")</f>
        <v>8.0330707256288658E-2</v>
      </c>
      <c r="I273" s="28">
        <f>IF(ISNUMBER(Data!U494),Data!U494/100,"n/a")</f>
        <v>0.10629764994767822</v>
      </c>
      <c r="J273" s="28" t="str">
        <f>IF(ISNUMBER(Data!V494),Data!V494/100,"n/a")</f>
        <v>n/a</v>
      </c>
      <c r="K273" s="9">
        <f>IF(ISNUMBER(Data!Z494),Data!Z494/100,"n/a")</f>
        <v>0.63265306122448983</v>
      </c>
      <c r="L273" s="10">
        <f>Data!AA494</f>
        <v>19.76530612244898</v>
      </c>
      <c r="M273" s="10">
        <f>Data!AF494</f>
        <v>1.71</v>
      </c>
      <c r="N273" s="28">
        <f>IF(ISNUMBER(Data!AG494),Data!AG494/100,"n/a")</f>
        <v>8.900000000000001E-2</v>
      </c>
      <c r="O273" s="28">
        <f>IF(ISNUMBER(Data!AJ494),Data!AJ494/100,"n/a")</f>
        <v>7.8E-2</v>
      </c>
      <c r="P273" s="9">
        <f>IF(ISNUMBER(Data!AK494),Data!AK494/100,"n/a")</f>
        <v>0.05</v>
      </c>
      <c r="Q273" s="8">
        <f>Data!AN494</f>
        <v>1.7</v>
      </c>
      <c r="R273" s="8">
        <f>Data!AP494</f>
        <v>13.830591014385789</v>
      </c>
      <c r="S273" s="8"/>
      <c r="T273" s="8"/>
      <c r="U273" s="8"/>
      <c r="V273" s="1">
        <f t="shared" si="8"/>
        <v>7</v>
      </c>
      <c r="W273" s="1">
        <f t="shared" si="9"/>
        <v>0</v>
      </c>
    </row>
    <row r="274" spans="1:23" hidden="1" x14ac:dyDescent="0.2">
      <c r="A274" s="7" t="str">
        <f>Data!A470</f>
        <v>Nelnet, Inc.</v>
      </c>
      <c r="B274" s="7" t="str">
        <f>Data!B470</f>
        <v>NNI</v>
      </c>
      <c r="C274" s="7" t="str">
        <f>Data!C470</f>
        <v>Financials</v>
      </c>
      <c r="D274" s="8">
        <f>IF(ISNUMBER(Data!AL470),Data!AL470/1000,"n/a")</f>
        <v>3.26</v>
      </c>
      <c r="E274" s="1">
        <f>Data!E470</f>
        <v>7</v>
      </c>
      <c r="F274" s="28">
        <f>Data!J470/100</f>
        <v>1.0775620159389382E-2</v>
      </c>
      <c r="G274" s="28">
        <f>IF(ISNUMBER(Data!S470),Data!S470/100,"n/a")</f>
        <v>9.7560975609756184E-2</v>
      </c>
      <c r="H274" s="28">
        <f>IF(ISNUMBER(Data!T470),Data!T470/100,"n/a")</f>
        <v>0.10891823393038823</v>
      </c>
      <c r="I274" s="28">
        <f>IF(ISNUMBER(Data!U470),Data!U470/100,"n/a")</f>
        <v>0.12474611314209483</v>
      </c>
      <c r="J274" s="28">
        <f>IF(ISNUMBER(Data!V470),Data!V470/100,"n/a")</f>
        <v>9.2959523215105033E-2</v>
      </c>
      <c r="K274" s="9">
        <f>IF(ISNUMBER(Data!Z470),Data!Z470/100,"n/a")</f>
        <v>8.1218274111675121E-2</v>
      </c>
      <c r="L274" s="10">
        <f>Data!AA470</f>
        <v>7.5372250423011842</v>
      </c>
      <c r="M274" s="10">
        <f>Data!AF470</f>
        <v>1.0900000000000001</v>
      </c>
      <c r="N274" s="28">
        <f>IF(ISNUMBER(Data!AG470),Data!AG470/100,"n/a")</f>
        <v>0.15</v>
      </c>
      <c r="O274" s="28">
        <f>IF(ISNUMBER(Data!AJ470),Data!AJ470/100,"n/a")</f>
        <v>0.11</v>
      </c>
      <c r="P274" s="9">
        <f>IF(ISNUMBER(Data!AK470),Data!AK470/100,"n/a")</f>
        <v>-6.9099999999999995E-2</v>
      </c>
      <c r="Q274" s="8">
        <f>Data!AN470</f>
        <v>5.39</v>
      </c>
      <c r="R274" s="8">
        <f>Data!AP470</f>
        <v>13.55217333014842</v>
      </c>
      <c r="S274" s="8"/>
      <c r="T274" s="8"/>
      <c r="U274" s="8"/>
      <c r="V274" s="1">
        <f t="shared" si="8"/>
        <v>8</v>
      </c>
      <c r="W274" s="1">
        <f t="shared" si="9"/>
        <v>0</v>
      </c>
    </row>
    <row r="275" spans="1:23" hidden="1" x14ac:dyDescent="0.2">
      <c r="A275" s="7" t="str">
        <f>Data!A475</f>
        <v>National Storage Affiliates Trust</v>
      </c>
      <c r="B275" s="7" t="str">
        <f>Data!B475</f>
        <v>NSA</v>
      </c>
      <c r="C275" s="7" t="str">
        <f>Data!C475</f>
        <v>Real Estate</v>
      </c>
      <c r="D275" s="8">
        <f>IF(ISNUMBER(Data!AL475),Data!AL475/1000,"n/a")</f>
        <v>3.8</v>
      </c>
      <c r="E275" s="1">
        <f>Data!E475</f>
        <v>8</v>
      </c>
      <c r="F275" s="28">
        <f>Data!J475/100</f>
        <v>5.1570557899671826E-2</v>
      </c>
      <c r="G275" s="28">
        <f>IF(ISNUMBER(Data!S475),Data!S475/100,"n/a")</f>
        <v>0.17777777777777781</v>
      </c>
      <c r="H275" s="28">
        <f>IF(ISNUMBER(Data!T475),Data!T475/100,"n/a")</f>
        <v>0.11082687493230781</v>
      </c>
      <c r="I275" s="28">
        <f>IF(ISNUMBER(Data!U475),Data!U475/100,"n/a")</f>
        <v>0.12559690542635038</v>
      </c>
      <c r="J275" s="28" t="str">
        <f>IF(ISNUMBER(Data!V475),Data!V475/100,"n/a")</f>
        <v>n/a</v>
      </c>
      <c r="K275" s="9">
        <f>IF(ISNUMBER(Data!Z475),Data!Z475/100,"n/a")</f>
        <v>2.1782178217821784</v>
      </c>
      <c r="L275" s="10">
        <f>Data!AA475</f>
        <v>42.237623762376231</v>
      </c>
      <c r="M275" s="10">
        <f>Data!AF475</f>
        <v>2.57</v>
      </c>
      <c r="N275" s="28">
        <f>IF(ISNUMBER(Data!AG475),Data!AG475/100,"n/a")</f>
        <v>6.2E-2</v>
      </c>
      <c r="O275" s="28">
        <f>IF(ISNUMBER(Data!AJ475),Data!AJ475/100,"n/a")</f>
        <v>0.25600000000000001</v>
      </c>
      <c r="P275" s="9">
        <f>IF(ISNUMBER(Data!AK475),Data!AK475/100,"n/a")</f>
        <v>0.11</v>
      </c>
      <c r="Q275" s="8">
        <f>Data!AN475</f>
        <v>2.06</v>
      </c>
      <c r="R275" s="8">
        <f>Data!AP475</f>
        <v>17.71674633260222</v>
      </c>
      <c r="S275" s="8"/>
      <c r="T275" s="8"/>
      <c r="U275" s="8"/>
      <c r="V275" s="1">
        <f t="shared" si="8"/>
        <v>7</v>
      </c>
      <c r="W275" s="1">
        <f t="shared" si="9"/>
        <v>0</v>
      </c>
    </row>
    <row r="276" spans="1:23" hidden="1" x14ac:dyDescent="0.2">
      <c r="A276" s="7" t="str">
        <f>Data!A486</f>
        <v>NexPoint Residential Trust, Inc.</v>
      </c>
      <c r="B276" s="7" t="str">
        <f>Data!B486</f>
        <v>NXRT</v>
      </c>
      <c r="C276" s="7" t="str">
        <f>Data!C486</f>
        <v>Real Estate</v>
      </c>
      <c r="D276" s="8">
        <f>IF(ISNUMBER(Data!AL486),Data!AL486/1000,"n/a")</f>
        <v>1.18</v>
      </c>
      <c r="E276" s="1">
        <f>Data!E486</f>
        <v>8</v>
      </c>
      <c r="F276" s="28">
        <f>Data!J486/100</f>
        <v>3.6842105263157891E-2</v>
      </c>
      <c r="G276" s="28">
        <f>IF(ISNUMBER(Data!S486),Data!S486/100,"n/a")</f>
        <v>9.7751710654936375E-2</v>
      </c>
      <c r="H276" s="28">
        <f>IF(ISNUMBER(Data!T486),Data!T486/100,"n/a")</f>
        <v>0.1105087068809205</v>
      </c>
      <c r="I276" s="28">
        <f>IF(ISNUMBER(Data!U486),Data!U486/100,"n/a")</f>
        <v>0.10868749761309848</v>
      </c>
      <c r="J276" s="28" t="str">
        <f>IF(ISNUMBER(Data!V486),Data!V486/100,"n/a")</f>
        <v>n/a</v>
      </c>
      <c r="K276" s="9">
        <f>IF(ISNUMBER(Data!Z486),Data!Z486/100,"n/a")</f>
        <v>1.8876404494382022</v>
      </c>
      <c r="L276" s="10">
        <f>Data!AA486</f>
        <v>51.235955056179776</v>
      </c>
      <c r="M276" s="10">
        <f>Data!AF486</f>
        <v>2.2200000000000002</v>
      </c>
      <c r="N276" s="28">
        <f>IF(ISNUMBER(Data!AG486),Data!AG486/100,"n/a")</f>
        <v>5.0999999999999997E-2</v>
      </c>
      <c r="O276" s="28">
        <f>IF(ISNUMBER(Data!AJ486),Data!AJ486/100,"n/a")</f>
        <v>-2.7000000000000003E-2</v>
      </c>
      <c r="P276" s="9">
        <f>IF(ISNUMBER(Data!AK486),Data!AK486/100,"n/a")</f>
        <v>0.05</v>
      </c>
      <c r="Q276" s="8">
        <f>Data!AN486</f>
        <v>0</v>
      </c>
      <c r="R276" s="8">
        <f>Data!AP486</f>
        <v>14.552960287625638</v>
      </c>
      <c r="S276" s="8"/>
      <c r="T276" s="8"/>
      <c r="U276" s="8"/>
      <c r="V276" s="1">
        <f t="shared" si="8"/>
        <v>6</v>
      </c>
      <c r="W276" s="1">
        <f t="shared" si="9"/>
        <v>0</v>
      </c>
    </row>
    <row r="277" spans="1:23" hidden="1" x14ac:dyDescent="0.2">
      <c r="A277" s="7" t="str">
        <f>Data!A477</f>
        <v>Insperity, Inc.</v>
      </c>
      <c r="B277" s="7" t="str">
        <f>Data!B477</f>
        <v>NSP</v>
      </c>
      <c r="C277" s="7" t="str">
        <f>Data!C477</f>
        <v>Industrials</v>
      </c>
      <c r="D277" s="8">
        <f>IF(ISNUMBER(Data!AL477),Data!AL477/1000,"n/a")</f>
        <v>4.07</v>
      </c>
      <c r="E277" s="1">
        <f>Data!E477</f>
        <v>12</v>
      </c>
      <c r="F277" s="28">
        <f>Data!J477/100</f>
        <v>1.7624131503135063E-2</v>
      </c>
      <c r="G277" s="28">
        <f>IF(ISNUMBER(Data!S477),Data!S477/100,"n/a")</f>
        <v>9.375E-2</v>
      </c>
      <c r="H277" s="28">
        <f>IF(ISNUMBER(Data!T477),Data!T477/100,"n/a")</f>
        <v>0.29812352546277587</v>
      </c>
      <c r="I277" s="28">
        <f>IF(ISNUMBER(Data!U477),Data!U477/100,"n/a")</f>
        <v>0.29258544715010215</v>
      </c>
      <c r="J277" s="28">
        <f>IF(ISNUMBER(Data!V477),Data!V477/100,"n/a")</f>
        <v>0.19286605283985048</v>
      </c>
      <c r="K277" s="9">
        <f>IF(ISNUMBER(Data!Z477),Data!Z477/100,"n/a")</f>
        <v>0.57300275482093666</v>
      </c>
      <c r="L277" s="10">
        <f>Data!AA477</f>
        <v>32.512396694214878</v>
      </c>
      <c r="M277" s="10">
        <f>Data!AF477</f>
        <v>116.46</v>
      </c>
      <c r="N277" s="28">
        <f>IF(ISNUMBER(Data!AG477),Data!AG477/100,"n/a")</f>
        <v>3.4180000000000001</v>
      </c>
      <c r="O277" s="28">
        <f>IF(ISNUMBER(Data!AJ477),Data!AJ477/100,"n/a")</f>
        <v>0.156</v>
      </c>
      <c r="P277" s="9">
        <f>IF(ISNUMBER(Data!AK477),Data!AK477/100,"n/a")</f>
        <v>0.15</v>
      </c>
      <c r="Q277" s="8">
        <f>Data!AN477</f>
        <v>10.52</v>
      </c>
      <c r="R277" s="8">
        <f>Data!AP477</f>
        <v>31.020957865323723</v>
      </c>
      <c r="S277" s="8"/>
      <c r="T277" s="8"/>
      <c r="U277" s="8"/>
      <c r="V277" s="1">
        <f t="shared" si="8"/>
        <v>8</v>
      </c>
      <c r="W277" s="1">
        <f t="shared" si="9"/>
        <v>0</v>
      </c>
    </row>
    <row r="278" spans="1:23" hidden="1" x14ac:dyDescent="0.2">
      <c r="A278" s="7" t="str">
        <f>Data!A480</f>
        <v>Nu Skin Enterprises, Inc.</v>
      </c>
      <c r="B278" s="7" t="str">
        <f>Data!B480</f>
        <v>NUS</v>
      </c>
      <c r="C278" s="7" t="str">
        <f>Data!C480</f>
        <v>Consumer Staples</v>
      </c>
      <c r="D278" s="8">
        <f>IF(ISNUMBER(Data!AL480),Data!AL480/1000,"n/a")</f>
        <v>1.97</v>
      </c>
      <c r="E278" s="1">
        <f>Data!E480</f>
        <v>22</v>
      </c>
      <c r="F278" s="28">
        <f>Data!J480/100</f>
        <v>4.0324692327834512E-2</v>
      </c>
      <c r="G278" s="28">
        <f>IF(ISNUMBER(Data!S480),Data!S480/100,"n/a")</f>
        <v>1.3333333333333419E-2</v>
      </c>
      <c r="H278" s="28">
        <f>IF(ISNUMBER(Data!T480),Data!T480/100,"n/a")</f>
        <v>1.3515148022100965E-2</v>
      </c>
      <c r="I278" s="28">
        <f>IF(ISNUMBER(Data!U480),Data!U480/100,"n/a")</f>
        <v>1.3703739792310987E-2</v>
      </c>
      <c r="J278" s="28">
        <f>IF(ISNUMBER(Data!V480),Data!V480/100,"n/a")</f>
        <v>9.9256791863821192E-2</v>
      </c>
      <c r="K278" s="9">
        <f>IF(ISNUMBER(Data!Z480),Data!Z480/100,"n/a")</f>
        <v>0.69683257918552044</v>
      </c>
      <c r="L278" s="10">
        <f>Data!AA480</f>
        <v>17.280542986425338</v>
      </c>
      <c r="M278" s="10">
        <f>Data!AF480</f>
        <v>2.15</v>
      </c>
      <c r="N278" s="28">
        <f>IF(ISNUMBER(Data!AG480),Data!AG480/100,"n/a")</f>
        <v>0.122</v>
      </c>
      <c r="O278" s="28">
        <f>IF(ISNUMBER(Data!AJ480),Data!AJ480/100,"n/a")</f>
        <v>2.3E-2</v>
      </c>
      <c r="P278" s="9">
        <f>IF(ISNUMBER(Data!AK480),Data!AK480/100,"n/a")</f>
        <v>6.8099999999999994E-2</v>
      </c>
      <c r="Q278" s="8">
        <f>Data!AN480</f>
        <v>0.45</v>
      </c>
      <c r="R278" s="8">
        <f>Data!AP480</f>
        <v>5.4028432120145498</v>
      </c>
      <c r="S278" s="8"/>
      <c r="T278" s="8"/>
      <c r="U278" s="8"/>
      <c r="V278" s="1">
        <f t="shared" si="8"/>
        <v>7</v>
      </c>
      <c r="W278" s="1">
        <f t="shared" si="9"/>
        <v>0</v>
      </c>
    </row>
    <row r="279" spans="1:23" hidden="1" x14ac:dyDescent="0.2">
      <c r="A279" s="7" t="str">
        <f>Data!A464</f>
        <v>Northfield Bancorp, Inc. (Staten Island, NY)</v>
      </c>
      <c r="B279" s="7" t="str">
        <f>Data!B464</f>
        <v>NFBK</v>
      </c>
      <c r="C279" s="7" t="str">
        <f>Data!C464</f>
        <v>Financials</v>
      </c>
      <c r="D279" s="8">
        <f>IF(ISNUMBER(Data!AL464),Data!AL464/1000,"n/a")</f>
        <v>0.75319000000000003</v>
      </c>
      <c r="E279" s="1">
        <f>Data!E464</f>
        <v>9</v>
      </c>
      <c r="F279" s="28">
        <f>Data!J464/100</f>
        <v>3.2418952618453865E-2</v>
      </c>
      <c r="G279" s="28">
        <f>IF(ISNUMBER(Data!S464),Data!S464/100,"n/a")</f>
        <v>0.13636363636363646</v>
      </c>
      <c r="H279" s="28">
        <f>IF(ISNUMBER(Data!T464),Data!T464/100,"n/a")</f>
        <v>7.7217345015941907E-2</v>
      </c>
      <c r="I279" s="28">
        <f>IF(ISNUMBER(Data!U464),Data!U464/100,"n/a")</f>
        <v>0.10032672693604683</v>
      </c>
      <c r="J279" s="28">
        <f>IF(ISNUMBER(Data!V464),Data!V464/100,"n/a")</f>
        <v>0.11792486434633975</v>
      </c>
      <c r="K279" s="9">
        <f>IF(ISNUMBER(Data!Z464),Data!Z464/100,"n/a")</f>
        <v>0.39694656488549618</v>
      </c>
      <c r="L279" s="10">
        <f>Data!AA464</f>
        <v>12.244274809160304</v>
      </c>
      <c r="M279" s="10">
        <f>Data!AF464</f>
        <v>1.04</v>
      </c>
      <c r="N279" s="28">
        <f>IF(ISNUMBER(Data!AG464),Data!AG464/100,"n/a")</f>
        <v>8.5000000000000006E-2</v>
      </c>
      <c r="O279" s="28">
        <f>IF(ISNUMBER(Data!AJ464),Data!AJ464/100,"n/a")</f>
        <v>0.20499999999999999</v>
      </c>
      <c r="P279" s="9">
        <f>IF(ISNUMBER(Data!AK464),Data!AK464/100,"n/a")</f>
        <v>0.08</v>
      </c>
      <c r="Q279" s="8">
        <f>Data!AN464</f>
        <v>0.54</v>
      </c>
      <c r="R279" s="8">
        <f>Data!AP464</f>
        <v>13.27456795545007</v>
      </c>
      <c r="S279" s="8"/>
      <c r="T279" s="8"/>
      <c r="U279" s="8"/>
      <c r="V279" s="1">
        <f t="shared" si="8"/>
        <v>10</v>
      </c>
      <c r="W279" s="1">
        <f t="shared" si="9"/>
        <v>0</v>
      </c>
    </row>
    <row r="280" spans="1:23" hidden="1" x14ac:dyDescent="0.2">
      <c r="A280" s="7" t="str">
        <f>Data!A483</f>
        <v>Norwood Financial Corp.</v>
      </c>
      <c r="B280" s="7" t="str">
        <f>Data!B483</f>
        <v>NWFL</v>
      </c>
      <c r="C280" s="7" t="str">
        <f>Data!C483</f>
        <v>Financials</v>
      </c>
      <c r="D280" s="8">
        <f>IF(ISNUMBER(Data!AL483),Data!AL483/1000,"n/a")</f>
        <v>0.22640000000000002</v>
      </c>
      <c r="E280" s="1">
        <f>Data!E483</f>
        <v>24</v>
      </c>
      <c r="F280" s="28">
        <f>Data!J483/100</f>
        <v>3.9436619718309862E-2</v>
      </c>
      <c r="G280" s="28">
        <f>IF(ISNUMBER(Data!S483),Data!S483/100,"n/a")</f>
        <v>4.0000000000000036E-2</v>
      </c>
      <c r="H280" s="28">
        <f>IF(ISNUMBER(Data!T483),Data!T483/100,"n/a")</f>
        <v>5.7264270346431223E-2</v>
      </c>
      <c r="I280" s="28">
        <f>IF(ISNUMBER(Data!U483),Data!U483/100,"n/a")</f>
        <v>4.6985296496448781E-2</v>
      </c>
      <c r="J280" s="28">
        <f>IF(ISNUMBER(Data!V483),Data!V483/100,"n/a")</f>
        <v>3.9934363970410613E-2</v>
      </c>
      <c r="K280" s="9">
        <f>IF(ISNUMBER(Data!Z483),Data!Z483/100,"n/a")</f>
        <v>0.31818181818181823</v>
      </c>
      <c r="L280" s="10">
        <f>Data!AA483</f>
        <v>8.0681818181818183</v>
      </c>
      <c r="M280" s="10">
        <f>Data!AF483</f>
        <v>1.32</v>
      </c>
      <c r="N280" s="28">
        <f>IF(ISNUMBER(Data!AG483),Data!AG483/100,"n/a")</f>
        <v>0.13800000000000001</v>
      </c>
      <c r="O280" s="28">
        <f>IF(ISNUMBER(Data!AJ483),Data!AJ483/100,"n/a")</f>
        <v>0.214</v>
      </c>
      <c r="P280" s="9" t="str">
        <f>IF(ISNUMBER(Data!AK483),Data!AK483/100,"n/a")</f>
        <v>n/a</v>
      </c>
      <c r="Q280" s="8">
        <f>Data!AN483</f>
        <v>0</v>
      </c>
      <c r="R280" s="8">
        <f>Data!AP483</f>
        <v>8.6421916214758632</v>
      </c>
      <c r="S280" s="8"/>
      <c r="T280" s="8"/>
      <c r="U280" s="8"/>
      <c r="V280" s="1">
        <f t="shared" si="8"/>
        <v>7</v>
      </c>
      <c r="W280" s="1">
        <f t="shared" si="9"/>
        <v>0</v>
      </c>
    </row>
    <row r="281" spans="1:23" hidden="1" x14ac:dyDescent="0.2">
      <c r="A281" s="7" t="str">
        <f>Data!A478</f>
        <v>NetApp, Inc.</v>
      </c>
      <c r="B281" s="7" t="str">
        <f>Data!B478</f>
        <v>NTAP</v>
      </c>
      <c r="C281" s="7" t="str">
        <f>Data!C478</f>
        <v>Information Technology</v>
      </c>
      <c r="D281" s="8">
        <f>IF(ISNUMBER(Data!AL478),Data!AL478/1000,"n/a")</f>
        <v>14.67</v>
      </c>
      <c r="E281" s="1">
        <f>Data!E478</f>
        <v>9</v>
      </c>
      <c r="F281" s="28">
        <f>Data!J478/100</f>
        <v>2.8872527789807999E-2</v>
      </c>
      <c r="G281" s="28">
        <f>IF(ISNUMBER(Data!S478),Data!S478/100,"n/a")</f>
        <v>2.0833333333333259E-2</v>
      </c>
      <c r="H281" s="28">
        <f>IF(ISNUMBER(Data!T478),Data!T478/100,"n/a")</f>
        <v>0.17767360601798199</v>
      </c>
      <c r="I281" s="28">
        <f>IF(ISNUMBER(Data!U478),Data!U478/100,"n/a")</f>
        <v>0.21507999387472654</v>
      </c>
      <c r="J281" s="28" t="str">
        <f>IF(ISNUMBER(Data!V478),Data!V478/100,"n/a")</f>
        <v>n/a</v>
      </c>
      <c r="K281" s="9">
        <f>IF(ISNUMBER(Data!Z478),Data!Z478/100,"n/a")</f>
        <v>0.47961630695443647</v>
      </c>
      <c r="L281" s="10">
        <f>Data!AA478</f>
        <v>16.611510791366907</v>
      </c>
      <c r="M281" s="10">
        <f>Data!AF478</f>
        <v>23.21</v>
      </c>
      <c r="N281" s="28">
        <f>IF(ISNUMBER(Data!AG478),Data!AG478/100,"n/a")</f>
        <v>1.21</v>
      </c>
      <c r="O281" s="28">
        <f>IF(ISNUMBER(Data!AJ478),Data!AJ478/100,"n/a")</f>
        <v>0.19</v>
      </c>
      <c r="P281" s="9">
        <f>IF(ISNUMBER(Data!AK478),Data!AK478/100,"n/a")</f>
        <v>0.1002</v>
      </c>
      <c r="Q281" s="8">
        <f>Data!AN478</f>
        <v>4.01</v>
      </c>
      <c r="R281" s="8">
        <f>Data!AP478</f>
        <v>24.395252166453453</v>
      </c>
      <c r="S281" s="8"/>
      <c r="T281" s="8"/>
      <c r="U281" s="8"/>
      <c r="V281" s="1">
        <f t="shared" si="8"/>
        <v>8</v>
      </c>
      <c r="W281" s="1">
        <f t="shared" si="9"/>
        <v>0</v>
      </c>
    </row>
    <row r="282" spans="1:23" hidden="1" x14ac:dyDescent="0.2">
      <c r="A282" s="7" t="str">
        <f>Data!A462</f>
        <v>NextEra Energy Partners, LP</v>
      </c>
      <c r="B282" s="7" t="str">
        <f>Data!B462</f>
        <v>NEP</v>
      </c>
      <c r="C282" s="7" t="str">
        <f>Data!C462</f>
        <v>Utilities</v>
      </c>
      <c r="D282" s="8">
        <f>IF(ISNUMBER(Data!AL462),Data!AL462/1000,"n/a")</f>
        <v>6.23</v>
      </c>
      <c r="E282" s="1">
        <f>Data!E462</f>
        <v>9</v>
      </c>
      <c r="F282" s="28">
        <f>Data!J462/100</f>
        <v>4.2527339003645206E-2</v>
      </c>
      <c r="G282" s="28">
        <f>IF(ISNUMBER(Data!S462),Data!S462/100,"n/a")</f>
        <v>0.149171270718232</v>
      </c>
      <c r="H282" s="28">
        <f>IF(ISNUMBER(Data!T462),Data!T462/100,"n/a")</f>
        <v>0.14933753280317563</v>
      </c>
      <c r="I282" s="28">
        <f>IF(ISNUMBER(Data!U462),Data!U462/100,"n/a")</f>
        <v>0.1491406725540505</v>
      </c>
      <c r="J282" s="28" t="str">
        <f>IF(ISNUMBER(Data!V462),Data!V462/100,"n/a")</f>
        <v>n/a</v>
      </c>
      <c r="K282" s="9">
        <f>IF(ISNUMBER(Data!Z462),Data!Z462/100,"n/a")</f>
        <v>0.7078651685393258</v>
      </c>
      <c r="L282" s="10">
        <f>Data!AA462</f>
        <v>16.644943820224718</v>
      </c>
      <c r="M282" s="10">
        <f>Data!AF462</f>
        <v>1.95</v>
      </c>
      <c r="N282" s="28">
        <f>IF(ISNUMBER(Data!AG462),Data!AG462/100,"n/a")</f>
        <v>0.128</v>
      </c>
      <c r="O282" s="28">
        <f>IF(ISNUMBER(Data!AJ462),Data!AJ462/100,"n/a")</f>
        <v>-1.0999999999999999E-2</v>
      </c>
      <c r="P282" s="9">
        <f>IF(ISNUMBER(Data!AK462),Data!AK462/100,"n/a")</f>
        <v>0.1</v>
      </c>
      <c r="Q282" s="8">
        <f>Data!AN462</f>
        <v>1.64</v>
      </c>
      <c r="R282" s="8">
        <f>Data!AP462</f>
        <v>19.166801155769573</v>
      </c>
      <c r="S282" s="8"/>
      <c r="T282" s="8"/>
      <c r="U282" s="8"/>
      <c r="V282" s="1">
        <f t="shared" si="8"/>
        <v>7</v>
      </c>
      <c r="W282" s="1">
        <f t="shared" si="9"/>
        <v>0</v>
      </c>
    </row>
    <row r="283" spans="1:23" hidden="1" x14ac:dyDescent="0.2">
      <c r="A283" s="7" t="str">
        <f>Data!A472</f>
        <v>Northrop Grumman Corporation</v>
      </c>
      <c r="B283" s="7" t="str">
        <f>Data!B472</f>
        <v>NOC</v>
      </c>
      <c r="C283" s="7" t="str">
        <f>Data!C472</f>
        <v>Industrials</v>
      </c>
      <c r="D283" s="8">
        <f>IF(ISNUMBER(Data!AL472),Data!AL472/1000,"n/a")</f>
        <v>82.85</v>
      </c>
      <c r="E283" s="1">
        <f>Data!E472</f>
        <v>19</v>
      </c>
      <c r="F283" s="28">
        <f>Data!J472/100</f>
        <v>1.2604506293145846E-2</v>
      </c>
      <c r="G283" s="28">
        <f>IF(ISNUMBER(Data!S472),Data!S472/100,"n/a")</f>
        <v>8.6419753086419693E-2</v>
      </c>
      <c r="H283" s="28">
        <f>IF(ISNUMBER(Data!T472),Data!T472/100,"n/a")</f>
        <v>9.4361866358755542E-2</v>
      </c>
      <c r="I283" s="28">
        <f>IF(ISNUMBER(Data!U472),Data!U472/100,"n/a")</f>
        <v>0.11970220528043152</v>
      </c>
      <c r="J283" s="28">
        <f>IF(ISNUMBER(Data!V472),Data!V472/100,"n/a")</f>
        <v>0.12337048094475221</v>
      </c>
      <c r="K283" s="9">
        <f>IF(ISNUMBER(Data!Z472),Data!Z472/100,"n/a")</f>
        <v>0.19670267197271177</v>
      </c>
      <c r="L283" s="10">
        <f>Data!AA472</f>
        <v>15.605741898806139</v>
      </c>
      <c r="M283" s="10">
        <f>Data!AF472</f>
        <v>6.08</v>
      </c>
      <c r="N283" s="28">
        <f>IF(ISNUMBER(Data!AG472),Data!AG472/100,"n/a")</f>
        <v>0.41099999999999992</v>
      </c>
      <c r="O283" s="28">
        <f>IF(ISNUMBER(Data!AJ472),Data!AJ472/100,"n/a")</f>
        <v>0.309</v>
      </c>
      <c r="P283" s="9">
        <f>IF(ISNUMBER(Data!AK472),Data!AK472/100,"n/a")</f>
        <v>0.03</v>
      </c>
      <c r="Q283" s="8">
        <f>Data!AN472</f>
        <v>0.92</v>
      </c>
      <c r="R283" s="8">
        <f>Data!AP472</f>
        <v>13.230671157357737</v>
      </c>
      <c r="S283" s="8"/>
      <c r="T283" s="8"/>
      <c r="U283" s="8"/>
      <c r="V283" s="1">
        <f t="shared" si="8"/>
        <v>9</v>
      </c>
      <c r="W283" s="1">
        <f t="shared" si="9"/>
        <v>0</v>
      </c>
    </row>
    <row r="284" spans="1:23" hidden="1" x14ac:dyDescent="0.2">
      <c r="A284" s="7" t="str">
        <f>Data!A463</f>
        <v>NewMarket Corporation</v>
      </c>
      <c r="B284" s="7" t="str">
        <f>Data!B463</f>
        <v>NEU</v>
      </c>
      <c r="C284" s="7" t="str">
        <f>Data!C463</f>
        <v>Materials</v>
      </c>
      <c r="D284" s="8">
        <f>IF(ISNUMBER(Data!AL463),Data!AL463/1000,"n/a")</f>
        <v>2.93</v>
      </c>
      <c r="E284" s="1">
        <f>Data!E463</f>
        <v>16</v>
      </c>
      <c r="F284" s="28">
        <f>Data!J463/100</f>
        <v>2.7600709732535984E-2</v>
      </c>
      <c r="G284" s="28">
        <f>IF(ISNUMBER(Data!S463),Data!S463/100,"n/a")</f>
        <v>2.6315789473684292E-2</v>
      </c>
      <c r="H284" s="28">
        <f>IF(ISNUMBER(Data!T463),Data!T463/100,"n/a")</f>
        <v>3.6729653706913057E-2</v>
      </c>
      <c r="I284" s="28">
        <f>IF(ISNUMBER(Data!U463),Data!U463/100,"n/a")</f>
        <v>4.0358274630921898E-2</v>
      </c>
      <c r="J284" s="28">
        <f>IF(ISNUMBER(Data!V463),Data!V463/100,"n/a")</f>
        <v>0.14130869721941397</v>
      </c>
      <c r="K284" s="9">
        <f>IF(ISNUMBER(Data!Z463),Data!Z463/100,"n/a")</f>
        <v>0.41461006910167819</v>
      </c>
      <c r="L284" s="10">
        <f>Data!AA463</f>
        <v>15.021717670286275</v>
      </c>
      <c r="M284" s="10">
        <f>Data!AF463</f>
        <v>4.53</v>
      </c>
      <c r="N284" s="28">
        <f>IF(ISNUMBER(Data!AG463),Data!AG463/100,"n/a")</f>
        <v>0.28299999999999997</v>
      </c>
      <c r="O284" s="28">
        <f>IF(ISNUMBER(Data!AJ463),Data!AJ463/100,"n/a")</f>
        <v>-2.9000000000000005E-2</v>
      </c>
      <c r="P284" s="9">
        <f>IF(ISNUMBER(Data!AK463),Data!AK463/100,"n/a")</f>
        <v>7.6999999999999999E-2</v>
      </c>
      <c r="Q284" s="8">
        <f>Data!AN463</f>
        <v>1.51</v>
      </c>
      <c r="R284" s="8">
        <f>Data!AP463</f>
        <v>6.7958984363457882</v>
      </c>
      <c r="S284" s="8"/>
      <c r="T284" s="8"/>
      <c r="U284" s="8"/>
      <c r="V284" s="1">
        <f t="shared" si="8"/>
        <v>6</v>
      </c>
      <c r="W284" s="1">
        <f t="shared" si="9"/>
        <v>0</v>
      </c>
    </row>
    <row r="285" spans="1:23" hidden="1" x14ac:dyDescent="0.2">
      <c r="A285" s="7" t="str">
        <f>Data!A466</f>
        <v>NiSource Inc.</v>
      </c>
      <c r="B285" s="7" t="str">
        <f>Data!B466</f>
        <v>NI</v>
      </c>
      <c r="C285" s="7" t="str">
        <f>Data!C466</f>
        <v>Utilities</v>
      </c>
      <c r="D285" s="8">
        <f>IF(ISNUMBER(Data!AL466),Data!AL466/1000,"n/a")</f>
        <v>10.3</v>
      </c>
      <c r="E285" s="1">
        <f>Data!E466</f>
        <v>11</v>
      </c>
      <c r="F285" s="28">
        <f>Data!J466/100</f>
        <v>3.6590112884390812E-2</v>
      </c>
      <c r="G285" s="28">
        <f>IF(ISNUMBER(Data!S466),Data!S466/100,"n/a")</f>
        <v>4.7619047619047672E-2</v>
      </c>
      <c r="H285" s="28">
        <f>IF(ISNUMBER(Data!T466),Data!T466/100,"n/a")</f>
        <v>4.102866914963843E-2</v>
      </c>
      <c r="I285" s="28">
        <f>IF(ISNUMBER(Data!U466),Data!U466/100,"n/a")</f>
        <v>6.5762756635474151E-2</v>
      </c>
      <c r="J285" s="28">
        <f>IF(ISNUMBER(Data!V466),Data!V466/100,"n/a")</f>
        <v>9.3049525006028588E-2</v>
      </c>
      <c r="K285" s="9">
        <f>IF(ISNUMBER(Data!Z466),Data!Z466/100,"n/a")</f>
        <v>0.61038961038961037</v>
      </c>
      <c r="L285" s="10">
        <f>Data!AA466</f>
        <v>16.681818181818183</v>
      </c>
      <c r="M285" s="10">
        <f>Data!AF466</f>
        <v>1.85</v>
      </c>
      <c r="N285" s="28">
        <f>IF(ISNUMBER(Data!AG466),Data!AG466/100,"n/a")</f>
        <v>0.124</v>
      </c>
      <c r="O285" s="28">
        <f>IF(ISNUMBER(Data!AJ466),Data!AJ466/100,"n/a")</f>
        <v>4.3999999999999997E-2</v>
      </c>
      <c r="P285" s="9">
        <f>IF(ISNUMBER(Data!AK466),Data!AK466/100,"n/a")</f>
        <v>7.2999999999999995E-2</v>
      </c>
      <c r="Q285" s="8">
        <f>Data!AN466</f>
        <v>1.78</v>
      </c>
      <c r="R285" s="8">
        <f>Data!AP466</f>
        <v>10.235286951986495</v>
      </c>
      <c r="S285" s="8"/>
      <c r="T285" s="8"/>
      <c r="U285" s="8"/>
      <c r="V285" s="1">
        <f t="shared" si="8"/>
        <v>7</v>
      </c>
      <c r="W285" s="1">
        <f t="shared" si="9"/>
        <v>0</v>
      </c>
    </row>
    <row r="286" spans="1:23" hidden="1" x14ac:dyDescent="0.2">
      <c r="A286" s="7" t="str">
        <f>Data!A465</f>
        <v>National Fuel Gas Company</v>
      </c>
      <c r="B286" s="7" t="str">
        <f>Data!B465</f>
        <v>NFG</v>
      </c>
      <c r="C286" s="7" t="str">
        <f>Data!C465</f>
        <v>Utilities</v>
      </c>
      <c r="D286" s="8">
        <f>IF(ISNUMBER(Data!AL465),Data!AL465/1000,"n/a")</f>
        <v>6.04</v>
      </c>
      <c r="E286" s="1">
        <f>Data!E465</f>
        <v>52</v>
      </c>
      <c r="F286" s="28">
        <f>Data!J465/100</f>
        <v>2.8152318862053639E-2</v>
      </c>
      <c r="G286" s="28">
        <f>IF(ISNUMBER(Data!S465),Data!S465/100,"n/a")</f>
        <v>2.2727272727272707E-2</v>
      </c>
      <c r="H286" s="28">
        <f>IF(ISNUMBER(Data!T465),Data!T465/100,"n/a")</f>
        <v>2.3264108093813185E-2</v>
      </c>
      <c r="I286" s="28">
        <f>IF(ISNUMBER(Data!U465),Data!U465/100,"n/a")</f>
        <v>2.3836255539609663E-2</v>
      </c>
      <c r="J286" s="28">
        <f>IF(ISNUMBER(Data!V465),Data!V465/100,"n/a")</f>
        <v>2.5449899701238676E-2</v>
      </c>
      <c r="K286" s="9">
        <f>IF(ISNUMBER(Data!Z465),Data!Z465/100,"n/a")</f>
        <v>0.35315985130111521</v>
      </c>
      <c r="L286" s="10">
        <f>Data!AA465</f>
        <v>12.544609665427508</v>
      </c>
      <c r="M286" s="10">
        <f>Data!AF465</f>
        <v>3.06</v>
      </c>
      <c r="N286" s="28">
        <f>IF(ISNUMBER(Data!AG465),Data!AG465/100,"n/a")</f>
        <v>0.255</v>
      </c>
      <c r="O286" s="28">
        <f>IF(ISNUMBER(Data!AJ465),Data!AJ465/100,"n/a")</f>
        <v>0.25800000000000001</v>
      </c>
      <c r="P286" s="9">
        <f>IF(ISNUMBER(Data!AK465),Data!AK465/100,"n/a")</f>
        <v>0.13600000000000001</v>
      </c>
      <c r="Q286" s="8">
        <f>Data!AN465</f>
        <v>1.51</v>
      </c>
      <c r="R286" s="8">
        <f>Data!AP465</f>
        <v>5.1988574401663303</v>
      </c>
      <c r="S286" s="8"/>
      <c r="T286" s="8"/>
      <c r="U286" s="8"/>
      <c r="V286" s="1">
        <f t="shared" si="8"/>
        <v>7</v>
      </c>
      <c r="W286" s="1">
        <f t="shared" si="9"/>
        <v>0</v>
      </c>
    </row>
    <row r="287" spans="1:23" hidden="1" x14ac:dyDescent="0.2">
      <c r="A287" s="7" t="str">
        <f>Data!A459</f>
        <v>Nasdaq, Inc.</v>
      </c>
      <c r="B287" s="7" t="str">
        <f>Data!B459</f>
        <v>NDAQ</v>
      </c>
      <c r="C287" s="7" t="str">
        <f>Data!C459</f>
        <v>Financials</v>
      </c>
      <c r="D287" s="8">
        <f>IF(ISNUMBER(Data!AL459),Data!AL459/1000,"n/a")</f>
        <v>29.79</v>
      </c>
      <c r="E287" s="1">
        <f>Data!E459</f>
        <v>11</v>
      </c>
      <c r="F287" s="28">
        <f>Data!J459/100</f>
        <v>1.2853470437017995E-2</v>
      </c>
      <c r="G287" s="28">
        <f>IF(ISNUMBER(Data!S459),Data!S459/100,"n/a")</f>
        <v>8.762886597938134E-2</v>
      </c>
      <c r="H287" s="28">
        <f>IF(ISNUMBER(Data!T459),Data!T459/100,"n/a")</f>
        <v>7.4676728637580903E-2</v>
      </c>
      <c r="I287" s="28">
        <f>IF(ISNUMBER(Data!U459),Data!U459/100,"n/a")</f>
        <v>0.117633515778947</v>
      </c>
      <c r="J287" s="28" t="str">
        <f>IF(ISNUMBER(Data!V459),Data!V459/100,"n/a")</f>
        <v>n/a</v>
      </c>
      <c r="K287" s="9">
        <f>IF(ISNUMBER(Data!Z459),Data!Z459/100,"n/a")</f>
        <v>0.3493449781659389</v>
      </c>
      <c r="L287" s="10">
        <f>Data!AA459</f>
        <v>27.179039301310045</v>
      </c>
      <c r="M287" s="10">
        <f>Data!AF459</f>
        <v>5.25</v>
      </c>
      <c r="N287" s="28">
        <f>IF(ISNUMBER(Data!AG459),Data!AG459/100,"n/a")</f>
        <v>0.191</v>
      </c>
      <c r="O287" s="28">
        <f>IF(ISNUMBER(Data!AJ459),Data!AJ459/100,"n/a")</f>
        <v>0.61599999999999999</v>
      </c>
      <c r="P287" s="9">
        <f>IF(ISNUMBER(Data!AK459),Data!AK459/100,"n/a")</f>
        <v>7.0999999999999994E-2</v>
      </c>
      <c r="Q287" s="8">
        <f>Data!AN459</f>
        <v>0.98</v>
      </c>
      <c r="R287" s="8">
        <f>Data!AP459</f>
        <v>13.048698621596499</v>
      </c>
      <c r="S287" s="8"/>
      <c r="T287" s="8"/>
      <c r="U287" s="8"/>
      <c r="V287" s="1">
        <f t="shared" si="8"/>
        <v>7</v>
      </c>
      <c r="W287" s="1">
        <f t="shared" si="9"/>
        <v>0</v>
      </c>
    </row>
    <row r="288" spans="1:23" hidden="1" x14ac:dyDescent="0.2">
      <c r="A288" s="7" t="str">
        <f>Data!A461</f>
        <v>NextEra Energy, Inc.</v>
      </c>
      <c r="B288" s="7" t="str">
        <f>Data!B461</f>
        <v>NEE</v>
      </c>
      <c r="C288" s="7" t="str">
        <f>Data!C461</f>
        <v>Utilities</v>
      </c>
      <c r="D288" s="8">
        <f>IF(ISNUMBER(Data!AL461),Data!AL461/1000,"n/a")</f>
        <v>148.28</v>
      </c>
      <c r="E288" s="1">
        <f>Data!E461</f>
        <v>28</v>
      </c>
      <c r="F288" s="28">
        <f>Data!J461/100</f>
        <v>2.1935483870967741E-2</v>
      </c>
      <c r="G288" s="28">
        <f>IF(ISNUMBER(Data!S461),Data!S461/100,"n/a")</f>
        <v>0.10000000000000009</v>
      </c>
      <c r="H288" s="28">
        <f>IF(ISNUMBER(Data!T461),Data!T461/100,"n/a")</f>
        <v>0.11531937666417269</v>
      </c>
      <c r="I288" s="28">
        <f>IF(ISNUMBER(Data!U461),Data!U461/100,"n/a")</f>
        <v>0.12098627081793545</v>
      </c>
      <c r="J288" s="28">
        <f>IF(ISNUMBER(Data!V461),Data!V461/100,"n/a")</f>
        <v>0.108449222600272</v>
      </c>
      <c r="K288" s="9">
        <f>IF(ISNUMBER(Data!Z461),Data!Z461/100,"n/a")</f>
        <v>1.2977099236641221</v>
      </c>
      <c r="L288" s="10">
        <f>Data!AA461</f>
        <v>59.160305343511446</v>
      </c>
      <c r="M288" s="10">
        <f>Data!AF461</f>
        <v>4.26</v>
      </c>
      <c r="N288" s="28">
        <f>IF(ISNUMBER(Data!AG461),Data!AG461/100,"n/a")</f>
        <v>7.0999999999999994E-2</v>
      </c>
      <c r="O288" s="28">
        <f>IF(ISNUMBER(Data!AJ461),Data!AJ461/100,"n/a")</f>
        <v>0.03</v>
      </c>
      <c r="P288" s="9">
        <f>IF(ISNUMBER(Data!AK461),Data!AK461/100,"n/a")</f>
        <v>9.3599999999999989E-2</v>
      </c>
      <c r="Q288" s="8">
        <f>Data!AN461</f>
        <v>1.74</v>
      </c>
      <c r="R288" s="8">
        <f>Data!AP461</f>
        <v>14.292175468890319</v>
      </c>
      <c r="S288" s="8"/>
      <c r="T288" s="8"/>
      <c r="U288" s="8"/>
      <c r="V288" s="1">
        <f t="shared" si="8"/>
        <v>9</v>
      </c>
      <c r="W288" s="1">
        <f t="shared" si="9"/>
        <v>0</v>
      </c>
    </row>
    <row r="289" spans="1:23" hidden="1" x14ac:dyDescent="0.2">
      <c r="A289" s="7" t="str">
        <f>Data!A460</f>
        <v>Nordson Corporation</v>
      </c>
      <c r="B289" s="7" t="str">
        <f>Data!B460</f>
        <v>NDSN</v>
      </c>
      <c r="C289" s="7" t="str">
        <f>Data!C460</f>
        <v>Industrials</v>
      </c>
      <c r="D289" s="8">
        <f>IF(ISNUMBER(Data!AL460),Data!AL460/1000,"n/a")</f>
        <v>12.65</v>
      </c>
      <c r="E289" s="1">
        <f>Data!E460</f>
        <v>59</v>
      </c>
      <c r="F289" s="28">
        <f>Data!J460/100</f>
        <v>1.1555555555555557E-2</v>
      </c>
      <c r="G289" s="28">
        <f>IF(ISNUMBER(Data!S460),Data!S460/100,"n/a")</f>
        <v>9.803921568627437E-2</v>
      </c>
      <c r="H289" s="28">
        <f>IF(ISNUMBER(Data!T460),Data!T460/100,"n/a")</f>
        <v>0.10356967055244827</v>
      </c>
      <c r="I289" s="28">
        <f>IF(ISNUMBER(Data!U460),Data!U460/100,"n/a")</f>
        <v>0.10494795379650303</v>
      </c>
      <c r="J289" s="28">
        <f>IF(ISNUMBER(Data!V460),Data!V460/100,"n/a")</f>
        <v>0.14336701876053493</v>
      </c>
      <c r="K289" s="9">
        <f>IF(ISNUMBER(Data!Z460),Data!Z460/100,"n/a")</f>
        <v>0.31515151515151518</v>
      </c>
      <c r="L289" s="10">
        <f>Data!AA460</f>
        <v>27.272727272727273</v>
      </c>
      <c r="M289" s="10">
        <f>Data!AF460</f>
        <v>5.9</v>
      </c>
      <c r="N289" s="28">
        <f>IF(ISNUMBER(Data!AG460),Data!AG460/100,"n/a")</f>
        <v>0.22</v>
      </c>
      <c r="O289" s="28">
        <f>IF(ISNUMBER(Data!AJ460),Data!AJ460/100,"n/a")</f>
        <v>0.10400000000000001</v>
      </c>
      <c r="P289" s="9">
        <f>IF(ISNUMBER(Data!AK460),Data!AK460/100,"n/a")</f>
        <v>0.13</v>
      </c>
      <c r="Q289" s="8">
        <f>Data!AN460</f>
        <v>0.37</v>
      </c>
      <c r="R289" s="8">
        <f>Data!AP460</f>
        <v>11.650350935205857</v>
      </c>
      <c r="S289" s="8"/>
      <c r="T289" s="8"/>
      <c r="U289" s="8"/>
      <c r="V289" s="1">
        <f t="shared" si="8"/>
        <v>10</v>
      </c>
      <c r="W289" s="1">
        <f t="shared" si="9"/>
        <v>0</v>
      </c>
    </row>
    <row r="290" spans="1:23" hidden="1" x14ac:dyDescent="0.2">
      <c r="A290" s="7" t="str">
        <f>Data!A453</f>
        <v>Mueller Water Products, Inc</v>
      </c>
      <c r="B290" s="7" t="str">
        <f>Data!B453</f>
        <v>MWA</v>
      </c>
      <c r="C290" s="7" t="str">
        <f>Data!C453</f>
        <v>Industrials</v>
      </c>
      <c r="D290" s="8">
        <f>IF(ISNUMBER(Data!AL453),Data!AL453/1000,"n/a")</f>
        <v>1.77</v>
      </c>
      <c r="E290" s="1">
        <f>Data!E453</f>
        <v>8</v>
      </c>
      <c r="F290" s="28">
        <f>Data!J453/100</f>
        <v>2.0854700854700856E-2</v>
      </c>
      <c r="G290" s="28">
        <f>IF(ISNUMBER(Data!S453),Data!S453/100,"n/a")</f>
        <v>4.9411764705882488E-2</v>
      </c>
      <c r="H290" s="28">
        <f>IF(ISNUMBER(Data!T453),Data!T453/100,"n/a")</f>
        <v>3.6951129819975836E-2</v>
      </c>
      <c r="I290" s="28">
        <f>IF(ISNUMBER(Data!U453),Data!U453/100,"n/a")</f>
        <v>0.15181421910841664</v>
      </c>
      <c r="J290" s="28">
        <f>IF(ISNUMBER(Data!V453),Data!V453/100,"n/a")</f>
        <v>0.12284725676701423</v>
      </c>
      <c r="K290" s="9">
        <f>IF(ISNUMBER(Data!Z453),Data!Z453/100,"n/a")</f>
        <v>0.43571428571428572</v>
      </c>
      <c r="L290" s="10">
        <f>Data!AA453</f>
        <v>20.892857142857139</v>
      </c>
      <c r="M290" s="10">
        <f>Data!AF453</f>
        <v>2.59</v>
      </c>
      <c r="N290" s="28">
        <f>IF(ISNUMBER(Data!AG453),Data!AG453/100,"n/a")</f>
        <v>0.126</v>
      </c>
      <c r="O290" s="28">
        <f>IF(ISNUMBER(Data!AJ453),Data!AJ453/100,"n/a")</f>
        <v>9.9000000000000005E-2</v>
      </c>
      <c r="P290" s="9">
        <f>IF(ISNUMBER(Data!AK453),Data!AK453/100,"n/a")</f>
        <v>0.1</v>
      </c>
      <c r="Q290" s="8">
        <f>Data!AN453</f>
        <v>0.64</v>
      </c>
      <c r="R290" s="8">
        <f>Data!AP453</f>
        <v>17.266891996311749</v>
      </c>
      <c r="S290" s="8"/>
      <c r="T290" s="8"/>
      <c r="U290" s="8"/>
      <c r="V290" s="1">
        <f t="shared" si="8"/>
        <v>7</v>
      </c>
      <c r="W290" s="1">
        <f t="shared" si="9"/>
        <v>0</v>
      </c>
    </row>
    <row r="291" spans="1:23" hidden="1" x14ac:dyDescent="0.2">
      <c r="A291" s="7" t="str">
        <f>Data!A451</f>
        <v>Materion Corporation</v>
      </c>
      <c r="B291" s="7" t="str">
        <f>Data!B451</f>
        <v>MTRN</v>
      </c>
      <c r="C291" s="7" t="str">
        <f>Data!C451</f>
        <v>Materials</v>
      </c>
      <c r="D291" s="8">
        <f>IF(ISNUMBER(Data!AL451),Data!AL451/1000,"n/a")</f>
        <v>1.71</v>
      </c>
      <c r="E291" s="1">
        <f>Data!E451</f>
        <v>10</v>
      </c>
      <c r="F291" s="28">
        <f>Data!J451/100</f>
        <v>5.8336250145840625E-3</v>
      </c>
      <c r="G291" s="28">
        <f>IF(ISNUMBER(Data!S451),Data!S451/100,"n/a")</f>
        <v>4.39560439560438E-2</v>
      </c>
      <c r="H291" s="28">
        <f>IF(ISNUMBER(Data!T451),Data!T451/100,"n/a")</f>
        <v>4.604051127515274E-2</v>
      </c>
      <c r="I291" s="28">
        <f>IF(ISNUMBER(Data!U451),Data!U451/100,"n/a")</f>
        <v>4.8413171284721557E-2</v>
      </c>
      <c r="J291" s="28" t="str">
        <f>IF(ISNUMBER(Data!V451),Data!V451/100,"n/a")</f>
        <v>n/a</v>
      </c>
      <c r="K291" s="9">
        <f>IF(ISNUMBER(Data!Z451),Data!Z451/100,"n/a")</f>
        <v>0.13812154696132597</v>
      </c>
      <c r="L291" s="10">
        <f>Data!AA451</f>
        <v>23.676795580110493</v>
      </c>
      <c r="M291" s="10">
        <f>Data!AF451</f>
        <v>2.35</v>
      </c>
      <c r="N291" s="28">
        <f>IF(ISNUMBER(Data!AG451),Data!AG451/100,"n/a")</f>
        <v>0.10400000000000001</v>
      </c>
      <c r="O291" s="28">
        <f>IF(ISNUMBER(Data!AJ451),Data!AJ451/100,"n/a")</f>
        <v>0.22400000000000003</v>
      </c>
      <c r="P291" s="9">
        <f>IF(ISNUMBER(Data!AK451),Data!AK451/100,"n/a")</f>
        <v>0.12</v>
      </c>
      <c r="Q291" s="8">
        <f>Data!AN451</f>
        <v>0.68</v>
      </c>
      <c r="R291" s="8">
        <f>Data!AP451</f>
        <v>5.4246796299305622</v>
      </c>
      <c r="S291" s="8"/>
      <c r="T291" s="8"/>
      <c r="U291" s="8"/>
      <c r="V291" s="1">
        <f t="shared" si="8"/>
        <v>4</v>
      </c>
      <c r="W291" s="1">
        <f t="shared" si="9"/>
        <v>0</v>
      </c>
    </row>
    <row r="292" spans="1:23" hidden="1" x14ac:dyDescent="0.2">
      <c r="A292" s="7" t="str">
        <f>Data!A445</f>
        <v>Midland States Bancorp, Inc.</v>
      </c>
      <c r="B292" s="7" t="str">
        <f>Data!B445</f>
        <v>MSBI</v>
      </c>
      <c r="C292" s="7" t="str">
        <f>Data!C445</f>
        <v>Financials</v>
      </c>
      <c r="D292" s="8">
        <f>IF(ISNUMBER(Data!AL445),Data!AL445/1000,"n/a")</f>
        <v>0.61124999999999996</v>
      </c>
      <c r="E292" s="1">
        <f>Data!E445</f>
        <v>7</v>
      </c>
      <c r="F292" s="28">
        <f>Data!J445/100</f>
        <v>4.136947218259629E-2</v>
      </c>
      <c r="G292" s="28">
        <f>IF(ISNUMBER(Data!S445),Data!S445/100,"n/a")</f>
        <v>4.6728971962616939E-2</v>
      </c>
      <c r="H292" s="28">
        <f>IF(ISNUMBER(Data!T445),Data!T445/100,"n/a")</f>
        <v>8.3706762661827097E-2</v>
      </c>
      <c r="I292" s="28">
        <f>IF(ISNUMBER(Data!U445),Data!U445/100,"n/a")</f>
        <v>0.25482483177578419</v>
      </c>
      <c r="J292" s="28" t="str">
        <f>IF(ISNUMBER(Data!V445),Data!V445/100,"n/a")</f>
        <v>n/a</v>
      </c>
      <c r="K292" s="9">
        <f>IF(ISNUMBER(Data!Z445),Data!Z445/100,"n/a")</f>
        <v>0.31521739130434778</v>
      </c>
      <c r="L292" s="10">
        <f>Data!AA445</f>
        <v>7.6195652173913038</v>
      </c>
      <c r="M292" s="10">
        <f>Data!AF445</f>
        <v>1</v>
      </c>
      <c r="N292" s="28">
        <f>IF(ISNUMBER(Data!AG445),Data!AG445/100,"n/a")</f>
        <v>0.127</v>
      </c>
      <c r="O292" s="28">
        <f>IF(ISNUMBER(Data!AJ445),Data!AJ445/100,"n/a")</f>
        <v>0.10400000000000001</v>
      </c>
      <c r="P292" s="9">
        <f>IF(ISNUMBER(Data!AK445),Data!AK445/100,"n/a")</f>
        <v>7.0000000000000007E-2</v>
      </c>
      <c r="Q292" s="8">
        <f>Data!AN445</f>
        <v>0.3</v>
      </c>
      <c r="R292" s="8">
        <f>Data!AP445</f>
        <v>29.619430395838048</v>
      </c>
      <c r="S292" s="8"/>
      <c r="T292" s="8"/>
      <c r="U292" s="8"/>
      <c r="V292" s="1">
        <f t="shared" si="8"/>
        <v>8</v>
      </c>
      <c r="W292" s="1">
        <f t="shared" si="9"/>
        <v>0</v>
      </c>
    </row>
    <row r="293" spans="1:23" hidden="1" x14ac:dyDescent="0.2">
      <c r="A293" s="7" t="str">
        <f>Data!A456</f>
        <v>National Bank Holdings Corporation</v>
      </c>
      <c r="B293" s="7" t="str">
        <f>Data!B456</f>
        <v>NBHC</v>
      </c>
      <c r="C293" s="7" t="str">
        <f>Data!C456</f>
        <v>Financials</v>
      </c>
      <c r="D293" s="8">
        <f>IF(ISNUMBER(Data!AL456),Data!AL456/1000,"n/a")</f>
        <v>1.52</v>
      </c>
      <c r="E293" s="1">
        <f>Data!E456</f>
        <v>7</v>
      </c>
      <c r="F293" s="28">
        <f>Data!J456/100</f>
        <v>2.0994979461433135E-2</v>
      </c>
      <c r="G293" s="28">
        <f>IF(ISNUMBER(Data!S456),Data!S456/100,"n/a")</f>
        <v>8.7499999999999911E-2</v>
      </c>
      <c r="H293" s="28">
        <f>IF(ISNUMBER(Data!T456),Data!T456/100,"n/a")</f>
        <v>0.17230827599961038</v>
      </c>
      <c r="I293" s="28">
        <f>IF(ISNUMBER(Data!U456),Data!U456/100,"n/a")</f>
        <v>0.31649530419114225</v>
      </c>
      <c r="J293" s="28" t="str">
        <f>IF(ISNUMBER(Data!V456),Data!V456/100,"n/a")</f>
        <v>n/a</v>
      </c>
      <c r="K293" s="9">
        <f>IF(ISNUMBER(Data!Z456),Data!Z456/100,"n/a")</f>
        <v>0.34848484848484851</v>
      </c>
      <c r="L293" s="10">
        <f>Data!AA456</f>
        <v>16.598484848484848</v>
      </c>
      <c r="M293" s="10">
        <f>Data!AF456</f>
        <v>1.55</v>
      </c>
      <c r="N293" s="28">
        <f>IF(ISNUMBER(Data!AG456),Data!AG456/100,"n/a")</f>
        <v>0.10199999999999999</v>
      </c>
      <c r="O293" s="28">
        <f>IF(ISNUMBER(Data!AJ456),Data!AJ456/100,"n/a")</f>
        <v>0.30599999999999999</v>
      </c>
      <c r="P293" s="9">
        <f>IF(ISNUMBER(Data!AK456),Data!AK456/100,"n/a")</f>
        <v>0.1</v>
      </c>
      <c r="Q293" s="8">
        <f>Data!AN456</f>
        <v>0.05</v>
      </c>
      <c r="R293" s="8">
        <f>Data!AP456</f>
        <v>33.749028365257537</v>
      </c>
      <c r="S293" s="8"/>
      <c r="T293" s="8"/>
      <c r="U293" s="8"/>
      <c r="V293" s="1">
        <f t="shared" si="8"/>
        <v>9</v>
      </c>
      <c r="W293" s="1">
        <f t="shared" si="9"/>
        <v>0</v>
      </c>
    </row>
    <row r="294" spans="1:23" hidden="1" x14ac:dyDescent="0.2">
      <c r="A294" s="7" t="str">
        <f>Data!A443</f>
        <v>Morgan Stanley</v>
      </c>
      <c r="B294" s="7" t="str">
        <f>Data!B443</f>
        <v>MS</v>
      </c>
      <c r="C294" s="7" t="str">
        <f>Data!C443</f>
        <v>Financials</v>
      </c>
      <c r="D294" s="8">
        <f>IF(ISNUMBER(Data!AL443),Data!AL443/1000,"n/a")</f>
        <v>138.53</v>
      </c>
      <c r="E294" s="1">
        <f>Data!E443</f>
        <v>9</v>
      </c>
      <c r="F294" s="28">
        <f>Data!J443/100</f>
        <v>3.7726664232688327E-2</v>
      </c>
      <c r="G294" s="28">
        <f>IF(ISNUMBER(Data!S443),Data!S443/100,"n/a")</f>
        <v>0.50000000000000022</v>
      </c>
      <c r="H294" s="28">
        <f>IF(ISNUMBER(Data!T443),Data!T443/100,"n/a")</f>
        <v>0.24053456597035683</v>
      </c>
      <c r="I294" s="28">
        <f>IF(ISNUMBER(Data!U443),Data!U443/100,"n/a")</f>
        <v>0.24573093961551742</v>
      </c>
      <c r="J294" s="28">
        <f>IF(ISNUMBER(Data!V443),Data!V443/100,"n/a")</f>
        <v>0.26508273817978845</v>
      </c>
      <c r="K294" s="9">
        <f>IF(ISNUMBER(Data!Z443),Data!Z443/100,"n/a")</f>
        <v>0.44862518089725034</v>
      </c>
      <c r="L294" s="10">
        <f>Data!AA443</f>
        <v>11.891461649782924</v>
      </c>
      <c r="M294" s="10">
        <f>Data!AF443</f>
        <v>1.49</v>
      </c>
      <c r="N294" s="28">
        <f>IF(ISNUMBER(Data!AG443),Data!AG443/100,"n/a")</f>
        <v>0.14699999999999999</v>
      </c>
      <c r="O294" s="28">
        <f>IF(ISNUMBER(Data!AJ443),Data!AJ443/100,"n/a")</f>
        <v>0.22400000000000003</v>
      </c>
      <c r="P294" s="9">
        <f>IF(ISNUMBER(Data!AK443),Data!AK443/100,"n/a")</f>
        <v>1.5100000000000001E-2</v>
      </c>
      <c r="Q294" s="8">
        <f>Data!AN443</f>
        <v>6.96</v>
      </c>
      <c r="R294" s="8">
        <f>Data!AP443</f>
        <v>28.345760384820572</v>
      </c>
      <c r="S294" s="8"/>
      <c r="T294" s="8"/>
      <c r="U294" s="8"/>
      <c r="V294" s="1">
        <f t="shared" si="8"/>
        <v>10</v>
      </c>
      <c r="W294" s="1">
        <f t="shared" si="9"/>
        <v>0</v>
      </c>
    </row>
    <row r="295" spans="1:23" hidden="1" x14ac:dyDescent="0.2">
      <c r="A295" s="7" t="str">
        <f>Data!A450</f>
        <v>M&amp;T Bank Corporation</v>
      </c>
      <c r="B295" s="7" t="str">
        <f>Data!B450</f>
        <v>MTB</v>
      </c>
      <c r="C295" s="7" t="str">
        <f>Data!C450</f>
        <v>Financials</v>
      </c>
      <c r="D295" s="8">
        <f>IF(ISNUMBER(Data!AL450),Data!AL450/1000,"n/a")</f>
        <v>28.89</v>
      </c>
      <c r="E295" s="1">
        <f>Data!E450</f>
        <v>5</v>
      </c>
      <c r="F295" s="28">
        <f>Data!J450/100</f>
        <v>2.8508641682009856E-2</v>
      </c>
      <c r="G295" s="28">
        <f>IF(ISNUMBER(Data!S450),Data!S450/100,"n/a")</f>
        <v>2.2727272727272707E-2</v>
      </c>
      <c r="H295" s="28">
        <f>IF(ISNUMBER(Data!T450),Data!T450/100,"n/a")</f>
        <v>8.2251144035929258E-2</v>
      </c>
      <c r="I295" s="28">
        <f>IF(ISNUMBER(Data!U450),Data!U450/100,"n/a")</f>
        <v>9.9539654079581652E-2</v>
      </c>
      <c r="J295" s="28">
        <f>IF(ISNUMBER(Data!V450),Data!V450/100,"n/a")</f>
        <v>4.8589363897794779E-2</v>
      </c>
      <c r="K295" s="9">
        <f>IF(ISNUMBER(Data!Z450),Data!Z450/100,"n/a")</f>
        <v>0.38369304556354922</v>
      </c>
      <c r="L295" s="10">
        <f>Data!AA450</f>
        <v>13.458832933653078</v>
      </c>
      <c r="M295" s="10">
        <f>Data!AF450</f>
        <v>1.25</v>
      </c>
      <c r="N295" s="28">
        <f>IF(ISNUMBER(Data!AG450),Data!AG450/100,"n/a")</f>
        <v>9.4E-2</v>
      </c>
      <c r="O295" s="28">
        <f>IF(ISNUMBER(Data!AJ450),Data!AJ450/100,"n/a")</f>
        <v>0.121</v>
      </c>
      <c r="P295" s="9">
        <f>IF(ISNUMBER(Data!AK450),Data!AK450/100,"n/a")</f>
        <v>0.17380000000000004</v>
      </c>
      <c r="Q295" s="8">
        <f>Data!AN450</f>
        <v>0.13</v>
      </c>
      <c r="R295" s="8">
        <f>Data!AP450</f>
        <v>12.80482957615915</v>
      </c>
      <c r="S295" s="8"/>
      <c r="T295" s="8"/>
      <c r="U295" s="8"/>
      <c r="V295" s="1">
        <f t="shared" si="8"/>
        <v>9</v>
      </c>
      <c r="W295" s="1">
        <f t="shared" si="9"/>
        <v>0</v>
      </c>
    </row>
    <row r="296" spans="1:23" hidden="1" x14ac:dyDescent="0.2">
      <c r="A296" s="7" t="str">
        <f>Data!A421</f>
        <v>MetLife, Inc.</v>
      </c>
      <c r="B296" s="7" t="str">
        <f>Data!B421</f>
        <v>MET</v>
      </c>
      <c r="C296" s="7" t="str">
        <f>Data!C421</f>
        <v>Financials</v>
      </c>
      <c r="D296" s="8">
        <f>IF(ISNUMBER(Data!AL421),Data!AL421/1000,"n/a")</f>
        <v>56.75</v>
      </c>
      <c r="E296" s="1">
        <f>Data!E421</f>
        <v>10</v>
      </c>
      <c r="F296" s="28">
        <f>Data!J421/100</f>
        <v>2.7318672312525615E-2</v>
      </c>
      <c r="G296" s="28">
        <f>IF(ISNUMBER(Data!S421),Data!S421/100,"n/a")</f>
        <v>4.39560439560438E-2</v>
      </c>
      <c r="H296" s="28">
        <f>IF(ISNUMBER(Data!T421),Data!T421/100,"n/a")</f>
        <v>4.604051127515274E-2</v>
      </c>
      <c r="I296" s="28">
        <f>IF(ISNUMBER(Data!U421),Data!U421/100,"n/a")</f>
        <v>3.8232473709484127E-2</v>
      </c>
      <c r="J296" s="28">
        <f>IF(ISNUMBER(Data!V421),Data!V421/100,"n/a")</f>
        <v>0.11160693128838206</v>
      </c>
      <c r="K296" s="9">
        <f>IF(ISNUMBER(Data!Z421),Data!Z421/100,"n/a")</f>
        <v>0.49875311720698257</v>
      </c>
      <c r="L296" s="10">
        <f>Data!AA421</f>
        <v>18.256857855361595</v>
      </c>
      <c r="M296" s="10">
        <f>Data!AF421</f>
        <v>1.6</v>
      </c>
      <c r="N296" s="28">
        <f>IF(ISNUMBER(Data!AG421),Data!AG421/100,"n/a")</f>
        <v>0.06</v>
      </c>
      <c r="O296" s="28">
        <f>IF(ISNUMBER(Data!AJ421),Data!AJ421/100,"n/a")</f>
        <v>0.184</v>
      </c>
      <c r="P296" s="9">
        <f>IF(ISNUMBER(Data!AK421),Data!AK421/100,"n/a")</f>
        <v>-4.3E-3</v>
      </c>
      <c r="Q296" s="8">
        <f>Data!AN421</f>
        <v>0.46</v>
      </c>
      <c r="R296" s="8">
        <f>Data!AP421</f>
        <v>6.5551146022009741</v>
      </c>
      <c r="S296" s="8"/>
      <c r="T296" s="8"/>
      <c r="U296" s="8"/>
      <c r="V296" s="1">
        <f t="shared" si="8"/>
        <v>7</v>
      </c>
      <c r="W296" s="1">
        <f t="shared" si="9"/>
        <v>0</v>
      </c>
    </row>
    <row r="297" spans="1:23" hidden="1" x14ac:dyDescent="0.2">
      <c r="A297" s="7" t="str">
        <f>Data!A440</f>
        <v>Monolithic Power Systems, Inc.</v>
      </c>
      <c r="B297" s="7" t="str">
        <f>Data!B440</f>
        <v>MPWR</v>
      </c>
      <c r="C297" s="7" t="str">
        <f>Data!C440</f>
        <v>Information Technology</v>
      </c>
      <c r="D297" s="8">
        <f>IF(ISNUMBER(Data!AL440),Data!AL440/1000,"n/a")</f>
        <v>15.42</v>
      </c>
      <c r="E297" s="1">
        <f>Data!E440</f>
        <v>5</v>
      </c>
      <c r="F297" s="28">
        <f>Data!J440/100</f>
        <v>8.8378258948298722E-3</v>
      </c>
      <c r="G297" s="28">
        <f>IF(ISNUMBER(Data!S440),Data!S440/100,"n/a")</f>
        <v>0.21052631578947367</v>
      </c>
      <c r="H297" s="28">
        <f>IF(ISNUMBER(Data!T440),Data!T440/100,"n/a")</f>
        <v>0.27872861448303943</v>
      </c>
      <c r="I297" s="28">
        <f>IF(ISNUMBER(Data!U440),Data!U440/100,"n/a")</f>
        <v>0.2351723745192793</v>
      </c>
      <c r="J297" s="28" t="str">
        <f>IF(ISNUMBER(Data!V440),Data!V440/100,"n/a")</f>
        <v>n/a</v>
      </c>
      <c r="K297" s="9">
        <f>IF(ISNUMBER(Data!Z440),Data!Z440/100,"n/a")</f>
        <v>0.37037037037037041</v>
      </c>
      <c r="L297" s="10">
        <f>Data!AA440</f>
        <v>41.907407407407405</v>
      </c>
      <c r="M297" s="10">
        <f>Data!AF440</f>
        <v>11.37</v>
      </c>
      <c r="N297" s="28">
        <f>IF(ISNUMBER(Data!AG440),Data!AG440/100,"n/a")</f>
        <v>0.214</v>
      </c>
      <c r="O297" s="28">
        <f>IF(ISNUMBER(Data!AJ440),Data!AJ440/100,"n/a")</f>
        <v>0.32100000000000001</v>
      </c>
      <c r="P297" s="9">
        <f>IF(ISNUMBER(Data!AK440),Data!AK440/100,"n/a")</f>
        <v>0.25</v>
      </c>
      <c r="Q297" s="8">
        <f>Data!AN440</f>
        <v>0</v>
      </c>
      <c r="R297" s="8">
        <f>Data!AP440</f>
        <v>24.401020041410916</v>
      </c>
      <c r="S297" s="8"/>
      <c r="T297" s="8"/>
      <c r="U297" s="8"/>
      <c r="V297" s="1">
        <f t="shared" si="8"/>
        <v>8</v>
      </c>
      <c r="W297" s="1">
        <f t="shared" si="9"/>
        <v>0</v>
      </c>
    </row>
    <row r="298" spans="1:23" hidden="1" x14ac:dyDescent="0.2">
      <c r="A298" s="7" t="str">
        <f>Data!A447</f>
        <v>Middlesex Water Company</v>
      </c>
      <c r="B298" s="7" t="str">
        <f>Data!B447</f>
        <v>MSEX</v>
      </c>
      <c r="C298" s="7" t="str">
        <f>Data!C447</f>
        <v>Utilities</v>
      </c>
      <c r="D298" s="8">
        <f>IF(ISNUMBER(Data!AL447),Data!AL447/1000,"n/a")</f>
        <v>1.54</v>
      </c>
      <c r="E298" s="1">
        <f>Data!E447</f>
        <v>50</v>
      </c>
      <c r="F298" s="28">
        <f>Data!J447/100</f>
        <v>1.3971163518497819E-2</v>
      </c>
      <c r="G298" s="28">
        <f>IF(ISNUMBER(Data!S447),Data!S447/100,"n/a")</f>
        <v>6.362545018007193E-2</v>
      </c>
      <c r="H298" s="28">
        <f>IF(ISNUMBER(Data!T447),Data!T447/100,"n/a")</f>
        <v>6.7174398199995933E-2</v>
      </c>
      <c r="I298" s="28">
        <f>IF(ISNUMBER(Data!U447),Data!U447/100,"n/a")</f>
        <v>6.5222278259150057E-2</v>
      </c>
      <c r="J298" s="28">
        <f>IF(ISNUMBER(Data!V447),Data!V447/100,"n/a")</f>
        <v>4.2206099607813741E-2</v>
      </c>
      <c r="K298" s="9">
        <f>IF(ISNUMBER(Data!Z447),Data!Z447/100,"n/a")</f>
        <v>0.55555555555555558</v>
      </c>
      <c r="L298" s="10">
        <f>Data!AA447</f>
        <v>39.764444444444443</v>
      </c>
      <c r="M298" s="10">
        <f>Data!AF447</f>
        <v>4.0999999999999996</v>
      </c>
      <c r="N298" s="28">
        <f>IF(ISNUMBER(Data!AG447),Data!AG447/100,"n/a")</f>
        <v>0.111</v>
      </c>
      <c r="O298" s="28">
        <f>IF(ISNUMBER(Data!AJ447),Data!AJ447/100,"n/a")</f>
        <v>8.5000000000000006E-2</v>
      </c>
      <c r="P298" s="9">
        <f>IF(ISNUMBER(Data!AK447),Data!AK447/100,"n/a")</f>
        <v>2.7000000000000003E-2</v>
      </c>
      <c r="Q298" s="8">
        <f>Data!AN447</f>
        <v>0.88</v>
      </c>
      <c r="R298" s="8">
        <f>Data!AP447</f>
        <v>7.9193441777647875</v>
      </c>
      <c r="S298" s="8"/>
      <c r="T298" s="8"/>
      <c r="U298" s="8"/>
      <c r="V298" s="1">
        <f t="shared" si="8"/>
        <v>7</v>
      </c>
      <c r="W298" s="1">
        <f t="shared" si="9"/>
        <v>0</v>
      </c>
    </row>
    <row r="299" spans="1:23" hidden="1" x14ac:dyDescent="0.2">
      <c r="A299" s="7" t="str">
        <f>Data!A423</f>
        <v>Magna International Inc.</v>
      </c>
      <c r="B299" s="7" t="str">
        <f>Data!B423</f>
        <v>MGA</v>
      </c>
      <c r="C299" s="7" t="str">
        <f>Data!C423</f>
        <v>Consumer Discretionary</v>
      </c>
      <c r="D299" s="8">
        <f>IF(ISNUMBER(Data!AL423),Data!AL423/1000,"n/a")</f>
        <v>15.76</v>
      </c>
      <c r="E299" s="1">
        <f>Data!E423</f>
        <v>13</v>
      </c>
      <c r="F299" s="28">
        <f>Data!J423/100</f>
        <v>3.2298582451103536E-2</v>
      </c>
      <c r="G299" s="28">
        <f>IF(ISNUMBER(Data!S423),Data!S423/100,"n/a")</f>
        <v>7.4999999999999956E-2</v>
      </c>
      <c r="H299" s="28">
        <f>IF(ISNUMBER(Data!T423),Data!T423/100,"n/a")</f>
        <v>9.2240238124367213E-2</v>
      </c>
      <c r="I299" s="28">
        <f>IF(ISNUMBER(Data!U423),Data!U423/100,"n/a")</f>
        <v>0.11456573996486764</v>
      </c>
      <c r="J299" s="28">
        <f>IF(ISNUMBER(Data!V423),Data!V423/100,"n/a")</f>
        <v>0.1315033504297265</v>
      </c>
      <c r="K299" s="9">
        <f>IF(ISNUMBER(Data!Z423),Data!Z423/100,"n/a")</f>
        <v>0.79646017699115068</v>
      </c>
      <c r="L299" s="10">
        <f>Data!AA423</f>
        <v>24.659292035398231</v>
      </c>
      <c r="M299" s="10">
        <f>Data!AF423</f>
        <v>1.49</v>
      </c>
      <c r="N299" s="28">
        <f>IF(ISNUMBER(Data!AG423),Data!AG423/100,"n/a")</f>
        <v>5.8999999999999997E-2</v>
      </c>
      <c r="O299" s="28">
        <f>IF(ISNUMBER(Data!AJ423),Data!AJ423/100,"n/a")</f>
        <v>-6.0000000000000001E-3</v>
      </c>
      <c r="P299" s="9">
        <f>IF(ISNUMBER(Data!AK423),Data!AK423/100,"n/a")</f>
        <v>0.39800000000000002</v>
      </c>
      <c r="Q299" s="8">
        <f>Data!AN423</f>
        <v>0.32</v>
      </c>
      <c r="R299" s="8">
        <f>Data!AP423</f>
        <v>14.686432241597117</v>
      </c>
      <c r="S299" s="8"/>
      <c r="T299" s="8"/>
      <c r="U299" s="8"/>
      <c r="V299" s="1">
        <f t="shared" si="8"/>
        <v>8</v>
      </c>
      <c r="W299" s="1">
        <f t="shared" si="9"/>
        <v>0</v>
      </c>
    </row>
    <row r="300" spans="1:23" hidden="1" x14ac:dyDescent="0.2">
      <c r="A300" s="7" t="str">
        <f>Data!A442</f>
        <v>Marten Transport, Ltd.</v>
      </c>
      <c r="B300" s="7" t="str">
        <f>Data!B442</f>
        <v>MRTN</v>
      </c>
      <c r="C300" s="7" t="str">
        <f>Data!C442</f>
        <v>Industrials</v>
      </c>
      <c r="D300" s="8">
        <f>IF(ISNUMBER(Data!AL442),Data!AL442/1000,"n/a")</f>
        <v>1.51</v>
      </c>
      <c r="E300" s="1">
        <f>Data!E442</f>
        <v>6</v>
      </c>
      <c r="F300" s="28">
        <f>Data!J442/100</f>
        <v>1.2786361214704313E-2</v>
      </c>
      <c r="G300" s="28">
        <f>IF(ISNUMBER(Data!S442),Data!S442/100,"n/a")</f>
        <v>0.19999999999999996</v>
      </c>
      <c r="H300" s="28">
        <f>IF(ISNUMBER(Data!T442),Data!T442/100,"n/a")</f>
        <v>0.33886590016433887</v>
      </c>
      <c r="I300" s="28">
        <f>IF(ISNUMBER(Data!U442),Data!U442/100,"n/a")</f>
        <v>0.3195079107728942</v>
      </c>
      <c r="J300" s="28">
        <f>IF(ISNUMBER(Data!V442),Data!V442/100,"n/a")</f>
        <v>0.22322439870612243</v>
      </c>
      <c r="K300" s="9">
        <f>IF(ISNUMBER(Data!Z442),Data!Z442/100,"n/a")</f>
        <v>0.18045112781954883</v>
      </c>
      <c r="L300" s="10">
        <f>Data!AA442</f>
        <v>14.112781954887216</v>
      </c>
      <c r="M300" s="10">
        <f>Data!AF442</f>
        <v>2.3199999999999998</v>
      </c>
      <c r="N300" s="28">
        <f>IF(ISNUMBER(Data!AG442),Data!AG442/100,"n/a")</f>
        <v>0.14699999999999999</v>
      </c>
      <c r="O300" s="28">
        <f>IF(ISNUMBER(Data!AJ442),Data!AJ442/100,"n/a")</f>
        <v>0.20100000000000001</v>
      </c>
      <c r="P300" s="9">
        <f>IF(ISNUMBER(Data!AK442),Data!AK442/100,"n/a")</f>
        <v>0.1</v>
      </c>
      <c r="Q300" s="8">
        <f>Data!AN442</f>
        <v>0</v>
      </c>
      <c r="R300" s="8">
        <f>Data!AP442</f>
        <v>33.229427198759851</v>
      </c>
      <c r="S300" s="8"/>
      <c r="T300" s="8"/>
      <c r="U300" s="8"/>
      <c r="V300" s="1">
        <f t="shared" si="8"/>
        <v>9</v>
      </c>
      <c r="W300" s="1">
        <f t="shared" si="9"/>
        <v>0</v>
      </c>
    </row>
    <row r="301" spans="1:23" hidden="1" x14ac:dyDescent="0.2">
      <c r="A301" s="7" t="str">
        <f>Data!A452</f>
        <v>MVB Financial Corp.</v>
      </c>
      <c r="B301" s="7" t="str">
        <f>Data!B452</f>
        <v>MVBF</v>
      </c>
      <c r="C301" s="7" t="str">
        <f>Data!C452</f>
        <v>Financials</v>
      </c>
      <c r="D301" s="8">
        <f>IF(ISNUMBER(Data!AL452),Data!AL452/1000,"n/a")</f>
        <v>0.31207000000000001</v>
      </c>
      <c r="E301" s="1">
        <f>Data!E452</f>
        <v>6</v>
      </c>
      <c r="F301" s="28">
        <f>Data!J452/100</f>
        <v>2.7463651050080772E-2</v>
      </c>
      <c r="G301" s="28">
        <f>IF(ISNUMBER(Data!S452),Data!S452/100,"n/a")</f>
        <v>0.41666666666666674</v>
      </c>
      <c r="H301" s="28">
        <f>IF(ISNUMBER(Data!T452),Data!T452/100,"n/a")</f>
        <v>0.66747435599428884</v>
      </c>
      <c r="I301" s="28">
        <f>IF(ISNUMBER(Data!U452),Data!U452/100,"n/a")</f>
        <v>0.44842508549069748</v>
      </c>
      <c r="J301" s="28">
        <f>IF(ISNUMBER(Data!V452),Data!V452/100,"n/a")</f>
        <v>0.26142088489721416</v>
      </c>
      <c r="K301" s="9">
        <f>IF(ISNUMBER(Data!Z452),Data!Z452/100,"n/a")</f>
        <v>0.31627906976744191</v>
      </c>
      <c r="L301" s="10">
        <f>Data!AA452</f>
        <v>11.516279069767442</v>
      </c>
      <c r="M301" s="10">
        <f>Data!AF452</f>
        <v>1.22</v>
      </c>
      <c r="N301" s="28">
        <f>IF(ISNUMBER(Data!AG452),Data!AG452/100,"n/a")</f>
        <v>0.105</v>
      </c>
      <c r="O301" s="28">
        <f>IF(ISNUMBER(Data!AJ452),Data!AJ452/100,"n/a")</f>
        <v>0.318</v>
      </c>
      <c r="P301" s="9" t="str">
        <f>IF(ISNUMBER(Data!AK452),Data!AK452/100,"n/a")</f>
        <v>n/a</v>
      </c>
      <c r="Q301" s="8">
        <f>Data!AN452</f>
        <v>0</v>
      </c>
      <c r="R301" s="8">
        <f>Data!AP452</f>
        <v>47.588873654077823</v>
      </c>
      <c r="S301" s="8"/>
      <c r="T301" s="8"/>
      <c r="U301" s="8"/>
      <c r="V301" s="1">
        <f t="shared" si="8"/>
        <v>9</v>
      </c>
      <c r="W301" s="1">
        <f t="shared" si="9"/>
        <v>0</v>
      </c>
    </row>
    <row r="302" spans="1:23" hidden="1" x14ac:dyDescent="0.2">
      <c r="A302" s="7" t="str">
        <f>Data!A454</f>
        <v>Muncy Bank Financial, Inc.</v>
      </c>
      <c r="B302" s="7" t="str">
        <f>Data!B454</f>
        <v>MYBF</v>
      </c>
      <c r="C302" s="7" t="str">
        <f>Data!C454</f>
        <v>Financials</v>
      </c>
      <c r="D302" s="8" t="str">
        <f>IF(ISNUMBER(Data!AL454),Data!AL454/1000,"n/a")</f>
        <v>n/a</v>
      </c>
      <c r="E302" s="1">
        <f>Data!E454</f>
        <v>21</v>
      </c>
      <c r="F302" s="28">
        <f>Data!J454/100</f>
        <v>4.1160949868073879E-2</v>
      </c>
      <c r="G302" s="28">
        <f>IF(ISNUMBER(Data!S454),Data!S454/100,"n/a")</f>
        <v>7.4468085106383253E-2</v>
      </c>
      <c r="H302" s="28">
        <f>IF(ISNUMBER(Data!T454),Data!T454/100,"n/a")</f>
        <v>5.2340844133448305E-2</v>
      </c>
      <c r="I302" s="28">
        <f>IF(ISNUMBER(Data!U454),Data!U454/100,"n/a")</f>
        <v>7.0034487823398939E-2</v>
      </c>
      <c r="J302" s="28">
        <f>IF(ISNUMBER(Data!V454),Data!V454/100,"n/a")</f>
        <v>8.5010105263371827E-2</v>
      </c>
      <c r="K302" s="9" t="str">
        <f>IF(ISNUMBER(Data!Z454),Data!Z454/100,"n/a")</f>
        <v>n/a</v>
      </c>
      <c r="L302" s="10" t="str">
        <f>Data!AA454</f>
        <v>n/a</v>
      </c>
      <c r="M302" s="10" t="str">
        <f>Data!AF454</f>
        <v>n/a</v>
      </c>
      <c r="N302" s="28" t="str">
        <f>IF(ISNUMBER(Data!AG454),Data!AG454/100,"n/a")</f>
        <v>n/a</v>
      </c>
      <c r="O302" s="28" t="str">
        <f>IF(ISNUMBER(Data!AJ454),Data!AJ454/100,"n/a")</f>
        <v>n/a</v>
      </c>
      <c r="P302" s="9" t="str">
        <f>IF(ISNUMBER(Data!AK454),Data!AK454/100,"n/a")</f>
        <v>n/a</v>
      </c>
      <c r="Q302" s="8" t="str">
        <f>Data!AN454</f>
        <v>n/a</v>
      </c>
      <c r="R302" s="8">
        <f>Data!AP454</f>
        <v>11.119543769147281</v>
      </c>
      <c r="S302" s="8"/>
      <c r="T302" s="8"/>
      <c r="U302" s="8"/>
      <c r="V302" s="1">
        <f t="shared" si="8"/>
        <v>6</v>
      </c>
      <c r="W302" s="1">
        <f t="shared" si="9"/>
        <v>0</v>
      </c>
    </row>
    <row r="303" spans="1:23" hidden="1" x14ac:dyDescent="0.2">
      <c r="A303" s="7" t="str">
        <f>Data!A409</f>
        <v>Matthews International Corporation</v>
      </c>
      <c r="B303" s="7" t="str">
        <f>Data!B409</f>
        <v>MATW</v>
      </c>
      <c r="C303" s="7" t="str">
        <f>Data!C409</f>
        <v>Industrials</v>
      </c>
      <c r="D303" s="8">
        <f>IF(ISNUMBER(Data!AL409),Data!AL409/1000,"n/a")</f>
        <v>0.80425999999999997</v>
      </c>
      <c r="E303" s="1">
        <f>Data!E409</f>
        <v>27</v>
      </c>
      <c r="F303" s="28">
        <f>Data!J409/100</f>
        <v>3.273809523809524E-2</v>
      </c>
      <c r="G303" s="28">
        <f>IF(ISNUMBER(Data!S409),Data!S409/100,"n/a")</f>
        <v>2.3668639053254559E-2</v>
      </c>
      <c r="H303" s="28">
        <f>IF(ISNUMBER(Data!T409),Data!T409/100,"n/a")</f>
        <v>3.9541410047541969E-2</v>
      </c>
      <c r="I303" s="28">
        <f>IF(ISNUMBER(Data!U409),Data!U409/100,"n/a")</f>
        <v>6.8869989429909628E-2</v>
      </c>
      <c r="J303" s="28">
        <f>IF(ISNUMBER(Data!V409),Data!V409/100,"n/a")</f>
        <v>0.10115946663205699</v>
      </c>
      <c r="K303" s="9" t="str">
        <f>IF(ISNUMBER(Data!Z409),Data!Z409/100,"n/a")</f>
        <v>n/a</v>
      </c>
      <c r="L303" s="10" t="str">
        <f>Data!AA409</f>
        <v>n/a</v>
      </c>
      <c r="M303" s="10">
        <f>Data!AF409</f>
        <v>1.44</v>
      </c>
      <c r="N303" s="28">
        <f>IF(ISNUMBER(Data!AG409),Data!AG409/100,"n/a")</f>
        <v>-3.5999999999999997E-2</v>
      </c>
      <c r="O303" s="28">
        <f>IF(ISNUMBER(Data!AJ409),Data!AJ409/100,"n/a")</f>
        <v>-0.46300000000000002</v>
      </c>
      <c r="P303" s="9">
        <f>IF(ISNUMBER(Data!AK409),Data!AK409/100,"n/a")</f>
        <v>-0.1</v>
      </c>
      <c r="Q303" s="8">
        <f>Data!AN409</f>
        <v>1.31</v>
      </c>
      <c r="R303" s="8">
        <f>Data!AP409</f>
        <v>10.160808466800487</v>
      </c>
      <c r="S303" s="8"/>
      <c r="T303" s="8"/>
      <c r="U303" s="8"/>
      <c r="V303" s="1">
        <f t="shared" si="8"/>
        <v>4</v>
      </c>
      <c r="W303" s="1">
        <f t="shared" si="9"/>
        <v>0</v>
      </c>
    </row>
    <row r="304" spans="1:23" hidden="1" x14ac:dyDescent="0.2">
      <c r="A304" s="7" t="str">
        <f>Data!A444</f>
        <v>MSA Safety Incorporated</v>
      </c>
      <c r="B304" s="7" t="str">
        <f>Data!B444</f>
        <v>MSA</v>
      </c>
      <c r="C304" s="7" t="str">
        <f>Data!C444</f>
        <v>Industrials</v>
      </c>
      <c r="D304" s="8">
        <f>IF(ISNUMBER(Data!AL444),Data!AL444/1000,"n/a")</f>
        <v>5.14</v>
      </c>
      <c r="E304" s="1">
        <f>Data!E444</f>
        <v>51</v>
      </c>
      <c r="F304" s="28">
        <f>Data!J444/100</f>
        <v>1.3706793802145411E-2</v>
      </c>
      <c r="G304" s="28">
        <f>IF(ISNUMBER(Data!S444),Data!S444/100,"n/a")</f>
        <v>2.3391812865497075E-2</v>
      </c>
      <c r="H304" s="28">
        <f>IF(ISNUMBER(Data!T444),Data!T444/100,"n/a")</f>
        <v>5.5076443565898359E-2</v>
      </c>
      <c r="I304" s="28">
        <f>IF(ISNUMBER(Data!U444),Data!U444/100,"n/a")</f>
        <v>5.9627816696841807E-2</v>
      </c>
      <c r="J304" s="28">
        <f>IF(ISNUMBER(Data!V444),Data!V444/100,"n/a")</f>
        <v>5.4435653876973911E-2</v>
      </c>
      <c r="K304" s="9">
        <f>IF(ISNUMBER(Data!Z444),Data!Z444/100,"n/a")</f>
        <v>1.0514285714285714</v>
      </c>
      <c r="L304" s="10">
        <f>Data!AA444</f>
        <v>76.708571428571432</v>
      </c>
      <c r="M304" s="10">
        <f>Data!AF444</f>
        <v>6.17</v>
      </c>
      <c r="N304" s="28">
        <f>IF(ISNUMBER(Data!AG444),Data!AG444/100,"n/a")</f>
        <v>8.2000000000000017E-2</v>
      </c>
      <c r="O304" s="28">
        <f>IF(ISNUMBER(Data!AJ444),Data!AJ444/100,"n/a")</f>
        <v>-0.25900000000000001</v>
      </c>
      <c r="P304" s="9">
        <f>IF(ISNUMBER(Data!AK444),Data!AK444/100,"n/a")</f>
        <v>0.18</v>
      </c>
      <c r="Q304" s="8">
        <f>Data!AN444</f>
        <v>0.72</v>
      </c>
      <c r="R304" s="8">
        <f>Data!AP444</f>
        <v>7.3334610498987214</v>
      </c>
      <c r="S304" s="8"/>
      <c r="T304" s="8"/>
      <c r="U304" s="8"/>
      <c r="V304" s="1">
        <f t="shared" si="8"/>
        <v>6</v>
      </c>
      <c r="W304" s="1">
        <f t="shared" si="9"/>
        <v>0</v>
      </c>
    </row>
    <row r="305" spans="1:23" hidden="1" x14ac:dyDescent="0.2">
      <c r="A305" s="7" t="str">
        <f>Data!A455</f>
        <v>National Instruments Corporation</v>
      </c>
      <c r="B305" s="7" t="str">
        <f>Data!B455</f>
        <v>NATI</v>
      </c>
      <c r="C305" s="7" t="str">
        <f>Data!C455</f>
        <v>Information Technology</v>
      </c>
      <c r="D305" s="8">
        <f>IF(ISNUMBER(Data!AL455),Data!AL455/1000,"n/a")</f>
        <v>5.28</v>
      </c>
      <c r="E305" s="1">
        <f>Data!E455</f>
        <v>9</v>
      </c>
      <c r="F305" s="28">
        <f>Data!J455/100</f>
        <v>2.9334730225248823E-2</v>
      </c>
      <c r="G305" s="28">
        <f>IF(ISNUMBER(Data!S455),Data!S455/100,"n/a")</f>
        <v>3.8461538461538547E-2</v>
      </c>
      <c r="H305" s="28">
        <f>IF(ISNUMBER(Data!T455),Data!T455/100,"n/a")</f>
        <v>5.4901660750877879E-2</v>
      </c>
      <c r="I305" s="28">
        <f>IF(ISNUMBER(Data!U455),Data!U455/100,"n/a")</f>
        <v>6.1858758794934632E-2</v>
      </c>
      <c r="J305" s="28">
        <f>IF(ISNUMBER(Data!V455),Data!V455/100,"n/a")</f>
        <v>0.10442537523679472</v>
      </c>
      <c r="K305" s="9">
        <f>IF(ISNUMBER(Data!Z455),Data!Z455/100,"n/a")</f>
        <v>1.0666666666666667</v>
      </c>
      <c r="L305" s="10">
        <f>Data!AA455</f>
        <v>36.361904761904761</v>
      </c>
      <c r="M305" s="10">
        <f>Data!AF455</f>
        <v>4.38</v>
      </c>
      <c r="N305" s="28">
        <f>IF(ISNUMBER(Data!AG455),Data!AG455/100,"n/a")</f>
        <v>9.0999999999999998E-2</v>
      </c>
      <c r="O305" s="28">
        <f>IF(ISNUMBER(Data!AJ455),Data!AJ455/100,"n/a")</f>
        <v>8.0000000000000002E-3</v>
      </c>
      <c r="P305" s="9">
        <f>IF(ISNUMBER(Data!AK455),Data!AK455/100,"n/a")</f>
        <v>5.79E-2</v>
      </c>
      <c r="Q305" s="8">
        <f>Data!AN455</f>
        <v>0</v>
      </c>
      <c r="R305" s="8">
        <f>Data!AP455</f>
        <v>9.1193489020183449</v>
      </c>
      <c r="S305" s="8"/>
      <c r="T305" s="8"/>
      <c r="U305" s="8"/>
      <c r="V305" s="1">
        <f t="shared" si="8"/>
        <v>8</v>
      </c>
      <c r="W305" s="1">
        <f t="shared" si="9"/>
        <v>0</v>
      </c>
    </row>
    <row r="306" spans="1:23" hidden="1" x14ac:dyDescent="0.2">
      <c r="A306" s="7" t="str">
        <f>Data!A419</f>
        <v>MDU Resources Group, Inc.</v>
      </c>
      <c r="B306" s="7" t="str">
        <f>Data!B419</f>
        <v>MDU</v>
      </c>
      <c r="C306" s="7" t="str">
        <f>Data!C419</f>
        <v>Utilities</v>
      </c>
      <c r="D306" s="8">
        <f>IF(ISNUMBER(Data!AL419),Data!AL419/1000,"n/a")</f>
        <v>5.74</v>
      </c>
      <c r="E306" s="1">
        <f>Data!E419</f>
        <v>30</v>
      </c>
      <c r="F306" s="28">
        <f>Data!J419/100</f>
        <v>3.0547752808988762E-2</v>
      </c>
      <c r="G306" s="28">
        <f>IF(ISNUMBER(Data!S419),Data!S419/100,"n/a")</f>
        <v>2.4096385542168752E-2</v>
      </c>
      <c r="H306" s="28">
        <f>IF(ISNUMBER(Data!T419),Data!T419/100,"n/a")</f>
        <v>2.4701278673611382E-2</v>
      </c>
      <c r="I306" s="28">
        <f>IF(ISNUMBER(Data!U419),Data!U419/100,"n/a")</f>
        <v>2.5348575657732741E-2</v>
      </c>
      <c r="J306" s="28">
        <f>IF(ISNUMBER(Data!V419),Data!V419/100,"n/a")</f>
        <v>2.7189465815924629E-2</v>
      </c>
      <c r="K306" s="9">
        <f>IF(ISNUMBER(Data!Z419),Data!Z419/100,"n/a")</f>
        <v>0.54037267080745333</v>
      </c>
      <c r="L306" s="10">
        <f>Data!AA419</f>
        <v>17.689440993788818</v>
      </c>
      <c r="M306" s="10">
        <f>Data!AF419</f>
        <v>1.72</v>
      </c>
      <c r="N306" s="28">
        <f>IF(ISNUMBER(Data!AG419),Data!AG419/100,"n/a")</f>
        <v>9.8000000000000004E-2</v>
      </c>
      <c r="O306" s="28">
        <f>IF(ISNUMBER(Data!AJ419),Data!AJ419/100,"n/a")</f>
        <v>9.5000000000000001E-2</v>
      </c>
      <c r="P306" s="9">
        <f>IF(ISNUMBER(Data!AK419),Data!AK419/100,"n/a")</f>
        <v>6.3E-2</v>
      </c>
      <c r="Q306" s="8">
        <f>Data!AN419</f>
        <v>0.89</v>
      </c>
      <c r="R306" s="8">
        <f>Data!AP419</f>
        <v>5.589632846672151</v>
      </c>
      <c r="S306" s="8"/>
      <c r="T306" s="8"/>
      <c r="U306" s="8"/>
      <c r="V306" s="1">
        <f t="shared" si="8"/>
        <v>7</v>
      </c>
      <c r="W306" s="1">
        <f t="shared" si="9"/>
        <v>0</v>
      </c>
    </row>
    <row r="307" spans="1:23" hidden="1" x14ac:dyDescent="0.2">
      <c r="A307" s="7" t="str">
        <f>Data!A431</f>
        <v>Magellan Midstream Partners, L.P.</v>
      </c>
      <c r="B307" s="7" t="str">
        <f>Data!B431</f>
        <v>MMP</v>
      </c>
      <c r="C307" s="7" t="str">
        <f>Data!C431</f>
        <v>Energy</v>
      </c>
      <c r="D307" s="8">
        <f>IF(ISNUMBER(Data!AL431),Data!AL431/1000,"n/a")</f>
        <v>10.98</v>
      </c>
      <c r="E307" s="1">
        <f>Data!E431</f>
        <v>22</v>
      </c>
      <c r="F307" s="28">
        <f>Data!J431/100</f>
        <v>7.7664504170528267E-2</v>
      </c>
      <c r="G307" s="28">
        <f>IF(ISNUMBER(Data!S431),Data!S431/100,"n/a")</f>
        <v>2.4330900243307862E-3</v>
      </c>
      <c r="H307" s="28">
        <f>IF(ISNUMBER(Data!T431),Data!T431/100,"n/a")</f>
        <v>2.7993910838894021E-2</v>
      </c>
      <c r="I307" s="28">
        <f>IF(ISNUMBER(Data!U431),Data!U431/100,"n/a")</f>
        <v>4.8905838881368124E-2</v>
      </c>
      <c r="J307" s="28">
        <f>IF(ISNUMBER(Data!V431),Data!V431/100,"n/a")</f>
        <v>0.10225425795273768</v>
      </c>
      <c r="K307" s="9">
        <f>IF(ISNUMBER(Data!Z431),Data!Z431/100,"n/a")</f>
        <v>0.97668997668997681</v>
      </c>
      <c r="L307" s="10">
        <f>Data!AA431</f>
        <v>12.575757575757576</v>
      </c>
      <c r="M307" s="10">
        <f>Data!AF431</f>
        <v>6.3</v>
      </c>
      <c r="N307" s="28">
        <f>IF(ISNUMBER(Data!AG431),Data!AG431/100,"n/a")</f>
        <v>0.60599999999999998</v>
      </c>
      <c r="O307" s="28">
        <f>IF(ISNUMBER(Data!AJ431),Data!AJ431/100,"n/a")</f>
        <v>3.7999999999999999E-2</v>
      </c>
      <c r="P307" s="9">
        <f>IF(ISNUMBER(Data!AK431),Data!AK431/100,"n/a")</f>
        <v>1.6E-2</v>
      </c>
      <c r="Q307" s="8">
        <f>Data!AN431</f>
        <v>2.86</v>
      </c>
      <c r="R307" s="8">
        <f>Data!AP431</f>
        <v>12.65703430518964</v>
      </c>
      <c r="S307" s="8"/>
      <c r="T307" s="8"/>
      <c r="U307" s="8"/>
      <c r="V307" s="1">
        <f t="shared" si="8"/>
        <v>7</v>
      </c>
      <c r="W307" s="1">
        <f t="shared" si="9"/>
        <v>0</v>
      </c>
    </row>
    <row r="308" spans="1:23" hidden="1" x14ac:dyDescent="0.2">
      <c r="A308" s="7" t="str">
        <f>Data!A430</f>
        <v>3M Company</v>
      </c>
      <c r="B308" s="7" t="str">
        <f>Data!B430</f>
        <v>MMM</v>
      </c>
      <c r="C308" s="7" t="str">
        <f>Data!C430</f>
        <v>Industrials</v>
      </c>
      <c r="D308" s="8">
        <f>IF(ISNUMBER(Data!AL430),Data!AL430/1000,"n/a")</f>
        <v>67.88</v>
      </c>
      <c r="E308" s="1">
        <f>Data!E430</f>
        <v>64</v>
      </c>
      <c r="F308" s="28">
        <f>Data!J430/100</f>
        <v>4.7380554893075758E-2</v>
      </c>
      <c r="G308" s="28">
        <f>IF(ISNUMBER(Data!S430),Data!S430/100,"n/a")</f>
        <v>6.8027210884353817E-3</v>
      </c>
      <c r="H308" s="28">
        <f>IF(ISNUMBER(Data!T430),Data!T430/100,"n/a")</f>
        <v>2.8586773986917446E-2</v>
      </c>
      <c r="I308" s="28">
        <f>IF(ISNUMBER(Data!U430),Data!U430/100,"n/a")</f>
        <v>5.9223841048812176E-2</v>
      </c>
      <c r="J308" s="28">
        <f>IF(ISNUMBER(Data!V430),Data!V430/100,"n/a")</f>
        <v>0.10405295021184235</v>
      </c>
      <c r="K308" s="9">
        <f>IF(ISNUMBER(Data!Z430),Data!Z430/100,"n/a")</f>
        <v>0.51961639058413245</v>
      </c>
      <c r="L308" s="10">
        <f>Data!AA430</f>
        <v>10.966870095902355</v>
      </c>
      <c r="M308" s="10">
        <f>Data!AF430</f>
        <v>5.12</v>
      </c>
      <c r="N308" s="28">
        <f>IF(ISNUMBER(Data!AG430),Data!AG430/100,"n/a")</f>
        <v>0.45500000000000002</v>
      </c>
      <c r="O308" s="28">
        <f>IF(ISNUMBER(Data!AJ430),Data!AJ430/100,"n/a")</f>
        <v>4.3999999999999997E-2</v>
      </c>
      <c r="P308" s="9">
        <f>IF(ISNUMBER(Data!AK430),Data!AK430/100,"n/a")</f>
        <v>4.0000000000000001E-3</v>
      </c>
      <c r="Q308" s="8">
        <f>Data!AN430</f>
        <v>1.1200000000000001</v>
      </c>
      <c r="R308" s="8">
        <f>Data!AP430</f>
        <v>10.660439594188794</v>
      </c>
      <c r="S308" s="8"/>
      <c r="T308" s="8"/>
      <c r="U308" s="8"/>
      <c r="V308" s="1">
        <f t="shared" si="8"/>
        <v>9</v>
      </c>
      <c r="W308" s="1">
        <f t="shared" si="9"/>
        <v>0</v>
      </c>
    </row>
    <row r="309" spans="1:23" hidden="1" x14ac:dyDescent="0.2">
      <c r="A309" s="7" t="str">
        <f>Data!A427</f>
        <v>MarketAxess Holdings Inc.</v>
      </c>
      <c r="B309" s="7" t="str">
        <f>Data!B427</f>
        <v>MKTX</v>
      </c>
      <c r="C309" s="7" t="str">
        <f>Data!C427</f>
        <v>Financials</v>
      </c>
      <c r="D309" s="8">
        <f>IF(ISNUMBER(Data!AL427),Data!AL427/1000,"n/a")</f>
        <v>8.9499999999999993</v>
      </c>
      <c r="E309" s="1">
        <f>Data!E427</f>
        <v>14</v>
      </c>
      <c r="F309" s="28">
        <f>Data!J427/100</f>
        <v>1.1473528929683658E-2</v>
      </c>
      <c r="G309" s="28">
        <f>IF(ISNUMBER(Data!S427),Data!S427/100,"n/a")</f>
        <v>0.10000000000000009</v>
      </c>
      <c r="H309" s="28">
        <f>IF(ISNUMBER(Data!T427),Data!T427/100,"n/a")</f>
        <v>0.16260329205681459</v>
      </c>
      <c r="I309" s="28">
        <f>IF(ISNUMBER(Data!U427),Data!U427/100,"n/a")</f>
        <v>0.20479766598839677</v>
      </c>
      <c r="J309" s="28">
        <f>IF(ISNUMBER(Data!V427),Data!V427/100,"n/a")</f>
        <v>0.2204785262458526</v>
      </c>
      <c r="K309" s="9">
        <f>IF(ISNUMBER(Data!Z427),Data!Z427/100,"n/a")</f>
        <v>0.43478260869565211</v>
      </c>
      <c r="L309" s="10">
        <f>Data!AA427</f>
        <v>37.894409937888199</v>
      </c>
      <c r="M309" s="10">
        <f>Data!AF427</f>
        <v>9</v>
      </c>
      <c r="N309" s="28">
        <f>IF(ISNUMBER(Data!AG427),Data!AG427/100,"n/a")</f>
        <v>0.23799999999999996</v>
      </c>
      <c r="O309" s="28">
        <f>IF(ISNUMBER(Data!AJ427),Data!AJ427/100,"n/a")</f>
        <v>0.152</v>
      </c>
      <c r="P309" s="9">
        <f>IF(ISNUMBER(Data!AK427),Data!AK427/100,"n/a")</f>
        <v>7.8200000000000006E-2</v>
      </c>
      <c r="Q309" s="8">
        <f>Data!AN427</f>
        <v>0</v>
      </c>
      <c r="R309" s="8">
        <f>Data!AP427</f>
        <v>21.627119491808045</v>
      </c>
      <c r="S309" s="8"/>
      <c r="T309" s="8"/>
      <c r="U309" s="8"/>
      <c r="V309" s="1">
        <f t="shared" si="8"/>
        <v>9</v>
      </c>
      <c r="W309" s="1">
        <f t="shared" si="9"/>
        <v>0</v>
      </c>
    </row>
    <row r="310" spans="1:23" hidden="1" x14ac:dyDescent="0.2">
      <c r="A310" s="7" t="str">
        <f>Data!A422</f>
        <v>Manulife Financial Corporation</v>
      </c>
      <c r="B310" s="7" t="str">
        <f>Data!B422</f>
        <v>MFC</v>
      </c>
      <c r="C310" s="7" t="str">
        <f>Data!C422</f>
        <v>Financials</v>
      </c>
      <c r="D310" s="8">
        <f>IF(ISNUMBER(Data!AL422),Data!AL422/1000,"n/a")</f>
        <v>31.16</v>
      </c>
      <c r="E310" s="1">
        <f>Data!E422</f>
        <v>9</v>
      </c>
      <c r="F310" s="28">
        <f>Data!J422/100</f>
        <v>7.9758308157099694E-2</v>
      </c>
      <c r="G310" s="28">
        <f>IF(ISNUMBER(Data!S422),Data!S422/100,"n/a")</f>
        <v>4.4642857142856984E-2</v>
      </c>
      <c r="H310" s="28">
        <f>IF(ISNUMBER(Data!T422),Data!T422/100,"n/a")</f>
        <v>8.7380373002892142E-2</v>
      </c>
      <c r="I310" s="28">
        <f>IF(ISNUMBER(Data!U422),Data!U422/100,"n/a")</f>
        <v>9.5950220583515419E-2</v>
      </c>
      <c r="J310" s="28">
        <f>IF(ISNUMBER(Data!V422),Data!V422/100,"n/a")</f>
        <v>8.4471771197698539E-2</v>
      </c>
      <c r="K310" s="9">
        <f>IF(ISNUMBER(Data!Z422),Data!Z422/100,"n/a")</f>
        <v>0.4631578947368421</v>
      </c>
      <c r="L310" s="10">
        <f>Data!AA422</f>
        <v>5.807017543859649</v>
      </c>
      <c r="M310" s="10">
        <f>Data!AF422</f>
        <v>0.91</v>
      </c>
      <c r="N310" s="28">
        <f>IF(ISNUMBER(Data!AG422),Data!AG422/100,"n/a")</f>
        <v>0.153</v>
      </c>
      <c r="O310" s="28">
        <f>IF(ISNUMBER(Data!AJ422),Data!AJ422/100,"n/a")</f>
        <v>0.20100000000000001</v>
      </c>
      <c r="P310" s="9">
        <f>IF(ISNUMBER(Data!AK422),Data!AK422/100,"n/a")</f>
        <v>8.5999999999999993E-2</v>
      </c>
      <c r="Q310" s="8">
        <f>Data!AN422</f>
        <v>0.27</v>
      </c>
      <c r="R310" s="8">
        <f>Data!AP422</f>
        <v>17.570852874061512</v>
      </c>
      <c r="S310" s="8"/>
      <c r="T310" s="8"/>
      <c r="U310" s="8"/>
      <c r="V310" s="1">
        <f t="shared" si="8"/>
        <v>10</v>
      </c>
      <c r="W310" s="1">
        <f t="shared" si="9"/>
        <v>0</v>
      </c>
    </row>
    <row r="311" spans="1:23" hidden="1" x14ac:dyDescent="0.2">
      <c r="A311" s="7" t="str">
        <f>Data!A448</f>
        <v>Microsoft Corporation</v>
      </c>
      <c r="B311" s="7" t="str">
        <f>Data!B448</f>
        <v>MSFT</v>
      </c>
      <c r="C311" s="7" t="str">
        <f>Data!C448</f>
        <v>Information Technology</v>
      </c>
      <c r="D311" s="8">
        <f>IF(ISNUMBER(Data!AL448),Data!AL448/1000,"n/a")</f>
        <v>1690.3</v>
      </c>
      <c r="E311" s="1">
        <f>Data!E448</f>
        <v>21</v>
      </c>
      <c r="F311" s="28">
        <f>Data!J448/100</f>
        <v>1.1717572050144317E-2</v>
      </c>
      <c r="G311" s="28">
        <f>IF(ISNUMBER(Data!S448),Data!S448/100,"n/a")</f>
        <v>0.10047846889952151</v>
      </c>
      <c r="H311" s="28">
        <f>IF(ISNUMBER(Data!T448),Data!T448/100,"n/a")</f>
        <v>0.10170789848949212</v>
      </c>
      <c r="I311" s="28">
        <f>IF(ISNUMBER(Data!U448),Data!U448/100,"n/a")</f>
        <v>9.3659425652730763E-2</v>
      </c>
      <c r="J311" s="28">
        <f>IF(ISNUMBER(Data!V448),Data!V448/100,"n/a")</f>
        <v>0.12959273965247653</v>
      </c>
      <c r="K311" s="9">
        <f>IF(ISNUMBER(Data!Z448),Data!Z448/100,"n/a")</f>
        <v>0.2931034482758621</v>
      </c>
      <c r="L311" s="10">
        <f>Data!AA448</f>
        <v>25.014008620689655</v>
      </c>
      <c r="M311" s="10">
        <f>Data!AF448</f>
        <v>10.130000000000001</v>
      </c>
      <c r="N311" s="28">
        <f>IF(ISNUMBER(Data!AG448),Data!AG448/100,"n/a")</f>
        <v>0.42100000000000004</v>
      </c>
      <c r="O311" s="28">
        <f>IF(ISNUMBER(Data!AJ448),Data!AJ448/100,"n/a")</f>
        <v>0.24299999999999999</v>
      </c>
      <c r="P311" s="9">
        <f>IF(ISNUMBER(Data!AK448),Data!AK448/100,"n/a")</f>
        <v>0.13009999999999999</v>
      </c>
      <c r="Q311" s="8">
        <f>Data!AN448</f>
        <v>0.36</v>
      </c>
      <c r="R311" s="8">
        <f>Data!AP448</f>
        <v>10.537699770287508</v>
      </c>
      <c r="S311" s="8"/>
      <c r="T311" s="8"/>
      <c r="U311" s="8"/>
      <c r="V311" s="1">
        <f t="shared" si="8"/>
        <v>10</v>
      </c>
      <c r="W311" s="1">
        <f t="shared" si="9"/>
        <v>0</v>
      </c>
    </row>
    <row r="312" spans="1:23" hidden="1" x14ac:dyDescent="0.2">
      <c r="A312" s="7" t="str">
        <f>Data!A416</f>
        <v>Moody's Corporation</v>
      </c>
      <c r="B312" s="7" t="str">
        <f>Data!B416</f>
        <v>MCO</v>
      </c>
      <c r="C312" s="7" t="str">
        <f>Data!C416</f>
        <v>Financials</v>
      </c>
      <c r="D312" s="8">
        <f>IF(ISNUMBER(Data!AL416),Data!AL416/1000,"n/a")</f>
        <v>47.81</v>
      </c>
      <c r="E312" s="1">
        <f>Data!E416</f>
        <v>13</v>
      </c>
      <c r="F312" s="28">
        <f>Data!J416/100</f>
        <v>1.0571223619133914E-2</v>
      </c>
      <c r="G312" s="28">
        <f>IF(ISNUMBER(Data!S416),Data!S416/100,"n/a")</f>
        <v>0.10714285714285697</v>
      </c>
      <c r="H312" s="28">
        <f>IF(ISNUMBER(Data!T416),Data!T416/100,"n/a")</f>
        <v>0.12110512440831279</v>
      </c>
      <c r="I312" s="28">
        <f>IF(ISNUMBER(Data!U416),Data!U416/100,"n/a")</f>
        <v>0.11178232402599765</v>
      </c>
      <c r="J312" s="28">
        <f>IF(ISNUMBER(Data!V416),Data!V416/100,"n/a")</f>
        <v>0.16576171878410206</v>
      </c>
      <c r="K312" s="9">
        <f>IF(ISNUMBER(Data!Z416),Data!Z416/100,"n/a")</f>
        <v>0.33452807646356036</v>
      </c>
      <c r="L312" s="10">
        <f>Data!AA416</f>
        <v>31.645161290322584</v>
      </c>
      <c r="M312" s="10">
        <f>Data!AF416</f>
        <v>21.86</v>
      </c>
      <c r="N312" s="28">
        <f>IF(ISNUMBER(Data!AG416),Data!AG416/100,"n/a")</f>
        <v>0.64300000000000002</v>
      </c>
      <c r="O312" s="28">
        <f>IF(ISNUMBER(Data!AJ416),Data!AJ416/100,"n/a")</f>
        <v>0.53900000000000003</v>
      </c>
      <c r="P312" s="9">
        <f>IF(ISNUMBER(Data!AK416),Data!AK416/100,"n/a")</f>
        <v>2E-3</v>
      </c>
      <c r="Q312" s="8">
        <f>Data!AN416</f>
        <v>0</v>
      </c>
      <c r="R312" s="8">
        <f>Data!AP416</f>
        <v>12.235354764513156</v>
      </c>
      <c r="S312" s="8"/>
      <c r="T312" s="8"/>
      <c r="U312" s="8"/>
      <c r="V312" s="1">
        <f t="shared" si="8"/>
        <v>9</v>
      </c>
      <c r="W312" s="1">
        <f t="shared" si="9"/>
        <v>0</v>
      </c>
    </row>
    <row r="313" spans="1:23" hidden="1" x14ac:dyDescent="0.2">
      <c r="A313" s="7" t="str">
        <f>Data!A417</f>
        <v>Mondelez International, Inc.</v>
      </c>
      <c r="B313" s="7" t="str">
        <f>Data!B417</f>
        <v>MDLZ</v>
      </c>
      <c r="C313" s="7" t="str">
        <f>Data!C417</f>
        <v>Consumer Staples</v>
      </c>
      <c r="D313" s="8">
        <f>IF(ISNUMBER(Data!AL417),Data!AL417/1000,"n/a")</f>
        <v>82.66</v>
      </c>
      <c r="E313" s="1">
        <f>Data!E417</f>
        <v>11</v>
      </c>
      <c r="F313" s="28">
        <f>Data!J417/100</f>
        <v>2.5048796356538713E-2</v>
      </c>
      <c r="G313" s="28">
        <f>IF(ISNUMBER(Data!S417),Data!S417/100,"n/a")</f>
        <v>0.1068376068376069</v>
      </c>
      <c r="H313" s="28">
        <f>IF(ISNUMBER(Data!T417),Data!T417/100,"n/a")</f>
        <v>0.12071189213318956</v>
      </c>
      <c r="I313" s="28">
        <f>IF(ISNUMBER(Data!U417),Data!U417/100,"n/a")</f>
        <v>0.12457248761465568</v>
      </c>
      <c r="J313" s="28" t="str">
        <f>IF(ISNUMBER(Data!V417),Data!V417/100,"n/a")</f>
        <v>n/a</v>
      </c>
      <c r="K313" s="9">
        <f>IF(ISNUMBER(Data!Z417),Data!Z417/100,"n/a")</f>
        <v>0.55797101449275366</v>
      </c>
      <c r="L313" s="10">
        <f>Data!AA417</f>
        <v>22.275362318840582</v>
      </c>
      <c r="M313" s="10">
        <f>Data!AF417</f>
        <v>3.1</v>
      </c>
      <c r="N313" s="28">
        <f>IF(ISNUMBER(Data!AG417),Data!AG417/100,"n/a")</f>
        <v>0.13800000000000001</v>
      </c>
      <c r="O313" s="28">
        <f>IF(ISNUMBER(Data!AJ417),Data!AJ417/100,"n/a")</f>
        <v>0.24</v>
      </c>
      <c r="P313" s="9">
        <f>IF(ISNUMBER(Data!AK417),Data!AK417/100,"n/a")</f>
        <v>4.4500000000000005E-2</v>
      </c>
      <c r="Q313" s="8">
        <f>Data!AN417</f>
        <v>0.7</v>
      </c>
      <c r="R313" s="8">
        <f>Data!AP417</f>
        <v>14.962128397119439</v>
      </c>
      <c r="S313" s="8"/>
      <c r="T313" s="8"/>
      <c r="U313" s="8"/>
      <c r="V313" s="1">
        <f t="shared" si="8"/>
        <v>9</v>
      </c>
      <c r="W313" s="1">
        <f t="shared" si="9"/>
        <v>0</v>
      </c>
    </row>
    <row r="314" spans="1:23" hidden="1" x14ac:dyDescent="0.2">
      <c r="A314" s="7" t="str">
        <f>Data!A424</f>
        <v>MGE Energy, Inc.</v>
      </c>
      <c r="B314" s="7" t="str">
        <f>Data!B424</f>
        <v>MGEE</v>
      </c>
      <c r="C314" s="7" t="str">
        <f>Data!C424</f>
        <v>Utilities</v>
      </c>
      <c r="D314" s="8">
        <f>IF(ISNUMBER(Data!AL424),Data!AL424/1000,"n/a")</f>
        <v>2.4</v>
      </c>
      <c r="E314" s="1">
        <f>Data!E424</f>
        <v>47</v>
      </c>
      <c r="F314" s="28">
        <f>Data!J424/100</f>
        <v>2.3938904391246876E-2</v>
      </c>
      <c r="G314" s="28">
        <f>IF(ISNUMBER(Data!S424),Data!S424/100,"n/a")</f>
        <v>4.8442906574394318E-2</v>
      </c>
      <c r="H314" s="28">
        <f>IF(ISNUMBER(Data!T424),Data!T424/100,"n/a")</f>
        <v>4.6998920438107383E-2</v>
      </c>
      <c r="I314" s="28">
        <f>IF(ISNUMBER(Data!U424),Data!U424/100,"n/a")</f>
        <v>4.6851590432896106E-2</v>
      </c>
      <c r="J314" s="28">
        <f>IF(ISNUMBER(Data!V424),Data!V424/100,"n/a")</f>
        <v>4.1352252809612633E-2</v>
      </c>
      <c r="K314" s="9">
        <f>IF(ISNUMBER(Data!Z424),Data!Z424/100,"n/a")</f>
        <v>0.56597222222222221</v>
      </c>
      <c r="L314" s="10">
        <f>Data!AA424</f>
        <v>23.642361111111114</v>
      </c>
      <c r="M314" s="10">
        <f>Data!AF424</f>
        <v>2.34</v>
      </c>
      <c r="N314" s="28">
        <f>IF(ISNUMBER(Data!AG424),Data!AG424/100,"n/a")</f>
        <v>0.1</v>
      </c>
      <c r="O314" s="28">
        <f>IF(ISNUMBER(Data!AJ424),Data!AJ424/100,"n/a")</f>
        <v>6.0999999999999999E-2</v>
      </c>
      <c r="P314" s="9">
        <f>IF(ISNUMBER(Data!AK424),Data!AK424/100,"n/a")</f>
        <v>4.2000000000000003E-2</v>
      </c>
      <c r="Q314" s="8">
        <f>Data!AN424</f>
        <v>0.6</v>
      </c>
      <c r="R314" s="8">
        <f>Data!AP424</f>
        <v>7.0790494824142982</v>
      </c>
      <c r="S314" s="8"/>
      <c r="T314" s="8"/>
      <c r="U314" s="8"/>
      <c r="V314" s="1">
        <f t="shared" si="8"/>
        <v>7</v>
      </c>
      <c r="W314" s="1">
        <f t="shared" si="9"/>
        <v>0</v>
      </c>
    </row>
    <row r="315" spans="1:23" hidden="1" x14ac:dyDescent="0.2">
      <c r="A315" s="7" t="str">
        <f>Data!A25</f>
        <v>Aflac Incorporated</v>
      </c>
      <c r="B315" s="7" t="str">
        <f>Data!B25</f>
        <v>AFL</v>
      </c>
      <c r="C315" s="7" t="str">
        <f>Data!C25</f>
        <v>Financials</v>
      </c>
      <c r="D315" s="8">
        <f>IF(ISNUMBER(Data!AL25),Data!AL25/1000,"n/a")</f>
        <v>39.619999999999997</v>
      </c>
      <c r="E315" s="1">
        <f>Data!E25</f>
        <v>40</v>
      </c>
      <c r="F315" s="28">
        <f>Data!J25/100</f>
        <v>2.4573798187682384E-2</v>
      </c>
      <c r="G315" s="28">
        <f>IF(ISNUMBER(Data!S25),Data!S25/100,"n/a")</f>
        <v>0.1785714285714286</v>
      </c>
      <c r="H315" s="28">
        <f>IF(ISNUMBER(Data!T25),Data!T25/100,"n/a")</f>
        <v>8.2713447015707833E-2</v>
      </c>
      <c r="I315" s="28">
        <f>IF(ISNUMBER(Data!U25),Data!U25/100,"n/a")</f>
        <v>9.7233775492103991E-2</v>
      </c>
      <c r="J315" s="28">
        <f>IF(ISNUMBER(Data!V25),Data!V25/100,"n/a")</f>
        <v>7.9368852824238445E-2</v>
      </c>
      <c r="K315" s="9">
        <f>IF(ISNUMBER(Data!Z25),Data!Z25/100,"n/a")</f>
        <v>0.24132730015082959</v>
      </c>
      <c r="L315" s="10">
        <f>Data!AA25</f>
        <v>9.8205128205128212</v>
      </c>
      <c r="M315" s="10">
        <f>Data!AF25</f>
        <v>1.57</v>
      </c>
      <c r="N315" s="28">
        <f>IF(ISNUMBER(Data!AG25),Data!AG25/100,"n/a")</f>
        <v>0.14199999999999999</v>
      </c>
      <c r="O315" s="28">
        <f>IF(ISNUMBER(Data!AJ25),Data!AJ25/100,"n/a")</f>
        <v>0.14799999999999999</v>
      </c>
      <c r="P315" s="9">
        <f>IF(ISNUMBER(Data!AK25),Data!AK25/100,"n/a")</f>
        <v>-2.5999999999999999E-3</v>
      </c>
      <c r="Q315" s="8">
        <f>Data!AN25</f>
        <v>0.28000000000000003</v>
      </c>
      <c r="R315" s="8">
        <f>Data!AP25</f>
        <v>12.180757367978638</v>
      </c>
      <c r="S315" s="8"/>
      <c r="T315" s="8"/>
      <c r="U315" s="8"/>
      <c r="V315" s="1">
        <f t="shared" si="8"/>
        <v>11</v>
      </c>
      <c r="W315" s="1">
        <f t="shared" si="9"/>
        <v>0</v>
      </c>
    </row>
    <row r="316" spans="1:23" hidden="1" x14ac:dyDescent="0.2">
      <c r="A316" s="7" t="str">
        <f>Data!A446</f>
        <v>MSCI Inc.</v>
      </c>
      <c r="B316" s="7" t="str">
        <f>Data!B446</f>
        <v>MSCI</v>
      </c>
      <c r="C316" s="7" t="str">
        <f>Data!C446</f>
        <v>Financials</v>
      </c>
      <c r="D316" s="8">
        <f>IF(ISNUMBER(Data!AL446),Data!AL446/1000,"n/a")</f>
        <v>36.4</v>
      </c>
      <c r="E316" s="1">
        <f>Data!E446</f>
        <v>9</v>
      </c>
      <c r="F316" s="28">
        <f>Data!J446/100</f>
        <v>1.0664164142814484E-2</v>
      </c>
      <c r="G316" s="28">
        <f>IF(ISNUMBER(Data!S446),Data!S446/100,"n/a")</f>
        <v>0.24657534246575352</v>
      </c>
      <c r="H316" s="28">
        <f>IF(ISNUMBER(Data!T446),Data!T446/100,"n/a")</f>
        <v>0.23765628517394766</v>
      </c>
      <c r="I316" s="28">
        <f>IF(ISNUMBER(Data!U446),Data!U446/100,"n/a")</f>
        <v>0.29485243173431885</v>
      </c>
      <c r="J316" s="28" t="str">
        <f>IF(ISNUMBER(Data!V446),Data!V446/100,"n/a")</f>
        <v>n/a</v>
      </c>
      <c r="K316" s="9">
        <f>IF(ISNUMBER(Data!Z446),Data!Z446/100,"n/a")</f>
        <v>0.48262548262548266</v>
      </c>
      <c r="L316" s="10">
        <f>Data!AA446</f>
        <v>45.256756756756758</v>
      </c>
      <c r="M316" s="10" t="str">
        <f>Data!AF446</f>
        <v>n/a</v>
      </c>
      <c r="N316" s="28">
        <f>IF(ISNUMBER(Data!AG446),Data!AG446/100,"n/a")</f>
        <v>-1.08</v>
      </c>
      <c r="O316" s="28">
        <f>IF(ISNUMBER(Data!AJ446),Data!AJ446/100,"n/a")</f>
        <v>0.26300000000000001</v>
      </c>
      <c r="P316" s="9">
        <f>IF(ISNUMBER(Data!AK446),Data!AK446/100,"n/a")</f>
        <v>0.13089999999999999</v>
      </c>
      <c r="Q316" s="8" t="str">
        <f>Data!AN446</f>
        <v>n/a</v>
      </c>
      <c r="R316" s="8">
        <f>Data!AP446</f>
        <v>30.551659587713335</v>
      </c>
      <c r="S316" s="8"/>
      <c r="T316" s="8"/>
      <c r="U316" s="8"/>
      <c r="V316" s="1">
        <f t="shared" si="8"/>
        <v>7</v>
      </c>
      <c r="W316" s="1">
        <f t="shared" si="9"/>
        <v>0</v>
      </c>
    </row>
    <row r="317" spans="1:23" hidden="1" x14ac:dyDescent="0.2">
      <c r="A317" s="7" t="str">
        <f>Data!A425</f>
        <v>McGrath RentCorp</v>
      </c>
      <c r="B317" s="7" t="str">
        <f>Data!B425</f>
        <v>MGRC</v>
      </c>
      <c r="C317" s="7" t="str">
        <f>Data!C425</f>
        <v>Industrials</v>
      </c>
      <c r="D317" s="8">
        <f>IF(ISNUMBER(Data!AL425),Data!AL425/1000,"n/a")</f>
        <v>2.11</v>
      </c>
      <c r="E317" s="1">
        <f>Data!E425</f>
        <v>30</v>
      </c>
      <c r="F317" s="28">
        <f>Data!J425/100</f>
        <v>1.9351408825093036E-2</v>
      </c>
      <c r="G317" s="28">
        <f>IF(ISNUMBER(Data!S425),Data!S425/100,"n/a")</f>
        <v>5.5045871559633142E-2</v>
      </c>
      <c r="H317" s="28">
        <f>IF(ISNUMBER(Data!T425),Data!T425/100,"n/a")</f>
        <v>0.10456949030045148</v>
      </c>
      <c r="I317" s="28">
        <f>IF(ISNUMBER(Data!U425),Data!U425/100,"n/a")</f>
        <v>0.1118971356056855</v>
      </c>
      <c r="J317" s="28">
        <f>IF(ISNUMBER(Data!V425),Data!V425/100,"n/a")</f>
        <v>6.5459142973809836E-2</v>
      </c>
      <c r="K317" s="9">
        <f>IF(ISNUMBER(Data!Z425),Data!Z425/100,"n/a")</f>
        <v>0.46192893401015228</v>
      </c>
      <c r="L317" s="10">
        <f>Data!AA425</f>
        <v>23.870558375634516</v>
      </c>
      <c r="M317" s="10">
        <f>Data!AF425</f>
        <v>3.05</v>
      </c>
      <c r="N317" s="28">
        <f>IF(ISNUMBER(Data!AG425),Data!AG425/100,"n/a")</f>
        <v>0.13900000000000001</v>
      </c>
      <c r="O317" s="28">
        <f>IF(ISNUMBER(Data!AJ425),Data!AJ425/100,"n/a")</f>
        <v>0.18099999999999997</v>
      </c>
      <c r="P317" s="9">
        <f>IF(ISNUMBER(Data!AK425),Data!AK425/100,"n/a")</f>
        <v>0.1</v>
      </c>
      <c r="Q317" s="8">
        <f>Data!AN425</f>
        <v>0.54</v>
      </c>
      <c r="R317" s="8">
        <f>Data!AP425</f>
        <v>13.124854443077853</v>
      </c>
      <c r="S317" s="8"/>
      <c r="T317" s="8"/>
      <c r="U317" s="8"/>
      <c r="V317" s="1">
        <f t="shared" si="8"/>
        <v>10</v>
      </c>
      <c r="W317" s="1">
        <f t="shared" si="9"/>
        <v>0</v>
      </c>
    </row>
    <row r="318" spans="1:23" hidden="1" x14ac:dyDescent="0.2">
      <c r="A318" s="7" t="str">
        <f>Data!A420</f>
        <v>Medifast, Inc.</v>
      </c>
      <c r="B318" s="7" t="str">
        <f>Data!B420</f>
        <v>MED</v>
      </c>
      <c r="C318" s="7" t="str">
        <f>Data!C420</f>
        <v>Consumer Staples</v>
      </c>
      <c r="D318" s="8">
        <f>IF(ISNUMBER(Data!AL420),Data!AL420/1000,"n/a")</f>
        <v>1.28</v>
      </c>
      <c r="E318" s="1">
        <f>Data!E420</f>
        <v>7</v>
      </c>
      <c r="F318" s="28">
        <f>Data!J420/100</f>
        <v>5.6073168646892893E-2</v>
      </c>
      <c r="G318" s="28">
        <f>IF(ISNUMBER(Data!S420),Data!S420/100,"n/a")</f>
        <v>0.19247787610619471</v>
      </c>
      <c r="H318" s="28">
        <f>IF(ISNUMBER(Data!T420),Data!T420/100,"n/a")</f>
        <v>0.41068217525332296</v>
      </c>
      <c r="I318" s="28">
        <f>IF(ISNUMBER(Data!U420),Data!U420/100,"n/a")</f>
        <v>0.40061171010826074</v>
      </c>
      <c r="J318" s="28" t="str">
        <f>IF(ISNUMBER(Data!V420),Data!V420/100,"n/a")</f>
        <v>n/a</v>
      </c>
      <c r="K318" s="9">
        <f>IF(ISNUMBER(Data!Z420),Data!Z420/100,"n/a")</f>
        <v>0.48700816629547139</v>
      </c>
      <c r="L318" s="10">
        <f>Data!AA420</f>
        <v>8.6852264291017072</v>
      </c>
      <c r="M318" s="10">
        <f>Data!AF420</f>
        <v>10.3</v>
      </c>
      <c r="N318" s="28">
        <f>IF(ISNUMBER(Data!AG420),Data!AG420/100,"n/a")</f>
        <v>0.84299999999999997</v>
      </c>
      <c r="O318" s="28">
        <f>IF(ISNUMBER(Data!AJ420),Data!AJ420/100,"n/a")</f>
        <v>0.56200000000000006</v>
      </c>
      <c r="P318" s="9">
        <f>IF(ISNUMBER(Data!AK420),Data!AK420/100,"n/a")</f>
        <v>0.2</v>
      </c>
      <c r="Q318" s="8">
        <f>Data!AN420</f>
        <v>0.21</v>
      </c>
      <c r="R318" s="8">
        <f>Data!AP420</f>
        <v>45.66848787551536</v>
      </c>
      <c r="S318" s="8"/>
      <c r="T318" s="8"/>
      <c r="U318" s="8"/>
      <c r="V318" s="1">
        <f t="shared" si="8"/>
        <v>9</v>
      </c>
      <c r="W318" s="1">
        <f t="shared" si="9"/>
        <v>0</v>
      </c>
    </row>
    <row r="319" spans="1:23" hidden="1" x14ac:dyDescent="0.2">
      <c r="A319" s="7" t="str">
        <f>Data!A432</f>
        <v>Marquette National Corporation</v>
      </c>
      <c r="B319" s="7" t="str">
        <f>Data!B432</f>
        <v>MNAT</v>
      </c>
      <c r="C319" s="7" t="str">
        <f>Data!C432</f>
        <v>Financials</v>
      </c>
      <c r="D319" s="8" t="str">
        <f>IF(ISNUMBER(Data!AL432),Data!AL432/1000,"n/a")</f>
        <v>n/a</v>
      </c>
      <c r="E319" s="1">
        <f>Data!E432</f>
        <v>9</v>
      </c>
      <c r="F319" s="28">
        <f>Data!J432/100</f>
        <v>4.1010618820944721E-2</v>
      </c>
      <c r="G319" s="28">
        <f>IF(ISNUMBER(Data!S432),Data!S432/100,"n/a")</f>
        <v>3.8834951456310662E-2</v>
      </c>
      <c r="H319" s="28">
        <f>IF(ISNUMBER(Data!T432),Data!T432/100,"n/a")</f>
        <v>0.29298313314831415</v>
      </c>
      <c r="I319" s="28">
        <f>IF(ISNUMBER(Data!U432),Data!U432/100,"n/a")</f>
        <v>0.23898888638377258</v>
      </c>
      <c r="J319" s="28" t="str">
        <f>IF(ISNUMBER(Data!V432),Data!V432/100,"n/a")</f>
        <v>n/a</v>
      </c>
      <c r="K319" s="9" t="str">
        <f>IF(ISNUMBER(Data!Z432),Data!Z432/100,"n/a")</f>
        <v>n/a</v>
      </c>
      <c r="L319" s="10" t="str">
        <f>Data!AA432</f>
        <v>n/a</v>
      </c>
      <c r="M319" s="10" t="str">
        <f>Data!AF432</f>
        <v>n/a</v>
      </c>
      <c r="N319" s="28" t="str">
        <f>IF(ISNUMBER(Data!AG432),Data!AG432/100,"n/a")</f>
        <v>n/a</v>
      </c>
      <c r="O319" s="28" t="str">
        <f>IF(ISNUMBER(Data!AJ432),Data!AJ432/100,"n/a")</f>
        <v>n/a</v>
      </c>
      <c r="P319" s="9" t="str">
        <f>IF(ISNUMBER(Data!AK432),Data!AK432/100,"n/a")</f>
        <v>n/a</v>
      </c>
      <c r="Q319" s="8" t="str">
        <f>Data!AN432</f>
        <v>n/a</v>
      </c>
      <c r="R319" s="8">
        <f>Data!AP432</f>
        <v>27.999950520471728</v>
      </c>
      <c r="S319" s="8"/>
      <c r="T319" s="8"/>
      <c r="U319" s="8"/>
      <c r="V319" s="1">
        <f t="shared" si="8"/>
        <v>3</v>
      </c>
      <c r="W319" s="1">
        <f t="shared" si="9"/>
        <v>0</v>
      </c>
    </row>
    <row r="320" spans="1:23" hidden="1" x14ac:dyDescent="0.2">
      <c r="A320" s="7" t="str">
        <f>Data!A418</f>
        <v>Medtronic plc</v>
      </c>
      <c r="B320" s="7" t="str">
        <f>Data!B418</f>
        <v>MDT</v>
      </c>
      <c r="C320" s="7" t="str">
        <f>Data!C418</f>
        <v>Health Care</v>
      </c>
      <c r="D320" s="8">
        <f>IF(ISNUMBER(Data!AL418),Data!AL418/1000,"n/a")</f>
        <v>113.74</v>
      </c>
      <c r="E320" s="1">
        <f>Data!E418</f>
        <v>45</v>
      </c>
      <c r="F320" s="28">
        <f>Data!J418/100</f>
        <v>3.1142660865582782E-2</v>
      </c>
      <c r="G320" s="28">
        <f>IF(ISNUMBER(Data!S418),Data!S418/100,"n/a")</f>
        <v>8.0357142857142794E-2</v>
      </c>
      <c r="H320" s="28">
        <f>IF(ISNUMBER(Data!T418),Data!T418/100,"n/a")</f>
        <v>8.0201341824893024E-2</v>
      </c>
      <c r="I320" s="28">
        <f>IF(ISNUMBER(Data!U418),Data!U418/100,"n/a")</f>
        <v>8.3577728950453581E-2</v>
      </c>
      <c r="J320" s="28">
        <f>IF(ISNUMBER(Data!V418),Data!V418/100,"n/a")</f>
        <v>9.9766218946124821E-2</v>
      </c>
      <c r="K320" s="9">
        <f>IF(ISNUMBER(Data!Z418),Data!Z418/100,"n/a")</f>
        <v>0.70284237726098198</v>
      </c>
      <c r="L320" s="10">
        <f>Data!AA418</f>
        <v>22.568475452196381</v>
      </c>
      <c r="M320" s="10">
        <f>Data!AF418</f>
        <v>2.19</v>
      </c>
      <c r="N320" s="28">
        <f>IF(ISNUMBER(Data!AG418),Data!AG418/100,"n/a")</f>
        <v>9.9000000000000005E-2</v>
      </c>
      <c r="O320" s="28">
        <f>IF(ISNUMBER(Data!AJ418),Data!AJ418/100,"n/a")</f>
        <v>5.2000000000000005E-2</v>
      </c>
      <c r="P320" s="9">
        <f>IF(ISNUMBER(Data!AK418),Data!AK418/100,"n/a")</f>
        <v>0.12659999999999999</v>
      </c>
      <c r="Q320" s="8">
        <f>Data!AN418</f>
        <v>0.44</v>
      </c>
      <c r="R320" s="8">
        <f>Data!AP418</f>
        <v>11.472038981603635</v>
      </c>
      <c r="S320" s="8"/>
      <c r="T320" s="8"/>
      <c r="U320" s="8"/>
      <c r="V320" s="1">
        <f t="shared" si="8"/>
        <v>10</v>
      </c>
      <c r="W320" s="1">
        <f t="shared" si="9"/>
        <v>0</v>
      </c>
    </row>
    <row r="321" spans="1:23" hidden="1" x14ac:dyDescent="0.2">
      <c r="A321" s="7" t="str">
        <f>Data!A541</f>
        <v>Restaurant Brands International Inc.</v>
      </c>
      <c r="B321" s="7" t="str">
        <f>Data!B541</f>
        <v>QSR</v>
      </c>
      <c r="C321" s="7" t="str">
        <f>Data!C541</f>
        <v>Consumer Discretionary</v>
      </c>
      <c r="D321" s="8">
        <f>IF(ISNUMBER(Data!AL541),Data!AL541/1000,"n/a")</f>
        <v>17.899999999999999</v>
      </c>
      <c r="E321" s="1">
        <f>Data!E541</f>
        <v>8</v>
      </c>
      <c r="F321" s="28">
        <f>Data!J541/100</f>
        <v>3.6375884136072754E-2</v>
      </c>
      <c r="G321" s="28">
        <f>IF(ISNUMBER(Data!S541),Data!S541/100,"n/a")</f>
        <v>2.4271844660194164E-2</v>
      </c>
      <c r="H321" s="28">
        <f>IF(ISNUMBER(Data!T541),Data!T541/100,"n/a")</f>
        <v>5.4394948834225909E-2</v>
      </c>
      <c r="I321" s="28">
        <f>IF(ISNUMBER(Data!U541),Data!U541/100,"n/a")</f>
        <v>0.27755072617640364</v>
      </c>
      <c r="J321" s="28" t="str">
        <f>IF(ISNUMBER(Data!V541),Data!V541/100,"n/a")</f>
        <v>n/a</v>
      </c>
      <c r="K321" s="9">
        <f>IF(ISNUMBER(Data!Z541),Data!Z541/100,"n/a")</f>
        <v>0.82442748091603046</v>
      </c>
      <c r="L321" s="10">
        <f>Data!AA541</f>
        <v>22.664122137404579</v>
      </c>
      <c r="M321" s="10">
        <f>Data!AF541</f>
        <v>8.25</v>
      </c>
      <c r="N321" s="28">
        <f>IF(ISNUMBER(Data!AG541),Data!AG541/100,"n/a")</f>
        <v>0.35399999999999998</v>
      </c>
      <c r="O321" s="28">
        <f>IF(ISNUMBER(Data!AJ541),Data!AJ541/100,"n/a")</f>
        <v>0.13100000000000001</v>
      </c>
      <c r="P321" s="9">
        <f>IF(ISNUMBER(Data!AK541),Data!AK541/100,"n/a")</f>
        <v>7.8899999999999998E-2</v>
      </c>
      <c r="Q321" s="8">
        <f>Data!AN541</f>
        <v>6.02</v>
      </c>
      <c r="R321" s="8">
        <f>Data!AP541</f>
        <v>31.392661031247641</v>
      </c>
      <c r="S321" s="8"/>
      <c r="T321" s="8"/>
      <c r="U321" s="8"/>
      <c r="V321" s="1">
        <f t="shared" si="8"/>
        <v>6</v>
      </c>
      <c r="W321" s="1">
        <f t="shared" si="9"/>
        <v>0</v>
      </c>
    </row>
    <row r="322" spans="1:23" hidden="1" x14ac:dyDescent="0.2">
      <c r="A322" s="7" t="str">
        <f>Data!A414</f>
        <v>Microchip Technology Incorporated</v>
      </c>
      <c r="B322" s="7" t="str">
        <f>Data!B414</f>
        <v>MCHP</v>
      </c>
      <c r="C322" s="7" t="str">
        <f>Data!C414</f>
        <v>Information Technology</v>
      </c>
      <c r="D322" s="8">
        <f>IF(ISNUMBER(Data!AL414),Data!AL414/1000,"n/a")</f>
        <v>33.83</v>
      </c>
      <c r="E322" s="1">
        <f>Data!E414</f>
        <v>21</v>
      </c>
      <c r="F322" s="28">
        <f>Data!J414/100</f>
        <v>1.950113378684807E-2</v>
      </c>
      <c r="G322" s="28">
        <f>IF(ISNUMBER(Data!S414),Data!S414/100,"n/a")</f>
        <v>0.1583956492182188</v>
      </c>
      <c r="H322" s="28">
        <f>IF(ISNUMBER(Data!T414),Data!T414/100,"n/a")</f>
        <v>5.4068574566400018E-2</v>
      </c>
      <c r="I322" s="28">
        <f>IF(ISNUMBER(Data!U414),Data!U414/100,"n/a")</f>
        <v>3.4383916885796895E-2</v>
      </c>
      <c r="J322" s="28">
        <f>IF(ISNUMBER(Data!V414),Data!V414/100,"n/a")</f>
        <v>2.0870457185408142E-2</v>
      </c>
      <c r="K322" s="9">
        <f>IF(ISNUMBER(Data!Z414),Data!Z414/100,"n/a")</f>
        <v>0.44102564102564101</v>
      </c>
      <c r="L322" s="10">
        <f>Data!AA414</f>
        <v>22.615384615384617</v>
      </c>
      <c r="M322" s="10">
        <f>Data!AF414</f>
        <v>5.84</v>
      </c>
      <c r="N322" s="28">
        <f>IF(ISNUMBER(Data!AG414),Data!AG414/100,"n/a")</f>
        <v>0.26300000000000001</v>
      </c>
      <c r="O322" s="28">
        <f>IF(ISNUMBER(Data!AJ414),Data!AJ414/100,"n/a")</f>
        <v>0.44299999999999995</v>
      </c>
      <c r="P322" s="9">
        <f>IF(ISNUMBER(Data!AK414),Data!AK414/100,"n/a")</f>
        <v>9.1999999999999998E-2</v>
      </c>
      <c r="Q322" s="8">
        <f>Data!AN414</f>
        <v>0</v>
      </c>
      <c r="R322" s="8">
        <f>Data!AP414</f>
        <v>5.3885050672644965</v>
      </c>
      <c r="S322" s="8"/>
      <c r="T322" s="8"/>
      <c r="U322" s="8"/>
      <c r="V322" s="1">
        <f t="shared" si="8"/>
        <v>8</v>
      </c>
      <c r="W322" s="1">
        <f t="shared" si="9"/>
        <v>0</v>
      </c>
    </row>
    <row r="323" spans="1:23" hidden="1" x14ac:dyDescent="0.2">
      <c r="A323" s="7" t="str">
        <f>Data!A415</f>
        <v>McKesson Corporation</v>
      </c>
      <c r="B323" s="7" t="str">
        <f>Data!B415</f>
        <v>MCK</v>
      </c>
      <c r="C323" s="7" t="str">
        <f>Data!C415</f>
        <v>Health Care</v>
      </c>
      <c r="D323" s="8">
        <f>IF(ISNUMBER(Data!AL415),Data!AL415/1000,"n/a")</f>
        <v>55.78</v>
      </c>
      <c r="E323" s="1">
        <f>Data!E415</f>
        <v>15</v>
      </c>
      <c r="F323" s="28">
        <f>Data!J415/100</f>
        <v>5.547422759842823E-3</v>
      </c>
      <c r="G323" s="28">
        <f>IF(ISNUMBER(Data!S415),Data!S415/100,"n/a")</f>
        <v>4.8484848484848575E-2</v>
      </c>
      <c r="H323" s="28">
        <f>IF(ISNUMBER(Data!T415),Data!T415/100,"n/a")</f>
        <v>7.0555031172336191E-2</v>
      </c>
      <c r="I323" s="28">
        <f>IF(ISNUMBER(Data!U415),Data!U415/100,"n/a")</f>
        <v>9.0851457141648564E-2</v>
      </c>
      <c r="J323" s="28">
        <f>IF(ISNUMBER(Data!V415),Data!V415/100,"n/a")</f>
        <v>8.2916946573984074E-2</v>
      </c>
      <c r="K323" s="9">
        <f>IF(ISNUMBER(Data!Z415),Data!Z415/100,"n/a")</f>
        <v>0.22978723404255319</v>
      </c>
      <c r="L323" s="10">
        <f>Data!AA415</f>
        <v>41.422340425531914</v>
      </c>
      <c r="M323" s="10" t="str">
        <f>Data!AF415</f>
        <v>n/a</v>
      </c>
      <c r="N323" s="28">
        <f>IF(ISNUMBER(Data!AG415),Data!AG415/100,"n/a")</f>
        <v>-0.91200000000000003</v>
      </c>
      <c r="O323" s="28">
        <f>IF(ISNUMBER(Data!AJ415),Data!AJ415/100,"n/a")</f>
        <v>-0.20800000000000002</v>
      </c>
      <c r="P323" s="9">
        <f>IF(ISNUMBER(Data!AK415),Data!AK415/100,"n/a")</f>
        <v>9.4600000000000004E-2</v>
      </c>
      <c r="Q323" s="8" t="str">
        <f>Data!AN415</f>
        <v>n/a</v>
      </c>
      <c r="R323" s="8">
        <f>Data!AP415</f>
        <v>9.6398879901491377</v>
      </c>
      <c r="S323" s="8"/>
      <c r="T323" s="8"/>
      <c r="U323" s="8"/>
      <c r="V323" s="1">
        <f t="shared" si="8"/>
        <v>6</v>
      </c>
      <c r="W323" s="1">
        <f t="shared" si="9"/>
        <v>0</v>
      </c>
    </row>
    <row r="324" spans="1:23" hidden="1" x14ac:dyDescent="0.2">
      <c r="A324" s="7" t="str">
        <f>Data!A458</f>
        <v>NACCO Industries, Inc.</v>
      </c>
      <c r="B324" s="7" t="str">
        <f>Data!B458</f>
        <v>NC</v>
      </c>
      <c r="C324" s="7" t="str">
        <f>Data!C458</f>
        <v>Energy</v>
      </c>
      <c r="D324" s="8">
        <f>IF(ISNUMBER(Data!AL458),Data!AL458/1000,"n/a")</f>
        <v>0.40194000000000002</v>
      </c>
      <c r="E324" s="1">
        <f>Data!E458</f>
        <v>37</v>
      </c>
      <c r="F324" s="28">
        <f>Data!J458/100</f>
        <v>1.4674681753889673E-2</v>
      </c>
      <c r="G324" s="28">
        <f>IF(ISNUMBER(Data!S458),Data!S458/100,"n/a")</f>
        <v>2.2801302931596101E-2</v>
      </c>
      <c r="H324" s="28">
        <f>IF(ISNUMBER(Data!T458),Data!T458/100,"n/a")</f>
        <v>5.9518571991103331E-2</v>
      </c>
      <c r="I324" s="28">
        <f>IF(ISNUMBER(Data!U458),Data!U458/100,"n/a")</f>
        <v>0.18507091923802865</v>
      </c>
      <c r="J324" s="28">
        <f>IF(ISNUMBER(Data!V458),Data!V458/100,"n/a")</f>
        <v>0.13934456111221971</v>
      </c>
      <c r="K324" s="9">
        <f>IF(ISNUMBER(Data!Z458),Data!Z458/100,"n/a")</f>
        <v>7.3256840247131499E-2</v>
      </c>
      <c r="L324" s="10">
        <f>Data!AA458</f>
        <v>4.9920564872021185</v>
      </c>
      <c r="M324" s="10">
        <f>Data!AF458</f>
        <v>1.01</v>
      </c>
      <c r="N324" s="28">
        <f>IF(ISNUMBER(Data!AG458),Data!AG458/100,"n/a")</f>
        <v>0.22600000000000001</v>
      </c>
      <c r="O324" s="28">
        <f>IF(ISNUMBER(Data!AJ458),Data!AJ458/100,"n/a")</f>
        <v>0.73099999999999998</v>
      </c>
      <c r="P324" s="9" t="str">
        <f>IF(ISNUMBER(Data!AK458),Data!AK458/100,"n/a")</f>
        <v>n/a</v>
      </c>
      <c r="Q324" s="8">
        <f>Data!AN458</f>
        <v>0.05</v>
      </c>
      <c r="R324" s="8">
        <f>Data!AP458</f>
        <v>19.97456009919183</v>
      </c>
      <c r="S324" s="8"/>
      <c r="T324" s="8"/>
      <c r="U324" s="8"/>
      <c r="V324" s="1">
        <f t="shared" si="8"/>
        <v>8</v>
      </c>
      <c r="W324" s="1">
        <f t="shared" si="9"/>
        <v>0</v>
      </c>
    </row>
    <row r="325" spans="1:23" hidden="1" x14ac:dyDescent="0.2">
      <c r="A325" s="7">
        <f>Data!A746</f>
        <v>0</v>
      </c>
      <c r="B325" s="7">
        <f>Data!B746</f>
        <v>0</v>
      </c>
      <c r="C325" s="7">
        <f>Data!C746</f>
        <v>0</v>
      </c>
      <c r="D325" s="8" t="str">
        <f>IF(ISNUMBER(Data!AL746),Data!AL746/1000,"n/a")</f>
        <v>n/a</v>
      </c>
      <c r="E325" s="1">
        <f>Data!E746</f>
        <v>0</v>
      </c>
      <c r="F325" s="28">
        <f>Data!J746/100</f>
        <v>0</v>
      </c>
      <c r="G325" s="28" t="str">
        <f>IF(ISNUMBER(Data!S746),Data!S746/100,"n/a")</f>
        <v>n/a</v>
      </c>
      <c r="H325" s="28" t="str">
        <f>IF(ISNUMBER(Data!T746),Data!T746/100,"n/a")</f>
        <v>n/a</v>
      </c>
      <c r="I325" s="28" t="str">
        <f>IF(ISNUMBER(Data!U746),Data!U746/100,"n/a")</f>
        <v>n/a</v>
      </c>
      <c r="J325" s="28" t="str">
        <f>IF(ISNUMBER(Data!V746),Data!V746/100,"n/a")</f>
        <v>n/a</v>
      </c>
      <c r="K325" s="9" t="str">
        <f>IF(ISNUMBER(Data!Z746),Data!Z746/100,"n/a")</f>
        <v>n/a</v>
      </c>
      <c r="L325" s="10">
        <f>Data!AA746</f>
        <v>0</v>
      </c>
      <c r="M325" s="10">
        <f>Data!AF746</f>
        <v>0</v>
      </c>
      <c r="N325" s="28" t="str">
        <f>IF(ISNUMBER(Data!AG746),Data!AG746/100,"n/a")</f>
        <v>n/a</v>
      </c>
      <c r="O325" s="28" t="str">
        <f>IF(ISNUMBER(Data!AJ746),Data!AJ746/100,"n/a")</f>
        <v>n/a</v>
      </c>
      <c r="P325" s="9" t="str">
        <f>IF(ISNUMBER(Data!AK746),Data!AK746/100,"n/a")</f>
        <v>n/a</v>
      </c>
      <c r="Q325" s="8">
        <f>Data!AN746</f>
        <v>0</v>
      </c>
      <c r="R325" s="8">
        <f>Data!AP746</f>
        <v>0</v>
      </c>
      <c r="S325" s="8"/>
      <c r="T325" s="8"/>
      <c r="U325" s="8"/>
      <c r="V325" s="1">
        <f t="shared" ref="V325:V388" si="10">IF($D$4="+",IF(D325="n/a",0,IF(D325&gt;=$D$5,1,0)),0)+IF($E$4="+",IF(E325="n/a",0,IF(E325&gt;=$E$5,1,0)),0)+IF($F$4="+",IF(F325="n/a",0,IF(F325&gt;=$F$5,1,0)),0)+IF($G$4="+",IF(G325="n/a",0,IF(G325&gt;=$G$5,1,0)),0)+IF($H$4="+",IF(H325="n/a",0,IF(H325&gt;=$H$5,1,0)),0)+IF($I$4="+",IF(I325="n/a",0,IF(I325&gt;=$I$5,1,0)),0)+IF($J$4="+",IF(J325="n/a",0,IF(J325&gt;=$J$5,1,0)),0)+IF($K$4="+",IF(K325="n/a",0,IF(K325&lt;=$K$5,1,0)),0)+IF($L$4="+",IF(L325="n/a",0,IF(L325&lt;=$L$5,1,0)),0)+IF($M$4="+",IF(M325="n/a",0,IF(M325&lt;=$M$5,1,0)),0)+IF($N$4="+",IF(N325="n/a",0,IF(N325&gt;=$N$5,1,0)),0)+IF($O$4="+",IF(O325="n/a",0,IF(O325&gt;=$O$5,1,0)),0)+IF($P$4="+",IF(P325="n/a",0,IF(P325&gt;=$P$5,1,0)),0)+IF($Q$4="+",IF(Q325="n/a",0,IF(Q325&lt;=$Q$5,1,0)),0)+IF($R$4="+",IF(R325="n/a",0,IF(R325&gt;=$R$5,1,0)),0)+$Y$4</f>
        <v>2</v>
      </c>
      <c r="W325" s="1">
        <f t="shared" ref="W325:W388" si="11">IF(V325&gt;=$V$2,"",0)</f>
        <v>0</v>
      </c>
    </row>
    <row r="326" spans="1:23" hidden="1" x14ac:dyDescent="0.2">
      <c r="A326" s="7" t="str">
        <f>Data!A408</f>
        <v>Masco Corporation</v>
      </c>
      <c r="B326" s="7" t="str">
        <f>Data!B408</f>
        <v>MAS</v>
      </c>
      <c r="C326" s="7" t="str">
        <f>Data!C408</f>
        <v>Industrials</v>
      </c>
      <c r="D326" s="8">
        <f>IF(ISNUMBER(Data!AL408),Data!AL408/1000,"n/a")</f>
        <v>10.38</v>
      </c>
      <c r="E326" s="1">
        <f>Data!E408</f>
        <v>9</v>
      </c>
      <c r="F326" s="28">
        <f>Data!J408/100</f>
        <v>2.4205748865355523E-2</v>
      </c>
      <c r="G326" s="28">
        <f>IF(ISNUMBER(Data!S408),Data!S408/100,"n/a")</f>
        <v>0.55045871559633008</v>
      </c>
      <c r="H326" s="28">
        <f>IF(ISNUMBER(Data!T408),Data!T408/100,"n/a")</f>
        <v>0.2477353632154522</v>
      </c>
      <c r="I326" s="28">
        <f>IF(ISNUMBER(Data!U408),Data!U408/100,"n/a")</f>
        <v>0.17025147149180597</v>
      </c>
      <c r="J326" s="28">
        <f>IF(ISNUMBER(Data!V408),Data!V408/100,"n/a")</f>
        <v>0.1091072531401467</v>
      </c>
      <c r="K326" s="9">
        <f>IF(ISNUMBER(Data!Z408),Data!Z408/100,"n/a")</f>
        <v>0.30684931506849317</v>
      </c>
      <c r="L326" s="10">
        <f>Data!AA408</f>
        <v>12.676712328767124</v>
      </c>
      <c r="M326" s="10" t="str">
        <f>Data!AF408</f>
        <v>n/a</v>
      </c>
      <c r="N326" s="28">
        <f>IF(ISNUMBER(Data!AG408),Data!AG408/100,"n/a")</f>
        <v>-1.8</v>
      </c>
      <c r="O326" s="28">
        <f>IF(ISNUMBER(Data!AJ408),Data!AJ408/100,"n/a")</f>
        <v>1.9E-2</v>
      </c>
      <c r="P326" s="9">
        <f>IF(ISNUMBER(Data!AK408),Data!AK408/100,"n/a")</f>
        <v>6.2600000000000003E-2</v>
      </c>
      <c r="Q326" s="8" t="str">
        <f>Data!AN408</f>
        <v>n/a</v>
      </c>
      <c r="R326" s="8">
        <f>Data!AP408</f>
        <v>19.445722035716148</v>
      </c>
      <c r="S326" s="8"/>
      <c r="T326" s="8"/>
      <c r="U326" s="8"/>
      <c r="V326" s="1">
        <f t="shared" si="10"/>
        <v>10</v>
      </c>
      <c r="W326" s="1">
        <f t="shared" si="11"/>
        <v>0</v>
      </c>
    </row>
    <row r="327" spans="1:23" hidden="1" x14ac:dyDescent="0.2">
      <c r="A327" s="7" t="str">
        <f>Data!A413</f>
        <v>McDonald's Corporation</v>
      </c>
      <c r="B327" s="7" t="str">
        <f>Data!B413</f>
        <v>MCD</v>
      </c>
      <c r="C327" s="7" t="str">
        <f>Data!C413</f>
        <v>Consumer Discretionary</v>
      </c>
      <c r="D327" s="8">
        <f>IF(ISNUMBER(Data!AL413),Data!AL413/1000,"n/a")</f>
        <v>195.05</v>
      </c>
      <c r="E327" s="1">
        <f>Data!E413</f>
        <v>47</v>
      </c>
      <c r="F327" s="28">
        <f>Data!J413/100</f>
        <v>2.2298833712315703E-2</v>
      </c>
      <c r="G327" s="28">
        <f>IF(ISNUMBER(Data!S413),Data!S413/100,"n/a")</f>
        <v>4.1666666666666741E-2</v>
      </c>
      <c r="H327" s="28">
        <f>IF(ISNUMBER(Data!T413),Data!T413/100,"n/a")</f>
        <v>7.8073638973510828E-2</v>
      </c>
      <c r="I327" s="28">
        <f>IF(ISNUMBER(Data!U413),Data!U413/100,"n/a")</f>
        <v>7.7780744557718773E-2</v>
      </c>
      <c r="J327" s="28">
        <f>IF(ISNUMBER(Data!V413),Data!V413/100,"n/a")</f>
        <v>7.5731480746471735E-2</v>
      </c>
      <c r="K327" s="9">
        <f>IF(ISNUMBER(Data!Z413),Data!Z413/100,"n/a")</f>
        <v>0.76574307304785894</v>
      </c>
      <c r="L327" s="10">
        <f>Data!AA413</f>
        <v>34.340050377833755</v>
      </c>
      <c r="M327" s="10" t="str">
        <f>Data!AF413</f>
        <v>n/a</v>
      </c>
      <c r="N327" s="28">
        <f>IF(ISNUMBER(Data!AG413),Data!AG413/100,"n/a")</f>
        <v>-1.2569999999999999</v>
      </c>
      <c r="O327" s="28">
        <f>IF(ISNUMBER(Data!AJ413),Data!AJ413/100,"n/a")</f>
        <v>0.13</v>
      </c>
      <c r="P327" s="9">
        <f>IF(ISNUMBER(Data!AK413),Data!AK413/100,"n/a")</f>
        <v>6.6699999999999995E-2</v>
      </c>
      <c r="Q327" s="8" t="str">
        <f>Data!AN413</f>
        <v>n/a</v>
      </c>
      <c r="R327" s="8">
        <f>Data!AP413</f>
        <v>10.007957827003448</v>
      </c>
      <c r="S327" s="8"/>
      <c r="T327" s="8"/>
      <c r="U327" s="8"/>
      <c r="V327" s="1">
        <f t="shared" si="10"/>
        <v>8</v>
      </c>
      <c r="W327" s="1">
        <f t="shared" si="11"/>
        <v>0</v>
      </c>
    </row>
    <row r="328" spans="1:23" hidden="1" x14ac:dyDescent="0.2">
      <c r="A328" s="7" t="str">
        <f>Data!A435</f>
        <v>MidWestOne Financial Group, Inc.</v>
      </c>
      <c r="B328" s="7" t="str">
        <f>Data!B435</f>
        <v>MOFG</v>
      </c>
      <c r="C328" s="7" t="str">
        <f>Data!C435</f>
        <v>Financials</v>
      </c>
      <c r="D328" s="8">
        <f>IF(ISNUMBER(Data!AL435),Data!AL435/1000,"n/a")</f>
        <v>0.47400999999999999</v>
      </c>
      <c r="E328" s="1">
        <f>Data!E435</f>
        <v>12</v>
      </c>
      <c r="F328" s="28">
        <f>Data!J435/100</f>
        <v>2.8273809523809521E-2</v>
      </c>
      <c r="G328" s="28">
        <f>IF(ISNUMBER(Data!S435),Data!S435/100,"n/a")</f>
        <v>2.2727272727272707E-2</v>
      </c>
      <c r="H328" s="28">
        <f>IF(ISNUMBER(Data!T435),Data!T435/100,"n/a")</f>
        <v>4.8856246288386806E-2</v>
      </c>
      <c r="I328" s="28">
        <f>IF(ISNUMBER(Data!U435),Data!U435/100,"n/a")</f>
        <v>7.0563684169161922E-2</v>
      </c>
      <c r="J328" s="28">
        <f>IF(ISNUMBER(Data!V435),Data!V435/100,"n/a")</f>
        <v>0.15128271105738422</v>
      </c>
      <c r="K328" s="9">
        <f>IF(ISNUMBER(Data!Z435),Data!Z435/100,"n/a")</f>
        <v>0.26243093922651933</v>
      </c>
      <c r="L328" s="10">
        <f>Data!AA435</f>
        <v>9.2817679558011044</v>
      </c>
      <c r="M328" s="10">
        <f>Data!AF435</f>
        <v>1.04</v>
      </c>
      <c r="N328" s="28">
        <f>IF(ISNUMBER(Data!AG435),Data!AG435/100,"n/a")</f>
        <v>0.12</v>
      </c>
      <c r="O328" s="28">
        <f>IF(ISNUMBER(Data!AJ435),Data!AJ435/100,"n/a")</f>
        <v>0.19699999999999998</v>
      </c>
      <c r="P328" s="9">
        <f>IF(ISNUMBER(Data!AK435),Data!AK435/100,"n/a")</f>
        <v>0.08</v>
      </c>
      <c r="Q328" s="8">
        <f>Data!AN435</f>
        <v>0.27</v>
      </c>
      <c r="R328" s="8">
        <f>Data!AP435</f>
        <v>9.8837493692971439</v>
      </c>
      <c r="S328" s="8"/>
      <c r="T328" s="8"/>
      <c r="U328" s="8"/>
      <c r="V328" s="1">
        <f t="shared" si="10"/>
        <v>8</v>
      </c>
      <c r="W328" s="1">
        <f t="shared" si="11"/>
        <v>0</v>
      </c>
    </row>
    <row r="329" spans="1:23" hidden="1" x14ac:dyDescent="0.2">
      <c r="A329" s="7" t="str">
        <f>Data!A449</f>
        <v>Motorola Solutions, Inc.</v>
      </c>
      <c r="B329" s="7" t="str">
        <f>Data!B449</f>
        <v>MSI</v>
      </c>
      <c r="C329" s="7" t="str">
        <f>Data!C449</f>
        <v>Information Technology</v>
      </c>
      <c r="D329" s="8">
        <f>IF(ISNUMBER(Data!AL449),Data!AL449/1000,"n/a")</f>
        <v>40.42</v>
      </c>
      <c r="E329" s="1">
        <f>Data!E449</f>
        <v>12</v>
      </c>
      <c r="F329" s="28">
        <f>Data!J449/100</f>
        <v>1.2654679428136639E-2</v>
      </c>
      <c r="G329" s="28">
        <f>IF(ISNUMBER(Data!S449),Data!S449/100,"n/a")</f>
        <v>0.109375</v>
      </c>
      <c r="H329" s="28">
        <f>IF(ISNUMBER(Data!T449),Data!T449/100,"n/a")</f>
        <v>0.10939192823572765</v>
      </c>
      <c r="I329" s="28">
        <f>IF(ISNUMBER(Data!U449),Data!U449/100,"n/a")</f>
        <v>0.11607890187791693</v>
      </c>
      <c r="J329" s="28">
        <f>IF(ISNUMBER(Data!V449),Data!V449/100,"n/a")</f>
        <v>0.29148559330296875</v>
      </c>
      <c r="K329" s="9">
        <f>IF(ISNUMBER(Data!Z449),Data!Z449/100,"n/a")</f>
        <v>0.45533141210374639</v>
      </c>
      <c r="L329" s="10">
        <f>Data!AA449</f>
        <v>35.981268011527376</v>
      </c>
      <c r="M329" s="10" t="str">
        <f>Data!AF449</f>
        <v>n/a</v>
      </c>
      <c r="N329" s="28">
        <f>IF(ISNUMBER(Data!AG449),Data!AG449/100,"n/a")</f>
        <v>-4.5309999999999997</v>
      </c>
      <c r="O329" s="28">
        <f>IF(ISNUMBER(Data!AJ449),Data!AJ449/100,"n/a")</f>
        <v>0.17299999999999996</v>
      </c>
      <c r="P329" s="9">
        <f>IF(ISNUMBER(Data!AK449),Data!AK449/100,"n/a")</f>
        <v>0.1142</v>
      </c>
      <c r="Q329" s="8" t="str">
        <f>Data!AN449</f>
        <v>n/a</v>
      </c>
      <c r="R329" s="8">
        <f>Data!AP449</f>
        <v>12.873358130605357</v>
      </c>
      <c r="S329" s="8"/>
      <c r="T329" s="8"/>
      <c r="U329" s="8"/>
      <c r="V329" s="1">
        <f t="shared" si="10"/>
        <v>8</v>
      </c>
      <c r="W329" s="1">
        <f t="shared" si="11"/>
        <v>0</v>
      </c>
    </row>
    <row r="330" spans="1:23" hidden="1" x14ac:dyDescent="0.2">
      <c r="A330" s="7" t="str">
        <f>Data!A436</f>
        <v>Morningstar, Inc.</v>
      </c>
      <c r="B330" s="7" t="str">
        <f>Data!B436</f>
        <v>MORN</v>
      </c>
      <c r="C330" s="7" t="str">
        <f>Data!C436</f>
        <v>Financials</v>
      </c>
      <c r="D330" s="8">
        <f>IF(ISNUMBER(Data!AL436),Data!AL436/1000,"n/a")</f>
        <v>9.61</v>
      </c>
      <c r="E330" s="1">
        <f>Data!E436</f>
        <v>12</v>
      </c>
      <c r="F330" s="28">
        <f>Data!J436/100</f>
        <v>6.2020845895425954E-3</v>
      </c>
      <c r="G330" s="28">
        <f>IF(ISNUMBER(Data!S436),Data!S436/100,"n/a")</f>
        <v>0.14285714285714279</v>
      </c>
      <c r="H330" s="28">
        <f>IF(ISNUMBER(Data!T436),Data!T436/100,"n/a")</f>
        <v>0.12924323465723409</v>
      </c>
      <c r="I330" s="28">
        <f>IF(ISNUMBER(Data!U436),Data!U436/100,"n/a")</f>
        <v>0.1035092145999348</v>
      </c>
      <c r="J330" s="28">
        <f>IF(ISNUMBER(Data!V436),Data!V436/100,"n/a")</f>
        <v>0.21824110663778651</v>
      </c>
      <c r="K330" s="9">
        <f>IF(ISNUMBER(Data!Z436),Data!Z436/100,"n/a")</f>
        <v>0.50526315789473686</v>
      </c>
      <c r="L330" s="10">
        <f>Data!AA436</f>
        <v>81.466666666666669</v>
      </c>
      <c r="M330" s="10">
        <f>Data!AF436</f>
        <v>8.0399999999999991</v>
      </c>
      <c r="N330" s="28">
        <f>IF(ISNUMBER(Data!AG436),Data!AG436/100,"n/a")</f>
        <v>0.13700000000000001</v>
      </c>
      <c r="O330" s="28">
        <f>IF(ISNUMBER(Data!AJ436),Data!AJ436/100,"n/a")</f>
        <v>3.6999999999999998E-2</v>
      </c>
      <c r="P330" s="9">
        <f>IF(ISNUMBER(Data!AK436),Data!AK436/100,"n/a")</f>
        <v>0.16</v>
      </c>
      <c r="Q330" s="8">
        <f>Data!AN436</f>
        <v>0.95</v>
      </c>
      <c r="R330" s="8">
        <f>Data!AP436</f>
        <v>10.971129918947739</v>
      </c>
      <c r="S330" s="8"/>
      <c r="T330" s="8"/>
      <c r="U330" s="8"/>
      <c r="V330" s="1">
        <f t="shared" si="10"/>
        <v>8</v>
      </c>
      <c r="W330" s="1">
        <f t="shared" si="11"/>
        <v>0</v>
      </c>
    </row>
    <row r="331" spans="1:23" hidden="1" x14ac:dyDescent="0.2">
      <c r="A331" s="7" t="str">
        <f>Data!A439</f>
        <v>Medical Properties Trust, Inc.</v>
      </c>
      <c r="B331" s="7" t="str">
        <f>Data!B439</f>
        <v>MPW</v>
      </c>
      <c r="C331" s="7" t="str">
        <f>Data!C439</f>
        <v>Real Estate</v>
      </c>
      <c r="D331" s="8">
        <f>IF(ISNUMBER(Data!AL439),Data!AL439/1000,"n/a")</f>
        <v>7</v>
      </c>
      <c r="E331" s="1">
        <f>Data!E439</f>
        <v>9</v>
      </c>
      <c r="F331" s="28">
        <f>Data!J439/100</f>
        <v>0.10131004366812228</v>
      </c>
      <c r="G331" s="28">
        <f>IF(ISNUMBER(Data!S439),Data!S439/100,"n/a")</f>
        <v>3.7383177570093462E-2</v>
      </c>
      <c r="H331" s="28">
        <f>IF(ISNUMBER(Data!T439),Data!T439/100,"n/a")</f>
        <v>3.8873324124418351E-2</v>
      </c>
      <c r="I331" s="28">
        <f>IF(ISNUMBER(Data!U439),Data!U439/100,"n/a")</f>
        <v>4.2836189040638795E-2</v>
      </c>
      <c r="J331" s="28">
        <f>IF(ISNUMBER(Data!V439),Data!V439/100,"n/a")</f>
        <v>3.3292552440287393E-2</v>
      </c>
      <c r="K331" s="9">
        <f>IF(ISNUMBER(Data!Z439),Data!Z439/100,"n/a")</f>
        <v>0.5576923076923076</v>
      </c>
      <c r="L331" s="10">
        <f>Data!AA439</f>
        <v>5.5048076923076916</v>
      </c>
      <c r="M331" s="10">
        <f>Data!AF439</f>
        <v>0.78</v>
      </c>
      <c r="N331" s="28">
        <f>IF(ISNUMBER(Data!AG439),Data!AG439/100,"n/a")</f>
        <v>0.13</v>
      </c>
      <c r="O331" s="28">
        <f>IF(ISNUMBER(Data!AJ439),Data!AJ439/100,"n/a")</f>
        <v>5.2000000000000005E-2</v>
      </c>
      <c r="P331" s="9">
        <f>IF(ISNUMBER(Data!AK439),Data!AK439/100,"n/a")</f>
        <v>9.8000000000000004E-2</v>
      </c>
      <c r="Q331" s="8">
        <f>Data!AN439</f>
        <v>1.1399999999999999</v>
      </c>
      <c r="R331" s="8">
        <f>Data!AP439</f>
        <v>14.414623270876106</v>
      </c>
      <c r="S331" s="8"/>
      <c r="T331" s="8"/>
      <c r="U331" s="8"/>
      <c r="V331" s="1">
        <f t="shared" si="10"/>
        <v>6</v>
      </c>
      <c r="W331" s="1">
        <f t="shared" si="11"/>
        <v>0</v>
      </c>
    </row>
    <row r="332" spans="1:23" hidden="1" x14ac:dyDescent="0.2">
      <c r="A332" s="7" t="str">
        <f>Data!A434</f>
        <v>Altria Group, Inc.</v>
      </c>
      <c r="B332" s="7" t="str">
        <f>Data!B434</f>
        <v>MO</v>
      </c>
      <c r="C332" s="7" t="str">
        <f>Data!C434</f>
        <v>Consumer Staples</v>
      </c>
      <c r="D332" s="8">
        <f>IF(ISNUMBER(Data!AL434),Data!AL434/1000,"n/a")</f>
        <v>81.790000000000006</v>
      </c>
      <c r="E332" s="1">
        <f>Data!E434</f>
        <v>53</v>
      </c>
      <c r="F332" s="28">
        <f>Data!J434/100</f>
        <v>8.1262156905122118E-2</v>
      </c>
      <c r="G332" s="28">
        <f>IF(ISNUMBER(Data!S434),Data!S434/100,"n/a")</f>
        <v>2.9585798816567976E-2</v>
      </c>
      <c r="H332" s="28">
        <f>IF(ISNUMBER(Data!T434),Data!T434/100,"n/a")</f>
        <v>6.7589770060238363E-2</v>
      </c>
      <c r="I332" s="28">
        <f>IF(ISNUMBER(Data!U434),Data!U434/100,"n/a")</f>
        <v>8.5879571401781707E-2</v>
      </c>
      <c r="J332" s="28">
        <f>IF(ISNUMBER(Data!V434),Data!V434/100,"n/a")</f>
        <v>8.4238325457558272E-2</v>
      </c>
      <c r="K332" s="9">
        <f>IF(ISNUMBER(Data!Z434),Data!Z434/100,"n/a")</f>
        <v>3.8762886597938144</v>
      </c>
      <c r="L332" s="10">
        <f>Data!AA434</f>
        <v>47.701030927835056</v>
      </c>
      <c r="M332" s="10" t="str">
        <f>Data!AF434</f>
        <v>n/a</v>
      </c>
      <c r="N332" s="28">
        <f>IF(ISNUMBER(Data!AG434),Data!AG434/100,"n/a")</f>
        <v>-1.8740000000000001</v>
      </c>
      <c r="O332" s="28">
        <f>IF(ISNUMBER(Data!AJ434),Data!AJ434/100,"n/a")</f>
        <v>-0.28799999999999998</v>
      </c>
      <c r="P332" s="9">
        <f>IF(ISNUMBER(Data!AK434),Data!AK434/100,"n/a")</f>
        <v>4.2599999999999999E-2</v>
      </c>
      <c r="Q332" s="8" t="str">
        <f>Data!AN434</f>
        <v>n/a</v>
      </c>
      <c r="R332" s="8">
        <f>Data!AP434</f>
        <v>16.71417283069038</v>
      </c>
      <c r="S332" s="8"/>
      <c r="T332" s="8"/>
      <c r="U332" s="8"/>
      <c r="V332" s="1">
        <f t="shared" si="10"/>
        <v>7</v>
      </c>
      <c r="W332" s="1">
        <f t="shared" si="11"/>
        <v>0</v>
      </c>
    </row>
    <row r="333" spans="1:23" hidden="1" x14ac:dyDescent="0.2">
      <c r="A333" s="7" t="str">
        <f>Data!A428</f>
        <v>Martin Marietta Materials, Inc.</v>
      </c>
      <c r="B333" s="7" t="str">
        <f>Data!B428</f>
        <v>MLM</v>
      </c>
      <c r="C333" s="7" t="str">
        <f>Data!C428</f>
        <v>Materials</v>
      </c>
      <c r="D333" s="8">
        <f>IF(ISNUMBER(Data!AL428),Data!AL428/1000,"n/a")</f>
        <v>20.61</v>
      </c>
      <c r="E333" s="1">
        <f>Data!E428</f>
        <v>7</v>
      </c>
      <c r="F333" s="28">
        <f>Data!J428/100</f>
        <v>7.8576105720578604E-3</v>
      </c>
      <c r="G333" s="28">
        <f>IF(ISNUMBER(Data!S428),Data!S428/100,"n/a")</f>
        <v>5.3571428571428381E-2</v>
      </c>
      <c r="H333" s="28">
        <f>IF(ISNUMBER(Data!T428),Data!T428/100,"n/a")</f>
        <v>8.6504159591211494E-2</v>
      </c>
      <c r="I333" s="28">
        <f>IF(ISNUMBER(Data!U428),Data!U428/100,"n/a")</f>
        <v>7.5507964875582312E-2</v>
      </c>
      <c r="J333" s="28">
        <f>IF(ISNUMBER(Data!V428),Data!V428/100,"n/a")</f>
        <v>3.9630954752501335E-2</v>
      </c>
      <c r="K333" s="9">
        <f>IF(ISNUMBER(Data!Z428),Data!Z428/100,"n/a")</f>
        <v>0.20952380952380953</v>
      </c>
      <c r="L333" s="10">
        <f>Data!AA428</f>
        <v>26.665079365079368</v>
      </c>
      <c r="M333" s="10">
        <f>Data!AF428</f>
        <v>3.12</v>
      </c>
      <c r="N333" s="28">
        <f>IF(ISNUMBER(Data!AG428),Data!AG428/100,"n/a")</f>
        <v>0.12300000000000001</v>
      </c>
      <c r="O333" s="28">
        <f>IF(ISNUMBER(Data!AJ428),Data!AJ428/100,"n/a")</f>
        <v>0.111</v>
      </c>
      <c r="P333" s="9">
        <f>IF(ISNUMBER(Data!AK428),Data!AK428/100,"n/a")</f>
        <v>0.156</v>
      </c>
      <c r="Q333" s="8">
        <f>Data!AN428</f>
        <v>0</v>
      </c>
      <c r="R333" s="8">
        <f>Data!AP428</f>
        <v>8.3365575447640179</v>
      </c>
      <c r="S333" s="8"/>
      <c r="T333" s="8"/>
      <c r="U333" s="8"/>
      <c r="V333" s="1">
        <f t="shared" si="10"/>
        <v>8</v>
      </c>
      <c r="W333" s="1">
        <f t="shared" si="11"/>
        <v>0</v>
      </c>
    </row>
    <row r="334" spans="1:23" hidden="1" x14ac:dyDescent="0.2">
      <c r="A334" s="7" t="str">
        <f>Data!A412</f>
        <v>Mercantile Bank Corporation</v>
      </c>
      <c r="B334" s="7" t="str">
        <f>Data!B412</f>
        <v>MBWM</v>
      </c>
      <c r="C334" s="7" t="str">
        <f>Data!C412</f>
        <v>Financials</v>
      </c>
      <c r="D334" s="8">
        <f>IF(ISNUMBER(Data!AL412),Data!AL412/1000,"n/a")</f>
        <v>0.53264999999999996</v>
      </c>
      <c r="E334" s="1">
        <f>Data!E412</f>
        <v>11</v>
      </c>
      <c r="F334" s="28">
        <f>Data!J412/100</f>
        <v>3.662374821173104E-2</v>
      </c>
      <c r="G334" s="28">
        <f>IF(ISNUMBER(Data!S412),Data!S412/100,"n/a")</f>
        <v>5.3571428571428381E-2</v>
      </c>
      <c r="H334" s="28">
        <f>IF(ISNUMBER(Data!T412),Data!T412/100,"n/a")</f>
        <v>8.2595837472417166E-2</v>
      </c>
      <c r="I334" s="28">
        <f>IF(ISNUMBER(Data!U412),Data!U412/100,"n/a")</f>
        <v>0.12322720670278751</v>
      </c>
      <c r="J334" s="28" t="str">
        <f>IF(ISNUMBER(Data!V412),Data!V412/100,"n/a")</f>
        <v>n/a</v>
      </c>
      <c r="K334" s="9">
        <f>IF(ISNUMBER(Data!Z412),Data!Z412/100,"n/a")</f>
        <v>0.39751552795031053</v>
      </c>
      <c r="L334" s="10">
        <f>Data!AA412</f>
        <v>10.854037267080745</v>
      </c>
      <c r="M334" s="10">
        <f>Data!AF412</f>
        <v>1.28</v>
      </c>
      <c r="N334" s="28">
        <f>IF(ISNUMBER(Data!AG412),Data!AG412/100,"n/a")</f>
        <v>0.127</v>
      </c>
      <c r="O334" s="28">
        <f>IF(ISNUMBER(Data!AJ412),Data!AJ412/100,"n/a")</f>
        <v>0.13500000000000001</v>
      </c>
      <c r="P334" s="9">
        <f>IF(ISNUMBER(Data!AK412),Data!AK412/100,"n/a")</f>
        <v>0.08</v>
      </c>
      <c r="Q334" s="8">
        <f>Data!AN412</f>
        <v>0.32</v>
      </c>
      <c r="R334" s="8">
        <f>Data!AP412</f>
        <v>15.985095491451856</v>
      </c>
      <c r="S334" s="8"/>
      <c r="T334" s="8"/>
      <c r="U334" s="8"/>
      <c r="V334" s="1">
        <f t="shared" si="10"/>
        <v>9</v>
      </c>
      <c r="W334" s="1">
        <f t="shared" si="11"/>
        <v>0</v>
      </c>
    </row>
    <row r="335" spans="1:23" hidden="1" x14ac:dyDescent="0.2">
      <c r="A335" s="7" t="str">
        <f>Data!A411</f>
        <v>Merchants Bancorp</v>
      </c>
      <c r="B335" s="7" t="str">
        <f>Data!B411</f>
        <v>MBIN</v>
      </c>
      <c r="C335" s="7" t="str">
        <f>Data!C411</f>
        <v>Financials</v>
      </c>
      <c r="D335" s="8">
        <f>IF(ISNUMBER(Data!AL411),Data!AL411/1000,"n/a")</f>
        <v>1.05</v>
      </c>
      <c r="E335" s="1">
        <f>Data!E411</f>
        <v>5</v>
      </c>
      <c r="F335" s="28">
        <f>Data!J411/100</f>
        <v>1.1691022964509397E-2</v>
      </c>
      <c r="G335" s="28">
        <f>IF(ISNUMBER(Data!S411),Data!S411/100,"n/a")</f>
        <v>0.12903225806451624</v>
      </c>
      <c r="H335" s="28">
        <f>IF(ISNUMBER(Data!T411),Data!T411/100,"n/a")</f>
        <v>0.15021776101472994</v>
      </c>
      <c r="I335" s="28" t="str">
        <f>IF(ISNUMBER(Data!U411),Data!U411/100,"n/a")</f>
        <v>n/a</v>
      </c>
      <c r="J335" s="28" t="str">
        <f>IF(ISNUMBER(Data!V411),Data!V411/100,"n/a")</f>
        <v>n/a</v>
      </c>
      <c r="K335" s="9">
        <f>IF(ISNUMBER(Data!Z411),Data!Z411/100,"n/a")</f>
        <v>5.4794520547945209E-2</v>
      </c>
      <c r="L335" s="10">
        <f>Data!AA411</f>
        <v>4.6868884540117408</v>
      </c>
      <c r="M335" s="10">
        <f>Data!AF411</f>
        <v>1.21</v>
      </c>
      <c r="N335" s="28">
        <f>IF(ISNUMBER(Data!AG411),Data!AG411/100,"n/a")</f>
        <v>0.23799999999999996</v>
      </c>
      <c r="O335" s="28">
        <f>IF(ISNUMBER(Data!AJ411),Data!AJ411/100,"n/a")</f>
        <v>0.32800000000000007</v>
      </c>
      <c r="P335" s="9" t="str">
        <f>IF(ISNUMBER(Data!AK411),Data!AK411/100,"n/a")</f>
        <v>n/a</v>
      </c>
      <c r="Q335" s="8">
        <f>Data!AN411</f>
        <v>0.66</v>
      </c>
      <c r="R335" s="8" t="str">
        <f>Data!AP411</f>
        <v>n/a</v>
      </c>
      <c r="S335" s="8"/>
      <c r="T335" s="8"/>
      <c r="U335" s="8"/>
      <c r="V335" s="1">
        <f t="shared" si="10"/>
        <v>6</v>
      </c>
      <c r="W335" s="1">
        <f t="shared" si="11"/>
        <v>0</v>
      </c>
    </row>
    <row r="336" spans="1:23" hidden="1" x14ac:dyDescent="0.2">
      <c r="A336" s="7" t="str">
        <f>Data!A410</f>
        <v>Matson, Inc.</v>
      </c>
      <c r="B336" s="7" t="str">
        <f>Data!B410</f>
        <v>MATX</v>
      </c>
      <c r="C336" s="7" t="str">
        <f>Data!C410</f>
        <v>Industrials</v>
      </c>
      <c r="D336" s="8">
        <f>IF(ISNUMBER(Data!AL410),Data!AL410/1000,"n/a")</f>
        <v>2.83</v>
      </c>
      <c r="E336" s="1">
        <f>Data!E410</f>
        <v>11</v>
      </c>
      <c r="F336" s="28">
        <f>Data!J410/100</f>
        <v>1.6852405544985051E-2</v>
      </c>
      <c r="G336" s="28">
        <f>IF(ISNUMBER(Data!S410),Data!S410/100,"n/a")</f>
        <v>0.17777777777777781</v>
      </c>
      <c r="H336" s="28">
        <f>IF(ISNUMBER(Data!T410),Data!T410/100,"n/a")</f>
        <v>8.9341387842532871E-2</v>
      </c>
      <c r="I336" s="28">
        <f>IF(ISNUMBER(Data!U410),Data!U410/100,"n/a")</f>
        <v>7.4520805832128945E-2</v>
      </c>
      <c r="J336" s="28" t="str">
        <f>IF(ISNUMBER(Data!V410),Data!V410/100,"n/a")</f>
        <v>n/a</v>
      </c>
      <c r="K336" s="9">
        <f>IF(ISNUMBER(Data!Z410),Data!Z410/100,"n/a")</f>
        <v>3.6784336991990504E-2</v>
      </c>
      <c r="L336" s="10">
        <f>Data!AA410</f>
        <v>2.1827350934440819</v>
      </c>
      <c r="M336" s="10">
        <f>Data!AF410</f>
        <v>1.36</v>
      </c>
      <c r="N336" s="28">
        <f>IF(ISNUMBER(Data!AG410),Data!AG410/100,"n/a")</f>
        <v>0.79200000000000004</v>
      </c>
      <c r="O336" s="28">
        <f>IF(ISNUMBER(Data!AJ410),Data!AJ410/100,"n/a")</f>
        <v>0.63300000000000001</v>
      </c>
      <c r="P336" s="9">
        <f>IF(ISNUMBER(Data!AK410),Data!AK410/100,"n/a")</f>
        <v>0.15</v>
      </c>
      <c r="Q336" s="8">
        <f>Data!AN410</f>
        <v>0.27</v>
      </c>
      <c r="R336" s="8">
        <f>Data!AP410</f>
        <v>9.1373211377113996</v>
      </c>
      <c r="S336" s="8"/>
      <c r="T336" s="8"/>
      <c r="U336" s="8"/>
      <c r="V336" s="1">
        <f t="shared" si="10"/>
        <v>9</v>
      </c>
      <c r="W336" s="1">
        <f t="shared" si="11"/>
        <v>0</v>
      </c>
    </row>
    <row r="337" spans="1:23" hidden="1" x14ac:dyDescent="0.2">
      <c r="A337" s="7" t="str">
        <f>Data!A429</f>
        <v>Marsh &amp; McLennan Companies, Inc.</v>
      </c>
      <c r="B337" s="7" t="str">
        <f>Data!B429</f>
        <v>MMC</v>
      </c>
      <c r="C337" s="7" t="str">
        <f>Data!C429</f>
        <v>Financials</v>
      </c>
      <c r="D337" s="8">
        <f>IF(ISNUMBER(Data!AL429),Data!AL429/1000,"n/a")</f>
        <v>77</v>
      </c>
      <c r="E337" s="1">
        <f>Data!E429</f>
        <v>13</v>
      </c>
      <c r="F337" s="28">
        <f>Data!J429/100</f>
        <v>1.4613907981918384E-2</v>
      </c>
      <c r="G337" s="28">
        <f>IF(ISNUMBER(Data!S429),Data!S429/100,"n/a")</f>
        <v>8.6956521739130377E-2</v>
      </c>
      <c r="H337" s="28">
        <f>IF(ISNUMBER(Data!T429),Data!T429/100,"n/a")</f>
        <v>8.1743521473638156E-2</v>
      </c>
      <c r="I337" s="28">
        <f>IF(ISNUMBER(Data!U429),Data!U429/100,"n/a")</f>
        <v>8.9976987048345336E-2</v>
      </c>
      <c r="J337" s="28">
        <f>IF(ISNUMBER(Data!V429),Data!V429/100,"n/a")</f>
        <v>8.8060775849534867E-2</v>
      </c>
      <c r="K337" s="9">
        <f>IF(ISNUMBER(Data!Z429),Data!Z429/100,"n/a")</f>
        <v>0.35382308845577204</v>
      </c>
      <c r="L337" s="10">
        <f>Data!AA429</f>
        <v>24.211394302848579</v>
      </c>
      <c r="M337" s="10">
        <f>Data!AF429</f>
        <v>8.52</v>
      </c>
      <c r="N337" s="28">
        <f>IF(ISNUMBER(Data!AG429),Data!AG429/100,"n/a")</f>
        <v>0.32100000000000001</v>
      </c>
      <c r="O337" s="28">
        <f>IF(ISNUMBER(Data!AJ429),Data!AJ429/100,"n/a")</f>
        <v>0.127</v>
      </c>
      <c r="P337" s="9">
        <f>IF(ISNUMBER(Data!AK429),Data!AK429/100,"n/a")</f>
        <v>8.3000000000000004E-2</v>
      </c>
      <c r="Q337" s="8">
        <f>Data!AN429</f>
        <v>1.19</v>
      </c>
      <c r="R337" s="8">
        <f>Data!AP429</f>
        <v>10.459089503026371</v>
      </c>
      <c r="S337" s="8"/>
      <c r="T337" s="8"/>
      <c r="U337" s="8"/>
      <c r="V337" s="1">
        <f t="shared" si="10"/>
        <v>8</v>
      </c>
      <c r="W337" s="1">
        <f t="shared" si="11"/>
        <v>0</v>
      </c>
    </row>
    <row r="338" spans="1:23" hidden="1" x14ac:dyDescent="0.2">
      <c r="A338" s="7" t="str">
        <f>Data!A438</f>
        <v>MPLX LP</v>
      </c>
      <c r="B338" s="7" t="str">
        <f>Data!B438</f>
        <v>MPLX</v>
      </c>
      <c r="C338" s="7" t="str">
        <f>Data!C438</f>
        <v>Energy</v>
      </c>
      <c r="D338" s="8">
        <f>IF(ISNUMBER(Data!AL438),Data!AL438/1000,"n/a")</f>
        <v>33.5</v>
      </c>
      <c r="E338" s="1">
        <f>Data!E438</f>
        <v>9</v>
      </c>
      <c r="F338" s="28">
        <f>Data!J438/100</f>
        <v>8.4078711985688739E-2</v>
      </c>
      <c r="G338" s="28">
        <f>IF(ISNUMBER(Data!S438),Data!S438/100,"n/a")</f>
        <v>6.3636363636363491E-3</v>
      </c>
      <c r="H338" s="28">
        <f>IF(ISNUMBER(Data!T438),Data!T438/100,"n/a")</f>
        <v>3.5848148590610585E-2</v>
      </c>
      <c r="I338" s="28">
        <f>IF(ISNUMBER(Data!U438),Data!U438/100,"n/a")</f>
        <v>6.3942894088214963E-2</v>
      </c>
      <c r="J338" s="28" t="str">
        <f>IF(ISNUMBER(Data!V438),Data!V438/100,"n/a")</f>
        <v>n/a</v>
      </c>
      <c r="K338" s="9">
        <f>IF(ISNUMBER(Data!Z438),Data!Z438/100,"n/a")</f>
        <v>0.8980891719745222</v>
      </c>
      <c r="L338" s="10">
        <f>Data!AA438</f>
        <v>10.681528662420382</v>
      </c>
      <c r="M338" s="10">
        <f>Data!AF438</f>
        <v>3</v>
      </c>
      <c r="N338" s="28">
        <f>IF(ISNUMBER(Data!AG438),Data!AG438/100,"n/a")</f>
        <v>0.28000000000000003</v>
      </c>
      <c r="O338" s="28">
        <f>IF(ISNUMBER(Data!AJ438),Data!AJ438/100,"n/a")</f>
        <v>2.9530000000000003</v>
      </c>
      <c r="P338" s="9">
        <f>IF(ISNUMBER(Data!AK438),Data!AK438/100,"n/a")</f>
        <v>9.9399999999999988E-2</v>
      </c>
      <c r="Q338" s="8">
        <f>Data!AN438</f>
        <v>1.84</v>
      </c>
      <c r="R338" s="8">
        <f>Data!AP438</f>
        <v>14.80216060739037</v>
      </c>
      <c r="S338" s="8"/>
      <c r="T338" s="8"/>
      <c r="U338" s="8"/>
      <c r="V338" s="1">
        <f t="shared" si="10"/>
        <v>6</v>
      </c>
      <c r="W338" s="1">
        <f t="shared" si="11"/>
        <v>0</v>
      </c>
    </row>
    <row r="339" spans="1:23" hidden="1" x14ac:dyDescent="0.2">
      <c r="A339" s="7" t="str">
        <f>Data!A457</f>
        <v>NBT Bancorp Inc.</v>
      </c>
      <c r="B339" s="7" t="str">
        <f>Data!B457</f>
        <v>NBTB</v>
      </c>
      <c r="C339" s="7" t="str">
        <f>Data!C457</f>
        <v>Financials</v>
      </c>
      <c r="D339" s="8">
        <f>IF(ISNUMBER(Data!AL457),Data!AL457/1000,"n/a")</f>
        <v>1.93</v>
      </c>
      <c r="E339" s="1">
        <f>Data!E457</f>
        <v>10</v>
      </c>
      <c r="F339" s="28">
        <f>Data!J457/100</f>
        <v>2.5321797847647182E-2</v>
      </c>
      <c r="G339" s="28">
        <f>IF(ISNUMBER(Data!S457),Data!S457/100,"n/a")</f>
        <v>1.8518518518518601E-2</v>
      </c>
      <c r="H339" s="28">
        <f>IF(ISNUMBER(Data!T457),Data!T457/100,"n/a")</f>
        <v>3.5744168651286268E-2</v>
      </c>
      <c r="I339" s="28">
        <f>IF(ISNUMBER(Data!U457),Data!U457/100,"n/a")</f>
        <v>4.0950396969256841E-2</v>
      </c>
      <c r="J339" s="28">
        <f>IF(ISNUMBER(Data!V457),Data!V457/100,"n/a")</f>
        <v>3.2357862679155636E-2</v>
      </c>
      <c r="K339" s="9">
        <f>IF(ISNUMBER(Data!Z457),Data!Z457/100,"n/a")</f>
        <v>0.33898305084745756</v>
      </c>
      <c r="L339" s="10">
        <f>Data!AA457</f>
        <v>13.387005649717514</v>
      </c>
      <c r="M339" s="10">
        <f>Data!AF457</f>
        <v>1.68</v>
      </c>
      <c r="N339" s="28">
        <f>IF(ISNUMBER(Data!AG457),Data!AG457/100,"n/a")</f>
        <v>0.126</v>
      </c>
      <c r="O339" s="28">
        <f>IF(ISNUMBER(Data!AJ457),Data!AJ457/100,"n/a")</f>
        <v>0.14499999999999999</v>
      </c>
      <c r="P339" s="9">
        <f>IF(ISNUMBER(Data!AK457),Data!AK457/100,"n/a")</f>
        <v>0.05</v>
      </c>
      <c r="Q339" s="8">
        <f>Data!AN457</f>
        <v>0.17</v>
      </c>
      <c r="R339" s="8">
        <f>Data!AP457</f>
        <v>6.6272194816904024</v>
      </c>
      <c r="S339" s="8"/>
      <c r="T339" s="8"/>
      <c r="U339" s="8"/>
      <c r="V339" s="1">
        <f t="shared" si="10"/>
        <v>6</v>
      </c>
      <c r="W339" s="1">
        <f t="shared" si="11"/>
        <v>0</v>
      </c>
    </row>
    <row r="340" spans="1:23" hidden="1" x14ac:dyDescent="0.2">
      <c r="A340" s="7" t="str">
        <f>Data!A407</f>
        <v>ManpowerGroup Inc</v>
      </c>
      <c r="B340" s="7" t="str">
        <f>Data!B407</f>
        <v>MAN</v>
      </c>
      <c r="C340" s="7" t="str">
        <f>Data!C407</f>
        <v>Industrials</v>
      </c>
      <c r="D340" s="8">
        <f>IF(ISNUMBER(Data!AL407),Data!AL407/1000,"n/a")</f>
        <v>3.93</v>
      </c>
      <c r="E340" s="1">
        <f>Data!E407</f>
        <v>12</v>
      </c>
      <c r="F340" s="28">
        <f>Data!J407/100</f>
        <v>3.4720449323461834E-2</v>
      </c>
      <c r="G340" s="28">
        <f>IF(ISNUMBER(Data!S407),Data!S407/100,"n/a")</f>
        <v>0.11504424778761081</v>
      </c>
      <c r="H340" s="28">
        <f>IF(ISNUMBER(Data!T407),Data!T407/100,"n/a")</f>
        <v>7.6505840618042553E-2</v>
      </c>
      <c r="I340" s="28">
        <f>IF(ISNUMBER(Data!U407),Data!U407/100,"n/a")</f>
        <v>8.7072452803623288E-2</v>
      </c>
      <c r="J340" s="28">
        <f>IF(ISNUMBER(Data!V407),Data!V407/100,"n/a")</f>
        <v>0.12158206350003109</v>
      </c>
      <c r="K340" s="9">
        <f>IF(ISNUMBER(Data!Z407),Data!Z407/100,"n/a")</f>
        <v>0.33538840937114678</v>
      </c>
      <c r="L340" s="10">
        <f>Data!AA407</f>
        <v>9.6596794081381017</v>
      </c>
      <c r="M340" s="10">
        <f>Data!AF407</f>
        <v>1.7</v>
      </c>
      <c r="N340" s="28">
        <f>IF(ISNUMBER(Data!AG407),Data!AG407/100,"n/a")</f>
        <v>0.16500000000000001</v>
      </c>
      <c r="O340" s="28">
        <f>IF(ISNUMBER(Data!AJ407),Data!AJ407/100,"n/a")</f>
        <v>0.02</v>
      </c>
      <c r="P340" s="9">
        <f>IF(ISNUMBER(Data!AK407),Data!AK407/100,"n/a")</f>
        <v>9.1999999999999998E-2</v>
      </c>
      <c r="Q340" s="8">
        <f>Data!AN407</f>
        <v>0.57999999999999996</v>
      </c>
      <c r="R340" s="8">
        <f>Data!AP407</f>
        <v>12.179290212708512</v>
      </c>
      <c r="S340" s="8"/>
      <c r="T340" s="8"/>
      <c r="U340" s="8"/>
      <c r="V340" s="1">
        <f t="shared" si="10"/>
        <v>11</v>
      </c>
      <c r="W340" s="1">
        <f t="shared" si="11"/>
        <v>0</v>
      </c>
    </row>
    <row r="341" spans="1:23" hidden="1" x14ac:dyDescent="0.2">
      <c r="A341" s="7" t="str">
        <f>Data!A401</f>
        <v>Landstar System, Inc.</v>
      </c>
      <c r="B341" s="7" t="str">
        <f>Data!B401</f>
        <v>LSTR</v>
      </c>
      <c r="C341" s="7" t="str">
        <f>Data!C401</f>
        <v>Industrials</v>
      </c>
      <c r="D341" s="8">
        <f>IF(ISNUMBER(Data!AL401),Data!AL401/1000,"n/a")</f>
        <v>5.37</v>
      </c>
      <c r="E341" s="1">
        <f>Data!E401</f>
        <v>18</v>
      </c>
      <c r="F341" s="28">
        <f>Data!J401/100</f>
        <v>7.6814748431698887E-3</v>
      </c>
      <c r="G341" s="28">
        <f>IF(ISNUMBER(Data!S401),Data!S401/100,"n/a")</f>
        <v>0.16455696202531644</v>
      </c>
      <c r="H341" s="28">
        <f>IF(ISNUMBER(Data!T401),Data!T401/100,"n/a")</f>
        <v>0.13452941227266413</v>
      </c>
      <c r="I341" s="28">
        <f>IF(ISNUMBER(Data!U401),Data!U401/100,"n/a")</f>
        <v>0.22028643074326346</v>
      </c>
      <c r="J341" s="28">
        <f>IF(ISNUMBER(Data!V401),Data!V401/100,"n/a")</f>
        <v>0.15919594501910805</v>
      </c>
      <c r="K341" s="9">
        <f>IF(ISNUMBER(Data!Z401),Data!Z401/100,"n/a")</f>
        <v>9.8928276999175585E-2</v>
      </c>
      <c r="L341" s="10">
        <f>Data!AA401</f>
        <v>12.878812860676009</v>
      </c>
      <c r="M341" s="10">
        <f>Data!AF401</f>
        <v>6.57</v>
      </c>
      <c r="N341" s="28">
        <f>IF(ISNUMBER(Data!AG401),Data!AG401/100,"n/a")</f>
        <v>0.49399999999999999</v>
      </c>
      <c r="O341" s="28">
        <f>IF(ISNUMBER(Data!AJ401),Data!AJ401/100,"n/a")</f>
        <v>0.251</v>
      </c>
      <c r="P341" s="9">
        <f>IF(ISNUMBER(Data!AK401),Data!AK401/100,"n/a")</f>
        <v>0.218</v>
      </c>
      <c r="Q341" s="8">
        <f>Data!AN401</f>
        <v>0.26</v>
      </c>
      <c r="R341" s="8">
        <f>Data!AP401</f>
        <v>22.796790558643334</v>
      </c>
      <c r="S341" s="8"/>
      <c r="T341" s="8"/>
      <c r="U341" s="8"/>
      <c r="V341" s="1">
        <f t="shared" si="10"/>
        <v>10</v>
      </c>
      <c r="W341" s="1">
        <f t="shared" si="11"/>
        <v>0</v>
      </c>
    </row>
    <row r="342" spans="1:23" hidden="1" x14ac:dyDescent="0.2">
      <c r="A342" s="7" t="str">
        <f>Data!A402</f>
        <v>Lamb Weston Holdings, Inc.</v>
      </c>
      <c r="B342" s="7" t="str">
        <f>Data!B402</f>
        <v>LW</v>
      </c>
      <c r="C342" s="7" t="str">
        <f>Data!C402</f>
        <v>Consumer Staples</v>
      </c>
      <c r="D342" s="8">
        <f>IF(ISNUMBER(Data!AL402),Data!AL402/1000,"n/a")</f>
        <v>12.2</v>
      </c>
      <c r="E342" s="1">
        <f>Data!E402</f>
        <v>6</v>
      </c>
      <c r="F342" s="28">
        <f>Data!J402/100</f>
        <v>1.1366272326606355E-2</v>
      </c>
      <c r="G342" s="28">
        <f>IF(ISNUMBER(Data!S402),Data!S402/100,"n/a")</f>
        <v>2.1739130434782483E-2</v>
      </c>
      <c r="H342" s="28">
        <f>IF(ISNUMBER(Data!T402),Data!T402/100,"n/a")</f>
        <v>7.0987242074486367E-2</v>
      </c>
      <c r="I342" s="28" t="str">
        <f>IF(ISNUMBER(Data!U402),Data!U402/100,"n/a")</f>
        <v>n/a</v>
      </c>
      <c r="J342" s="28" t="str">
        <f>IF(ISNUMBER(Data!V402),Data!V402/100,"n/a")</f>
        <v>n/a</v>
      </c>
      <c r="K342" s="9">
        <f>IF(ISNUMBER(Data!Z402),Data!Z402/100,"n/a")</f>
        <v>0.35251798561151082</v>
      </c>
      <c r="L342" s="10">
        <f>Data!AA402</f>
        <v>31.014388489208635</v>
      </c>
      <c r="M342" s="10">
        <f>Data!AF402</f>
        <v>24.14</v>
      </c>
      <c r="N342" s="28">
        <f>IF(ISNUMBER(Data!AG402),Data!AG402/100,"n/a")</f>
        <v>0.99</v>
      </c>
      <c r="O342" s="28">
        <f>IF(ISNUMBER(Data!AJ402),Data!AJ402/100,"n/a")</f>
        <v>-9.0999999999999998E-2</v>
      </c>
      <c r="P342" s="9">
        <f>IF(ISNUMBER(Data!AK402),Data!AK402/100,"n/a")</f>
        <v>0.33900000000000008</v>
      </c>
      <c r="Q342" s="8">
        <f>Data!AN402</f>
        <v>5.38</v>
      </c>
      <c r="R342" s="8" t="str">
        <f>Data!AP402</f>
        <v>n/a</v>
      </c>
      <c r="S342" s="8"/>
      <c r="T342" s="8"/>
      <c r="U342" s="8"/>
      <c r="V342" s="1">
        <f t="shared" si="10"/>
        <v>4</v>
      </c>
      <c r="W342" s="1">
        <f t="shared" si="11"/>
        <v>0</v>
      </c>
    </row>
    <row r="343" spans="1:23" hidden="1" x14ac:dyDescent="0.2">
      <c r="A343" s="7" t="str">
        <f>Data!A400</f>
        <v>Lake Shore Bancorp, Inc.</v>
      </c>
      <c r="B343" s="7" t="str">
        <f>Data!B400</f>
        <v>LSBK</v>
      </c>
      <c r="C343" s="7" t="str">
        <f>Data!C400</f>
        <v>Financials</v>
      </c>
      <c r="D343" s="8">
        <f>IF(ISNUMBER(Data!AL400),Data!AL400/1000,"n/a")</f>
        <v>7.6480000000000006E-2</v>
      </c>
      <c r="E343" s="1">
        <f>Data!E400</f>
        <v>6</v>
      </c>
      <c r="F343" s="28">
        <f>Data!J400/100</f>
        <v>5.4836252856054833E-2</v>
      </c>
      <c r="G343" s="28">
        <f>IF(ISNUMBER(Data!S400),Data!S400/100,"n/a")</f>
        <v>0.10204081632653071</v>
      </c>
      <c r="H343" s="28">
        <f>IF(ISNUMBER(Data!T400),Data!T400/100,"n/a")</f>
        <v>0.10520944959211607</v>
      </c>
      <c r="I343" s="28">
        <f>IF(ISNUMBER(Data!U400),Data!U400/100,"n/a")</f>
        <v>0.14037357635025294</v>
      </c>
      <c r="J343" s="28">
        <f>IF(ISNUMBER(Data!V400),Data!V400/100,"n/a")</f>
        <v>6.788275402791899E-2</v>
      </c>
      <c r="K343" s="9">
        <f>IF(ISNUMBER(Data!Z400),Data!Z400/100,"n/a")</f>
        <v>0.65454545454545443</v>
      </c>
      <c r="L343" s="10">
        <f>Data!AA400</f>
        <v>11.936363636363636</v>
      </c>
      <c r="M343" s="10">
        <f>Data!AF400</f>
        <v>0.97</v>
      </c>
      <c r="N343" s="28">
        <f>IF(ISNUMBER(Data!AG400),Data!AG400/100,"n/a")</f>
        <v>6.6000000000000003E-2</v>
      </c>
      <c r="O343" s="28">
        <f>IF(ISNUMBER(Data!AJ400),Data!AJ400/100,"n/a")</f>
        <v>0.125</v>
      </c>
      <c r="P343" s="9" t="str">
        <f>IF(ISNUMBER(Data!AK400),Data!AK400/100,"n/a")</f>
        <v>n/a</v>
      </c>
      <c r="Q343" s="8">
        <f>Data!AN400</f>
        <v>0</v>
      </c>
      <c r="R343" s="8">
        <f>Data!AP400</f>
        <v>19.520982920630779</v>
      </c>
      <c r="S343" s="8"/>
      <c r="T343" s="8"/>
      <c r="U343" s="8"/>
      <c r="V343" s="1">
        <f t="shared" si="10"/>
        <v>8</v>
      </c>
      <c r="W343" s="1">
        <f t="shared" si="11"/>
        <v>0</v>
      </c>
    </row>
    <row r="344" spans="1:23" hidden="1" x14ac:dyDescent="0.2">
      <c r="A344" s="7" t="str">
        <f>Data!A396</f>
        <v>Logitech International S.A.</v>
      </c>
      <c r="B344" s="7" t="str">
        <f>Data!B396</f>
        <v>LOGI</v>
      </c>
      <c r="C344" s="7" t="str">
        <f>Data!C396</f>
        <v>Information Technology</v>
      </c>
      <c r="D344" s="8">
        <f>IF(ISNUMBER(Data!AL396),Data!AL396/1000,"n/a")</f>
        <v>8.9</v>
      </c>
      <c r="E344" s="1">
        <f>Data!E396</f>
        <v>9</v>
      </c>
      <c r="F344" s="28">
        <f>Data!J396/100</f>
        <v>1.9526591458501209E-2</v>
      </c>
      <c r="G344" s="28">
        <f>IF(ISNUMBER(Data!S396),Data!S396/100,"n/a")</f>
        <v>8.1955922865013728E-2</v>
      </c>
      <c r="H344" s="28">
        <f>IF(ISNUMBER(Data!T396),Data!T396/100,"n/a")</f>
        <v>0.11087157915880684</v>
      </c>
      <c r="I344" s="28">
        <f>IF(ISNUMBER(Data!U396),Data!U396/100,"n/a")</f>
        <v>0.10665210221130363</v>
      </c>
      <c r="J344" s="28" t="str">
        <f>IF(ISNUMBER(Data!V396),Data!V396/100,"n/a")</f>
        <v>n/a</v>
      </c>
      <c r="K344" s="9">
        <f>IF(ISNUMBER(Data!Z396),Data!Z396/100,"n/a")</f>
        <v>0.32526845637583895</v>
      </c>
      <c r="L344" s="10">
        <f>Data!AA396</f>
        <v>16.65771812080537</v>
      </c>
      <c r="M344" s="10">
        <f>Data!AF396</f>
        <v>3.85</v>
      </c>
      <c r="N344" s="28">
        <f>IF(ISNUMBER(Data!AG396),Data!AG396/100,"n/a")</f>
        <v>0.21600000000000003</v>
      </c>
      <c r="O344" s="28">
        <f>IF(ISNUMBER(Data!AJ396),Data!AJ396/100,"n/a")</f>
        <v>0.249</v>
      </c>
      <c r="P344" s="9">
        <f>IF(ISNUMBER(Data!AK396),Data!AK396/100,"n/a")</f>
        <v>4.2000000000000003E-2</v>
      </c>
      <c r="Q344" s="8">
        <f>Data!AN396</f>
        <v>0</v>
      </c>
      <c r="R344" s="8">
        <f>Data!AP396</f>
        <v>12.617869366980482</v>
      </c>
      <c r="S344" s="8"/>
      <c r="T344" s="8"/>
      <c r="U344" s="8"/>
      <c r="V344" s="1">
        <f t="shared" si="10"/>
        <v>9</v>
      </c>
      <c r="W344" s="1">
        <f t="shared" si="11"/>
        <v>0</v>
      </c>
    </row>
    <row r="345" spans="1:23" hidden="1" x14ac:dyDescent="0.2">
      <c r="A345" s="7" t="str">
        <f>Data!A389</f>
        <v>Lakeland Financial Corporation</v>
      </c>
      <c r="B345" s="7" t="str">
        <f>Data!B389</f>
        <v>LKFN</v>
      </c>
      <c r="C345" s="7" t="str">
        <f>Data!C389</f>
        <v>Financials</v>
      </c>
      <c r="D345" s="8">
        <f>IF(ISNUMBER(Data!AL389),Data!AL389/1000,"n/a")</f>
        <v>2.0699999999999998</v>
      </c>
      <c r="E345" s="1">
        <f>Data!E389</f>
        <v>11</v>
      </c>
      <c r="F345" s="28">
        <f>Data!J389/100</f>
        <v>1.9358741681790682E-2</v>
      </c>
      <c r="G345" s="28">
        <f>IF(ISNUMBER(Data!S389),Data!S389/100,"n/a")</f>
        <v>0.13333333333333353</v>
      </c>
      <c r="H345" s="28">
        <f>IF(ISNUMBER(Data!T389),Data!T389/100,"n/a")</f>
        <v>0.10793165135089279</v>
      </c>
      <c r="I345" s="28">
        <f>IF(ISNUMBER(Data!U389),Data!U389/100,"n/a")</f>
        <v>0.13355003335721993</v>
      </c>
      <c r="J345" s="28">
        <f>IF(ISNUMBER(Data!V389),Data!V389/100,"n/a")</f>
        <v>0.12648093976970398</v>
      </c>
      <c r="K345" s="9">
        <f>IF(ISNUMBER(Data!Z389),Data!Z389/100,"n/a")</f>
        <v>0.40302267002518893</v>
      </c>
      <c r="L345" s="10">
        <f>Data!AA389</f>
        <v>20.818639798488665</v>
      </c>
      <c r="M345" s="10">
        <f>Data!AF389</f>
        <v>4.07</v>
      </c>
      <c r="N345" s="28">
        <f>IF(ISNUMBER(Data!AG389),Data!AG389/100,"n/a")</f>
        <v>0.17100000000000001</v>
      </c>
      <c r="O345" s="28">
        <f>IF(ISNUMBER(Data!AJ389),Data!AJ389/100,"n/a")</f>
        <v>0.128</v>
      </c>
      <c r="P345" s="9">
        <f>IF(ISNUMBER(Data!AK389),Data!AK389/100,"n/a")</f>
        <v>0.1</v>
      </c>
      <c r="Q345" s="8">
        <f>Data!AN389</f>
        <v>0</v>
      </c>
      <c r="R345" s="8">
        <f>Data!AP389</f>
        <v>15.290877503901061</v>
      </c>
      <c r="S345" s="8"/>
      <c r="T345" s="8"/>
      <c r="U345" s="8"/>
      <c r="V345" s="1">
        <f t="shared" si="10"/>
        <v>9</v>
      </c>
      <c r="W345" s="1">
        <f t="shared" si="11"/>
        <v>0</v>
      </c>
    </row>
    <row r="346" spans="1:23" hidden="1" x14ac:dyDescent="0.2">
      <c r="A346" s="7" t="str">
        <f>Data!A381</f>
        <v>Lakeland Bancorp, Inc.</v>
      </c>
      <c r="B346" s="7" t="str">
        <f>Data!B381</f>
        <v>LBAI</v>
      </c>
      <c r="C346" s="7" t="str">
        <f>Data!C381</f>
        <v>Financials</v>
      </c>
      <c r="D346" s="8">
        <f>IF(ISNUMBER(Data!AL381),Data!AL381/1000,"n/a")</f>
        <v>1.1200000000000001</v>
      </c>
      <c r="E346" s="1">
        <f>Data!E381</f>
        <v>12</v>
      </c>
      <c r="F346" s="28">
        <f>Data!J381/100</f>
        <v>3.1099195710455763E-2</v>
      </c>
      <c r="G346" s="28">
        <f>IF(ISNUMBER(Data!S381),Data!S381/100,"n/a")</f>
        <v>6.0000000000000053E-2</v>
      </c>
      <c r="H346" s="28">
        <f>IF(ISNUMBER(Data!T381),Data!T381/100,"n/a")</f>
        <v>5.9998586670435561E-2</v>
      </c>
      <c r="I346" s="28">
        <f>IF(ISNUMBER(Data!U381),Data!U381/100,"n/a")</f>
        <v>7.4520805832128945E-2</v>
      </c>
      <c r="J346" s="28">
        <f>IF(ISNUMBER(Data!V381),Data!V381/100,"n/a")</f>
        <v>9.4406060435816355E-2</v>
      </c>
      <c r="K346" s="9">
        <f>IF(ISNUMBER(Data!Z381),Data!Z381/100,"n/a")</f>
        <v>0.35365853658536589</v>
      </c>
      <c r="L346" s="10">
        <f>Data!AA381</f>
        <v>11.371951219512194</v>
      </c>
      <c r="M346" s="10">
        <f>Data!AF381</f>
        <v>1.1000000000000001</v>
      </c>
      <c r="N346" s="28">
        <f>IF(ISNUMBER(Data!AG381),Data!AG381/100,"n/a")</f>
        <v>9.0999999999999998E-2</v>
      </c>
      <c r="O346" s="28">
        <f>IF(ISNUMBER(Data!AJ381),Data!AJ381/100,"n/a")</f>
        <v>0.14099999999999999</v>
      </c>
      <c r="P346" s="9">
        <f>IF(ISNUMBER(Data!AK381),Data!AK381/100,"n/a")</f>
        <v>0.09</v>
      </c>
      <c r="Q346" s="8">
        <f>Data!AN381</f>
        <v>0.56999999999999995</v>
      </c>
      <c r="R346" s="8">
        <f>Data!AP381</f>
        <v>10.56200015425847</v>
      </c>
      <c r="S346" s="8"/>
      <c r="T346" s="8"/>
      <c r="U346" s="8"/>
      <c r="V346" s="1">
        <f t="shared" si="10"/>
        <v>10</v>
      </c>
      <c r="W346" s="1">
        <f t="shared" si="11"/>
        <v>0</v>
      </c>
    </row>
    <row r="347" spans="1:23" hidden="1" x14ac:dyDescent="0.2">
      <c r="A347" s="7" t="str">
        <f>Data!A398</f>
        <v>Louisiana-Pacific Corporation</v>
      </c>
      <c r="B347" s="7" t="str">
        <f>Data!B398</f>
        <v>LPX</v>
      </c>
      <c r="C347" s="7" t="str">
        <f>Data!C398</f>
        <v>Materials</v>
      </c>
      <c r="D347" s="8">
        <f>IF(ISNUMBER(Data!AL398),Data!AL398/1000,"n/a")</f>
        <v>4.29</v>
      </c>
      <c r="E347" s="1">
        <f>Data!E398</f>
        <v>5</v>
      </c>
      <c r="F347" s="28">
        <f>Data!J398/100</f>
        <v>1.5533980582524275E-2</v>
      </c>
      <c r="G347" s="28">
        <f>IF(ISNUMBER(Data!S398),Data!S398/100,"n/a")</f>
        <v>0.1724137931034484</v>
      </c>
      <c r="H347" s="28">
        <f>IF(ISNUMBER(Data!T398),Data!T398/100,"n/a")</f>
        <v>9.3541299792876842E-2</v>
      </c>
      <c r="I347" s="28" t="str">
        <f>IF(ISNUMBER(Data!U398),Data!U398/100,"n/a")</f>
        <v>n/a</v>
      </c>
      <c r="J347" s="28" t="str">
        <f>IF(ISNUMBER(Data!V398),Data!V398/100,"n/a")</f>
        <v>n/a</v>
      </c>
      <c r="K347" s="9">
        <f>IF(ISNUMBER(Data!Z398),Data!Z398/100,"n/a")</f>
        <v>5.6921086675291069E-2</v>
      </c>
      <c r="L347" s="10">
        <f>Data!AA398</f>
        <v>3.6642949547218624</v>
      </c>
      <c r="M347" s="10">
        <f>Data!AF398</f>
        <v>3.24</v>
      </c>
      <c r="N347" s="28">
        <f>IF(ISNUMBER(Data!AG398),Data!AG398/100,"n/a")</f>
        <v>1.0009999999999999</v>
      </c>
      <c r="O347" s="28">
        <f>IF(ISNUMBER(Data!AJ398),Data!AJ398/100,"n/a")</f>
        <v>0.68500000000000005</v>
      </c>
      <c r="P347" s="9">
        <f>IF(ISNUMBER(Data!AK398),Data!AK398/100,"n/a")</f>
        <v>0.05</v>
      </c>
      <c r="Q347" s="8">
        <f>Data!AN398</f>
        <v>0.23</v>
      </c>
      <c r="R347" s="8" t="str">
        <f>Data!AP398</f>
        <v>n/a</v>
      </c>
      <c r="S347" s="8"/>
      <c r="T347" s="8"/>
      <c r="U347" s="8"/>
      <c r="V347" s="1">
        <f t="shared" si="10"/>
        <v>8</v>
      </c>
      <c r="W347" s="1">
        <f t="shared" si="11"/>
        <v>0</v>
      </c>
    </row>
    <row r="348" spans="1:23" hidden="1" x14ac:dyDescent="0.2">
      <c r="A348" s="7" t="str">
        <f>Data!A426</f>
        <v>McCormick &amp; Company, Incorporated</v>
      </c>
      <c r="B348" s="7" t="str">
        <f>Data!B426</f>
        <v>MKC</v>
      </c>
      <c r="C348" s="7" t="str">
        <f>Data!C426</f>
        <v>Consumer Staples</v>
      </c>
      <c r="D348" s="8">
        <f>IF(ISNUMBER(Data!AL426),Data!AL426/1000,"n/a")</f>
        <v>20.84</v>
      </c>
      <c r="E348" s="1">
        <f>Data!E426</f>
        <v>35</v>
      </c>
      <c r="F348" s="28">
        <f>Data!J426/100</f>
        <v>1.881993896236012E-2</v>
      </c>
      <c r="G348" s="28">
        <f>IF(ISNUMBER(Data!S426),Data!S426/100,"n/a")</f>
        <v>9.6774193548387219E-2</v>
      </c>
      <c r="H348" s="28">
        <f>IF(ISNUMBER(Data!T426),Data!T426/100,"n/a")</f>
        <v>9.3541299792876842E-2</v>
      </c>
      <c r="I348" s="28">
        <f>IF(ISNUMBER(Data!U426),Data!U426/100,"n/a")</f>
        <v>9.5993785007892254E-2</v>
      </c>
      <c r="J348" s="28">
        <f>IF(ISNUMBER(Data!V426),Data!V426/100,"n/a")</f>
        <v>9.2785913533468753E-2</v>
      </c>
      <c r="K348" s="9">
        <f>IF(ISNUMBER(Data!Z426),Data!Z426/100,"n/a")</f>
        <v>0.57587548638132302</v>
      </c>
      <c r="L348" s="10">
        <f>Data!AA426</f>
        <v>30.59922178988327</v>
      </c>
      <c r="M348" s="10">
        <f>Data!AF426</f>
        <v>4.63</v>
      </c>
      <c r="N348" s="28">
        <f>IF(ISNUMBER(Data!AG426),Data!AG426/100,"n/a")</f>
        <v>0.152</v>
      </c>
      <c r="O348" s="28">
        <f>IF(ISNUMBER(Data!AJ426),Data!AJ426/100,"n/a")</f>
        <v>8.6999999999999994E-2</v>
      </c>
      <c r="P348" s="9">
        <f>IF(ISNUMBER(Data!AK426),Data!AK426/100,"n/a")</f>
        <v>5.0999999999999997E-2</v>
      </c>
      <c r="Q348" s="8">
        <f>Data!AN426</f>
        <v>1.17</v>
      </c>
      <c r="R348" s="8">
        <f>Data!AP426</f>
        <v>11.481372397025236</v>
      </c>
      <c r="S348" s="8"/>
      <c r="T348" s="8"/>
      <c r="U348" s="8"/>
      <c r="V348" s="1">
        <f t="shared" si="10"/>
        <v>9</v>
      </c>
      <c r="W348" s="1">
        <f t="shared" si="11"/>
        <v>0</v>
      </c>
    </row>
    <row r="349" spans="1:23" hidden="1" x14ac:dyDescent="0.2">
      <c r="A349" s="7" t="str">
        <f>Data!A397</f>
        <v>Lowe's Companies, Inc.</v>
      </c>
      <c r="B349" s="7" t="str">
        <f>Data!B397</f>
        <v>LOW</v>
      </c>
      <c r="C349" s="7" t="str">
        <f>Data!C397</f>
        <v>Consumer Discretionary</v>
      </c>
      <c r="D349" s="8">
        <f>IF(ISNUMBER(Data!AL397),Data!AL397/1000,"n/a")</f>
        <v>120.21</v>
      </c>
      <c r="E349" s="1">
        <f>Data!E397</f>
        <v>60</v>
      </c>
      <c r="F349" s="28">
        <f>Data!J397/100</f>
        <v>2.1543985637342909E-2</v>
      </c>
      <c r="G349" s="28">
        <f>IF(ISNUMBER(Data!S397),Data!S397/100,"n/a")</f>
        <v>0.24444444444444446</v>
      </c>
      <c r="H349" s="28">
        <f>IF(ISNUMBER(Data!T397),Data!T397/100,"n/a")</f>
        <v>0.16299900457615871</v>
      </c>
      <c r="I349" s="28">
        <f>IF(ISNUMBER(Data!U397),Data!U397/100,"n/a")</f>
        <v>0.17316067631184098</v>
      </c>
      <c r="J349" s="28">
        <f>IF(ISNUMBER(Data!V397),Data!V397/100,"n/a")</f>
        <v>0.18800646135195584</v>
      </c>
      <c r="K349" s="9">
        <f>IF(ISNUMBER(Data!Z397),Data!Z397/100,"n/a")</f>
        <v>0.33123028391167186</v>
      </c>
      <c r="L349" s="10">
        <f>Data!AA397</f>
        <v>15.374605678233438</v>
      </c>
      <c r="M349" s="10" t="str">
        <f>Data!AF397</f>
        <v>n/a</v>
      </c>
      <c r="N349" s="28">
        <f>IF(ISNUMBER(Data!AG397),Data!AG397/100,"n/a")</f>
        <v>-1.5469999999999999</v>
      </c>
      <c r="O349" s="28">
        <f>IF(ISNUMBER(Data!AJ397),Data!AJ397/100,"n/a")</f>
        <v>0.28199999999999997</v>
      </c>
      <c r="P349" s="9">
        <f>IF(ISNUMBER(Data!AK397),Data!AK397/100,"n/a")</f>
        <v>9.4E-2</v>
      </c>
      <c r="Q349" s="8" t="str">
        <f>Data!AN397</f>
        <v>n/a</v>
      </c>
      <c r="R349" s="8">
        <f>Data!AP397</f>
        <v>19.470466194918387</v>
      </c>
      <c r="S349" s="8"/>
      <c r="T349" s="8"/>
      <c r="U349" s="8"/>
      <c r="V349" s="1">
        <f t="shared" si="10"/>
        <v>11</v>
      </c>
      <c r="W349" s="1">
        <f t="shared" si="11"/>
        <v>0</v>
      </c>
    </row>
    <row r="350" spans="1:23" hidden="1" x14ac:dyDescent="0.2">
      <c r="A350" s="7" t="str">
        <f>Data!A387</f>
        <v>Lennox International Inc.</v>
      </c>
      <c r="B350" s="7" t="str">
        <f>Data!B387</f>
        <v>LII</v>
      </c>
      <c r="C350" s="7" t="str">
        <f>Data!C387</f>
        <v>Industrials</v>
      </c>
      <c r="D350" s="8">
        <f>IF(ISNUMBER(Data!AL387),Data!AL387/1000,"n/a")</f>
        <v>8.07</v>
      </c>
      <c r="E350" s="1">
        <f>Data!E387</f>
        <v>13</v>
      </c>
      <c r="F350" s="28">
        <f>Data!J387/100</f>
        <v>1.8153016226398939E-2</v>
      </c>
      <c r="G350" s="28">
        <f>IF(ISNUMBER(Data!S387),Data!S387/100,"n/a")</f>
        <v>9.740259740259738E-2</v>
      </c>
      <c r="H350" s="28">
        <f>IF(ISNUMBER(Data!T387),Data!T387/100,"n/a")</f>
        <v>0.13691925398179827</v>
      </c>
      <c r="I350" s="28">
        <f>IF(ISNUMBER(Data!U387),Data!U387/100,"n/a")</f>
        <v>0.1642652163938807</v>
      </c>
      <c r="J350" s="28">
        <f>IF(ISNUMBER(Data!V387),Data!V387/100,"n/a")</f>
        <v>0.17221361404312874</v>
      </c>
      <c r="K350" s="9">
        <f>IF(ISNUMBER(Data!Z387),Data!Z387/100,"n/a")</f>
        <v>0.31384159881569212</v>
      </c>
      <c r="L350" s="10">
        <f>Data!AA387</f>
        <v>17.288675055514435</v>
      </c>
      <c r="M350" s="10" t="str">
        <f>Data!AF387</f>
        <v>n/a</v>
      </c>
      <c r="N350" s="28">
        <f>IF(ISNUMBER(Data!AG387),Data!AG387/100,"n/a")</f>
        <v>-1.4039999999999997</v>
      </c>
      <c r="O350" s="28">
        <f>IF(ISNUMBER(Data!AJ387),Data!AJ387/100,"n/a")</f>
        <v>0.14299999999999999</v>
      </c>
      <c r="P350" s="9">
        <f>IF(ISNUMBER(Data!AK387),Data!AK387/100,"n/a")</f>
        <v>0.1231</v>
      </c>
      <c r="Q350" s="8" t="str">
        <f>Data!AN387</f>
        <v>n/a</v>
      </c>
      <c r="R350" s="8">
        <f>Data!AP387</f>
        <v>18.241823262027964</v>
      </c>
      <c r="S350" s="8"/>
      <c r="T350" s="8"/>
      <c r="U350" s="8"/>
      <c r="V350" s="1">
        <f t="shared" si="10"/>
        <v>9</v>
      </c>
      <c r="W350" s="1">
        <f t="shared" si="11"/>
        <v>0</v>
      </c>
    </row>
    <row r="351" spans="1:23" hidden="1" x14ac:dyDescent="0.2">
      <c r="A351" s="7" t="str">
        <f>Data!A391</f>
        <v>LeMaitre Vascular, Inc.</v>
      </c>
      <c r="B351" s="7" t="str">
        <f>Data!B391</f>
        <v>LMAT</v>
      </c>
      <c r="C351" s="7" t="str">
        <f>Data!C391</f>
        <v>Health Care</v>
      </c>
      <c r="D351" s="8">
        <f>IF(ISNUMBER(Data!AL391),Data!AL391/1000,"n/a")</f>
        <v>1.1399999999999999</v>
      </c>
      <c r="E351" s="1">
        <f>Data!E391</f>
        <v>12</v>
      </c>
      <c r="F351" s="28">
        <f>Data!J391/100</f>
        <v>1.1520737327188941E-2</v>
      </c>
      <c r="G351" s="28">
        <f>IF(ISNUMBER(Data!S391),Data!S391/100,"n/a")</f>
        <v>0.15789473684210531</v>
      </c>
      <c r="H351" s="28">
        <f>IF(ISNUMBER(Data!T391),Data!T391/100,"n/a")</f>
        <v>0.16260329205681459</v>
      </c>
      <c r="I351" s="28">
        <f>IF(ISNUMBER(Data!U391),Data!U391/100,"n/a")</f>
        <v>0.20249402070384104</v>
      </c>
      <c r="J351" s="28">
        <f>IF(ISNUMBER(Data!V391),Data!V391/100,"n/a")</f>
        <v>0.2204785262458526</v>
      </c>
      <c r="K351" s="9">
        <f>IF(ISNUMBER(Data!Z391),Data!Z391/100,"n/a")</f>
        <v>0.52083333333333337</v>
      </c>
      <c r="L351" s="10">
        <f>Data!AA391</f>
        <v>45.208333333333336</v>
      </c>
      <c r="M351" s="10">
        <f>Data!AF391</f>
        <v>3.57</v>
      </c>
      <c r="N351" s="28">
        <f>IF(ISNUMBER(Data!AG391),Data!AG391/100,"n/a")</f>
        <v>0.106</v>
      </c>
      <c r="O351" s="28">
        <f>IF(ISNUMBER(Data!AJ391),Data!AJ391/100,"n/a")</f>
        <v>0.17899999999999999</v>
      </c>
      <c r="P351" s="9">
        <f>IF(ISNUMBER(Data!AK391),Data!AK391/100,"n/a")</f>
        <v>2.6000000000000002E-2</v>
      </c>
      <c r="Q351" s="8">
        <f>Data!AN391</f>
        <v>0</v>
      </c>
      <c r="R351" s="8">
        <f>Data!AP391</f>
        <v>21.401475803102997</v>
      </c>
      <c r="S351" s="8"/>
      <c r="T351" s="8"/>
      <c r="U351" s="8"/>
      <c r="V351" s="1">
        <f t="shared" si="10"/>
        <v>8</v>
      </c>
      <c r="W351" s="1">
        <f t="shared" si="11"/>
        <v>0</v>
      </c>
    </row>
    <row r="352" spans="1:23" hidden="1" x14ac:dyDescent="0.2">
      <c r="A352" s="7" t="str">
        <f>Data!A395</f>
        <v>Alliant Energy Corporation</v>
      </c>
      <c r="B352" s="7" t="str">
        <f>Data!B395</f>
        <v>LNT</v>
      </c>
      <c r="C352" s="7" t="str">
        <f>Data!C395</f>
        <v>Utilities</v>
      </c>
      <c r="D352" s="8">
        <f>IF(ISNUMBER(Data!AL395),Data!AL395/1000,"n/a")</f>
        <v>12.77</v>
      </c>
      <c r="E352" s="1">
        <f>Data!E395</f>
        <v>19</v>
      </c>
      <c r="F352" s="28">
        <f>Data!J395/100</f>
        <v>3.2777458309373203E-2</v>
      </c>
      <c r="G352" s="28">
        <f>IF(ISNUMBER(Data!S395),Data!S395/100,"n/a")</f>
        <v>5.9210526315789602E-2</v>
      </c>
      <c r="H352" s="28">
        <f>IF(ISNUMBER(Data!T395),Data!T395/100,"n/a")</f>
        <v>6.3098958196630361E-2</v>
      </c>
      <c r="I352" s="28">
        <f>IF(ISNUMBER(Data!U395),Data!U395/100,"n/a")</f>
        <v>6.5019603761798273E-2</v>
      </c>
      <c r="J352" s="28">
        <f>IF(ISNUMBER(Data!V395),Data!V395/100,"n/a")</f>
        <v>6.5959476892987867E-2</v>
      </c>
      <c r="K352" s="9">
        <f>IF(ISNUMBER(Data!Z395),Data!Z395/100,"n/a")</f>
        <v>0.61732851985559567</v>
      </c>
      <c r="L352" s="10">
        <f>Data!AA395</f>
        <v>18.833935018050543</v>
      </c>
      <c r="M352" s="10">
        <f>Data!AF395</f>
        <v>2.14</v>
      </c>
      <c r="N352" s="28">
        <f>IF(ISNUMBER(Data!AG395),Data!AG395/100,"n/a")</f>
        <v>0.115</v>
      </c>
      <c r="O352" s="28">
        <f>IF(ISNUMBER(Data!AJ395),Data!AJ395/100,"n/a")</f>
        <v>9.8000000000000004E-2</v>
      </c>
      <c r="P352" s="9">
        <f>IF(ISNUMBER(Data!AK395),Data!AK395/100,"n/a")</f>
        <v>5.800000000000001E-2</v>
      </c>
      <c r="Q352" s="8">
        <f>Data!AN395</f>
        <v>1.32</v>
      </c>
      <c r="R352" s="8">
        <f>Data!AP395</f>
        <v>9.7797062071171474</v>
      </c>
      <c r="S352" s="8"/>
      <c r="T352" s="8"/>
      <c r="U352" s="8"/>
      <c r="V352" s="1">
        <f t="shared" si="10"/>
        <v>9</v>
      </c>
      <c r="W352" s="1">
        <f t="shared" si="11"/>
        <v>0</v>
      </c>
    </row>
    <row r="353" spans="1:23" hidden="1" x14ac:dyDescent="0.2">
      <c r="A353" s="7" t="str">
        <f>Data!A388</f>
        <v>Linde plc</v>
      </c>
      <c r="B353" s="7" t="str">
        <f>Data!B388</f>
        <v>LIN</v>
      </c>
      <c r="C353" s="7" t="str">
        <f>Data!C388</f>
        <v>Materials</v>
      </c>
      <c r="D353" s="8">
        <f>IF(ISNUMBER(Data!AL388),Data!AL388/1000,"n/a")</f>
        <v>146.15</v>
      </c>
      <c r="E353" s="1">
        <f>Data!E388</f>
        <v>29</v>
      </c>
      <c r="F353" s="28">
        <f>Data!J388/100</f>
        <v>1.5739028081385571E-2</v>
      </c>
      <c r="G353" s="28">
        <f>IF(ISNUMBER(Data!S388),Data!S388/100,"n/a")</f>
        <v>0.10072689511941867</v>
      </c>
      <c r="H353" s="28">
        <f>IF(ISNUMBER(Data!T388),Data!T388/100,"n/a")</f>
        <v>8.7136237302499531E-2</v>
      </c>
      <c r="I353" s="28">
        <f>IF(ISNUMBER(Data!U388),Data!U388/100,"n/a")</f>
        <v>7.164001153355537E-2</v>
      </c>
      <c r="J353" s="28">
        <f>IF(ISNUMBER(Data!V388),Data!V388/100,"n/a")</f>
        <v>7.803679964745025E-2</v>
      </c>
      <c r="K353" s="9">
        <f>IF(ISNUMBER(Data!Z388),Data!Z388/100,"n/a")</f>
        <v>0.679245283018868</v>
      </c>
      <c r="L353" s="10">
        <f>Data!AA388</f>
        <v>43.156748911465897</v>
      </c>
      <c r="M353" s="10">
        <f>Data!AF388</f>
        <v>3.99</v>
      </c>
      <c r="N353" s="28">
        <f>IF(ISNUMBER(Data!AG388),Data!AG388/100,"n/a")</f>
        <v>9.4E-2</v>
      </c>
      <c r="O353" s="28">
        <f>IF(ISNUMBER(Data!AJ388),Data!AJ388/100,"n/a")</f>
        <v>7.0000000000000007E-2</v>
      </c>
      <c r="P353" s="9">
        <f>IF(ISNUMBER(Data!AK388),Data!AK388/100,"n/a")</f>
        <v>0.10489999999999998</v>
      </c>
      <c r="Q353" s="8">
        <f>Data!AN388</f>
        <v>0.41</v>
      </c>
      <c r="R353" s="8">
        <f>Data!AP388</f>
        <v>8.7379039614940943</v>
      </c>
      <c r="S353" s="8"/>
      <c r="T353" s="8"/>
      <c r="U353" s="8"/>
      <c r="V353" s="1">
        <f t="shared" si="10"/>
        <v>9</v>
      </c>
      <c r="W353" s="1">
        <f t="shared" si="11"/>
        <v>0</v>
      </c>
    </row>
    <row r="354" spans="1:23" hidden="1" x14ac:dyDescent="0.2">
      <c r="A354" s="7" t="str">
        <f>Data!A386</f>
        <v>L3Harris Technologies, Inc.</v>
      </c>
      <c r="B354" s="7" t="str">
        <f>Data!B386</f>
        <v>LHX</v>
      </c>
      <c r="C354" s="7" t="str">
        <f>Data!C386</f>
        <v>Industrials</v>
      </c>
      <c r="D354" s="8">
        <f>IF(ISNUMBER(Data!AL386),Data!AL386/1000,"n/a")</f>
        <v>48.37</v>
      </c>
      <c r="E354" s="1">
        <f>Data!E386</f>
        <v>21</v>
      </c>
      <c r="F354" s="28">
        <f>Data!J386/100</f>
        <v>1.8176654359556947E-2</v>
      </c>
      <c r="G354" s="28">
        <f>IF(ISNUMBER(Data!S386),Data!S386/100,"n/a")</f>
        <v>0.19999999999999996</v>
      </c>
      <c r="H354" s="28">
        <f>IF(ISNUMBER(Data!T386),Data!T386/100,"n/a")</f>
        <v>0.17578743245609238</v>
      </c>
      <c r="I354" s="28">
        <f>IF(ISNUMBER(Data!U386),Data!U386/100,"n/a")</f>
        <v>0.14645915988324498</v>
      </c>
      <c r="J354" s="28">
        <f>IF(ISNUMBER(Data!V386),Data!V386/100,"n/a")</f>
        <v>0.14428822714477074</v>
      </c>
      <c r="K354" s="9">
        <f>IF(ISNUMBER(Data!Z386),Data!Z386/100,"n/a")</f>
        <v>0.46185567010309286</v>
      </c>
      <c r="L354" s="10">
        <f>Data!AA386</f>
        <v>25.409278350515464</v>
      </c>
      <c r="M354" s="10">
        <f>Data!AF386</f>
        <v>2.5</v>
      </c>
      <c r="N354" s="28">
        <f>IF(ISNUMBER(Data!AG386),Data!AG386/100,"n/a")</f>
        <v>9.6000000000000002E-2</v>
      </c>
      <c r="O354" s="28">
        <f>IF(ISNUMBER(Data!AJ386),Data!AJ386/100,"n/a")</f>
        <v>0.125</v>
      </c>
      <c r="P354" s="9">
        <f>IF(ISNUMBER(Data!AK386),Data!AK386/100,"n/a")</f>
        <v>4.1399999999999999E-2</v>
      </c>
      <c r="Q354" s="8">
        <f>Data!AN386</f>
        <v>0.37</v>
      </c>
      <c r="R354" s="8">
        <f>Data!AP386</f>
        <v>16.463581424280193</v>
      </c>
      <c r="S354" s="8"/>
      <c r="T354" s="8"/>
      <c r="U354" s="8"/>
      <c r="V354" s="1">
        <f t="shared" si="10"/>
        <v>10</v>
      </c>
      <c r="W354" s="1">
        <f t="shared" si="11"/>
        <v>0</v>
      </c>
    </row>
    <row r="355" spans="1:23" hidden="1" x14ac:dyDescent="0.2">
      <c r="A355" s="7" t="str">
        <f>Data!A405</f>
        <v>Mid-America Apartment Communities, Inc.</v>
      </c>
      <c r="B355" s="7" t="str">
        <f>Data!B405</f>
        <v>MAA</v>
      </c>
      <c r="C355" s="7" t="str">
        <f>Data!C405</f>
        <v>Real Estate</v>
      </c>
      <c r="D355" s="8">
        <f>IF(ISNUMBER(Data!AL405),Data!AL405/1000,"n/a")</f>
        <v>18.27</v>
      </c>
      <c r="E355" s="1">
        <f>Data!E405</f>
        <v>12</v>
      </c>
      <c r="F355" s="28">
        <f>Data!J405/100</f>
        <v>3.1756113051762465E-2</v>
      </c>
      <c r="G355" s="28">
        <f>IF(ISNUMBER(Data!S405),Data!S405/100,"n/a")</f>
        <v>2.4999999999999911E-2</v>
      </c>
      <c r="H355" s="28">
        <f>IF(ISNUMBER(Data!T405),Data!T405/100,"n/a")</f>
        <v>3.5744168651286268E-2</v>
      </c>
      <c r="I355" s="28">
        <f>IF(ISNUMBER(Data!U405),Data!U405/100,"n/a")</f>
        <v>4.5639552591273169E-2</v>
      </c>
      <c r="J355" s="28">
        <f>IF(ISNUMBER(Data!V405),Data!V405/100,"n/a")</f>
        <v>5.029431202129242E-2</v>
      </c>
      <c r="K355" s="9">
        <f>IF(ISNUMBER(Data!Z405),Data!Z405/100,"n/a")</f>
        <v>0.92421441774491664</v>
      </c>
      <c r="L355" s="10">
        <f>Data!AA405</f>
        <v>29.103512014787427</v>
      </c>
      <c r="M355" s="10">
        <f>Data!AF405</f>
        <v>3.03</v>
      </c>
      <c r="N355" s="28">
        <f>IF(ISNUMBER(Data!AG405),Data!AG405/100,"n/a")</f>
        <v>0.105</v>
      </c>
      <c r="O355" s="28">
        <f>IF(ISNUMBER(Data!AJ405),Data!AJ405/100,"n/a")</f>
        <v>0.114</v>
      </c>
      <c r="P355" s="9">
        <f>IF(ISNUMBER(Data!AK405),Data!AK405/100,"n/a")</f>
        <v>7.0000000000000007E-2</v>
      </c>
      <c r="Q355" s="8">
        <f>Data!AN405</f>
        <v>0.76</v>
      </c>
      <c r="R355" s="8">
        <f>Data!AP405</f>
        <v>7.7395665643035638</v>
      </c>
      <c r="S355" s="8"/>
      <c r="T355" s="8"/>
      <c r="U355" s="8"/>
      <c r="V355" s="1">
        <f t="shared" si="10"/>
        <v>5</v>
      </c>
      <c r="W355" s="1">
        <f t="shared" si="11"/>
        <v>0</v>
      </c>
    </row>
    <row r="356" spans="1:23" hidden="1" x14ac:dyDescent="0.2">
      <c r="A356" s="7" t="str">
        <f>Data!A366</f>
        <v>KeyCorp</v>
      </c>
      <c r="B356" s="7" t="str">
        <f>Data!B366</f>
        <v>KEY</v>
      </c>
      <c r="C356" s="7" t="str">
        <f>Data!C366</f>
        <v>Financials</v>
      </c>
      <c r="D356" s="8">
        <f>IF(ISNUMBER(Data!AL366),Data!AL366/1000,"n/a")</f>
        <v>16.559999999999999</v>
      </c>
      <c r="E356" s="1">
        <f>Data!E366</f>
        <v>11</v>
      </c>
      <c r="F356" s="28">
        <f>Data!J366/100</f>
        <v>4.3648573027420257E-2</v>
      </c>
      <c r="G356" s="28">
        <f>IF(ISNUMBER(Data!S366),Data!S366/100,"n/a")</f>
        <v>1.3513513513513598E-2</v>
      </c>
      <c r="H356" s="28">
        <f>IF(ISNUMBER(Data!T366),Data!T366/100,"n/a")</f>
        <v>9.9016649653548061E-2</v>
      </c>
      <c r="I356" s="28">
        <f>IF(ISNUMBER(Data!U366),Data!U366/100,"n/a")</f>
        <v>0.17844539784792257</v>
      </c>
      <c r="J356" s="28">
        <f>IF(ISNUMBER(Data!V366),Data!V366/100,"n/a")</f>
        <v>0.2232243742416371</v>
      </c>
      <c r="K356" s="9">
        <f>IF(ISNUMBER(Data!Z366),Data!Z366/100,"n/a")</f>
        <v>0.3577981651376147</v>
      </c>
      <c r="L356" s="10">
        <f>Data!AA366</f>
        <v>8.1972477064220186</v>
      </c>
      <c r="M356" s="10">
        <f>Data!AF366</f>
        <v>1.34</v>
      </c>
      <c r="N356" s="28">
        <f>IF(ISNUMBER(Data!AG366),Data!AG366/100,"n/a")</f>
        <v>0.16400000000000003</v>
      </c>
      <c r="O356" s="28">
        <f>IF(ISNUMBER(Data!AJ366),Data!AJ366/100,"n/a")</f>
        <v>0.26700000000000002</v>
      </c>
      <c r="P356" s="9">
        <f>IF(ISNUMBER(Data!AK366),Data!AK366/100,"n/a")</f>
        <v>7.1999999999999998E-3</v>
      </c>
      <c r="Q356" s="8">
        <f>Data!AN366</f>
        <v>1.33</v>
      </c>
      <c r="R356" s="8">
        <f>Data!AP366</f>
        <v>22.209397087534285</v>
      </c>
      <c r="S356" s="8"/>
      <c r="T356" s="8"/>
      <c r="U356" s="8"/>
      <c r="V356" s="1">
        <f t="shared" si="10"/>
        <v>9</v>
      </c>
      <c r="W356" s="1">
        <f t="shared" si="11"/>
        <v>0</v>
      </c>
    </row>
    <row r="357" spans="1:23" hidden="1" x14ac:dyDescent="0.2">
      <c r="A357" s="7" t="str">
        <f>Data!A382</f>
        <v>LCI Industries</v>
      </c>
      <c r="B357" s="7" t="str">
        <f>Data!B382</f>
        <v>LCII</v>
      </c>
      <c r="C357" s="7" t="str">
        <f>Data!C382</f>
        <v>Consumer Discretionary</v>
      </c>
      <c r="D357" s="8">
        <f>IF(ISNUMBER(Data!AL382),Data!AL382/1000,"n/a")</f>
        <v>2.64</v>
      </c>
      <c r="E357" s="1">
        <f>Data!E382</f>
        <v>7</v>
      </c>
      <c r="F357" s="28">
        <f>Data!J382/100</f>
        <v>3.9581566299123551E-2</v>
      </c>
      <c r="G357" s="28">
        <f>IF(ISNUMBER(Data!S382),Data!S382/100,"n/a")</f>
        <v>0.23214285714285723</v>
      </c>
      <c r="H357" s="28">
        <f>IF(ISNUMBER(Data!T382),Data!T382/100,"n/a")</f>
        <v>0.13653743312138666</v>
      </c>
      <c r="I357" s="28">
        <f>IF(ISNUMBER(Data!U382),Data!U382/100,"n/a")</f>
        <v>0.25685530329293171</v>
      </c>
      <c r="J357" s="28" t="str">
        <f>IF(ISNUMBER(Data!V382),Data!V382/100,"n/a")</f>
        <v>n/a</v>
      </c>
      <c r="K357" s="9">
        <f>IF(ISNUMBER(Data!Z382),Data!Z382/100,"n/a")</f>
        <v>0.21571648690292761</v>
      </c>
      <c r="L357" s="10">
        <f>Data!AA382</f>
        <v>5.4499229583975346</v>
      </c>
      <c r="M357" s="10">
        <f>Data!AF382</f>
        <v>1.97</v>
      </c>
      <c r="N357" s="28">
        <f>IF(ISNUMBER(Data!AG382),Data!AG382/100,"n/a")</f>
        <v>0.41600000000000004</v>
      </c>
      <c r="O357" s="28">
        <f>IF(ISNUMBER(Data!AJ382),Data!AJ382/100,"n/a")</f>
        <v>0.16800000000000001</v>
      </c>
      <c r="P357" s="9">
        <f>IF(ISNUMBER(Data!AK382),Data!AK382/100,"n/a")</f>
        <v>0.2</v>
      </c>
      <c r="Q357" s="8">
        <f>Data!AN382</f>
        <v>0.81</v>
      </c>
      <c r="R357" s="8">
        <f>Data!AP382</f>
        <v>29.643686959205528</v>
      </c>
      <c r="S357" s="8"/>
      <c r="T357" s="8"/>
      <c r="U357" s="8"/>
      <c r="V357" s="1">
        <f t="shared" si="10"/>
        <v>9</v>
      </c>
      <c r="W357" s="1">
        <f t="shared" si="11"/>
        <v>0</v>
      </c>
    </row>
    <row r="358" spans="1:23" hidden="1" x14ac:dyDescent="0.2">
      <c r="A358" s="7" t="str">
        <f>Data!A406</f>
        <v>Main Street Capital</v>
      </c>
      <c r="B358" s="7" t="str">
        <f>Data!B406</f>
        <v>MAIN</v>
      </c>
      <c r="C358" s="7" t="str">
        <f>Data!C406</f>
        <v>Financials</v>
      </c>
      <c r="D358" s="8">
        <f>IF(ISNUMBER(Data!AL406),Data!AL406/1000,"n/a")</f>
        <v>2.72</v>
      </c>
      <c r="E358" s="1">
        <f>Data!E406</f>
        <v>12</v>
      </c>
      <c r="F358" s="28">
        <f>Data!J406/100</f>
        <v>7.1467244179750949E-2</v>
      </c>
      <c r="G358" s="28">
        <f>IF(ISNUMBER(Data!S406),Data!S406/100,"n/a")</f>
        <v>6.0975609756097615E-3</v>
      </c>
      <c r="H358" s="28">
        <f>IF(ISNUMBER(Data!T406),Data!T406/100,"n/a")</f>
        <v>2.5488602286219519E-2</v>
      </c>
      <c r="I358" s="28">
        <f>IF(ISNUMBER(Data!U406),Data!U406/100,"n/a")</f>
        <v>2.6179154775372693E-2</v>
      </c>
      <c r="J358" s="28">
        <f>IF(ISNUMBER(Data!V406),Data!V406/100,"n/a")</f>
        <v>4.7237199154959164E-2</v>
      </c>
      <c r="K358" s="9">
        <f>IF(ISNUMBER(Data!Z406),Data!Z406/100,"n/a")</f>
        <v>0.71934604904632171</v>
      </c>
      <c r="L358" s="10">
        <f>Data!AA406</f>
        <v>10.065395095367847</v>
      </c>
      <c r="M358" s="10">
        <f>Data!AF406</f>
        <v>1.45</v>
      </c>
      <c r="N358" s="28">
        <f>IF(ISNUMBER(Data!AG406),Data!AG406/100,"n/a")</f>
        <v>0.14299999999999999</v>
      </c>
      <c r="O358" s="28">
        <f>IF(ISNUMBER(Data!AJ406),Data!AJ406/100,"n/a")</f>
        <v>0.124</v>
      </c>
      <c r="P358" s="9">
        <f>IF(ISNUMBER(Data!AK406),Data!AK406/100,"n/a")</f>
        <v>0.08</v>
      </c>
      <c r="Q358" s="8">
        <f>Data!AN406</f>
        <v>1</v>
      </c>
      <c r="R358" s="8">
        <f>Data!AP406</f>
        <v>9.7646398955123637</v>
      </c>
      <c r="S358" s="8"/>
      <c r="T358" s="8"/>
      <c r="U358" s="8"/>
      <c r="V358" s="1">
        <f t="shared" si="10"/>
        <v>5</v>
      </c>
      <c r="W358" s="1">
        <f t="shared" si="11"/>
        <v>0</v>
      </c>
    </row>
    <row r="359" spans="1:23" hidden="1" x14ac:dyDescent="0.2">
      <c r="A359" s="7" t="str">
        <f>Data!A403</f>
        <v>LyondellBasell Industries N.V.</v>
      </c>
      <c r="B359" s="7" t="str">
        <f>Data!B403</f>
        <v>LYB</v>
      </c>
      <c r="C359" s="7" t="str">
        <f>Data!C403</f>
        <v>Materials</v>
      </c>
      <c r="D359" s="8">
        <f>IF(ISNUMBER(Data!AL403),Data!AL403/1000,"n/a")</f>
        <v>26.92</v>
      </c>
      <c r="E359" s="1">
        <f>Data!E403</f>
        <v>12</v>
      </c>
      <c r="F359" s="28">
        <f>Data!J403/100</f>
        <v>6.2262916939175926E-2</v>
      </c>
      <c r="G359" s="28">
        <f>IF(ISNUMBER(Data!S403),Data!S403/100,"n/a")</f>
        <v>5.7142857142857162E-2</v>
      </c>
      <c r="H359" s="28">
        <f>IF(ISNUMBER(Data!T403),Data!T403/100,"n/a")</f>
        <v>3.5398805448406234E-2</v>
      </c>
      <c r="I359" s="28">
        <f>IF(ISNUMBER(Data!U403),Data!U403/100,"n/a")</f>
        <v>5.9223841048812176E-2</v>
      </c>
      <c r="J359" s="28">
        <f>IF(ISNUMBER(Data!V403),Data!V403/100,"n/a")</f>
        <v>0.23225908309193777</v>
      </c>
      <c r="K359" s="9">
        <f>IF(ISNUMBER(Data!Z403),Data!Z403/100,"n/a")</f>
        <v>0.28918590522478732</v>
      </c>
      <c r="L359" s="10">
        <f>Data!AA403</f>
        <v>4.6445929526123937</v>
      </c>
      <c r="M359" s="10">
        <f>Data!AF403</f>
        <v>2.09</v>
      </c>
      <c r="N359" s="28">
        <f>IF(ISNUMBER(Data!AG403),Data!AG403/100,"n/a")</f>
        <v>0.34799999999999998</v>
      </c>
      <c r="O359" s="28">
        <f>IF(ISNUMBER(Data!AJ403),Data!AJ403/100,"n/a")</f>
        <v>0.129</v>
      </c>
      <c r="P359" s="9">
        <f>IF(ISNUMBER(Data!AK403),Data!AK403/100,"n/a")</f>
        <v>-0.1457</v>
      </c>
      <c r="Q359" s="8">
        <f>Data!AN403</f>
        <v>0.93</v>
      </c>
      <c r="R359" s="8">
        <f>Data!AP403</f>
        <v>12.148675798798809</v>
      </c>
      <c r="S359" s="8"/>
      <c r="T359" s="8"/>
      <c r="U359" s="8"/>
      <c r="V359" s="1">
        <f t="shared" si="10"/>
        <v>8</v>
      </c>
      <c r="W359" s="1">
        <f t="shared" si="11"/>
        <v>0</v>
      </c>
    </row>
    <row r="360" spans="1:23" hidden="1" x14ac:dyDescent="0.2">
      <c r="A360" s="7" t="str">
        <f>Data!A393</f>
        <v>Lincoln National Corporation</v>
      </c>
      <c r="B360" s="7" t="str">
        <f>Data!B393</f>
        <v>LNC</v>
      </c>
      <c r="C360" s="7" t="str">
        <f>Data!C393</f>
        <v>Financials</v>
      </c>
      <c r="D360" s="8">
        <f>IF(ISNUMBER(Data!AL393),Data!AL393/1000,"n/a")</f>
        <v>8.92</v>
      </c>
      <c r="E360" s="1">
        <f>Data!E393</f>
        <v>12</v>
      </c>
      <c r="F360" s="28">
        <f>Data!J393/100</f>
        <v>3.3413773900129944E-2</v>
      </c>
      <c r="G360" s="28">
        <f>IF(ISNUMBER(Data!S393),Data!S393/100,"n/a")</f>
        <v>4.9999999999999822E-2</v>
      </c>
      <c r="H360" s="28">
        <f>IF(ISNUMBER(Data!T393),Data!T393/100,"n/a")</f>
        <v>8.3706762661827097E-2</v>
      </c>
      <c r="I360" s="28">
        <f>IF(ISNUMBER(Data!U393),Data!U393/100,"n/a")</f>
        <v>0.10933280572585158</v>
      </c>
      <c r="J360" s="28">
        <f>IF(ISNUMBER(Data!V393),Data!V393/100,"n/a")</f>
        <v>0.23716586458402933</v>
      </c>
      <c r="K360" s="9">
        <f>IF(ISNUMBER(Data!Z393),Data!Z393/100,"n/a")</f>
        <v>0.34749034749034746</v>
      </c>
      <c r="L360" s="10">
        <f>Data!AA393</f>
        <v>10.3996138996139</v>
      </c>
      <c r="M360" s="10">
        <f>Data!AF393</f>
        <v>1.01</v>
      </c>
      <c r="N360" s="28">
        <f>IF(ISNUMBER(Data!AG393),Data!AG393/100,"n/a")</f>
        <v>5.4000000000000006E-2</v>
      </c>
      <c r="O360" s="28">
        <f>IF(ISNUMBER(Data!AJ393),Data!AJ393/100,"n/a")</f>
        <v>9.3000000000000013E-2</v>
      </c>
      <c r="P360" s="9">
        <f>IF(ISNUMBER(Data!AK393),Data!AK393/100,"n/a")</f>
        <v>0.16650000000000001</v>
      </c>
      <c r="Q360" s="8">
        <f>Data!AN393</f>
        <v>0.71</v>
      </c>
      <c r="R360" s="8">
        <f>Data!AP393</f>
        <v>14.274657962598152</v>
      </c>
      <c r="S360" s="8"/>
      <c r="T360" s="8"/>
      <c r="U360" s="8"/>
      <c r="V360" s="1">
        <f t="shared" si="10"/>
        <v>9</v>
      </c>
      <c r="W360" s="1">
        <f t="shared" si="11"/>
        <v>0</v>
      </c>
    </row>
    <row r="361" spans="1:23" hidden="1" x14ac:dyDescent="0.2">
      <c r="A361" s="7" t="str">
        <f>Data!A385</f>
        <v>Littelfuse, Inc.</v>
      </c>
      <c r="B361" s="7" t="str">
        <f>Data!B385</f>
        <v>LFUS</v>
      </c>
      <c r="C361" s="7" t="str">
        <f>Data!C385</f>
        <v>Information Technology</v>
      </c>
      <c r="D361" s="8">
        <f>IF(ISNUMBER(Data!AL385),Data!AL385/1000,"n/a")</f>
        <v>5.37</v>
      </c>
      <c r="E361" s="1">
        <f>Data!E385</f>
        <v>13</v>
      </c>
      <c r="F361" s="28">
        <f>Data!J385/100</f>
        <v>1.0896708286038592E-2</v>
      </c>
      <c r="G361" s="28">
        <f>IF(ISNUMBER(Data!S385),Data!S385/100,"n/a")</f>
        <v>5.2083333333333481E-2</v>
      </c>
      <c r="H361" s="28">
        <f>IF(ISNUMBER(Data!T385),Data!T385/100,"n/a")</f>
        <v>8.0796166472541397E-2</v>
      </c>
      <c r="I361" s="28">
        <f>IF(ISNUMBER(Data!U385),Data!U385/100,"n/a")</f>
        <v>0.10251863022486397</v>
      </c>
      <c r="J361" s="28">
        <f>IF(ISNUMBER(Data!V385),Data!V385/100,"n/a")</f>
        <v>0.11835772867888217</v>
      </c>
      <c r="K361" s="9">
        <f>IF(ISNUMBER(Data!Z385),Data!Z385/100,"n/a")</f>
        <v>0.17191977077363896</v>
      </c>
      <c r="L361" s="10">
        <f>Data!AA385</f>
        <v>15.777220630372492</v>
      </c>
      <c r="M361" s="10">
        <f>Data!AF385</f>
        <v>2.69</v>
      </c>
      <c r="N361" s="28">
        <f>IF(ISNUMBER(Data!AG385),Data!AG385/100,"n/a")</f>
        <v>0.17899999999999999</v>
      </c>
      <c r="O361" s="28">
        <f>IF(ISNUMBER(Data!AJ385),Data!AJ385/100,"n/a")</f>
        <v>0.19900000000000001</v>
      </c>
      <c r="P361" s="9">
        <f>IF(ISNUMBER(Data!AK385),Data!AK385/100,"n/a")</f>
        <v>0.10299999999999999</v>
      </c>
      <c r="Q361" s="8">
        <f>Data!AN385</f>
        <v>0.43</v>
      </c>
      <c r="R361" s="8">
        <f>Data!AP385</f>
        <v>11.341533851090256</v>
      </c>
      <c r="S361" s="8"/>
      <c r="T361" s="8"/>
      <c r="U361" s="8"/>
      <c r="V361" s="1">
        <f t="shared" si="10"/>
        <v>10</v>
      </c>
      <c r="W361" s="1">
        <f t="shared" si="11"/>
        <v>0</v>
      </c>
    </row>
    <row r="362" spans="1:23" hidden="1" x14ac:dyDescent="0.2">
      <c r="A362" s="7" t="str">
        <f>Data!A404</f>
        <v>Mastercard Incorporated</v>
      </c>
      <c r="B362" s="7" t="str">
        <f>Data!B404</f>
        <v>MA</v>
      </c>
      <c r="C362" s="7" t="str">
        <f>Data!C404</f>
        <v>Information Technology</v>
      </c>
      <c r="D362" s="8">
        <f>IF(ISNUMBER(Data!AL404),Data!AL404/1000,"n/a")</f>
        <v>308.63</v>
      </c>
      <c r="E362" s="1">
        <f>Data!E404</f>
        <v>11</v>
      </c>
      <c r="F362" s="28">
        <f>Data!J404/100</f>
        <v>5.9723322566884026E-3</v>
      </c>
      <c r="G362" s="28">
        <f>IF(ISNUMBER(Data!S404),Data!S404/100,"n/a")</f>
        <v>9.9999999999999853E-2</v>
      </c>
      <c r="H362" s="28">
        <f>IF(ISNUMBER(Data!T404),Data!T404/100,"n/a")</f>
        <v>0.20736214735953731</v>
      </c>
      <c r="I362" s="28">
        <f>IF(ISNUMBER(Data!U404),Data!U404/100,"n/a")</f>
        <v>0.18287762019416953</v>
      </c>
      <c r="J362" s="28">
        <f>IF(ISNUMBER(Data!V404),Data!V404/100,"n/a")</f>
        <v>0.40196167540781658</v>
      </c>
      <c r="K362" s="9">
        <f>IF(ISNUMBER(Data!Z404),Data!Z404/100,"n/a")</f>
        <v>0.19858156028368795</v>
      </c>
      <c r="L362" s="10">
        <f>Data!AA404</f>
        <v>33.250253292806491</v>
      </c>
      <c r="M362" s="10">
        <f>Data!AF404</f>
        <v>50</v>
      </c>
      <c r="N362" s="28">
        <f>IF(ISNUMBER(Data!AG404),Data!AG404/100,"n/a")</f>
        <v>1.456</v>
      </c>
      <c r="O362" s="28">
        <f>IF(ISNUMBER(Data!AJ404),Data!AJ404/100,"n/a")</f>
        <v>0.18899999999999997</v>
      </c>
      <c r="P362" s="9">
        <f>IF(ISNUMBER(Data!AK404),Data!AK404/100,"n/a")</f>
        <v>0.2114</v>
      </c>
      <c r="Q362" s="8">
        <f>Data!AN404</f>
        <v>2.2799999999999998</v>
      </c>
      <c r="R362" s="8">
        <f>Data!AP404</f>
        <v>18.884995245085793</v>
      </c>
      <c r="S362" s="8"/>
      <c r="T362" s="8"/>
      <c r="U362" s="8"/>
      <c r="V362" s="1">
        <f t="shared" si="10"/>
        <v>8</v>
      </c>
      <c r="W362" s="1">
        <f t="shared" si="11"/>
        <v>0</v>
      </c>
    </row>
    <row r="363" spans="1:23" hidden="1" x14ac:dyDescent="0.2">
      <c r="A363" s="7" t="str">
        <f>Data!A390</f>
        <v>Eli Lilly and Company</v>
      </c>
      <c r="B363" s="7" t="str">
        <f>Data!B390</f>
        <v>LLY</v>
      </c>
      <c r="C363" s="7" t="str">
        <f>Data!C390</f>
        <v>Health Care</v>
      </c>
      <c r="D363" s="8">
        <f>IF(ISNUMBER(Data!AL390),Data!AL390/1000,"n/a")</f>
        <v>338.58</v>
      </c>
      <c r="E363" s="1">
        <f>Data!E390</f>
        <v>8</v>
      </c>
      <c r="F363" s="28">
        <f>Data!J390/100</f>
        <v>1.082603772542738E-2</v>
      </c>
      <c r="G363" s="28">
        <f>IF(ISNUMBER(Data!S390),Data!S390/100,"n/a")</f>
        <v>0.14864864864864868</v>
      </c>
      <c r="H363" s="28">
        <f>IF(ISNUMBER(Data!T390),Data!T390/100,"n/a")</f>
        <v>0.1475337471508773</v>
      </c>
      <c r="I363" s="28">
        <f>IF(ISNUMBER(Data!U390),Data!U390/100,"n/a")</f>
        <v>0.10756634324828983</v>
      </c>
      <c r="J363" s="28">
        <f>IF(ISNUMBER(Data!V390),Data!V390/100,"n/a")</f>
        <v>5.6628412450983268E-2</v>
      </c>
      <c r="K363" s="9">
        <f>IF(ISNUMBER(Data!Z390),Data!Z390/100,"n/a")</f>
        <v>0.62519936204146731</v>
      </c>
      <c r="L363" s="10">
        <f>Data!AA390</f>
        <v>57.749601275917065</v>
      </c>
      <c r="M363" s="10">
        <f>Data!AF390</f>
        <v>37.92</v>
      </c>
      <c r="N363" s="28">
        <f>IF(ISNUMBER(Data!AG390),Data!AG390/100,"n/a")</f>
        <v>0.65799999999999992</v>
      </c>
      <c r="O363" s="28">
        <f>IF(ISNUMBER(Data!AJ390),Data!AJ390/100,"n/a")</f>
        <v>0.18899999999999997</v>
      </c>
      <c r="P363" s="9">
        <f>IF(ISNUMBER(Data!AK390),Data!AK390/100,"n/a")</f>
        <v>0.16800000000000001</v>
      </c>
      <c r="Q363" s="8">
        <f>Data!AN390</f>
        <v>1.97</v>
      </c>
      <c r="R363" s="8">
        <f>Data!AP390</f>
        <v>11.839238097371721</v>
      </c>
      <c r="S363" s="8"/>
      <c r="T363" s="8"/>
      <c r="U363" s="8"/>
      <c r="V363" s="1">
        <f t="shared" si="10"/>
        <v>7</v>
      </c>
      <c r="W363" s="1">
        <f t="shared" si="11"/>
        <v>0</v>
      </c>
    </row>
    <row r="364" spans="1:23" hidden="1" x14ac:dyDescent="0.2">
      <c r="A364" s="7" t="str">
        <f>Data!A372</f>
        <v>The Coca-Cola Company</v>
      </c>
      <c r="B364" s="7" t="str">
        <f>Data!B372</f>
        <v>KO</v>
      </c>
      <c r="C364" s="7" t="str">
        <f>Data!C372</f>
        <v>Consumer Staples</v>
      </c>
      <c r="D364" s="8">
        <f>IF(ISNUMBER(Data!AL372),Data!AL372/1000,"n/a")</f>
        <v>257.44</v>
      </c>
      <c r="E364" s="1">
        <f>Data!E372</f>
        <v>60</v>
      </c>
      <c r="F364" s="28">
        <f>Data!J372/100</f>
        <v>2.9406850459482037E-2</v>
      </c>
      <c r="G364" s="28">
        <f>IF(ISNUMBER(Data!S372),Data!S372/100,"n/a")</f>
        <v>2.4390243902439046E-2</v>
      </c>
      <c r="H364" s="28">
        <f>IF(ISNUMBER(Data!T372),Data!T372/100,"n/a")</f>
        <v>2.501029596576787E-2</v>
      </c>
      <c r="I364" s="28">
        <f>IF(ISNUMBER(Data!U372),Data!U372/100,"n/a")</f>
        <v>3.7137289336648172E-2</v>
      </c>
      <c r="J364" s="28">
        <f>IF(ISNUMBER(Data!V372),Data!V372/100,"n/a")</f>
        <v>5.9785913906893473E-2</v>
      </c>
      <c r="K364" s="9">
        <f>IF(ISNUMBER(Data!Z372),Data!Z372/100,"n/a")</f>
        <v>0.77192982456140358</v>
      </c>
      <c r="L364" s="10">
        <f>Data!AA372</f>
        <v>26.250000000000004</v>
      </c>
      <c r="M364" s="10">
        <f>Data!AF372</f>
        <v>11.53</v>
      </c>
      <c r="N364" s="28">
        <f>IF(ISNUMBER(Data!AG372),Data!AG372/100,"n/a")</f>
        <v>0.42399999999999999</v>
      </c>
      <c r="O364" s="28">
        <f>IF(ISNUMBER(Data!AJ372),Data!AJ372/100,"n/a")</f>
        <v>8.5000000000000006E-2</v>
      </c>
      <c r="P364" s="9">
        <f>IF(ISNUMBER(Data!AK372),Data!AK372/100,"n/a")</f>
        <v>5.0099999999999999E-2</v>
      </c>
      <c r="Q364" s="8">
        <f>Data!AN372</f>
        <v>1.74</v>
      </c>
      <c r="R364" s="8">
        <f>Data!AP372</f>
        <v>6.6544139796130208</v>
      </c>
      <c r="S364" s="8"/>
      <c r="T364" s="8"/>
      <c r="U364" s="8"/>
      <c r="V364" s="1">
        <f t="shared" si="10"/>
        <v>6</v>
      </c>
      <c r="W364" s="1">
        <f t="shared" si="11"/>
        <v>0</v>
      </c>
    </row>
    <row r="365" spans="1:23" hidden="1" x14ac:dyDescent="0.2">
      <c r="A365" s="7" t="str">
        <f>Data!A375</f>
        <v>Kearny Financial Corp.</v>
      </c>
      <c r="B365" s="7" t="str">
        <f>Data!B375</f>
        <v>KRNY</v>
      </c>
      <c r="C365" s="7" t="str">
        <f>Data!C375</f>
        <v>Financials</v>
      </c>
      <c r="D365" s="8">
        <f>IF(ISNUMBER(Data!AL375),Data!AL375/1000,"n/a")</f>
        <v>0.75475999999999999</v>
      </c>
      <c r="E365" s="1">
        <f>Data!E375</f>
        <v>7</v>
      </c>
      <c r="F365" s="28">
        <f>Data!J375/100</f>
        <v>4.3392504930966469E-2</v>
      </c>
      <c r="G365" s="28">
        <f>IF(ISNUMBER(Data!S375),Data!S375/100,"n/a")</f>
        <v>0.25</v>
      </c>
      <c r="H365" s="28">
        <f>IF(ISNUMBER(Data!T375),Data!T375/100,"n/a")</f>
        <v>0.35720880829745338</v>
      </c>
      <c r="I365" s="28">
        <f>IF(ISNUMBER(Data!U375),Data!U375/100,"n/a")</f>
        <v>0.37972966146121495</v>
      </c>
      <c r="J365" s="28">
        <f>IF(ISNUMBER(Data!V375),Data!V375/100,"n/a")</f>
        <v>7.1773462536293131E-2</v>
      </c>
      <c r="K365" s="9">
        <f>IF(ISNUMBER(Data!Z375),Data!Z375/100,"n/a")</f>
        <v>0.4631578947368421</v>
      </c>
      <c r="L365" s="10">
        <f>Data!AA375</f>
        <v>10.673684210526316</v>
      </c>
      <c r="M365" s="10">
        <f>Data!AF375</f>
        <v>0.8</v>
      </c>
      <c r="N365" s="28">
        <f>IF(ISNUMBER(Data!AG375),Data!AG375/100,"n/a")</f>
        <v>7.6999999999999999E-2</v>
      </c>
      <c r="O365" s="28">
        <f>IF(ISNUMBER(Data!AJ375),Data!AJ375/100,"n/a")</f>
        <v>0.34100000000000003</v>
      </c>
      <c r="P365" s="9">
        <f>IF(ISNUMBER(Data!AK375),Data!AK375/100,"n/a")</f>
        <v>0.04</v>
      </c>
      <c r="Q365" s="8">
        <f>Data!AN375</f>
        <v>0.28000000000000003</v>
      </c>
      <c r="R365" s="8">
        <f>Data!AP375</f>
        <v>42.312216639218143</v>
      </c>
      <c r="S365" s="8"/>
      <c r="T365" s="8"/>
      <c r="U365" s="8"/>
      <c r="V365" s="1">
        <f t="shared" si="10"/>
        <v>10</v>
      </c>
      <c r="W365" s="1">
        <f t="shared" si="11"/>
        <v>0</v>
      </c>
    </row>
    <row r="366" spans="1:23" hidden="1" x14ac:dyDescent="0.2">
      <c r="A366" s="7" t="str">
        <f>Data!A374</f>
        <v>Kilroy Realty Corporation</v>
      </c>
      <c r="B366" s="7" t="str">
        <f>Data!B374</f>
        <v>KRC</v>
      </c>
      <c r="C366" s="7" t="str">
        <f>Data!C374</f>
        <v>Real Estate</v>
      </c>
      <c r="D366" s="8">
        <f>IF(ISNUMBER(Data!AL374),Data!AL374/1000,"n/a")</f>
        <v>4.96</v>
      </c>
      <c r="E366" s="1">
        <f>Data!E374</f>
        <v>7</v>
      </c>
      <c r="F366" s="28">
        <f>Data!J374/100</f>
        <v>5.0538137576041177E-2</v>
      </c>
      <c r="G366" s="28">
        <f>IF(ISNUMBER(Data!S374),Data!S374/100,"n/a")</f>
        <v>3.3248081841432242E-2</v>
      </c>
      <c r="H366" s="28">
        <f>IF(ISNUMBER(Data!T374),Data!T374/100,"n/a")</f>
        <v>4.6998920438107383E-2</v>
      </c>
      <c r="I366" s="28">
        <f>IF(ISNUMBER(Data!U374),Data!U374/100,"n/a")</f>
        <v>6.855448978091383E-2</v>
      </c>
      <c r="J366" s="28">
        <f>IF(ISNUMBER(Data!V374),Data!V374/100,"n/a")</f>
        <v>3.7342887042178363E-2</v>
      </c>
      <c r="K366" s="9">
        <f>IF(ISNUMBER(Data!Z374),Data!Z374/100,"n/a")</f>
        <v>1.1191709844559588</v>
      </c>
      <c r="L366" s="10">
        <f>Data!AA374</f>
        <v>22.145077720207254</v>
      </c>
      <c r="M366" s="10">
        <f>Data!AF374</f>
        <v>0.92</v>
      </c>
      <c r="N366" s="28">
        <f>IF(ISNUMBER(Data!AG374),Data!AG374/100,"n/a")</f>
        <v>4.2000000000000003E-2</v>
      </c>
      <c r="O366" s="28">
        <f>IF(ISNUMBER(Data!AJ374),Data!AJ374/100,"n/a")</f>
        <v>0.125</v>
      </c>
      <c r="P366" s="9" t="str">
        <f>IF(ISNUMBER(Data!AK374),Data!AK374/100,"n/a")</f>
        <v>n/a</v>
      </c>
      <c r="Q366" s="8">
        <f>Data!AN374</f>
        <v>0.75</v>
      </c>
      <c r="R366" s="8">
        <f>Data!AP374</f>
        <v>11.909262735695501</v>
      </c>
      <c r="S366" s="8"/>
      <c r="T366" s="8"/>
      <c r="U366" s="8"/>
      <c r="V366" s="1">
        <f t="shared" si="10"/>
        <v>4</v>
      </c>
      <c r="W366" s="1">
        <f t="shared" si="11"/>
        <v>0</v>
      </c>
    </row>
    <row r="367" spans="1:23" hidden="1" x14ac:dyDescent="0.2">
      <c r="A367" s="7" t="str">
        <f>Data!A373</f>
        <v>The Kroger Co.</v>
      </c>
      <c r="B367" s="7" t="str">
        <f>Data!B373</f>
        <v>KR</v>
      </c>
      <c r="C367" s="7" t="str">
        <f>Data!C373</f>
        <v>Consumer Staples</v>
      </c>
      <c r="D367" s="8">
        <f>IF(ISNUMBER(Data!AL373),Data!AL373/1000,"n/a")</f>
        <v>32.700000000000003</v>
      </c>
      <c r="E367" s="1">
        <f>Data!E373</f>
        <v>17</v>
      </c>
      <c r="F367" s="28">
        <f>Data!J373/100</f>
        <v>2.1991964474518927E-2</v>
      </c>
      <c r="G367" s="28">
        <f>IF(ISNUMBER(Data!S373),Data!S373/100,"n/a")</f>
        <v>0.14705882352941169</v>
      </c>
      <c r="H367" s="28">
        <f>IF(ISNUMBER(Data!T373),Data!T373/100,"n/a")</f>
        <v>0.13746902159841756</v>
      </c>
      <c r="I367" s="28">
        <f>IF(ISNUMBER(Data!U373),Data!U373/100,"n/a")</f>
        <v>0.11628841548417412</v>
      </c>
      <c r="J367" s="28">
        <f>IF(ISNUMBER(Data!V373),Data!V373/100,"n/a")</f>
        <v>0.13753721655192508</v>
      </c>
      <c r="K367" s="9">
        <f>IF(ISNUMBER(Data!Z373),Data!Z373/100,"n/a")</f>
        <v>0.31707317073170732</v>
      </c>
      <c r="L367" s="10">
        <f>Data!AA373</f>
        <v>14.417682926829269</v>
      </c>
      <c r="M367" s="10">
        <f>Data!AF373</f>
        <v>3.47</v>
      </c>
      <c r="N367" s="28">
        <f>IF(ISNUMBER(Data!AG373),Data!AG373/100,"n/a")</f>
        <v>0.254</v>
      </c>
      <c r="O367" s="28">
        <f>IF(ISNUMBER(Data!AJ373),Data!AJ373/100,"n/a")</f>
        <v>1.2E-2</v>
      </c>
      <c r="P367" s="9">
        <f>IF(ISNUMBER(Data!AK373),Data!AK373/100,"n/a")</f>
        <v>0.11650000000000001</v>
      </c>
      <c r="Q367" s="8">
        <f>Data!AN373</f>
        <v>1.37</v>
      </c>
      <c r="R367" s="8">
        <f>Data!AP373</f>
        <v>13.828037995869305</v>
      </c>
      <c r="S367" s="8"/>
      <c r="T367" s="8"/>
      <c r="U367" s="8"/>
      <c r="V367" s="1">
        <f t="shared" si="10"/>
        <v>10</v>
      </c>
      <c r="W367" s="1">
        <f t="shared" si="11"/>
        <v>0</v>
      </c>
    </row>
    <row r="368" spans="1:23" hidden="1" x14ac:dyDescent="0.2">
      <c r="A368" s="7" t="str">
        <f>Data!A378</f>
        <v>Lancaster Colony Corporation</v>
      </c>
      <c r="B368" s="7" t="str">
        <f>Data!B378</f>
        <v>LANC</v>
      </c>
      <c r="C368" s="7" t="str">
        <f>Data!C378</f>
        <v>Consumer Staples</v>
      </c>
      <c r="D368" s="8">
        <f>IF(ISNUMBER(Data!AL378),Data!AL378/1000,"n/a")</f>
        <v>4.91</v>
      </c>
      <c r="E368" s="1">
        <f>Data!E378</f>
        <v>59</v>
      </c>
      <c r="F368" s="28">
        <f>Data!J378/100</f>
        <v>1.7750166407810075E-2</v>
      </c>
      <c r="G368" s="28">
        <f>IF(ISNUMBER(Data!S378),Data!S378/100,"n/a")</f>
        <v>7.0175438596491224E-2</v>
      </c>
      <c r="H368" s="28">
        <f>IF(ISNUMBER(Data!T378),Data!T378/100,"n/a")</f>
        <v>7.5749744635974059E-2</v>
      </c>
      <c r="I368" s="28">
        <f>IF(ISNUMBER(Data!U378),Data!U378/100,"n/a")</f>
        <v>8.2702639798059696E-2</v>
      </c>
      <c r="J368" s="28">
        <f>IF(ISNUMBER(Data!V378),Data!V378/100,"n/a")</f>
        <v>8.4917231571680643E-2</v>
      </c>
      <c r="K368" s="9">
        <f>IF(ISNUMBER(Data!Z378),Data!Z378/100,"n/a")</f>
        <v>0.98461538461538467</v>
      </c>
      <c r="L368" s="10">
        <f>Data!AA378</f>
        <v>55.470769230769228</v>
      </c>
      <c r="M368" s="10">
        <f>Data!AF378</f>
        <v>5.89</v>
      </c>
      <c r="N368" s="28">
        <f>IF(ISNUMBER(Data!AG378),Data!AG378/100,"n/a")</f>
        <v>0.105</v>
      </c>
      <c r="O368" s="28">
        <f>IF(ISNUMBER(Data!AJ378),Data!AJ378/100,"n/a")</f>
        <v>-0.05</v>
      </c>
      <c r="P368" s="9">
        <f>IF(ISNUMBER(Data!AK378),Data!AK378/100,"n/a")</f>
        <v>0.03</v>
      </c>
      <c r="Q368" s="8">
        <f>Data!AN378</f>
        <v>0</v>
      </c>
      <c r="R368" s="8">
        <f>Data!AP378</f>
        <v>10.045280620586977</v>
      </c>
      <c r="S368" s="8"/>
      <c r="T368" s="8"/>
      <c r="U368" s="8"/>
      <c r="V368" s="1">
        <f t="shared" si="10"/>
        <v>8</v>
      </c>
      <c r="W368" s="1">
        <f t="shared" si="11"/>
        <v>0</v>
      </c>
    </row>
    <row r="369" spans="1:23" hidden="1" x14ac:dyDescent="0.2">
      <c r="A369" s="7" t="str">
        <f>Data!A371</f>
        <v>Kinsale Capital Group, Inc.</v>
      </c>
      <c r="B369" s="7" t="str">
        <f>Data!B371</f>
        <v>KNSL</v>
      </c>
      <c r="C369" s="7" t="str">
        <f>Data!C371</f>
        <v>Financials</v>
      </c>
      <c r="D369" s="8">
        <f>IF(ISNUMBER(Data!AL371),Data!AL371/1000,"n/a")</f>
        <v>6.23</v>
      </c>
      <c r="E369" s="1">
        <f>Data!E371</f>
        <v>7</v>
      </c>
      <c r="F369" s="28">
        <f>Data!J371/100</f>
        <v>1.6499032268299648E-3</v>
      </c>
      <c r="G369" s="28">
        <f>IF(ISNUMBER(Data!S371),Data!S371/100,"n/a")</f>
        <v>0.22222222222222232</v>
      </c>
      <c r="H369" s="28">
        <f>IF(ISNUMBER(Data!T371),Data!T371/100,"n/a")</f>
        <v>0.16260329205681459</v>
      </c>
      <c r="I369" s="28">
        <f>IF(ISNUMBER(Data!U371),Data!U371/100,"n/a")</f>
        <v>0.3449016775452185</v>
      </c>
      <c r="J369" s="28" t="str">
        <f>IF(ISNUMBER(Data!V371),Data!V371/100,"n/a")</f>
        <v>n/a</v>
      </c>
      <c r="K369" s="9">
        <f>IF(ISNUMBER(Data!Z371),Data!Z371/100,"n/a")</f>
        <v>8.3467094703049763E-2</v>
      </c>
      <c r="L369" s="10">
        <f>Data!AA371</f>
        <v>50.589085072231136</v>
      </c>
      <c r="M369" s="10">
        <f>Data!AF371</f>
        <v>11.54</v>
      </c>
      <c r="N369" s="28">
        <f>IF(ISNUMBER(Data!AG371),Data!AG371/100,"n/a")</f>
        <v>0.214</v>
      </c>
      <c r="O369" s="28">
        <f>IF(ISNUMBER(Data!AJ371),Data!AJ371/100,"n/a")</f>
        <v>0.39600000000000002</v>
      </c>
      <c r="P369" s="9">
        <f>IF(ISNUMBER(Data!AK371),Data!AK371/100,"n/a")</f>
        <v>0.15</v>
      </c>
      <c r="Q369" s="8">
        <f>Data!AN371</f>
        <v>0.2</v>
      </c>
      <c r="R369" s="8">
        <f>Data!AP371</f>
        <v>34.655158077204845</v>
      </c>
      <c r="S369" s="8"/>
      <c r="T369" s="8"/>
      <c r="U369" s="8"/>
      <c r="V369" s="1">
        <f t="shared" si="10"/>
        <v>8</v>
      </c>
      <c r="W369" s="1">
        <f t="shared" si="11"/>
        <v>0</v>
      </c>
    </row>
    <row r="370" spans="1:23" hidden="1" x14ac:dyDescent="0.2">
      <c r="A370" s="7" t="str">
        <f>Data!A370</f>
        <v>Kinder Morgan, Inc.</v>
      </c>
      <c r="B370" s="7" t="str">
        <f>Data!B370</f>
        <v>KMI</v>
      </c>
      <c r="C370" s="7" t="str">
        <f>Data!C370</f>
        <v>Energy</v>
      </c>
      <c r="D370" s="8">
        <f>IF(ISNUMBER(Data!AL370),Data!AL370/1000,"n/a")</f>
        <v>40.44</v>
      </c>
      <c r="E370" s="1">
        <f>Data!E370</f>
        <v>5</v>
      </c>
      <c r="F370" s="28">
        <f>Data!J370/100</f>
        <v>6.1258278145695365E-2</v>
      </c>
      <c r="G370" s="28">
        <f>IF(ISNUMBER(Data!S370),Data!S370/100,"n/a")</f>
        <v>3.3734939759036076E-2</v>
      </c>
      <c r="H370" s="28">
        <f>IF(ISNUMBER(Data!T370),Data!T370/100,"n/a")</f>
        <v>0.13942680346781766</v>
      </c>
      <c r="I370" s="28">
        <f>IF(ISNUMBER(Data!U370),Data!U370/100,"n/a")</f>
        <v>0.16489145438598807</v>
      </c>
      <c r="J370" s="28">
        <f>IF(ISNUMBER(Data!V370),Data!V370/100,"n/a")</f>
        <v>3.7806910223535439E-2</v>
      </c>
      <c r="K370" s="9">
        <f>IF(ISNUMBER(Data!Z370),Data!Z370/100,"n/a")</f>
        <v>1.009090909090909</v>
      </c>
      <c r="L370" s="10">
        <f>Data!AA370</f>
        <v>16.472727272727273</v>
      </c>
      <c r="M370" s="10">
        <f>Data!AF370</f>
        <v>1.3</v>
      </c>
      <c r="N370" s="28">
        <f>IF(ISNUMBER(Data!AG370),Data!AG370/100,"n/a")</f>
        <v>8.2000000000000017E-2</v>
      </c>
      <c r="O370" s="28">
        <f>IF(ISNUMBER(Data!AJ370),Data!AJ370/100,"n/a")</f>
        <v>0.25800000000000001</v>
      </c>
      <c r="P370" s="9">
        <f>IF(ISNUMBER(Data!AK370),Data!AK370/100,"n/a")</f>
        <v>-2.64E-2</v>
      </c>
      <c r="Q370" s="8">
        <f>Data!AN370</f>
        <v>1.03</v>
      </c>
      <c r="R370" s="8">
        <f>Data!AP370</f>
        <v>22.614973253168344</v>
      </c>
      <c r="S370" s="8"/>
      <c r="T370" s="8"/>
      <c r="U370" s="8"/>
      <c r="V370" s="1">
        <f t="shared" si="10"/>
        <v>6</v>
      </c>
      <c r="W370" s="1">
        <f t="shared" si="11"/>
        <v>0</v>
      </c>
    </row>
    <row r="371" spans="1:23" hidden="1" x14ac:dyDescent="0.2">
      <c r="A371" s="7" t="str">
        <f>Data!A367</f>
        <v>Kforce Inc.</v>
      </c>
      <c r="B371" s="7" t="str">
        <f>Data!B367</f>
        <v>KFRC</v>
      </c>
      <c r="C371" s="7" t="str">
        <f>Data!C367</f>
        <v>Industrials</v>
      </c>
      <c r="D371" s="8">
        <f>IF(ISNUMBER(Data!AL367),Data!AL367/1000,"n/a")</f>
        <v>1.3</v>
      </c>
      <c r="E371" s="1">
        <f>Data!E367</f>
        <v>5</v>
      </c>
      <c r="F371" s="28">
        <f>Data!J367/100</f>
        <v>1.8966334755808438E-2</v>
      </c>
      <c r="G371" s="28">
        <f>IF(ISNUMBER(Data!S367),Data!S367/100,"n/a")</f>
        <v>0.22499999999999987</v>
      </c>
      <c r="H371" s="28">
        <f>IF(ISNUMBER(Data!T367),Data!T367/100,"n/a")</f>
        <v>0.17767360601798199</v>
      </c>
      <c r="I371" s="28">
        <f>IF(ISNUMBER(Data!U367),Data!U367/100,"n/a")</f>
        <v>0.15344520419276764</v>
      </c>
      <c r="J371" s="28" t="str">
        <f>IF(ISNUMBER(Data!V367),Data!V367/100,"n/a")</f>
        <v>n/a</v>
      </c>
      <c r="K371" s="9">
        <f>IF(ISNUMBER(Data!Z367),Data!Z367/100,"n/a")</f>
        <v>0.28846153846153844</v>
      </c>
      <c r="L371" s="10">
        <f>Data!AA367</f>
        <v>15.209134615384615</v>
      </c>
      <c r="M371" s="10">
        <f>Data!AF367</f>
        <v>6.11</v>
      </c>
      <c r="N371" s="28">
        <f>IF(ISNUMBER(Data!AG367),Data!AG367/100,"n/a")</f>
        <v>0.441</v>
      </c>
      <c r="O371" s="28">
        <f>IF(ISNUMBER(Data!AJ367),Data!AJ367/100,"n/a")</f>
        <v>0.23200000000000004</v>
      </c>
      <c r="P371" s="9">
        <f>IF(ISNUMBER(Data!AK367),Data!AK367/100,"n/a")</f>
        <v>0.15</v>
      </c>
      <c r="Q371" s="8">
        <f>Data!AN367</f>
        <v>0</v>
      </c>
      <c r="R371" s="8">
        <f>Data!AP367</f>
        <v>17.241153894857607</v>
      </c>
      <c r="S371" s="8"/>
      <c r="T371" s="8"/>
      <c r="U371" s="8"/>
      <c r="V371" s="1">
        <f t="shared" si="10"/>
        <v>8</v>
      </c>
      <c r="W371" s="1">
        <f t="shared" si="11"/>
        <v>0</v>
      </c>
    </row>
    <row r="372" spans="1:23" hidden="1" x14ac:dyDescent="0.2">
      <c r="A372" s="7" t="str">
        <f>Data!A379</f>
        <v>Gladstone Land Corporation</v>
      </c>
      <c r="B372" s="7" t="str">
        <f>Data!B379</f>
        <v>LAND</v>
      </c>
      <c r="C372" s="7" t="str">
        <f>Data!C379</f>
        <v>Real Estate</v>
      </c>
      <c r="D372" s="8">
        <f>IF(ISNUMBER(Data!AL379),Data!AL379/1000,"n/a")</f>
        <v>0.68553999999999993</v>
      </c>
      <c r="E372" s="1">
        <f>Data!E379</f>
        <v>8</v>
      </c>
      <c r="F372" s="28">
        <f>Data!J379/100</f>
        <v>2.7007371007371005E-2</v>
      </c>
      <c r="G372" s="28">
        <f>IF(ISNUMBER(Data!S379),Data!S379/100,"n/a")</f>
        <v>6.1418202121719112E-3</v>
      </c>
      <c r="H372" s="28">
        <f>IF(ISNUMBER(Data!T379),Data!T379/100,"n/a")</f>
        <v>5.4226938986172701E-3</v>
      </c>
      <c r="I372" s="28">
        <f>IF(ISNUMBER(Data!U379),Data!U379/100,"n/a")</f>
        <v>1.7657277478161815E-2</v>
      </c>
      <c r="J372" s="28" t="str">
        <f>IF(ISNUMBER(Data!V379),Data!V379/100,"n/a")</f>
        <v>n/a</v>
      </c>
      <c r="K372" s="9" t="str">
        <f>IF(ISNUMBER(Data!Z379),Data!Z379/100,"n/a")</f>
        <v>n/a</v>
      </c>
      <c r="L372" s="10" t="str">
        <f>Data!AA379</f>
        <v>n/a</v>
      </c>
      <c r="M372" s="10">
        <f>Data!AF379</f>
        <v>1.08</v>
      </c>
      <c r="N372" s="28">
        <f>IF(ISNUMBER(Data!AG379),Data!AG379/100,"n/a")</f>
        <v>-1.6E-2</v>
      </c>
      <c r="O372" s="28">
        <f>IF(ISNUMBER(Data!AJ379),Data!AJ379/100,"n/a")</f>
        <v>-0.53200000000000003</v>
      </c>
      <c r="P372" s="9">
        <f>IF(ISNUMBER(Data!AK379),Data!AK379/100,"n/a")</f>
        <v>-5.9999999999999995E-4</v>
      </c>
      <c r="Q372" s="8">
        <f>Data!AN379</f>
        <v>1.1100000000000001</v>
      </c>
      <c r="R372" s="8">
        <f>Data!AP379</f>
        <v>4.4664648485532821</v>
      </c>
      <c r="S372" s="8"/>
      <c r="T372" s="8"/>
      <c r="U372" s="8"/>
      <c r="V372" s="1">
        <f t="shared" si="10"/>
        <v>1</v>
      </c>
      <c r="W372" s="1">
        <f t="shared" si="11"/>
        <v>0</v>
      </c>
    </row>
    <row r="373" spans="1:23" hidden="1" x14ac:dyDescent="0.2">
      <c r="A373" s="7" t="str">
        <f>Data!A369</f>
        <v>Kimberly-Clark Corporation</v>
      </c>
      <c r="B373" s="7" t="str">
        <f>Data!B369</f>
        <v>KMB</v>
      </c>
      <c r="C373" s="7" t="str">
        <f>Data!C369</f>
        <v>Consumer Staples</v>
      </c>
      <c r="D373" s="8">
        <f>IF(ISNUMBER(Data!AL369),Data!AL369/1000,"n/a")</f>
        <v>40.94</v>
      </c>
      <c r="E373" s="1">
        <f>Data!E369</f>
        <v>50</v>
      </c>
      <c r="F373" s="28">
        <f>Data!J369/100</f>
        <v>3.7281054153945045E-2</v>
      </c>
      <c r="G373" s="28">
        <f>IF(ISNUMBER(Data!S369),Data!S369/100,"n/a")</f>
        <v>5.89622641509433E-2</v>
      </c>
      <c r="H373" s="28">
        <f>IF(ISNUMBER(Data!T369),Data!T369/100,"n/a")</f>
        <v>4.1882183227191838E-2</v>
      </c>
      <c r="I373" s="28">
        <f>IF(ISNUMBER(Data!U369),Data!U369/100,"n/a")</f>
        <v>4.2867159466835059E-2</v>
      </c>
      <c r="J373" s="28">
        <f>IF(ISNUMBER(Data!V369),Data!V369/100,"n/a")</f>
        <v>5.281149010857078E-2</v>
      </c>
      <c r="K373" s="9">
        <f>IF(ISNUMBER(Data!Z369),Data!Z369/100,"n/a")</f>
        <v>0.8804554079696395</v>
      </c>
      <c r="L373" s="10">
        <f>Data!AA369</f>
        <v>23.616698292220114</v>
      </c>
      <c r="M373" s="10">
        <f>Data!AF369</f>
        <v>96.34</v>
      </c>
      <c r="N373" s="28">
        <f>IF(ISNUMBER(Data!AG369),Data!AG369/100,"n/a")</f>
        <v>3.173</v>
      </c>
      <c r="O373" s="28">
        <f>IF(ISNUMBER(Data!AJ369),Data!AJ369/100,"n/a")</f>
        <v>-2.1999999999999999E-2</v>
      </c>
      <c r="P373" s="9">
        <f>IF(ISNUMBER(Data!AK369),Data!AK369/100,"n/a")</f>
        <v>5.6000000000000008E-2</v>
      </c>
      <c r="Q373" s="8">
        <f>Data!AN369</f>
        <v>20.239999999999998</v>
      </c>
      <c r="R373" s="8">
        <f>Data!AP369</f>
        <v>8.0148213620780098</v>
      </c>
      <c r="S373" s="8"/>
      <c r="T373" s="8"/>
      <c r="U373" s="8"/>
      <c r="V373" s="1">
        <f t="shared" si="10"/>
        <v>6</v>
      </c>
      <c r="W373" s="1">
        <f t="shared" si="11"/>
        <v>0</v>
      </c>
    </row>
    <row r="374" spans="1:23" hidden="1" x14ac:dyDescent="0.2">
      <c r="A374" s="7" t="str">
        <f>Data!A368</f>
        <v>KLA Corporation</v>
      </c>
      <c r="B374" s="7" t="str">
        <f>Data!B368</f>
        <v>KLAC</v>
      </c>
      <c r="C374" s="7" t="str">
        <f>Data!C368</f>
        <v>Information Technology</v>
      </c>
      <c r="D374" s="8">
        <f>IF(ISNUMBER(Data!AL368),Data!AL368/1000,"n/a")</f>
        <v>43.8</v>
      </c>
      <c r="E374" s="1">
        <f>Data!E368</f>
        <v>13</v>
      </c>
      <c r="F374" s="28">
        <f>Data!J368/100</f>
        <v>1.6432295781324064E-2</v>
      </c>
      <c r="G374" s="28">
        <f>IF(ISNUMBER(Data!S368),Data!S368/100,"n/a")</f>
        <v>0.11428571428571432</v>
      </c>
      <c r="H374" s="28">
        <f>IF(ISNUMBER(Data!T368),Data!T368/100,"n/a")</f>
        <v>0.11151524162092175</v>
      </c>
      <c r="I374" s="28">
        <f>IF(ISNUMBER(Data!U368),Data!U368/100,"n/a")</f>
        <v>0.13179836563100178</v>
      </c>
      <c r="J374" s="28">
        <f>IF(ISNUMBER(Data!V368),Data!V368/100,"n/a")</f>
        <v>0.125092775800282</v>
      </c>
      <c r="K374" s="9">
        <f>IF(ISNUMBER(Data!Z368),Data!Z368/100,"n/a")</f>
        <v>0.23486901535682023</v>
      </c>
      <c r="L374" s="10">
        <f>Data!AA368</f>
        <v>14.293134598012646</v>
      </c>
      <c r="M374" s="10">
        <f>Data!AF368</f>
        <v>34.020000000000003</v>
      </c>
      <c r="N374" s="28">
        <f>IF(ISNUMBER(Data!AG368),Data!AG368/100,"n/a")</f>
        <v>0.94099999999999995</v>
      </c>
      <c r="O374" s="28">
        <f>IF(ISNUMBER(Data!AJ368),Data!AJ368/100,"n/a")</f>
        <v>0.30099999999999999</v>
      </c>
      <c r="P374" s="9">
        <f>IF(ISNUMBER(Data!AK368),Data!AK368/100,"n/a")</f>
        <v>3.9800000000000002E-2</v>
      </c>
      <c r="Q374" s="8">
        <f>Data!AN368</f>
        <v>4.75</v>
      </c>
      <c r="R374" s="8">
        <f>Data!AP368</f>
        <v>14.823066141232584</v>
      </c>
      <c r="S374" s="8"/>
      <c r="T374" s="8"/>
      <c r="U374" s="8"/>
      <c r="V374" s="1">
        <f t="shared" si="10"/>
        <v>9</v>
      </c>
      <c r="W374" s="1">
        <f t="shared" si="11"/>
        <v>0</v>
      </c>
    </row>
    <row r="375" spans="1:23" hidden="1" x14ac:dyDescent="0.2">
      <c r="A375" s="7" t="str">
        <f>Data!A287</f>
        <v>Corning Incorporated</v>
      </c>
      <c r="B375" s="7" t="str">
        <f>Data!B287</f>
        <v>GLW</v>
      </c>
      <c r="C375" s="7" t="str">
        <f>Data!C287</f>
        <v>Information Technology</v>
      </c>
      <c r="D375" s="8">
        <f>IF(ISNUMBER(Data!AL287),Data!AL287/1000,"n/a")</f>
        <v>26.43</v>
      </c>
      <c r="E375" s="1">
        <f>Data!E287</f>
        <v>12</v>
      </c>
      <c r="F375" s="28">
        <f>Data!J287/100</f>
        <v>3.3571650606154801E-2</v>
      </c>
      <c r="G375" s="28">
        <f>IF(ISNUMBER(Data!S287),Data!S287/100,"n/a")</f>
        <v>9.0909090909090828E-2</v>
      </c>
      <c r="H375" s="28">
        <f>IF(ISNUMBER(Data!T287),Data!T287/100,"n/a")</f>
        <v>0.10064241629820891</v>
      </c>
      <c r="I375" s="28">
        <f>IF(ISNUMBER(Data!U287),Data!U287/100,"n/a")</f>
        <v>0.12195514544619958</v>
      </c>
      <c r="J375" s="28">
        <f>IF(ISNUMBER(Data!V287),Data!V287/100,"n/a")</f>
        <v>0.15613585876251501</v>
      </c>
      <c r="K375" s="9">
        <f>IF(ISNUMBER(Data!Z287),Data!Z287/100,"n/a")</f>
        <v>0.50467289719626174</v>
      </c>
      <c r="L375" s="10">
        <f>Data!AA287</f>
        <v>15.032710280373832</v>
      </c>
      <c r="M375" s="10">
        <f>Data!AF287</f>
        <v>2.4300000000000002</v>
      </c>
      <c r="N375" s="28">
        <f>IF(ISNUMBER(Data!AG287),Data!AG287/100,"n/a")</f>
        <v>0.154</v>
      </c>
      <c r="O375" s="28">
        <f>IF(ISNUMBER(Data!AJ287),Data!AJ287/100,"n/a")</f>
        <v>-0.16900000000000001</v>
      </c>
      <c r="P375" s="9">
        <f>IF(ISNUMBER(Data!AK287),Data!AK287/100,"n/a")</f>
        <v>8.5800000000000001E-2</v>
      </c>
      <c r="Q375" s="8">
        <f>Data!AN287</f>
        <v>0.6</v>
      </c>
      <c r="R375" s="8">
        <f>Data!AP287</f>
        <v>15.552679605235436</v>
      </c>
      <c r="S375" s="8"/>
      <c r="T375" s="8"/>
      <c r="U375" s="8"/>
      <c r="V375" s="1">
        <f t="shared" si="10"/>
        <v>10</v>
      </c>
      <c r="W375" s="1">
        <f t="shared" si="11"/>
        <v>0</v>
      </c>
    </row>
    <row r="376" spans="1:23" hidden="1" x14ac:dyDescent="0.2">
      <c r="A376" s="7" t="str">
        <f>Data!A365</f>
        <v>Kaiser Aluminum Corporation</v>
      </c>
      <c r="B376" s="7" t="str">
        <f>Data!B365</f>
        <v>KALU</v>
      </c>
      <c r="C376" s="7" t="str">
        <f>Data!C365</f>
        <v>Materials</v>
      </c>
      <c r="D376" s="8">
        <f>IF(ISNUMBER(Data!AL365),Data!AL365/1000,"n/a")</f>
        <v>1.27</v>
      </c>
      <c r="E376" s="1">
        <f>Data!E365</f>
        <v>11</v>
      </c>
      <c r="F376" s="28">
        <f>Data!J365/100</f>
        <v>3.8123530139868793E-2</v>
      </c>
      <c r="G376" s="28">
        <f>IF(ISNUMBER(Data!S365),Data!S365/100,"n/a")</f>
        <v>7.4626865671641784E-2</v>
      </c>
      <c r="H376" s="28">
        <f>IF(ISNUMBER(Data!T365),Data!T365/100,"n/a")</f>
        <v>9.3931015185737543E-2</v>
      </c>
      <c r="I376" s="28">
        <f>IF(ISNUMBER(Data!U365),Data!U365/100,"n/a")</f>
        <v>9.8560543306117618E-2</v>
      </c>
      <c r="J376" s="28">
        <f>IF(ISNUMBER(Data!V365),Data!V365/100,"n/a")</f>
        <v>0.11612317403390439</v>
      </c>
      <c r="K376" s="9" t="str">
        <f>IF(ISNUMBER(Data!Z365),Data!Z365/100,"n/a")</f>
        <v>n/a</v>
      </c>
      <c r="L376" s="10" t="str">
        <f>Data!AA365</f>
        <v>n/a</v>
      </c>
      <c r="M376" s="10">
        <f>Data!AF365</f>
        <v>1.96</v>
      </c>
      <c r="N376" s="28">
        <f>IF(ISNUMBER(Data!AG365),Data!AG365/100,"n/a")</f>
        <v>-2E-3</v>
      </c>
      <c r="O376" s="28">
        <f>IF(ISNUMBER(Data!AJ365),Data!AJ365/100,"n/a")</f>
        <v>-0.17399999999999999</v>
      </c>
      <c r="P376" s="9">
        <f>IF(ISNUMBER(Data!AK365),Data!AK365/100,"n/a")</f>
        <v>-2.6200000000000001E-2</v>
      </c>
      <c r="Q376" s="8">
        <f>Data!AN365</f>
        <v>0</v>
      </c>
      <c r="R376" s="8">
        <f>Data!AP365</f>
        <v>13.668407344598641</v>
      </c>
      <c r="S376" s="8"/>
      <c r="T376" s="8"/>
      <c r="U376" s="8"/>
      <c r="V376" s="1">
        <f t="shared" si="10"/>
        <v>6</v>
      </c>
      <c r="W376" s="1">
        <f t="shared" si="11"/>
        <v>0</v>
      </c>
    </row>
    <row r="377" spans="1:23" hidden="1" x14ac:dyDescent="0.2">
      <c r="A377" s="7" t="str">
        <f>Data!A364</f>
        <v>Kadant Inc.</v>
      </c>
      <c r="B377" s="7" t="str">
        <f>Data!B364</f>
        <v>KAI</v>
      </c>
      <c r="C377" s="7" t="str">
        <f>Data!C364</f>
        <v>Industrials</v>
      </c>
      <c r="D377" s="8">
        <f>IF(ISNUMBER(Data!AL364),Data!AL364/1000,"n/a")</f>
        <v>2.02</v>
      </c>
      <c r="E377" s="1">
        <f>Data!E364</f>
        <v>10</v>
      </c>
      <c r="F377" s="28">
        <f>Data!J364/100</f>
        <v>5.8443382972745159E-3</v>
      </c>
      <c r="G377" s="28">
        <f>IF(ISNUMBER(Data!S364),Data!S364/100,"n/a")</f>
        <v>4.2105263157894868E-2</v>
      </c>
      <c r="H377" s="28">
        <f>IF(ISNUMBER(Data!T364),Data!T364/100,"n/a")</f>
        <v>4.4011575622509014E-2</v>
      </c>
      <c r="I377" s="28">
        <f>IF(ISNUMBER(Data!U364),Data!U364/100,"n/a")</f>
        <v>5.9938567638061713E-2</v>
      </c>
      <c r="J377" s="28" t="str">
        <f>IF(ISNUMBER(Data!V364),Data!V364/100,"n/a")</f>
        <v>n/a</v>
      </c>
      <c r="K377" s="9">
        <f>IF(ISNUMBER(Data!Z364),Data!Z364/100,"n/a")</f>
        <v>0.10844629822732013</v>
      </c>
      <c r="L377" s="10">
        <f>Data!AA364</f>
        <v>18.555787278415014</v>
      </c>
      <c r="M377" s="10">
        <f>Data!AF364</f>
        <v>3.44</v>
      </c>
      <c r="N377" s="28">
        <f>IF(ISNUMBER(Data!AG364),Data!AG364/100,"n/a")</f>
        <v>0.19400000000000003</v>
      </c>
      <c r="O377" s="28">
        <f>IF(ISNUMBER(Data!AJ364),Data!AJ364/100,"n/a")</f>
        <v>0.20200000000000004</v>
      </c>
      <c r="P377" s="9">
        <f>IF(ISNUMBER(Data!AK364),Data!AK364/100,"n/a")</f>
        <v>0.08</v>
      </c>
      <c r="Q377" s="8">
        <f>Data!AN364</f>
        <v>0.38</v>
      </c>
      <c r="R377" s="8">
        <f>Data!AP364</f>
        <v>6.5782905935336231</v>
      </c>
      <c r="S377" s="8"/>
      <c r="T377" s="8"/>
      <c r="U377" s="8"/>
      <c r="V377" s="1">
        <f t="shared" si="10"/>
        <v>7</v>
      </c>
      <c r="W377" s="1">
        <f t="shared" si="11"/>
        <v>0</v>
      </c>
    </row>
    <row r="378" spans="1:23" hidden="1" x14ac:dyDescent="0.2">
      <c r="A378" s="7" t="str">
        <f>Data!A704</f>
        <v>W. R. Berkley Corporation</v>
      </c>
      <c r="B378" s="7" t="str">
        <f>Data!B704</f>
        <v>WRB</v>
      </c>
      <c r="C378" s="7" t="str">
        <f>Data!C704</f>
        <v>Financials</v>
      </c>
      <c r="D378" s="8">
        <f>IF(ISNUMBER(Data!AL704),Data!AL704/1000,"n/a")</f>
        <v>18.91</v>
      </c>
      <c r="E378" s="1">
        <f>Data!E704</f>
        <v>21</v>
      </c>
      <c r="F378" s="28">
        <f>Data!J704/100</f>
        <v>5.377789728421619E-3</v>
      </c>
      <c r="G378" s="28">
        <f>IF(ISNUMBER(Data!S704),Data!S704/100,"n/a")</f>
        <v>8.5106382978723527E-2</v>
      </c>
      <c r="H378" s="28">
        <f>IF(ISNUMBER(Data!T704),Data!T704/100,"n/a")</f>
        <v>9.0443432487859798E-2</v>
      </c>
      <c r="I378" s="28">
        <f>IF(ISNUMBER(Data!U704),Data!U704/100,"n/a")</f>
        <v>8.4471771197698539E-2</v>
      </c>
      <c r="J378" s="28">
        <f>IF(ISNUMBER(Data!V704),Data!V704/100,"n/a")</f>
        <v>9.8130661900765137E-2</v>
      </c>
      <c r="K378" s="9">
        <f>IF(ISNUMBER(Data!Z704),Data!Z704/100,"n/a")</f>
        <v>9.3457943925233641E-2</v>
      </c>
      <c r="L378" s="10">
        <f>Data!AA704</f>
        <v>17.378504672897193</v>
      </c>
      <c r="M378" s="10">
        <f>Data!AF704</f>
        <v>3.11</v>
      </c>
      <c r="N378" s="28">
        <f>IF(ISNUMBER(Data!AG704),Data!AG704/100,"n/a")</f>
        <v>0.20699999999999999</v>
      </c>
      <c r="O378" s="28">
        <f>IF(ISNUMBER(Data!AJ704),Data!AJ704/100,"n/a")</f>
        <v>0.11899999999999998</v>
      </c>
      <c r="P378" s="9">
        <f>IF(ISNUMBER(Data!AK704),Data!AK704/100,"n/a")</f>
        <v>0.09</v>
      </c>
      <c r="Q378" s="8">
        <f>Data!AN704</f>
        <v>0.44</v>
      </c>
      <c r="R378" s="8">
        <f>Data!AP704</f>
        <v>8.9849560926120162</v>
      </c>
      <c r="S378" s="8"/>
      <c r="T378" s="8"/>
      <c r="U378" s="8"/>
      <c r="V378" s="1">
        <f t="shared" si="10"/>
        <v>11</v>
      </c>
      <c r="W378" s="1">
        <f t="shared" si="11"/>
        <v>0</v>
      </c>
    </row>
    <row r="379" spans="1:23" hidden="1" x14ac:dyDescent="0.2">
      <c r="A379" s="7" t="str">
        <f>Data!A360</f>
        <v>Johnson &amp; Johnson</v>
      </c>
      <c r="B379" s="7" t="str">
        <f>Data!B360</f>
        <v>JNJ</v>
      </c>
      <c r="C379" s="7" t="str">
        <f>Data!C360</f>
        <v>Health Care</v>
      </c>
      <c r="D379" s="8">
        <f>IF(ISNUMBER(Data!AL360),Data!AL360/1000,"n/a")</f>
        <v>453.03</v>
      </c>
      <c r="E379" s="1">
        <f>Data!E360</f>
        <v>60</v>
      </c>
      <c r="F379" s="28">
        <f>Data!J360/100</f>
        <v>2.5981491061677301E-2</v>
      </c>
      <c r="G379" s="28">
        <f>IF(ISNUMBER(Data!S360),Data!S360/100,"n/a")</f>
        <v>5.276381909547756E-2</v>
      </c>
      <c r="H379" s="28">
        <f>IF(ISNUMBER(Data!T360),Data!T360/100,"n/a")</f>
        <v>5.7800059180080909E-2</v>
      </c>
      <c r="I379" s="28">
        <f>IF(ISNUMBER(Data!U360),Data!U360/100,"n/a")</f>
        <v>5.8718967682533041E-2</v>
      </c>
      <c r="J379" s="28">
        <f>IF(ISNUMBER(Data!V360),Data!V360/100,"n/a")</f>
        <v>6.415073782343983E-2</v>
      </c>
      <c r="K379" s="9">
        <f>IF(ISNUMBER(Data!Z360),Data!Z360/100,"n/a")</f>
        <v>0.62952646239554311</v>
      </c>
      <c r="L379" s="10">
        <f>Data!AA360</f>
        <v>24.229805013927578</v>
      </c>
      <c r="M379" s="10">
        <f>Data!AF360</f>
        <v>6.16</v>
      </c>
      <c r="N379" s="28">
        <f>IF(ISNUMBER(Data!AG360),Data!AG360/100,"n/a")</f>
        <v>0.25600000000000001</v>
      </c>
      <c r="O379" s="28">
        <f>IF(ISNUMBER(Data!AJ360),Data!AJ360/100,"n/a")</f>
        <v>5.7000000000000002E-2</v>
      </c>
      <c r="P379" s="9">
        <f>IF(ISNUMBER(Data!AK360),Data!AK360/100,"n/a")</f>
        <v>3.9E-2</v>
      </c>
      <c r="Q379" s="8">
        <f>Data!AN360</f>
        <v>0.43</v>
      </c>
      <c r="R379" s="8">
        <f>Data!AP360</f>
        <v>8.4700458744210341</v>
      </c>
      <c r="S379" s="8"/>
      <c r="T379" s="8"/>
      <c r="U379" s="8"/>
      <c r="V379" s="1">
        <f t="shared" si="10"/>
        <v>10</v>
      </c>
      <c r="W379" s="1">
        <f t="shared" si="11"/>
        <v>0</v>
      </c>
    </row>
    <row r="380" spans="1:23" hidden="1" x14ac:dyDescent="0.2">
      <c r="A380" s="7" t="str">
        <f>Data!A361</f>
        <v>Johnson Outdoors Inc.</v>
      </c>
      <c r="B380" s="7" t="str">
        <f>Data!B361</f>
        <v>JOUT</v>
      </c>
      <c r="C380" s="7" t="str">
        <f>Data!C361</f>
        <v>Consumer Discretionary</v>
      </c>
      <c r="D380" s="8">
        <f>IF(ISNUMBER(Data!AL361),Data!AL361/1000,"n/a")</f>
        <v>0.51505999999999996</v>
      </c>
      <c r="E380" s="1">
        <f>Data!E361</f>
        <v>10</v>
      </c>
      <c r="F380" s="28">
        <f>Data!J361/100</f>
        <v>2.3565184340554924E-2</v>
      </c>
      <c r="G380" s="28">
        <f>IF(ISNUMBER(Data!S361),Data!S361/100,"n/a")</f>
        <v>0.29166666666666674</v>
      </c>
      <c r="H380" s="28">
        <f>IF(ISNUMBER(Data!T361),Data!T361/100,"n/a")</f>
        <v>0.24665773805966151</v>
      </c>
      <c r="I380" s="28">
        <f>IF(ISNUMBER(Data!U361),Data!U361/100,"n/a")</f>
        <v>0.23025121250227865</v>
      </c>
      <c r="J380" s="28" t="str">
        <f>IF(ISNUMBER(Data!V361),Data!V361/100,"n/a")</f>
        <v>n/a</v>
      </c>
      <c r="K380" s="9">
        <f>IF(ISNUMBER(Data!Z361),Data!Z361/100,"n/a")</f>
        <v>0.30097087378640774</v>
      </c>
      <c r="L380" s="10">
        <f>Data!AA361</f>
        <v>12.771844660194175</v>
      </c>
      <c r="M380" s="10">
        <f>Data!AF361</f>
        <v>1.1000000000000001</v>
      </c>
      <c r="N380" s="28">
        <f>IF(ISNUMBER(Data!AG361),Data!AG361/100,"n/a")</f>
        <v>8.900000000000001E-2</v>
      </c>
      <c r="O380" s="28">
        <f>IF(ISNUMBER(Data!AJ361),Data!AJ361/100,"n/a")</f>
        <v>0.43200000000000005</v>
      </c>
      <c r="P380" s="9">
        <f>IF(ISNUMBER(Data!AK361),Data!AK361/100,"n/a")</f>
        <v>0.14000000000000001</v>
      </c>
      <c r="Q380" s="8">
        <f>Data!AN361</f>
        <v>0</v>
      </c>
      <c r="R380" s="8">
        <f>Data!AP361</f>
        <v>25.381639684283357</v>
      </c>
      <c r="S380" s="8"/>
      <c r="T380" s="8"/>
      <c r="U380" s="8"/>
      <c r="V380" s="1">
        <f t="shared" si="10"/>
        <v>9</v>
      </c>
      <c r="W380" s="1">
        <f t="shared" si="11"/>
        <v>0</v>
      </c>
    </row>
    <row r="381" spans="1:23" hidden="1" x14ac:dyDescent="0.2">
      <c r="A381" s="7" t="str">
        <f>Data!A363</f>
        <v>Kellogg Company</v>
      </c>
      <c r="B381" s="7" t="str">
        <f>Data!B363</f>
        <v>K</v>
      </c>
      <c r="C381" s="7" t="str">
        <f>Data!C363</f>
        <v>Consumer Staples</v>
      </c>
      <c r="D381" s="8">
        <f>IF(ISNUMBER(Data!AL363),Data!AL363/1000,"n/a")</f>
        <v>25.6</v>
      </c>
      <c r="E381" s="1">
        <f>Data!E363</f>
        <v>19</v>
      </c>
      <c r="F381" s="28">
        <f>Data!J363/100</f>
        <v>3.0721166362926322E-2</v>
      </c>
      <c r="G381" s="28">
        <f>IF(ISNUMBER(Data!S363),Data!S363/100,"n/a")</f>
        <v>1.3157894736842257E-2</v>
      </c>
      <c r="H381" s="28">
        <f>IF(ISNUMBER(Data!T363),Data!T363/100,"n/a")</f>
        <v>1.6396356814853519E-2</v>
      </c>
      <c r="I381" s="28">
        <f>IF(ISNUMBER(Data!U363),Data!U363/100,"n/a")</f>
        <v>2.517111829582741E-2</v>
      </c>
      <c r="J381" s="28">
        <f>IF(ISNUMBER(Data!V363),Data!V363/100,"n/a")</f>
        <v>3.2974381579885303E-2</v>
      </c>
      <c r="K381" s="9">
        <f>IF(ISNUMBER(Data!Z363),Data!Z363/100,"n/a")</f>
        <v>0.54503464203233254</v>
      </c>
      <c r="L381" s="10">
        <f>Data!AA363</f>
        <v>17.741339491916857</v>
      </c>
      <c r="M381" s="10">
        <f>Data!AF363</f>
        <v>6.38</v>
      </c>
      <c r="N381" s="28">
        <f>IF(ISNUMBER(Data!AG363),Data!AG363/100,"n/a")</f>
        <v>0.39500000000000002</v>
      </c>
      <c r="O381" s="28">
        <f>IF(ISNUMBER(Data!AJ363),Data!AJ363/100,"n/a")</f>
        <v>0.17</v>
      </c>
      <c r="P381" s="9">
        <f>IF(ISNUMBER(Data!AK363),Data!AK363/100,"n/a")</f>
        <v>2.3E-2</v>
      </c>
      <c r="Q381" s="8">
        <f>Data!AN363</f>
        <v>1.72</v>
      </c>
      <c r="R381" s="8">
        <f>Data!AP363</f>
        <v>5.5892284658753733</v>
      </c>
      <c r="S381" s="8"/>
      <c r="T381" s="8"/>
      <c r="U381" s="8"/>
      <c r="V381" s="1">
        <f t="shared" si="10"/>
        <v>6</v>
      </c>
      <c r="W381" s="1">
        <f t="shared" si="11"/>
        <v>0</v>
      </c>
    </row>
    <row r="382" spans="1:23" hidden="1" x14ac:dyDescent="0.2">
      <c r="A382" s="7" t="str">
        <f>Data!A359</f>
        <v>Jack Henry &amp; Associates, Inc.</v>
      </c>
      <c r="B382" s="7" t="str">
        <f>Data!B359</f>
        <v>JKHY</v>
      </c>
      <c r="C382" s="7" t="str">
        <f>Data!C359</f>
        <v>Information Technology</v>
      </c>
      <c r="D382" s="8">
        <f>IF(ISNUMBER(Data!AL359),Data!AL359/1000,"n/a")</f>
        <v>14.31</v>
      </c>
      <c r="E382" s="1">
        <f>Data!E359</f>
        <v>32</v>
      </c>
      <c r="F382" s="28">
        <f>Data!J359/100</f>
        <v>9.8462775042700689E-3</v>
      </c>
      <c r="G382" s="28">
        <f>IF(ISNUMBER(Data!S359),Data!S359/100,"n/a")</f>
        <v>6.976744186046524E-2</v>
      </c>
      <c r="H382" s="28">
        <f>IF(ISNUMBER(Data!T359),Data!T359/100,"n/a")</f>
        <v>7.5272905147686142E-2</v>
      </c>
      <c r="I382" s="28">
        <f>IF(ISNUMBER(Data!U359),Data!U359/100,"n/a")</f>
        <v>0.10438362870438155</v>
      </c>
      <c r="J382" s="28">
        <f>IF(ISNUMBER(Data!V359),Data!V359/100,"n/a")</f>
        <v>0.15919594501910805</v>
      </c>
      <c r="K382" s="9">
        <f>IF(ISNUMBER(Data!Z359),Data!Z359/100,"n/a")</f>
        <v>0.39676113360323884</v>
      </c>
      <c r="L382" s="10">
        <f>Data!AA359</f>
        <v>40.295546558704451</v>
      </c>
      <c r="M382" s="10">
        <f>Data!AF359</f>
        <v>10.64</v>
      </c>
      <c r="N382" s="28">
        <f>IF(ISNUMBER(Data!AG359),Data!AG359/100,"n/a")</f>
        <v>0.27</v>
      </c>
      <c r="O382" s="28">
        <f>IF(ISNUMBER(Data!AJ359),Data!AJ359/100,"n/a")</f>
        <v>0.11</v>
      </c>
      <c r="P382" s="9">
        <f>IF(ISNUMBER(Data!AK359),Data!AK359/100,"n/a")</f>
        <v>0.14000000000000001</v>
      </c>
      <c r="Q382" s="8">
        <f>Data!AN359</f>
        <v>0.08</v>
      </c>
      <c r="R382" s="8">
        <f>Data!AP359</f>
        <v>11.422990620865162</v>
      </c>
      <c r="S382" s="8"/>
      <c r="T382" s="8"/>
      <c r="U382" s="8"/>
      <c r="V382" s="1">
        <f t="shared" si="10"/>
        <v>10</v>
      </c>
      <c r="W382" s="1">
        <f t="shared" si="11"/>
        <v>0</v>
      </c>
    </row>
    <row r="383" spans="1:23" hidden="1" x14ac:dyDescent="0.2">
      <c r="A383" s="7" t="str">
        <f>Data!A362</f>
        <v>JPMorgan Chase &amp; Co.</v>
      </c>
      <c r="B383" s="7" t="str">
        <f>Data!B362</f>
        <v>JPM</v>
      </c>
      <c r="C383" s="7" t="str">
        <f>Data!C362</f>
        <v>Financials</v>
      </c>
      <c r="D383" s="8">
        <f>IF(ISNUMBER(Data!AL362),Data!AL362/1000,"n/a")</f>
        <v>365.96</v>
      </c>
      <c r="E383" s="1">
        <f>Data!E362</f>
        <v>11</v>
      </c>
      <c r="F383" s="28">
        <f>Data!J362/100</f>
        <v>3.1776294884016523E-2</v>
      </c>
      <c r="G383" s="28">
        <f>IF(ISNUMBER(Data!S362),Data!S362/100,"n/a")</f>
        <v>2.7777777777777901E-2</v>
      </c>
      <c r="H383" s="28">
        <f>IF(ISNUMBER(Data!T362),Data!T362/100,"n/a")</f>
        <v>0.14265909586653014</v>
      </c>
      <c r="I383" s="28">
        <f>IF(ISNUMBER(Data!U362),Data!U362/100,"n/a")</f>
        <v>0.14994423466742157</v>
      </c>
      <c r="J383" s="28">
        <f>IF(ISNUMBER(Data!V362),Data!V362/100,"n/a")</f>
        <v>0.16549703683978834</v>
      </c>
      <c r="K383" s="9">
        <f>IF(ISNUMBER(Data!Z362),Data!Z362/100,"n/a")</f>
        <v>0.33755274261603374</v>
      </c>
      <c r="L383" s="10">
        <f>Data!AA362</f>
        <v>10.622784810126582</v>
      </c>
      <c r="M383" s="10">
        <f>Data!AF362</f>
        <v>1.47</v>
      </c>
      <c r="N383" s="28">
        <f>IF(ISNUMBER(Data!AG362),Data!AG362/100,"n/a")</f>
        <v>0.159</v>
      </c>
      <c r="O383" s="28">
        <f>IF(ISNUMBER(Data!AJ362),Data!AJ362/100,"n/a")</f>
        <v>0.19900000000000001</v>
      </c>
      <c r="P383" s="9">
        <f>IF(ISNUMBER(Data!AK362),Data!AK362/100,"n/a")</f>
        <v>1.1999999999999999E-3</v>
      </c>
      <c r="Q383" s="8">
        <f>Data!AN362</f>
        <v>1.1399999999999999</v>
      </c>
      <c r="R383" s="8">
        <f>Data!AP362</f>
        <v>18.172052955143808</v>
      </c>
      <c r="S383" s="8"/>
      <c r="T383" s="8"/>
      <c r="U383" s="8"/>
      <c r="V383" s="1">
        <f t="shared" si="10"/>
        <v>9</v>
      </c>
      <c r="W383" s="1">
        <f t="shared" si="11"/>
        <v>0</v>
      </c>
    </row>
    <row r="384" spans="1:23" hidden="1" x14ac:dyDescent="0.2">
      <c r="A384" s="7" t="str">
        <f>Data!A357</f>
        <v>Jefferies Financial Group Inc.</v>
      </c>
      <c r="B384" s="7" t="str">
        <f>Data!B357</f>
        <v>JEF</v>
      </c>
      <c r="C384" s="7" t="str">
        <f>Data!C357</f>
        <v>Financials</v>
      </c>
      <c r="D384" s="8">
        <f>IF(ISNUMBER(Data!AL357),Data!AL357/1000,"n/a")</f>
        <v>7.75</v>
      </c>
      <c r="E384" s="1">
        <f>Data!E357</f>
        <v>6</v>
      </c>
      <c r="F384" s="28">
        <f>Data!J357/100</f>
        <v>3.487358326068004E-2</v>
      </c>
      <c r="G384" s="28">
        <f>IF(ISNUMBER(Data!S357),Data!S357/100,"n/a")</f>
        <v>0.5</v>
      </c>
      <c r="H384" s="28">
        <f>IF(ISNUMBER(Data!T357),Data!T357/100,"n/a")</f>
        <v>0.25992104989487319</v>
      </c>
      <c r="I384" s="28">
        <f>IF(ISNUMBER(Data!U357),Data!U357/100,"n/a")</f>
        <v>0.29199400995563329</v>
      </c>
      <c r="J384" s="28">
        <f>IF(ISNUMBER(Data!V357),Data!V357/100,"n/a")</f>
        <v>0.13665914413936475</v>
      </c>
      <c r="K384" s="9">
        <f>IF(ISNUMBER(Data!Z357),Data!Z357/100,"n/a")</f>
        <v>0.32520325203252026</v>
      </c>
      <c r="L384" s="10">
        <f>Data!AA357</f>
        <v>9.3252032520325194</v>
      </c>
      <c r="M384" s="10">
        <f>Data!AF357</f>
        <v>0.81</v>
      </c>
      <c r="N384" s="28">
        <f>IF(ISNUMBER(Data!AG357),Data!AG357/100,"n/a")</f>
        <v>9.1999999999999998E-2</v>
      </c>
      <c r="O384" s="28">
        <f>IF(ISNUMBER(Data!AJ357),Data!AJ357/100,"n/a")</f>
        <v>0.87400000000000011</v>
      </c>
      <c r="P384" s="9">
        <f>IF(ISNUMBER(Data!AK357),Data!AK357/100,"n/a")</f>
        <v>0.18</v>
      </c>
      <c r="Q384" s="8">
        <f>Data!AN357</f>
        <v>3.11</v>
      </c>
      <c r="R384" s="8">
        <f>Data!AP357</f>
        <v>32.686759321631335</v>
      </c>
      <c r="S384" s="8"/>
      <c r="T384" s="8"/>
      <c r="U384" s="8"/>
      <c r="V384" s="1">
        <f t="shared" si="10"/>
        <v>10</v>
      </c>
      <c r="W384" s="1">
        <f t="shared" si="11"/>
        <v>0</v>
      </c>
    </row>
    <row r="385" spans="1:23" hidden="1" x14ac:dyDescent="0.2">
      <c r="A385" s="7" t="str">
        <f>Data!A356</f>
        <v>John B. Sanfilippo &amp; Son, Inc.</v>
      </c>
      <c r="B385" s="7" t="str">
        <f>Data!B356</f>
        <v>JBSS</v>
      </c>
      <c r="C385" s="7" t="str">
        <f>Data!C356</f>
        <v>Consumer Staples</v>
      </c>
      <c r="D385" s="8">
        <f>IF(ISNUMBER(Data!AL356),Data!AL356/1000,"n/a")</f>
        <v>0.93574999999999997</v>
      </c>
      <c r="E385" s="1">
        <f>Data!E356</f>
        <v>6</v>
      </c>
      <c r="F385" s="28">
        <f>Data!J356/100</f>
        <v>8.9917276105982505E-3</v>
      </c>
      <c r="G385" s="28">
        <f>IF(ISNUMBER(Data!S356),Data!S356/100,"n/a")</f>
        <v>7.6923076923076872E-2</v>
      </c>
      <c r="H385" s="28">
        <f>IF(ISNUMBER(Data!T356),Data!T356/100,"n/a")</f>
        <v>8.3706762661827097E-2</v>
      </c>
      <c r="I385" s="28" t="str">
        <f>IF(ISNUMBER(Data!U356),Data!U356/100,"n/a")</f>
        <v>n/a</v>
      </c>
      <c r="J385" s="28" t="str">
        <f>IF(ISNUMBER(Data!V356),Data!V356/100,"n/a")</f>
        <v>n/a</v>
      </c>
      <c r="K385" s="9">
        <f>IF(ISNUMBER(Data!Z356),Data!Z356/100,"n/a")</f>
        <v>0.14071294559099437</v>
      </c>
      <c r="L385" s="10">
        <f>Data!AA356</f>
        <v>15.649155722326453</v>
      </c>
      <c r="M385" s="10">
        <f>Data!AF356</f>
        <v>3.45</v>
      </c>
      <c r="N385" s="28">
        <f>IF(ISNUMBER(Data!AG356),Data!AG356/100,"n/a")</f>
        <v>0.24600000000000002</v>
      </c>
      <c r="O385" s="28">
        <f>IF(ISNUMBER(Data!AJ356),Data!AJ356/100,"n/a")</f>
        <v>0.11</v>
      </c>
      <c r="P385" s="9" t="str">
        <f>IF(ISNUMBER(Data!AK356),Data!AK356/100,"n/a")</f>
        <v>n/a</v>
      </c>
      <c r="Q385" s="8">
        <f>Data!AN356</f>
        <v>0.19</v>
      </c>
      <c r="R385" s="8" t="str">
        <f>Data!AP356</f>
        <v>n/a</v>
      </c>
      <c r="S385" s="8"/>
      <c r="T385" s="8"/>
      <c r="U385" s="8"/>
      <c r="V385" s="1">
        <f t="shared" si="10"/>
        <v>6</v>
      </c>
      <c r="W385" s="1">
        <f t="shared" si="11"/>
        <v>0</v>
      </c>
    </row>
    <row r="386" spans="1:23" hidden="1" x14ac:dyDescent="0.2">
      <c r="A386" s="7" t="str">
        <f>Data!A352</f>
        <v>Investar Holding Corporation</v>
      </c>
      <c r="B386" s="7" t="str">
        <f>Data!B352</f>
        <v>ISTR</v>
      </c>
      <c r="C386" s="7" t="str">
        <f>Data!C352</f>
        <v>Financials</v>
      </c>
      <c r="D386" s="8">
        <f>IF(ISNUMBER(Data!AL352),Data!AL352/1000,"n/a")</f>
        <v>0.20649999999999999</v>
      </c>
      <c r="E386" s="1">
        <f>Data!E352</f>
        <v>9</v>
      </c>
      <c r="F386" s="28">
        <f>Data!J352/100</f>
        <v>1.7641597028783658E-2</v>
      </c>
      <c r="G386" s="28">
        <f>IF(ISNUMBER(Data!S352),Data!S352/100,"n/a")</f>
        <v>0.20408163265306123</v>
      </c>
      <c r="H386" s="28">
        <f>IF(ISNUMBER(Data!T352),Data!T352/100,"n/a")</f>
        <v>0.24873359088700764</v>
      </c>
      <c r="I386" s="28">
        <f>IF(ISNUMBER(Data!U352),Data!U352/100,"n/a")</f>
        <v>0.50192049017759865</v>
      </c>
      <c r="J386" s="28" t="str">
        <f>IF(ISNUMBER(Data!V352),Data!V352/100,"n/a")</f>
        <v>n/a</v>
      </c>
      <c r="K386" s="9">
        <f>IF(ISNUMBER(Data!Z352),Data!Z352/100,"n/a")</f>
        <v>0.21839080459770116</v>
      </c>
      <c r="L386" s="10">
        <f>Data!AA352</f>
        <v>12.379310344827585</v>
      </c>
      <c r="M386" s="10">
        <f>Data!AF352</f>
        <v>0.96</v>
      </c>
      <c r="N386" s="28" t="str">
        <f>IF(ISNUMBER(Data!AG352),Data!AG352/100,"n/a")</f>
        <v>n/a</v>
      </c>
      <c r="O386" s="28">
        <f>IF(ISNUMBER(Data!AJ352),Data!AJ352/100,"n/a")</f>
        <v>-7.1999999999999995E-2</v>
      </c>
      <c r="P386" s="9" t="str">
        <f>IF(ISNUMBER(Data!AK352),Data!AK352/100,"n/a")</f>
        <v>n/a</v>
      </c>
      <c r="Q386" s="8">
        <f>Data!AN352</f>
        <v>0.24</v>
      </c>
      <c r="R386" s="8">
        <f>Data!AP352</f>
        <v>51.95620872063823</v>
      </c>
      <c r="S386" s="8"/>
      <c r="T386" s="8"/>
      <c r="U386" s="8"/>
      <c r="V386" s="1">
        <f t="shared" si="10"/>
        <v>6</v>
      </c>
      <c r="W386" s="1">
        <f t="shared" si="11"/>
        <v>0</v>
      </c>
    </row>
    <row r="387" spans="1:23" hidden="1" x14ac:dyDescent="0.2">
      <c r="A387" s="7" t="str">
        <f>Data!A347</f>
        <v>Intel Corporation</v>
      </c>
      <c r="B387" s="7" t="str">
        <f>Data!B347</f>
        <v>INTC</v>
      </c>
      <c r="C387" s="7" t="str">
        <f>Data!C347</f>
        <v>Information Technology</v>
      </c>
      <c r="D387" s="8">
        <f>IF(ISNUMBER(Data!AL347),Data!AL347/1000,"n/a")</f>
        <v>107.86</v>
      </c>
      <c r="E387" s="1">
        <f>Data!E347</f>
        <v>8</v>
      </c>
      <c r="F387" s="28">
        <f>Data!J347/100</f>
        <v>5.135420330636651E-2</v>
      </c>
      <c r="G387" s="28">
        <f>IF(ISNUMBER(Data!S347),Data!S347/100,"n/a")</f>
        <v>5.3030303030302983E-2</v>
      </c>
      <c r="H387" s="28">
        <f>IF(ISNUMBER(Data!T347),Data!T347/100,"n/a")</f>
        <v>5.0214116072436976E-2</v>
      </c>
      <c r="I387" s="28">
        <f>IF(ISNUMBER(Data!U347),Data!U347/100,"n/a")</f>
        <v>5.9732594329142463E-2</v>
      </c>
      <c r="J387" s="28">
        <f>IF(ISNUMBER(Data!V347),Data!V347/100,"n/a")</f>
        <v>5.913920808194395E-2</v>
      </c>
      <c r="K387" s="9">
        <f>IF(ISNUMBER(Data!Z347),Data!Z347/100,"n/a")</f>
        <v>0.31330472103004292</v>
      </c>
      <c r="L387" s="10">
        <f>Data!AA347</f>
        <v>6.1008583690987122</v>
      </c>
      <c r="M387" s="10">
        <f>Data!AF347</f>
        <v>1.2</v>
      </c>
      <c r="N387" s="28">
        <f>IF(ISNUMBER(Data!AG347),Data!AG347/100,"n/a")</f>
        <v>0.13300000000000001</v>
      </c>
      <c r="O387" s="28">
        <f>IF(ISNUMBER(Data!AJ347),Data!AJ347/100,"n/a")</f>
        <v>0.18099999999999997</v>
      </c>
      <c r="P387" s="9" t="str">
        <f>IF(ISNUMBER(Data!AK347),Data!AK347/100,"n/a")</f>
        <v>n/a</v>
      </c>
      <c r="Q387" s="8">
        <f>Data!AN347</f>
        <v>0.4</v>
      </c>
      <c r="R387" s="8">
        <f>Data!AP347</f>
        <v>11.108679763550898</v>
      </c>
      <c r="S387" s="8"/>
      <c r="T387" s="8"/>
      <c r="U387" s="8"/>
      <c r="V387" s="1">
        <f t="shared" si="10"/>
        <v>10</v>
      </c>
      <c r="W387" s="1">
        <f t="shared" si="11"/>
        <v>0</v>
      </c>
    </row>
    <row r="388" spans="1:23" hidden="1" x14ac:dyDescent="0.2">
      <c r="A388" s="7" t="str">
        <f>Data!A341</f>
        <v>IDACORP, Inc.</v>
      </c>
      <c r="B388" s="7" t="str">
        <f>Data!B341</f>
        <v>IDA</v>
      </c>
      <c r="C388" s="7" t="str">
        <f>Data!C341</f>
        <v>Utilities</v>
      </c>
      <c r="D388" s="8">
        <f>IF(ISNUMBER(Data!AL341),Data!AL341/1000,"n/a")</f>
        <v>5.15</v>
      </c>
      <c r="E388" s="1">
        <f>Data!E341</f>
        <v>11</v>
      </c>
      <c r="F388" s="28">
        <f>Data!J341/100</f>
        <v>3.0181470869149952E-2</v>
      </c>
      <c r="G388" s="28">
        <f>IF(ISNUMBER(Data!S341),Data!S341/100,"n/a")</f>
        <v>5.8823529411764497E-2</v>
      </c>
      <c r="H388" s="28">
        <f>IF(ISNUMBER(Data!T341),Data!T341/100,"n/a")</f>
        <v>6.2658569182611146E-2</v>
      </c>
      <c r="I388" s="28">
        <f>IF(ISNUMBER(Data!U341),Data!U341/100,"n/a")</f>
        <v>6.7249181879538877E-2</v>
      </c>
      <c r="J388" s="28">
        <f>IF(ISNUMBER(Data!V341),Data!V341/100,"n/a")</f>
        <v>9.1493425617896987E-2</v>
      </c>
      <c r="K388" s="9">
        <f>IF(ISNUMBER(Data!Z341),Data!Z341/100,"n/a")</f>
        <v>0.66386554621848748</v>
      </c>
      <c r="L388" s="10">
        <f>Data!AA341</f>
        <v>21.995798319327733</v>
      </c>
      <c r="M388" s="10">
        <f>Data!AF341</f>
        <v>1.95</v>
      </c>
      <c r="N388" s="28">
        <f>IF(ISNUMBER(Data!AG341),Data!AG341/100,"n/a")</f>
        <v>0.09</v>
      </c>
      <c r="O388" s="28">
        <f>IF(ISNUMBER(Data!AJ341),Data!AJ341/100,"n/a")</f>
        <v>4.2999999999999997E-2</v>
      </c>
      <c r="P388" s="9">
        <f>IF(ISNUMBER(Data!AK341),Data!AK341/100,"n/a")</f>
        <v>2.7000000000000003E-2</v>
      </c>
      <c r="Q388" s="8">
        <f>Data!AN341</f>
        <v>0.79</v>
      </c>
      <c r="R388" s="8">
        <f>Data!AP341</f>
        <v>9.7430652748688829</v>
      </c>
      <c r="S388" s="8"/>
      <c r="T388" s="8"/>
      <c r="U388" s="8"/>
      <c r="V388" s="1">
        <f t="shared" si="10"/>
        <v>8</v>
      </c>
      <c r="W388" s="1">
        <f t="shared" si="11"/>
        <v>0</v>
      </c>
    </row>
    <row r="389" spans="1:23" hidden="1" x14ac:dyDescent="0.2">
      <c r="A389" s="7" t="str">
        <f>Data!A342</f>
        <v>IDEX Corporation</v>
      </c>
      <c r="B389" s="7" t="str">
        <f>Data!B342</f>
        <v>IEX</v>
      </c>
      <c r="C389" s="7" t="str">
        <f>Data!C342</f>
        <v>Industrials</v>
      </c>
      <c r="D389" s="8">
        <f>IF(ISNUMBER(Data!AL342),Data!AL342/1000,"n/a")</f>
        <v>16.41</v>
      </c>
      <c r="E389" s="1">
        <f>Data!E342</f>
        <v>13</v>
      </c>
      <c r="F389" s="28">
        <f>Data!J342/100</f>
        <v>1.0795735684404662E-2</v>
      </c>
      <c r="G389" s="28">
        <f>IF(ISNUMBER(Data!S342),Data!S342/100,"n/a")</f>
        <v>6.0000000000000053E-2</v>
      </c>
      <c r="H389" s="28">
        <f>IF(ISNUMBER(Data!T342),Data!T342/100,"n/a")</f>
        <v>8.4948834537094786E-2</v>
      </c>
      <c r="I389" s="28">
        <f>IF(ISNUMBER(Data!U342),Data!U342/100,"n/a")</f>
        <v>9.608999232898574E-2</v>
      </c>
      <c r="J389" s="28">
        <f>IF(ISNUMBER(Data!V342),Data!V342/100,"n/a")</f>
        <v>0.12377455022856478</v>
      </c>
      <c r="K389" s="9">
        <f>IF(ISNUMBER(Data!Z342),Data!Z342/100,"n/a")</f>
        <v>0.31746031746031744</v>
      </c>
      <c r="L389" s="10">
        <f>Data!AA342</f>
        <v>29.406084656084658</v>
      </c>
      <c r="M389" s="10">
        <f>Data!AF342</f>
        <v>6</v>
      </c>
      <c r="N389" s="28">
        <f>IF(ISNUMBER(Data!AG342),Data!AG342/100,"n/a")</f>
        <v>0.20399999999999999</v>
      </c>
      <c r="O389" s="28">
        <f>IF(ISNUMBER(Data!AJ342),Data!AJ342/100,"n/a")</f>
        <v>0.107</v>
      </c>
      <c r="P389" s="9">
        <f>IF(ISNUMBER(Data!AK342),Data!AK342/100,"n/a")</f>
        <v>0.12</v>
      </c>
      <c r="Q389" s="8">
        <f>Data!AN342</f>
        <v>0</v>
      </c>
      <c r="R389" s="8">
        <f>Data!AP342</f>
        <v>10.68857280133904</v>
      </c>
      <c r="S389" s="8"/>
      <c r="T389" s="8"/>
      <c r="U389" s="8"/>
      <c r="V389" s="1">
        <f t="shared" ref="V389:V452" si="12">IF($D$4="+",IF(D389="n/a",0,IF(D389&gt;=$D$5,1,0)),0)+IF($E$4="+",IF(E389="n/a",0,IF(E389&gt;=$E$5,1,0)),0)+IF($F$4="+",IF(F389="n/a",0,IF(F389&gt;=$F$5,1,0)),0)+IF($G$4="+",IF(G389="n/a",0,IF(G389&gt;=$G$5,1,0)),0)+IF($H$4="+",IF(H389="n/a",0,IF(H389&gt;=$H$5,1,0)),0)+IF($I$4="+",IF(I389="n/a",0,IF(I389&gt;=$I$5,1,0)),0)+IF($J$4="+",IF(J389="n/a",0,IF(J389&gt;=$J$5,1,0)),0)+IF($K$4="+",IF(K389="n/a",0,IF(K389&lt;=$K$5,1,0)),0)+IF($L$4="+",IF(L389="n/a",0,IF(L389&lt;=$L$5,1,0)),0)+IF($M$4="+",IF(M389="n/a",0,IF(M389&lt;=$M$5,1,0)),0)+IF($N$4="+",IF(N389="n/a",0,IF(N389&gt;=$N$5,1,0)),0)+IF($O$4="+",IF(O389="n/a",0,IF(O389&gt;=$O$5,1,0)),0)+IF($P$4="+",IF(P389="n/a",0,IF(P389&gt;=$P$5,1,0)),0)+IF($Q$4="+",IF(Q389="n/a",0,IF(Q389&lt;=$Q$5,1,0)),0)+IF($R$4="+",IF(R389="n/a",0,IF(R389&gt;=$R$5,1,0)),0)+$Y$4</f>
        <v>9</v>
      </c>
      <c r="W389" s="1">
        <f t="shared" ref="W389:W452" si="13">IF(V389&gt;=$V$2,"",0)</f>
        <v>0</v>
      </c>
    </row>
    <row r="390" spans="1:23" hidden="1" x14ac:dyDescent="0.2">
      <c r="A390" s="7" t="str">
        <f>Data!A344</f>
        <v>Innovative Industrial Properties, Inc.</v>
      </c>
      <c r="B390" s="7" t="str">
        <f>Data!B344</f>
        <v>IIPR</v>
      </c>
      <c r="C390" s="7" t="str">
        <f>Data!C344</f>
        <v>Real Estate</v>
      </c>
      <c r="D390" s="8">
        <f>IF(ISNUMBER(Data!AL344),Data!AL344/1000,"n/a")</f>
        <v>2.82</v>
      </c>
      <c r="E390" s="1">
        <f>Data!E344</f>
        <v>6</v>
      </c>
      <c r="F390" s="28">
        <f>Data!J344/100</f>
        <v>6.66049953746531E-2</v>
      </c>
      <c r="G390" s="28">
        <f>IF(ISNUMBER(Data!S344),Data!S344/100,"n/a")</f>
        <v>0.2907801418439715</v>
      </c>
      <c r="H390" s="28">
        <f>IF(ISNUMBER(Data!T344),Data!T344/100,"n/a")</f>
        <v>0.70582046019516964</v>
      </c>
      <c r="I390" s="28" t="str">
        <f>IF(ISNUMBER(Data!U344),Data!U344/100,"n/a")</f>
        <v>n/a</v>
      </c>
      <c r="J390" s="28" t="str">
        <f>IF(ISNUMBER(Data!V344),Data!V344/100,"n/a")</f>
        <v>n/a</v>
      </c>
      <c r="K390" s="9">
        <f>IF(ISNUMBER(Data!Z344),Data!Z344/100,"n/a")</f>
        <v>1.4173228346456694</v>
      </c>
      <c r="L390" s="10">
        <f>Data!AA344</f>
        <v>21.279527559055115</v>
      </c>
      <c r="M390" s="10">
        <f>Data!AF344</f>
        <v>1.48</v>
      </c>
      <c r="N390" s="28">
        <f>IF(ISNUMBER(Data!AG344),Data!AG344/100,"n/a")</f>
        <v>7.9000000000000001E-2</v>
      </c>
      <c r="O390" s="28">
        <f>IF(ISNUMBER(Data!AJ344),Data!AJ344/100,"n/a")</f>
        <v>0.65500000000000003</v>
      </c>
      <c r="P390" s="9" t="str">
        <f>IF(ISNUMBER(Data!AK344),Data!AK344/100,"n/a")</f>
        <v>n/a</v>
      </c>
      <c r="Q390" s="8">
        <f>Data!AN344</f>
        <v>0.15</v>
      </c>
      <c r="R390" s="8" t="str">
        <f>Data!AP344</f>
        <v>n/a</v>
      </c>
      <c r="S390" s="8"/>
      <c r="T390" s="8"/>
      <c r="U390" s="8"/>
      <c r="V390" s="1">
        <f t="shared" si="12"/>
        <v>6</v>
      </c>
      <c r="W390" s="1">
        <f t="shared" si="13"/>
        <v>0</v>
      </c>
    </row>
    <row r="391" spans="1:23" hidden="1" x14ac:dyDescent="0.2">
      <c r="A391" s="7" t="str">
        <f>Data!A351</f>
        <v>IF Bancorp, Inc.</v>
      </c>
      <c r="B391" s="7" t="str">
        <f>Data!B351</f>
        <v>IROQ</v>
      </c>
      <c r="C391" s="7" t="str">
        <f>Data!C351</f>
        <v>Financials</v>
      </c>
      <c r="D391" s="8">
        <f>IF(ISNUMBER(Data!AL351),Data!AL351/1000,"n/a")</f>
        <v>6.3409999999999994E-2</v>
      </c>
      <c r="E391" s="1">
        <f>Data!E351</f>
        <v>7</v>
      </c>
      <c r="F391" s="28">
        <f>Data!J351/100</f>
        <v>2.1413276231263385E-2</v>
      </c>
      <c r="G391" s="28">
        <f>IF(ISNUMBER(Data!S351),Data!S351/100,"n/a")</f>
        <v>8.3333333333333481E-2</v>
      </c>
      <c r="H391" s="28">
        <f>IF(ISNUMBER(Data!T351),Data!T351/100,"n/a")</f>
        <v>0.13040381433805548</v>
      </c>
      <c r="I391" s="28">
        <f>IF(ISNUMBER(Data!U351),Data!U351/100,"n/a")</f>
        <v>0.1522658099010703</v>
      </c>
      <c r="J391" s="28" t="str">
        <f>IF(ISNUMBER(Data!V351),Data!V351/100,"n/a")</f>
        <v>n/a</v>
      </c>
      <c r="K391" s="9">
        <f>IF(ISNUMBER(Data!Z351),Data!Z351/100,"n/a")</f>
        <v>0.2162162162162162</v>
      </c>
      <c r="L391" s="10">
        <f>Data!AA351</f>
        <v>10.097297297297297</v>
      </c>
      <c r="M391" s="10">
        <f>Data!AF351</f>
        <v>0.82</v>
      </c>
      <c r="N391" s="28">
        <f>IF(ISNUMBER(Data!AG351),Data!AG351/100,"n/a")</f>
        <v>7.1999999999999995E-2</v>
      </c>
      <c r="O391" s="28">
        <f>IF(ISNUMBER(Data!AJ351),Data!AJ351/100,"n/a")</f>
        <v>0.11799999999999999</v>
      </c>
      <c r="P391" s="9" t="str">
        <f>IF(ISNUMBER(Data!AK351),Data!AK351/100,"n/a")</f>
        <v>n/a</v>
      </c>
      <c r="Q391" s="8">
        <f>Data!AN351</f>
        <v>0</v>
      </c>
      <c r="R391" s="8">
        <f>Data!AP351</f>
        <v>17.367908613233368</v>
      </c>
      <c r="S391" s="8"/>
      <c r="T391" s="8"/>
      <c r="U391" s="8"/>
      <c r="V391" s="1">
        <f t="shared" si="12"/>
        <v>8</v>
      </c>
      <c r="W391" s="1">
        <f t="shared" si="13"/>
        <v>0</v>
      </c>
    </row>
    <row r="392" spans="1:23" hidden="1" x14ac:dyDescent="0.2">
      <c r="A392" s="7" t="str">
        <f>Data!A485</f>
        <v>NXP Semiconductors N.V.</v>
      </c>
      <c r="B392" s="7" t="str">
        <f>Data!B485</f>
        <v>NXPI</v>
      </c>
      <c r="C392" s="7" t="str">
        <f>Data!C485</f>
        <v>Information Technology</v>
      </c>
      <c r="D392" s="8">
        <f>IF(ISNUMBER(Data!AL485),Data!AL485/1000,"n/a")</f>
        <v>38.11</v>
      </c>
      <c r="E392" s="1">
        <f>Data!E485</f>
        <v>5</v>
      </c>
      <c r="F392" s="28">
        <f>Data!J485/100</f>
        <v>2.3138006571741507E-2</v>
      </c>
      <c r="G392" s="28">
        <f>IF(ISNUMBER(Data!S485),Data!S485/100,"n/a")</f>
        <v>0.375</v>
      </c>
      <c r="H392" s="28">
        <f>IF(ISNUMBER(Data!T485),Data!T485/100,"n/a")</f>
        <v>1.0206200103110947</v>
      </c>
      <c r="I392" s="28" t="str">
        <f>IF(ISNUMBER(Data!U485),Data!U485/100,"n/a")</f>
        <v>n/a</v>
      </c>
      <c r="J392" s="28" t="str">
        <f>IF(ISNUMBER(Data!V485),Data!V485/100,"n/a")</f>
        <v>n/a</v>
      </c>
      <c r="K392" s="9">
        <f>IF(ISNUMBER(Data!Z485),Data!Z485/100,"n/a")</f>
        <v>0.3689956331877729</v>
      </c>
      <c r="L392" s="10">
        <f>Data!AA485</f>
        <v>15.94759825327511</v>
      </c>
      <c r="M392" s="10">
        <f>Data!AF485</f>
        <v>5.72</v>
      </c>
      <c r="N392" s="28">
        <f>IF(ISNUMBER(Data!AG485),Data!AG485/100,"n/a")</f>
        <v>0.36599999999999999</v>
      </c>
      <c r="O392" s="28">
        <f>IF(ISNUMBER(Data!AJ485),Data!AJ485/100,"n/a")</f>
        <v>0.63800000000000001</v>
      </c>
      <c r="P392" s="9">
        <f>IF(ISNUMBER(Data!AK485),Data!AK485/100,"n/a")</f>
        <v>9.8000000000000004E-2</v>
      </c>
      <c r="Q392" s="8">
        <f>Data!AN485</f>
        <v>0</v>
      </c>
      <c r="R392" s="8" t="str">
        <f>Data!AP485</f>
        <v>n/a</v>
      </c>
      <c r="S392" s="8"/>
      <c r="T392" s="8"/>
      <c r="U392" s="8"/>
      <c r="V392" s="1">
        <f t="shared" si="12"/>
        <v>9</v>
      </c>
      <c r="W392" s="1">
        <f t="shared" si="13"/>
        <v>0</v>
      </c>
    </row>
    <row r="393" spans="1:23" hidden="1" x14ac:dyDescent="0.2">
      <c r="A393" s="7" t="str">
        <f>Data!A348</f>
        <v>Intuit Inc.</v>
      </c>
      <c r="B393" s="7" t="str">
        <f>Data!B348</f>
        <v>INTU</v>
      </c>
      <c r="C393" s="7" t="str">
        <f>Data!C348</f>
        <v>Information Technology</v>
      </c>
      <c r="D393" s="8">
        <f>IF(ISNUMBER(Data!AL348),Data!AL348/1000,"n/a")</f>
        <v>118.95</v>
      </c>
      <c r="E393" s="1">
        <f>Data!E348</f>
        <v>12</v>
      </c>
      <c r="F393" s="28">
        <f>Data!J348/100</f>
        <v>7.2982456140350867E-3</v>
      </c>
      <c r="G393" s="28">
        <f>IF(ISNUMBER(Data!S348),Data!S348/100,"n/a")</f>
        <v>0.12385321100917433</v>
      </c>
      <c r="H393" s="28">
        <f>IF(ISNUMBER(Data!T348),Data!T348/100,"n/a")</f>
        <v>0.14316103271819935</v>
      </c>
      <c r="I393" s="28">
        <f>IF(ISNUMBER(Data!U348),Data!U348/100,"n/a")</f>
        <v>0.14590570033689731</v>
      </c>
      <c r="J393" s="28">
        <f>IF(ISNUMBER(Data!V348),Data!V348/100,"n/a")</f>
        <v>0.32223144893658717</v>
      </c>
      <c r="K393" s="9">
        <f>IF(ISNUMBER(Data!Z348),Data!Z348/100,"n/a")</f>
        <v>0.4303448275862069</v>
      </c>
      <c r="L393" s="10">
        <f>Data!AA348</f>
        <v>58.96551724137931</v>
      </c>
      <c r="M393" s="10">
        <f>Data!AF348</f>
        <v>7.43</v>
      </c>
      <c r="N393" s="28">
        <f>IF(ISNUMBER(Data!AG348),Data!AG348/100,"n/a")</f>
        <v>0.14099999999999999</v>
      </c>
      <c r="O393" s="28">
        <f>IF(ISNUMBER(Data!AJ348),Data!AJ348/100,"n/a")</f>
        <v>0.14000000000000001</v>
      </c>
      <c r="P393" s="9">
        <f>IF(ISNUMBER(Data!AK348),Data!AK348/100,"n/a")</f>
        <v>0.17069999999999999</v>
      </c>
      <c r="Q393" s="8">
        <f>Data!AN348</f>
        <v>0.42</v>
      </c>
      <c r="R393" s="8">
        <f>Data!AP348</f>
        <v>15.320394595093241</v>
      </c>
      <c r="S393" s="8"/>
      <c r="T393" s="8"/>
      <c r="U393" s="8"/>
      <c r="V393" s="1">
        <f t="shared" si="12"/>
        <v>9</v>
      </c>
      <c r="W393" s="1">
        <f t="shared" si="13"/>
        <v>0</v>
      </c>
    </row>
    <row r="394" spans="1:23" hidden="1" x14ac:dyDescent="0.2">
      <c r="A394" s="7" t="str">
        <f>Data!A353</f>
        <v>ITT Inc</v>
      </c>
      <c r="B394" s="7" t="str">
        <f>Data!B353</f>
        <v>ITT</v>
      </c>
      <c r="C394" s="7" t="str">
        <f>Data!C353</f>
        <v>Industrials</v>
      </c>
      <c r="D394" s="8">
        <f>IF(ISNUMBER(Data!AL353),Data!AL353/1000,"n/a")</f>
        <v>6.14</v>
      </c>
      <c r="E394" s="1">
        <f>Data!E353</f>
        <v>10</v>
      </c>
      <c r="F394" s="28">
        <f>Data!J353/100</f>
        <v>1.3823798926561069E-2</v>
      </c>
      <c r="G394" s="28">
        <f>IF(ISNUMBER(Data!S353),Data!S353/100,"n/a")</f>
        <v>0.30177514792899407</v>
      </c>
      <c r="H394" s="28">
        <f>IF(ISNUMBER(Data!T353),Data!T353/100,"n/a")</f>
        <v>0.17970284693587993</v>
      </c>
      <c r="I394" s="28">
        <f>IF(ISNUMBER(Data!U353),Data!U353/100,"n/a")</f>
        <v>0.12150237889617976</v>
      </c>
      <c r="J394" s="28">
        <f>IF(ISNUMBER(Data!V353),Data!V353/100,"n/a")</f>
        <v>8.8103916629037146E-2</v>
      </c>
      <c r="K394" s="9">
        <f>IF(ISNUMBER(Data!Z353),Data!Z353/100,"n/a")</f>
        <v>0.26532663316582916</v>
      </c>
      <c r="L394" s="10">
        <f>Data!AA353</f>
        <v>19.193467336683419</v>
      </c>
      <c r="M394" s="10">
        <f>Data!AF353</f>
        <v>3.18</v>
      </c>
      <c r="N394" s="28">
        <f>IF(ISNUMBER(Data!AG353),Data!AG353/100,"n/a")</f>
        <v>0.161</v>
      </c>
      <c r="O394" s="28">
        <f>IF(ISNUMBER(Data!AJ353),Data!AJ353/100,"n/a")</f>
        <v>0.125</v>
      </c>
      <c r="P394" s="9">
        <f>IF(ISNUMBER(Data!AK353),Data!AK353/100,"n/a")</f>
        <v>0.106</v>
      </c>
      <c r="Q394" s="8">
        <f>Data!AN353</f>
        <v>0.28000000000000003</v>
      </c>
      <c r="R394" s="8">
        <f>Data!AP353</f>
        <v>13.532617782274084</v>
      </c>
      <c r="S394" s="8"/>
      <c r="T394" s="8"/>
      <c r="U394" s="8"/>
      <c r="V394" s="1">
        <f t="shared" si="12"/>
        <v>10</v>
      </c>
      <c r="W394" s="1">
        <f t="shared" si="13"/>
        <v>0</v>
      </c>
    </row>
    <row r="395" spans="1:23" hidden="1" x14ac:dyDescent="0.2">
      <c r="A395" s="7" t="str">
        <f>Data!A350</f>
        <v>The Interpublic Group of Companies, Inc.</v>
      </c>
      <c r="B395" s="7" t="str">
        <f>Data!B350</f>
        <v>IPG</v>
      </c>
      <c r="C395" s="7" t="str">
        <f>Data!C350</f>
        <v>Communication Services</v>
      </c>
      <c r="D395" s="8">
        <f>IF(ISNUMBER(Data!AL350),Data!AL350/1000,"n/a")</f>
        <v>11.47</v>
      </c>
      <c r="E395" s="1">
        <f>Data!E350</f>
        <v>10</v>
      </c>
      <c r="F395" s="28">
        <f>Data!J350/100</f>
        <v>3.8939241356159782E-2</v>
      </c>
      <c r="G395" s="28">
        <f>IF(ISNUMBER(Data!S350),Data!S350/100,"n/a")</f>
        <v>5.8823529411764719E-2</v>
      </c>
      <c r="H395" s="28">
        <f>IF(ISNUMBER(Data!T350),Data!T350/100,"n/a")</f>
        <v>8.7380373002892142E-2</v>
      </c>
      <c r="I395" s="28">
        <f>IF(ISNUMBER(Data!U350),Data!U350/100,"n/a")</f>
        <v>0.12474611314209483</v>
      </c>
      <c r="J395" s="28">
        <f>IF(ISNUMBER(Data!V350),Data!V350/100,"n/a")</f>
        <v>0.1623080652394242</v>
      </c>
      <c r="K395" s="9">
        <f>IF(ISNUMBER(Data!Z350),Data!Z350/100,"n/a")</f>
        <v>0.46031746031746029</v>
      </c>
      <c r="L395" s="10">
        <f>Data!AA350</f>
        <v>11.821428571428571</v>
      </c>
      <c r="M395" s="10">
        <f>Data!AF350</f>
        <v>3.47</v>
      </c>
      <c r="N395" s="28">
        <f>IF(ISNUMBER(Data!AG350),Data!AG350/100,"n/a")</f>
        <v>0.28799999999999998</v>
      </c>
      <c r="O395" s="28">
        <f>IF(ISNUMBER(Data!AJ350),Data!AJ350/100,"n/a")</f>
        <v>0.1</v>
      </c>
      <c r="P395" s="9">
        <f>IF(ISNUMBER(Data!AK350),Data!AK350/100,"n/a")</f>
        <v>4.4999999999999998E-2</v>
      </c>
      <c r="Q395" s="8">
        <f>Data!AN350</f>
        <v>0.87</v>
      </c>
      <c r="R395" s="8">
        <f>Data!AP350</f>
        <v>16.368535449825462</v>
      </c>
      <c r="S395" s="8"/>
      <c r="T395" s="8"/>
      <c r="U395" s="8"/>
      <c r="V395" s="1">
        <f t="shared" si="12"/>
        <v>10</v>
      </c>
      <c r="W395" s="1">
        <f t="shared" si="13"/>
        <v>0</v>
      </c>
    </row>
    <row r="396" spans="1:23" hidden="1" x14ac:dyDescent="0.2">
      <c r="A396" s="7">
        <f>Data!A745</f>
        <v>0</v>
      </c>
      <c r="B396" s="7">
        <f>Data!B745</f>
        <v>0</v>
      </c>
      <c r="C396" s="7">
        <f>Data!C745</f>
        <v>0</v>
      </c>
      <c r="D396" s="8" t="str">
        <f>IF(ISNUMBER(Data!AL745),Data!AL745/1000,"n/a")</f>
        <v>n/a</v>
      </c>
      <c r="E396" s="1">
        <f>Data!E745</f>
        <v>0</v>
      </c>
      <c r="F396" s="28">
        <f>Data!J745/100</f>
        <v>0</v>
      </c>
      <c r="G396" s="28" t="str">
        <f>IF(ISNUMBER(Data!S745),Data!S745/100,"n/a")</f>
        <v>n/a</v>
      </c>
      <c r="H396" s="28" t="str">
        <f>IF(ISNUMBER(Data!T745),Data!T745/100,"n/a")</f>
        <v>n/a</v>
      </c>
      <c r="I396" s="28" t="str">
        <f>IF(ISNUMBER(Data!U745),Data!U745/100,"n/a")</f>
        <v>n/a</v>
      </c>
      <c r="J396" s="28" t="str">
        <f>IF(ISNUMBER(Data!V745),Data!V745/100,"n/a")</f>
        <v>n/a</v>
      </c>
      <c r="K396" s="9" t="str">
        <f>IF(ISNUMBER(Data!Z745),Data!Z745/100,"n/a")</f>
        <v>n/a</v>
      </c>
      <c r="L396" s="10">
        <f>Data!AA745</f>
        <v>0</v>
      </c>
      <c r="M396" s="10">
        <f>Data!AF745</f>
        <v>0</v>
      </c>
      <c r="N396" s="28" t="str">
        <f>IF(ISNUMBER(Data!AG745),Data!AG745/100,"n/a")</f>
        <v>n/a</v>
      </c>
      <c r="O396" s="28" t="str">
        <f>IF(ISNUMBER(Data!AJ745),Data!AJ745/100,"n/a")</f>
        <v>n/a</v>
      </c>
      <c r="P396" s="9" t="str">
        <f>IF(ISNUMBER(Data!AK745),Data!AK745/100,"n/a")</f>
        <v>n/a</v>
      </c>
      <c r="Q396" s="8">
        <f>Data!AN745</f>
        <v>0</v>
      </c>
      <c r="R396" s="8">
        <f>Data!AP745</f>
        <v>0</v>
      </c>
      <c r="S396" s="8"/>
      <c r="T396" s="8"/>
      <c r="U396" s="8"/>
      <c r="V396" s="1">
        <f t="shared" si="12"/>
        <v>2</v>
      </c>
      <c r="W396" s="1">
        <f t="shared" si="13"/>
        <v>0</v>
      </c>
    </row>
    <row r="397" spans="1:23" hidden="1" x14ac:dyDescent="0.2">
      <c r="A397" s="7">
        <f>Data!A744</f>
        <v>0</v>
      </c>
      <c r="B397" s="7">
        <f>Data!B744</f>
        <v>0</v>
      </c>
      <c r="C397" s="7">
        <f>Data!C744</f>
        <v>0</v>
      </c>
      <c r="D397" s="8" t="str">
        <f>IF(ISNUMBER(Data!AL744),Data!AL744/1000,"n/a")</f>
        <v>n/a</v>
      </c>
      <c r="E397" s="1">
        <f>Data!E744</f>
        <v>0</v>
      </c>
      <c r="F397" s="28">
        <f>Data!J744/100</f>
        <v>0</v>
      </c>
      <c r="G397" s="28" t="str">
        <f>IF(ISNUMBER(Data!S744),Data!S744/100,"n/a")</f>
        <v>n/a</v>
      </c>
      <c r="H397" s="28" t="str">
        <f>IF(ISNUMBER(Data!T744),Data!T744/100,"n/a")</f>
        <v>n/a</v>
      </c>
      <c r="I397" s="28" t="str">
        <f>IF(ISNUMBER(Data!U744),Data!U744/100,"n/a")</f>
        <v>n/a</v>
      </c>
      <c r="J397" s="28" t="str">
        <f>IF(ISNUMBER(Data!V744),Data!V744/100,"n/a")</f>
        <v>n/a</v>
      </c>
      <c r="K397" s="9" t="str">
        <f>IF(ISNUMBER(Data!Z744),Data!Z744/100,"n/a")</f>
        <v>n/a</v>
      </c>
      <c r="L397" s="10">
        <f>Data!AA744</f>
        <v>0</v>
      </c>
      <c r="M397" s="10">
        <f>Data!AF744</f>
        <v>0</v>
      </c>
      <c r="N397" s="28" t="str">
        <f>IF(ISNUMBER(Data!AG744),Data!AG744/100,"n/a")</f>
        <v>n/a</v>
      </c>
      <c r="O397" s="28" t="str">
        <f>IF(ISNUMBER(Data!AJ744),Data!AJ744/100,"n/a")</f>
        <v>n/a</v>
      </c>
      <c r="P397" s="9" t="str">
        <f>IF(ISNUMBER(Data!AK744),Data!AK744/100,"n/a")</f>
        <v>n/a</v>
      </c>
      <c r="Q397" s="8">
        <f>Data!AN744</f>
        <v>0</v>
      </c>
      <c r="R397" s="8">
        <f>Data!AP744</f>
        <v>0</v>
      </c>
      <c r="S397" s="8"/>
      <c r="T397" s="8"/>
      <c r="U397" s="8"/>
      <c r="V397" s="1">
        <f t="shared" si="12"/>
        <v>2</v>
      </c>
      <c r="W397" s="1">
        <f t="shared" si="13"/>
        <v>0</v>
      </c>
    </row>
    <row r="398" spans="1:23" hidden="1" x14ac:dyDescent="0.2">
      <c r="A398" s="7" t="str">
        <f>Data!A343</f>
        <v>International Flavors &amp; Fragrances Inc.</v>
      </c>
      <c r="B398" s="7" t="str">
        <f>Data!B343</f>
        <v>IFF</v>
      </c>
      <c r="C398" s="7" t="str">
        <f>Data!C343</f>
        <v>Materials</v>
      </c>
      <c r="D398" s="8">
        <f>IF(ISNUMBER(Data!AL343),Data!AL343/1000,"n/a")</f>
        <v>24.33</v>
      </c>
      <c r="E398" s="1">
        <f>Data!E343</f>
        <v>20</v>
      </c>
      <c r="F398" s="28">
        <f>Data!J343/100</f>
        <v>3.3193320356520853E-2</v>
      </c>
      <c r="G398" s="28">
        <f>IF(ISNUMBER(Data!S343),Data!S343/100,"n/a")</f>
        <v>2.6490066225165476E-2</v>
      </c>
      <c r="H398" s="28">
        <f>IF(ISNUMBER(Data!T343),Data!T343/100,"n/a")</f>
        <v>3.450966906825137E-2</v>
      </c>
      <c r="I398" s="28">
        <f>IF(ISNUMBER(Data!U343),Data!U343/100,"n/a")</f>
        <v>5.9680009969516279E-2</v>
      </c>
      <c r="J398" s="28">
        <f>IF(ISNUMBER(Data!V343),Data!V343/100,"n/a")</f>
        <v>0.10717014667783653</v>
      </c>
      <c r="K398" s="9">
        <f>IF(ISNUMBER(Data!Z343),Data!Z343/100,"n/a")</f>
        <v>1.3012048192771084</v>
      </c>
      <c r="L398" s="10">
        <f>Data!AA343</f>
        <v>39.200803212851405</v>
      </c>
      <c r="M398" s="10">
        <f>Data!AF343</f>
        <v>1.22</v>
      </c>
      <c r="N398" s="28">
        <f>IF(ISNUMBER(Data!AG343),Data!AG343/100,"n/a")</f>
        <v>0.03</v>
      </c>
      <c r="O398" s="28">
        <f>IF(ISNUMBER(Data!AJ343),Data!AJ343/100,"n/a")</f>
        <v>-0.26200000000000001</v>
      </c>
      <c r="P398" s="9">
        <f>IF(ISNUMBER(Data!AK343),Data!AK343/100,"n/a")</f>
        <v>5.3499999999999999E-2</v>
      </c>
      <c r="Q398" s="8">
        <f>Data!AN343</f>
        <v>0.6</v>
      </c>
      <c r="R398" s="8">
        <f>Data!AP343</f>
        <v>9.2873330326037138</v>
      </c>
      <c r="S398" s="8"/>
      <c r="T398" s="8"/>
      <c r="U398" s="8"/>
      <c r="V398" s="1">
        <f t="shared" si="12"/>
        <v>7</v>
      </c>
      <c r="W398" s="1">
        <f t="shared" si="13"/>
        <v>0</v>
      </c>
    </row>
    <row r="399" spans="1:23" hidden="1" x14ac:dyDescent="0.2">
      <c r="A399" s="7" t="str">
        <f>Data!A340</f>
        <v>Intercontinental Exchange, Inc.</v>
      </c>
      <c r="B399" s="7" t="str">
        <f>Data!B340</f>
        <v>ICE</v>
      </c>
      <c r="C399" s="7" t="str">
        <f>Data!C340</f>
        <v>Financials</v>
      </c>
      <c r="D399" s="8">
        <f>IF(ISNUMBER(Data!AL340),Data!AL340/1000,"n/a")</f>
        <v>53.41</v>
      </c>
      <c r="E399" s="1">
        <f>Data!E340</f>
        <v>10</v>
      </c>
      <c r="F399" s="28">
        <f>Data!J340/100</f>
        <v>1.5904572564612328E-2</v>
      </c>
      <c r="G399" s="28">
        <f>IF(ISNUMBER(Data!S340),Data!S340/100,"n/a")</f>
        <v>0.10000000000000009</v>
      </c>
      <c r="H399" s="28">
        <f>IF(ISNUMBER(Data!T340),Data!T340/100,"n/a")</f>
        <v>0.11199004528465784</v>
      </c>
      <c r="I399" s="28">
        <f>IF(ISNUMBER(Data!U340),Data!U340/100,"n/a")</f>
        <v>0.14186037876324487</v>
      </c>
      <c r="J399" s="28" t="str">
        <f>IF(ISNUMBER(Data!V340),Data!V340/100,"n/a")</f>
        <v>n/a</v>
      </c>
      <c r="K399" s="9">
        <f>IF(ISNUMBER(Data!Z340),Data!Z340/100,"n/a")</f>
        <v>0.25418060200668896</v>
      </c>
      <c r="L399" s="10">
        <f>Data!AA340</f>
        <v>15.981605351170566</v>
      </c>
      <c r="M399" s="10">
        <f>Data!AF340</f>
        <v>2.36</v>
      </c>
      <c r="N399" s="28">
        <f>IF(ISNUMBER(Data!AG340),Data!AG340/100,"n/a")</f>
        <v>0.15</v>
      </c>
      <c r="O399" s="28">
        <f>IF(ISNUMBER(Data!AJ340),Data!AJ340/100,"n/a")</f>
        <v>0.24600000000000002</v>
      </c>
      <c r="P399" s="9">
        <f>IF(ISNUMBER(Data!AK340),Data!AK340/100,"n/a")</f>
        <v>6.4199999999999993E-2</v>
      </c>
      <c r="Q399" s="8">
        <f>Data!AN340</f>
        <v>0.79</v>
      </c>
      <c r="R399" s="8">
        <f>Data!AP340</f>
        <v>15.776495132785721</v>
      </c>
      <c r="S399" s="8"/>
      <c r="T399" s="8"/>
      <c r="U399" s="8"/>
      <c r="V399" s="1">
        <f t="shared" si="12"/>
        <v>8</v>
      </c>
      <c r="W399" s="1">
        <f t="shared" si="13"/>
        <v>0</v>
      </c>
    </row>
    <row r="400" spans="1:23" hidden="1" x14ac:dyDescent="0.2">
      <c r="A400" s="7" t="str">
        <f>Data!A349</f>
        <v>Innospec Inc.</v>
      </c>
      <c r="B400" s="7" t="str">
        <f>Data!B349</f>
        <v>IOSP</v>
      </c>
      <c r="C400" s="7" t="str">
        <f>Data!C349</f>
        <v>Materials</v>
      </c>
      <c r="D400" s="8">
        <f>IF(ISNUMBER(Data!AL349),Data!AL349/1000,"n/a")</f>
        <v>2.38</v>
      </c>
      <c r="E400" s="1">
        <f>Data!E349</f>
        <v>9</v>
      </c>
      <c r="F400" s="28">
        <f>Data!J349/100</f>
        <v>1.2601260126012603E-2</v>
      </c>
      <c r="G400" s="28">
        <f>IF(ISNUMBER(Data!S349),Data!S349/100,"n/a")</f>
        <v>0.11538461538461518</v>
      </c>
      <c r="H400" s="28">
        <f>IF(ISNUMBER(Data!T349),Data!T349/100,"n/a")</f>
        <v>9.2335364430206499E-2</v>
      </c>
      <c r="I400" s="28">
        <f>IF(ISNUMBER(Data!U349),Data!U349/100,"n/a")</f>
        <v>0.11603197428653544</v>
      </c>
      <c r="J400" s="28" t="str">
        <f>IF(ISNUMBER(Data!V349),Data!V349/100,"n/a")</f>
        <v>n/a</v>
      </c>
      <c r="K400" s="9">
        <f>IF(ISNUMBER(Data!Z349),Data!Z349/100,"n/a")</f>
        <v>0.27038626609442057</v>
      </c>
      <c r="L400" s="10">
        <f>Data!AA349</f>
        <v>21.457081545064376</v>
      </c>
      <c r="M400" s="10">
        <f>Data!AF349</f>
        <v>2.29</v>
      </c>
      <c r="N400" s="28">
        <f>IF(ISNUMBER(Data!AG349),Data!AG349/100,"n/a")</f>
        <v>0.11200000000000002</v>
      </c>
      <c r="O400" s="28">
        <f>IF(ISNUMBER(Data!AJ349),Data!AJ349/100,"n/a")</f>
        <v>2.4E-2</v>
      </c>
      <c r="P400" s="9">
        <f>IF(ISNUMBER(Data!AK349),Data!AK349/100,"n/a")</f>
        <v>7.4999999999999997E-2</v>
      </c>
      <c r="Q400" s="8">
        <f>Data!AN349</f>
        <v>0</v>
      </c>
      <c r="R400" s="8">
        <f>Data!AP349</f>
        <v>12.863323441254805</v>
      </c>
      <c r="S400" s="8"/>
      <c r="T400" s="8"/>
      <c r="U400" s="8"/>
      <c r="V400" s="1">
        <f t="shared" si="12"/>
        <v>8</v>
      </c>
      <c r="W400" s="1">
        <f t="shared" si="13"/>
        <v>0</v>
      </c>
    </row>
    <row r="401" spans="1:23" hidden="1" x14ac:dyDescent="0.2">
      <c r="A401" s="7" t="str">
        <f>Data!A358</f>
        <v>J &amp; J Snack Foods Corp.</v>
      </c>
      <c r="B401" s="7" t="str">
        <f>Data!B358</f>
        <v>JJSF</v>
      </c>
      <c r="C401" s="7" t="str">
        <f>Data!C358</f>
        <v>Consumer Staples</v>
      </c>
      <c r="D401" s="8">
        <f>IF(ISNUMBER(Data!AL358),Data!AL358/1000,"n/a")</f>
        <v>2.8</v>
      </c>
      <c r="E401" s="1">
        <f>Data!E358</f>
        <v>18</v>
      </c>
      <c r="F401" s="28">
        <f>Data!J358/100</f>
        <v>1.8968904545762479E-2</v>
      </c>
      <c r="G401" s="28">
        <f>IF(ISNUMBER(Data!S358),Data!S358/100,"n/a")</f>
        <v>5.0434782608695716E-2</v>
      </c>
      <c r="H401" s="28">
        <f>IF(ISNUMBER(Data!T358),Data!T358/100,"n/a")</f>
        <v>0.10308287310483522</v>
      </c>
      <c r="I401" s="28">
        <f>IF(ISNUMBER(Data!U358),Data!U358/100,"n/a")</f>
        <v>9.1426429653928665E-2</v>
      </c>
      <c r="J401" s="28">
        <f>IF(ISNUMBER(Data!V358),Data!V358/100,"n/a")</f>
        <v>0.18041279899373783</v>
      </c>
      <c r="K401" s="9">
        <f>IF(ISNUMBER(Data!Z358),Data!Z358/100,"n/a")</f>
        <v>1.1023622047244093</v>
      </c>
      <c r="L401" s="10">
        <f>Data!AA358</f>
        <v>58.114173228346459</v>
      </c>
      <c r="M401" s="10">
        <f>Data!AF358</f>
        <v>3.35</v>
      </c>
      <c r="N401" s="28">
        <f>IF(ISNUMBER(Data!AG358),Data!AG358/100,"n/a")</f>
        <v>5.7000000000000002E-2</v>
      </c>
      <c r="O401" s="28">
        <f>IF(ISNUMBER(Data!AJ358),Data!AJ358/100,"n/a")</f>
        <v>-6.4000000000000001E-2</v>
      </c>
      <c r="P401" s="9" t="str">
        <f>IF(ISNUMBER(Data!AK358),Data!AK358/100,"n/a")</f>
        <v>n/a</v>
      </c>
      <c r="Q401" s="8">
        <f>Data!AN358</f>
        <v>0.15</v>
      </c>
      <c r="R401" s="8">
        <f>Data!AP358</f>
        <v>11.039533419969114</v>
      </c>
      <c r="S401" s="8"/>
      <c r="T401" s="8"/>
      <c r="U401" s="8"/>
      <c r="V401" s="1">
        <f t="shared" si="12"/>
        <v>6</v>
      </c>
      <c r="W401" s="1">
        <f t="shared" si="13"/>
        <v>0</v>
      </c>
    </row>
    <row r="402" spans="1:23" hidden="1" x14ac:dyDescent="0.2">
      <c r="A402" s="7" t="str">
        <f>Data!A355</f>
        <v>J.B. Hunt Transport Services, Inc.</v>
      </c>
      <c r="B402" s="7" t="str">
        <f>Data!B355</f>
        <v>JBHT</v>
      </c>
      <c r="C402" s="7" t="str">
        <f>Data!C355</f>
        <v>Industrials</v>
      </c>
      <c r="D402" s="8">
        <f>IF(ISNUMBER(Data!AL355),Data!AL355/1000,"n/a")</f>
        <v>17.2</v>
      </c>
      <c r="E402" s="1">
        <f>Data!E355</f>
        <v>19</v>
      </c>
      <c r="F402" s="28">
        <f>Data!J355/100</f>
        <v>9.3528964751271419E-3</v>
      </c>
      <c r="G402" s="28">
        <f>IF(ISNUMBER(Data!S355),Data!S355/100,"n/a")</f>
        <v>9.259259259259256E-2</v>
      </c>
      <c r="H402" s="28">
        <f>IF(ISNUMBER(Data!T355),Data!T355/100,"n/a")</f>
        <v>7.1199245451753157E-2</v>
      </c>
      <c r="I402" s="28">
        <f>IF(ISNUMBER(Data!U355),Data!U355/100,"n/a")</f>
        <v>6.042477819475911E-2</v>
      </c>
      <c r="J402" s="28">
        <f>IF(ISNUMBER(Data!V355),Data!V355/100,"n/a")</f>
        <v>8.5395124330390537E-2</v>
      </c>
      <c r="K402" s="9">
        <f>IF(ISNUMBER(Data!Z355),Data!Z355/100,"n/a")</f>
        <v>0.16736401673640167</v>
      </c>
      <c r="L402" s="10">
        <f>Data!AA355</f>
        <v>17.894351464435143</v>
      </c>
      <c r="M402" s="10">
        <f>Data!AF355</f>
        <v>5.3</v>
      </c>
      <c r="N402" s="28">
        <f>IF(ISNUMBER(Data!AG355),Data!AG355/100,"n/a")</f>
        <v>0.27200000000000002</v>
      </c>
      <c r="O402" s="28">
        <f>IF(ISNUMBER(Data!AJ355),Data!AJ355/100,"n/a")</f>
        <v>0.13400000000000001</v>
      </c>
      <c r="P402" s="9">
        <f>IF(ISNUMBER(Data!AK355),Data!AK355/100,"n/a")</f>
        <v>0.14599999999999999</v>
      </c>
      <c r="Q402" s="8">
        <f>Data!AN355</f>
        <v>0.39</v>
      </c>
      <c r="R402" s="8">
        <f>Data!AP355</f>
        <v>6.9777674669886256</v>
      </c>
      <c r="S402" s="8"/>
      <c r="T402" s="8"/>
      <c r="U402" s="8"/>
      <c r="V402" s="1">
        <f t="shared" si="12"/>
        <v>10</v>
      </c>
      <c r="W402" s="1">
        <f t="shared" si="13"/>
        <v>0</v>
      </c>
    </row>
    <row r="403" spans="1:23" hidden="1" x14ac:dyDescent="0.2">
      <c r="A403" s="7" t="str">
        <f>Data!A346</f>
        <v>Ingredion Incorporated</v>
      </c>
      <c r="B403" s="7" t="str">
        <f>Data!B346</f>
        <v>INGR</v>
      </c>
      <c r="C403" s="7" t="str">
        <f>Data!C346</f>
        <v>Consumer Staples</v>
      </c>
      <c r="D403" s="8">
        <f>IF(ISNUMBER(Data!AL346),Data!AL346/1000,"n/a")</f>
        <v>5.73</v>
      </c>
      <c r="E403" s="1">
        <f>Data!E346</f>
        <v>12</v>
      </c>
      <c r="F403" s="28">
        <f>Data!J346/100</f>
        <v>3.1867145421903047E-2</v>
      </c>
      <c r="G403" s="28">
        <f>IF(ISNUMBER(Data!S346),Data!S346/100,"n/a")</f>
        <v>1.5810276679841806E-2</v>
      </c>
      <c r="H403" s="28">
        <f>IF(ISNUMBER(Data!T346),Data!T346/100,"n/a")</f>
        <v>1.9546708246021227E-2</v>
      </c>
      <c r="I403" s="28">
        <f>IF(ISNUMBER(Data!U346),Data!U346/100,"n/a")</f>
        <v>6.7953341621527885E-2</v>
      </c>
      <c r="J403" s="28">
        <f>IF(ISNUMBER(Data!V346),Data!V346/100,"n/a")</f>
        <v>0.15658668243527041</v>
      </c>
      <c r="K403" s="9">
        <f>IF(ISNUMBER(Data!Z346),Data!Z346/100,"n/a")</f>
        <v>0.41949778434268836</v>
      </c>
      <c r="L403" s="10">
        <f>Data!AA346</f>
        <v>13.163958641063518</v>
      </c>
      <c r="M403" s="10">
        <f>Data!AF346</f>
        <v>1.87</v>
      </c>
      <c r="N403" s="28">
        <f>IF(ISNUMBER(Data!AG346),Data!AG346/100,"n/a")</f>
        <v>0.14499999999999999</v>
      </c>
      <c r="O403" s="28">
        <f>IF(ISNUMBER(Data!AJ346),Data!AJ346/100,"n/a")</f>
        <v>-0.23400000000000001</v>
      </c>
      <c r="P403" s="9">
        <f>IF(ISNUMBER(Data!AK346),Data!AK346/100,"n/a")</f>
        <v>8.5400000000000004E-2</v>
      </c>
      <c r="Q403" s="8">
        <f>Data!AN346</f>
        <v>0.76</v>
      </c>
      <c r="R403" s="8">
        <f>Data!AP346</f>
        <v>9.982048704343093</v>
      </c>
      <c r="S403" s="8"/>
      <c r="T403" s="8"/>
      <c r="U403" s="8"/>
      <c r="V403" s="1">
        <f t="shared" si="12"/>
        <v>7</v>
      </c>
      <c r="W403" s="1">
        <f t="shared" si="13"/>
        <v>0</v>
      </c>
    </row>
    <row r="404" spans="1:23" hidden="1" x14ac:dyDescent="0.2">
      <c r="A404" s="7" t="str">
        <f>Data!A345</f>
        <v>Independent Bank Corp.</v>
      </c>
      <c r="B404" s="7" t="str">
        <f>Data!B345</f>
        <v>INDB</v>
      </c>
      <c r="C404" s="7" t="str">
        <f>Data!C345</f>
        <v>Financials</v>
      </c>
      <c r="D404" s="8">
        <f>IF(ISNUMBER(Data!AL345),Data!AL345/1000,"n/a")</f>
        <v>3.91</v>
      </c>
      <c r="E404" s="1">
        <f>Data!E345</f>
        <v>12</v>
      </c>
      <c r="F404" s="28">
        <f>Data!J345/100</f>
        <v>2.3445580967704861E-2</v>
      </c>
      <c r="G404" s="28">
        <f>IF(ISNUMBER(Data!S345),Data!S345/100,"n/a")</f>
        <v>4.39560439560438E-2</v>
      </c>
      <c r="H404" s="28">
        <f>IF(ISNUMBER(Data!T345),Data!T345/100,"n/a")</f>
        <v>9.1776096885807026E-2</v>
      </c>
      <c r="I404" s="28">
        <f>IF(ISNUMBER(Data!U345),Data!U345/100,"n/a")</f>
        <v>0.10951973518388837</v>
      </c>
      <c r="J404" s="28">
        <f>IF(ISNUMBER(Data!V345),Data!V345/100,"n/a")</f>
        <v>9.7410809684315147E-2</v>
      </c>
      <c r="K404" s="9">
        <f>IF(ISNUMBER(Data!Z345),Data!Z345/100,"n/a")</f>
        <v>0.50370370370370376</v>
      </c>
      <c r="L404" s="10">
        <f>Data!AA345</f>
        <v>21.483950617283952</v>
      </c>
      <c r="M404" s="10">
        <f>Data!AF345</f>
        <v>1.41</v>
      </c>
      <c r="N404" s="28">
        <f>IF(ISNUMBER(Data!AG345),Data!AG345/100,"n/a")</f>
        <v>0.05</v>
      </c>
      <c r="O404" s="28">
        <f>IF(ISNUMBER(Data!AJ345),Data!AJ345/100,"n/a")</f>
        <v>3.6999999999999998E-2</v>
      </c>
      <c r="P404" s="9">
        <f>IF(ISNUMBER(Data!AK345),Data!AK345/100,"n/a")</f>
        <v>2.5000000000000001E-2</v>
      </c>
      <c r="Q404" s="8">
        <f>Data!AN345</f>
        <v>0.04</v>
      </c>
      <c r="R404" s="8">
        <f>Data!AP345</f>
        <v>13.296531615159322</v>
      </c>
      <c r="S404" s="8"/>
      <c r="T404" s="8"/>
      <c r="U404" s="8"/>
      <c r="V404" s="1">
        <f t="shared" si="12"/>
        <v>9</v>
      </c>
      <c r="W404" s="1">
        <f t="shared" si="13"/>
        <v>0</v>
      </c>
    </row>
    <row r="405" spans="1:23" hidden="1" x14ac:dyDescent="0.2">
      <c r="A405" s="7" t="str">
        <f>Data!A339</f>
        <v>Independent Bank Group, Inc.</v>
      </c>
      <c r="B405" s="7" t="str">
        <f>Data!B339</f>
        <v>IBTX</v>
      </c>
      <c r="C405" s="7" t="str">
        <f>Data!C339</f>
        <v>Financials</v>
      </c>
      <c r="D405" s="8">
        <f>IF(ISNUMBER(Data!AL339),Data!AL339/1000,"n/a")</f>
        <v>2.57</v>
      </c>
      <c r="E405" s="1">
        <f>Data!E339</f>
        <v>9</v>
      </c>
      <c r="F405" s="28">
        <f>Data!J339/100</f>
        <v>2.4092566175305117E-2</v>
      </c>
      <c r="G405" s="28">
        <f>IF(ISNUMBER(Data!S339),Data!S339/100,"n/a")</f>
        <v>0.25714285714285712</v>
      </c>
      <c r="H405" s="28">
        <f>IF(ISNUMBER(Data!T339),Data!T339/100,"n/a")</f>
        <v>0.34708000687406337</v>
      </c>
      <c r="I405" s="28">
        <f>IF(ISNUMBER(Data!U339),Data!U339/100,"n/a")</f>
        <v>0.31165313872163081</v>
      </c>
      <c r="J405" s="28" t="str">
        <f>IF(ISNUMBER(Data!V339),Data!V339/100,"n/a")</f>
        <v>n/a</v>
      </c>
      <c r="K405" s="9">
        <f>IF(ISNUMBER(Data!Z339),Data!Z339/100,"n/a")</f>
        <v>0.30583501006036218</v>
      </c>
      <c r="L405" s="10">
        <f>Data!AA339</f>
        <v>12.694164989939638</v>
      </c>
      <c r="M405" s="10">
        <f>Data!AF339</f>
        <v>1.1000000000000001</v>
      </c>
      <c r="N405" s="28">
        <f>IF(ISNUMBER(Data!AG339),Data!AG339/100,"n/a")</f>
        <v>8.5000000000000006E-2</v>
      </c>
      <c r="O405" s="28">
        <f>IF(ISNUMBER(Data!AJ339),Data!AJ339/100,"n/a")</f>
        <v>0.126</v>
      </c>
      <c r="P405" s="9">
        <f>IF(ISNUMBER(Data!AK339),Data!AK339/100,"n/a")</f>
        <v>0.1</v>
      </c>
      <c r="Q405" s="8">
        <f>Data!AN339</f>
        <v>0.14000000000000001</v>
      </c>
      <c r="R405" s="8">
        <f>Data!AP339</f>
        <v>33.574570489693592</v>
      </c>
      <c r="S405" s="8"/>
      <c r="T405" s="8"/>
      <c r="U405" s="8"/>
      <c r="V405" s="1">
        <f t="shared" si="12"/>
        <v>10</v>
      </c>
      <c r="W405" s="1">
        <f t="shared" si="13"/>
        <v>0</v>
      </c>
    </row>
    <row r="406" spans="1:23" hidden="1" x14ac:dyDescent="0.2">
      <c r="A406" s="7" t="str">
        <f>Data!A336</f>
        <v>Independent Bank Corporation</v>
      </c>
      <c r="B406" s="7" t="str">
        <f>Data!B336</f>
        <v>IBCP</v>
      </c>
      <c r="C406" s="7" t="str">
        <f>Data!C336</f>
        <v>Financials</v>
      </c>
      <c r="D406" s="8">
        <f>IF(ISNUMBER(Data!AL336),Data!AL336/1000,"n/a")</f>
        <v>0.47276000000000001</v>
      </c>
      <c r="E406" s="1">
        <f>Data!E336</f>
        <v>9</v>
      </c>
      <c r="F406" s="28">
        <f>Data!J336/100</f>
        <v>3.8045827929096415E-2</v>
      </c>
      <c r="G406" s="28">
        <f>IF(ISNUMBER(Data!S336),Data!S336/100,"n/a")</f>
        <v>4.9999999999999822E-2</v>
      </c>
      <c r="H406" s="28">
        <f>IF(ISNUMBER(Data!T336),Data!T336/100,"n/a")</f>
        <v>0.11868894208139678</v>
      </c>
      <c r="I406" s="28">
        <f>IF(ISNUMBER(Data!U336),Data!U336/100,"n/a")</f>
        <v>0.19828486453496663</v>
      </c>
      <c r="J406" s="28" t="str">
        <f>IF(ISNUMBER(Data!V336),Data!V336/100,"n/a")</f>
        <v>n/a</v>
      </c>
      <c r="K406" s="9">
        <f>IF(ISNUMBER(Data!Z336),Data!Z336/100,"n/a")</f>
        <v>0.30877192982456142</v>
      </c>
      <c r="L406" s="10">
        <f>Data!AA336</f>
        <v>8.1157894736842096</v>
      </c>
      <c r="M406" s="10">
        <f>Data!AF336</f>
        <v>1.48</v>
      </c>
      <c r="N406" s="28">
        <f>IF(ISNUMBER(Data!AG336),Data!AG336/100,"n/a")</f>
        <v>0.158</v>
      </c>
      <c r="O406" s="28">
        <f>IF(ISNUMBER(Data!AJ336),Data!AJ336/100,"n/a")</f>
        <v>0.22400000000000003</v>
      </c>
      <c r="P406" s="9">
        <f>IF(ISNUMBER(Data!AK336),Data!AK336/100,"n/a")</f>
        <v>0.08</v>
      </c>
      <c r="Q406" s="8">
        <f>Data!AN336</f>
        <v>0.24</v>
      </c>
      <c r="R406" s="8">
        <f>Data!AP336</f>
        <v>23.633069246406304</v>
      </c>
      <c r="S406" s="8"/>
      <c r="T406" s="8"/>
      <c r="U406" s="8"/>
      <c r="V406" s="1">
        <f t="shared" si="12"/>
        <v>8</v>
      </c>
      <c r="W406" s="1">
        <f t="shared" si="13"/>
        <v>0</v>
      </c>
    </row>
    <row r="407" spans="1:23" hidden="1" x14ac:dyDescent="0.2">
      <c r="A407" s="7" t="str">
        <f>Data!A316</f>
        <v>Horace Mann Educators Corporation</v>
      </c>
      <c r="B407" s="7" t="str">
        <f>Data!B316</f>
        <v>HMN</v>
      </c>
      <c r="C407" s="7" t="str">
        <f>Data!C316</f>
        <v>Financials</v>
      </c>
      <c r="D407" s="8">
        <f>IF(ISNUMBER(Data!AL316),Data!AL316/1000,"n/a")</f>
        <v>1.56</v>
      </c>
      <c r="E407" s="1">
        <f>Data!E316</f>
        <v>13</v>
      </c>
      <c r="F407" s="28">
        <f>Data!J316/100</f>
        <v>3.2437911809427268E-2</v>
      </c>
      <c r="G407" s="28">
        <f>IF(ISNUMBER(Data!S316),Data!S316/100,"n/a")</f>
        <v>3.3333333333333437E-2</v>
      </c>
      <c r="H407" s="28">
        <f>IF(ISNUMBER(Data!T316),Data!T316/100,"n/a")</f>
        <v>2.8424177276338281E-2</v>
      </c>
      <c r="I407" s="28">
        <f>IF(ISNUMBER(Data!U316),Data!U316/100,"n/a")</f>
        <v>3.186567045409161E-2</v>
      </c>
      <c r="J407" s="28">
        <f>IF(ISNUMBER(Data!V316),Data!V316/100,"n/a")</f>
        <v>0.10424739995488853</v>
      </c>
      <c r="K407" s="9">
        <f>IF(ISNUMBER(Data!Z316),Data!Z316/100,"n/a")</f>
        <v>0.92086330935251803</v>
      </c>
      <c r="L407" s="10">
        <f>Data!AA316</f>
        <v>28.388489208633096</v>
      </c>
      <c r="M407" s="10">
        <f>Data!AF316</f>
        <v>1.3</v>
      </c>
      <c r="N407" s="28">
        <f>IF(ISNUMBER(Data!AG316),Data!AG316/100,"n/a")</f>
        <v>3.6999999999999998E-2</v>
      </c>
      <c r="O407" s="28">
        <f>IF(ISNUMBER(Data!AJ316),Data!AJ316/100,"n/a")</f>
        <v>0.109</v>
      </c>
      <c r="P407" s="9">
        <f>IF(ISNUMBER(Data!AK316),Data!AK316/100,"n/a")</f>
        <v>0.127</v>
      </c>
      <c r="Q407" s="8">
        <f>Data!AN316</f>
        <v>0.4</v>
      </c>
      <c r="R407" s="8">
        <f>Data!AP316</f>
        <v>6.4303582263518884</v>
      </c>
      <c r="S407" s="8"/>
      <c r="T407" s="8"/>
      <c r="U407" s="8"/>
      <c r="V407" s="1">
        <f t="shared" si="12"/>
        <v>5</v>
      </c>
      <c r="W407" s="1">
        <f t="shared" si="13"/>
        <v>0</v>
      </c>
    </row>
    <row r="408" spans="1:23" hidden="1" x14ac:dyDescent="0.2">
      <c r="A408" s="7" t="str">
        <f>Data!A335</f>
        <v>Hyster-Yale Materials Handling, Inc.</v>
      </c>
      <c r="B408" s="7" t="str">
        <f>Data!B335</f>
        <v>HY</v>
      </c>
      <c r="C408" s="7" t="str">
        <f>Data!C335</f>
        <v>Industrials</v>
      </c>
      <c r="D408" s="8">
        <f>IF(ISNUMBER(Data!AL335),Data!AL335/1000,"n/a")</f>
        <v>0.48292000000000002</v>
      </c>
      <c r="E408" s="1">
        <f>Data!E335</f>
        <v>10</v>
      </c>
      <c r="F408" s="28">
        <f>Data!J335/100</f>
        <v>4.4238683127572023E-2</v>
      </c>
      <c r="G408" s="28">
        <f>IF(ISNUMBER(Data!S335),Data!S335/100,"n/a")</f>
        <v>1.1811023622047223E-2</v>
      </c>
      <c r="H408" s="28">
        <f>IF(ISNUMBER(Data!T335),Data!T335/100,"n/a")</f>
        <v>1.4001817057687216E-2</v>
      </c>
      <c r="I408" s="28">
        <f>IF(ISNUMBER(Data!U335),Data!U335/100,"n/a")</f>
        <v>1.8927897771606306E-2</v>
      </c>
      <c r="J408" s="28" t="str">
        <f>IF(ISNUMBER(Data!V335),Data!V335/100,"n/a")</f>
        <v>n/a</v>
      </c>
      <c r="K408" s="9" t="str">
        <f>IF(ISNUMBER(Data!Z335),Data!Z335/100,"n/a")</f>
        <v>n/a</v>
      </c>
      <c r="L408" s="10" t="str">
        <f>Data!AA335</f>
        <v>n/a</v>
      </c>
      <c r="M408" s="10">
        <f>Data!AF335</f>
        <v>2.48</v>
      </c>
      <c r="N408" s="28">
        <f>IF(ISNUMBER(Data!AG335),Data!AG335/100,"n/a")</f>
        <v>-0.66299999999999992</v>
      </c>
      <c r="O408" s="28">
        <f>IF(ISNUMBER(Data!AJ335),Data!AJ335/100,"n/a")</f>
        <v>-0.42799999999999999</v>
      </c>
      <c r="P408" s="9">
        <f>IF(ISNUMBER(Data!AK335),Data!AK335/100,"n/a")</f>
        <v>0.15</v>
      </c>
      <c r="Q408" s="8">
        <f>Data!AN335</f>
        <v>2.91</v>
      </c>
      <c r="R408" s="8">
        <f>Data!AP335</f>
        <v>6.3166580899178326</v>
      </c>
      <c r="S408" s="8"/>
      <c r="T408" s="8"/>
      <c r="U408" s="8"/>
      <c r="V408" s="1">
        <f t="shared" si="12"/>
        <v>2</v>
      </c>
      <c r="W408" s="1">
        <f t="shared" si="13"/>
        <v>0</v>
      </c>
    </row>
    <row r="409" spans="1:23" hidden="1" x14ac:dyDescent="0.2">
      <c r="A409" s="7" t="str">
        <f>Data!A334</f>
        <v>Hawkins, Inc.</v>
      </c>
      <c r="B409" s="7" t="str">
        <f>Data!B334</f>
        <v>HWKN</v>
      </c>
      <c r="C409" s="7" t="str">
        <f>Data!C334</f>
        <v>Materials</v>
      </c>
      <c r="D409" s="8">
        <f>IF(ISNUMBER(Data!AL334),Data!AL334/1000,"n/a")</f>
        <v>0.93498000000000003</v>
      </c>
      <c r="E409" s="1">
        <f>Data!E334</f>
        <v>18</v>
      </c>
      <c r="F409" s="28">
        <f>Data!J334/100</f>
        <v>1.243615367532756E-2</v>
      </c>
      <c r="G409" s="28">
        <f>IF(ISNUMBER(Data!S334),Data!S334/100,"n/a")</f>
        <v>8.602150537634401E-2</v>
      </c>
      <c r="H409" s="28">
        <f>IF(ISNUMBER(Data!T334),Data!T334/100,"n/a")</f>
        <v>4.3062797114540752E-2</v>
      </c>
      <c r="I409" s="28">
        <f>IF(ISNUMBER(Data!U334),Data!U334/100,"n/a")</f>
        <v>4.2561070630344089E-2</v>
      </c>
      <c r="J409" s="28">
        <f>IF(ISNUMBER(Data!V334),Data!V334/100,"n/a")</f>
        <v>4.6680516352221479E-2</v>
      </c>
      <c r="K409" s="9">
        <f>IF(ISNUMBER(Data!Z334),Data!Z334/100,"n/a")</f>
        <v>0.21621621621621626</v>
      </c>
      <c r="L409" s="10">
        <f>Data!AA334</f>
        <v>17.386100386100388</v>
      </c>
      <c r="M409" s="10">
        <f>Data!AF334</f>
        <v>3.04</v>
      </c>
      <c r="N409" s="28">
        <f>IF(ISNUMBER(Data!AG334),Data!AG334/100,"n/a")</f>
        <v>0.183</v>
      </c>
      <c r="O409" s="28">
        <f>IF(ISNUMBER(Data!AJ334),Data!AJ334/100,"n/a")</f>
        <v>0.35600000000000004</v>
      </c>
      <c r="P409" s="9" t="str">
        <f>IF(ISNUMBER(Data!AK334),Data!AK334/100,"n/a")</f>
        <v>n/a</v>
      </c>
      <c r="Q409" s="8">
        <f>Data!AN334</f>
        <v>0.51</v>
      </c>
      <c r="R409" s="8">
        <f>Data!AP334</f>
        <v>5.4997224305671644</v>
      </c>
      <c r="S409" s="8"/>
      <c r="T409" s="8"/>
      <c r="U409" s="8"/>
      <c r="V409" s="1">
        <f t="shared" si="12"/>
        <v>5</v>
      </c>
      <c r="W409" s="1">
        <f t="shared" si="13"/>
        <v>0</v>
      </c>
    </row>
    <row r="410" spans="1:23" hidden="1" x14ac:dyDescent="0.2">
      <c r="A410" s="7" t="str">
        <f>Data!A327</f>
        <v>HomeTrust Bancshares, Inc.</v>
      </c>
      <c r="B410" s="7" t="str">
        <f>Data!B327</f>
        <v>HTBI</v>
      </c>
      <c r="C410" s="7" t="str">
        <f>Data!C327</f>
        <v>Financials</v>
      </c>
      <c r="D410" s="8">
        <f>IF(ISNUMBER(Data!AL327),Data!AL327/1000,"n/a")</f>
        <v>0.37085000000000001</v>
      </c>
      <c r="E410" s="1">
        <f>Data!E327</f>
        <v>5</v>
      </c>
      <c r="F410" s="28">
        <f>Data!J327/100</f>
        <v>1.6645859342488557E-2</v>
      </c>
      <c r="G410" s="28">
        <f>IF(ISNUMBER(Data!S327),Data!S327/100,"n/a")</f>
        <v>0.13793103448275845</v>
      </c>
      <c r="H410" s="28">
        <f>IF(ISNUMBER(Data!T327),Data!T327/100,"n/a")</f>
        <v>0.76517416766303148</v>
      </c>
      <c r="I410" s="28" t="str">
        <f>IF(ISNUMBER(Data!U327),Data!U327/100,"n/a")</f>
        <v>n/a</v>
      </c>
      <c r="J410" s="28" t="str">
        <f>IF(ISNUMBER(Data!V327),Data!V327/100,"n/a")</f>
        <v>n/a</v>
      </c>
      <c r="K410" s="9">
        <f>IF(ISNUMBER(Data!Z327),Data!Z327/100,"n/a")</f>
        <v>0.16</v>
      </c>
      <c r="L410" s="10">
        <f>Data!AA327</f>
        <v>9.6120000000000001</v>
      </c>
      <c r="M410" s="10">
        <f>Data!AF327</f>
        <v>0.93</v>
      </c>
      <c r="N410" s="28">
        <f>IF(ISNUMBER(Data!AG327),Data!AG327/100,"n/a")</f>
        <v>0.10100000000000002</v>
      </c>
      <c r="O410" s="28">
        <f>IF(ISNUMBER(Data!AJ327),Data!AJ327/100,"n/a")</f>
        <v>0.27900000000000003</v>
      </c>
      <c r="P410" s="9">
        <f>IF(ISNUMBER(Data!AK327),Data!AK327/100,"n/a")</f>
        <v>0.08</v>
      </c>
      <c r="Q410" s="8">
        <f>Data!AN327</f>
        <v>0</v>
      </c>
      <c r="R410" s="8" t="str">
        <f>Data!AP327</f>
        <v>n/a</v>
      </c>
      <c r="S410" s="8"/>
      <c r="T410" s="8"/>
      <c r="U410" s="8"/>
      <c r="V410" s="1">
        <f t="shared" si="12"/>
        <v>7</v>
      </c>
      <c r="W410" s="1">
        <f t="shared" si="13"/>
        <v>0</v>
      </c>
    </row>
    <row r="411" spans="1:23" hidden="1" x14ac:dyDescent="0.2">
      <c r="A411" s="7" t="str">
        <f>Data!A319</f>
        <v>Home Bancshares, Inc. (Conway, AR)</v>
      </c>
      <c r="B411" s="7" t="str">
        <f>Data!B319</f>
        <v>HOMB</v>
      </c>
      <c r="C411" s="7" t="str">
        <f>Data!C319</f>
        <v>Financials</v>
      </c>
      <c r="D411" s="8">
        <f>IF(ISNUMBER(Data!AL319),Data!AL319/1000,"n/a")</f>
        <v>5.01</v>
      </c>
      <c r="E411" s="1">
        <f>Data!E319</f>
        <v>12</v>
      </c>
      <c r="F411" s="28">
        <f>Data!J319/100</f>
        <v>2.5892506865437429E-2</v>
      </c>
      <c r="G411" s="28">
        <f>IF(ISNUMBER(Data!S319),Data!S319/100,"n/a")</f>
        <v>5.6603773584905648E-2</v>
      </c>
      <c r="H411" s="28">
        <f>IF(ISNUMBER(Data!T319),Data!T319/100,"n/a")</f>
        <v>6.7767583149812571E-2</v>
      </c>
      <c r="I411" s="28">
        <f>IF(ISNUMBER(Data!U319),Data!U319/100,"n/a")</f>
        <v>0.10333016068581656</v>
      </c>
      <c r="J411" s="28">
        <f>IF(ISNUMBER(Data!V319),Data!V319/100,"n/a")</f>
        <v>0.23654897682391751</v>
      </c>
      <c r="K411" s="9">
        <f>IF(ISNUMBER(Data!Z319),Data!Z319/100,"n/a")</f>
        <v>0.45517241379310347</v>
      </c>
      <c r="L411" s="10">
        <f>Data!AA319</f>
        <v>17.579310344827586</v>
      </c>
      <c r="M411" s="10">
        <f>Data!AF319</f>
        <v>1.49</v>
      </c>
      <c r="N411" s="28">
        <f>IF(ISNUMBER(Data!AG319),Data!AG319/100,"n/a")</f>
        <v>0.1</v>
      </c>
      <c r="O411" s="28">
        <f>IF(ISNUMBER(Data!AJ319),Data!AJ319/100,"n/a")</f>
        <v>0.09</v>
      </c>
      <c r="P411" s="9">
        <f>IF(ISNUMBER(Data!AK319),Data!AK319/100,"n/a")</f>
        <v>0.05</v>
      </c>
      <c r="Q411" s="8">
        <f>Data!AN319</f>
        <v>0</v>
      </c>
      <c r="R411" s="8">
        <f>Data!AP319</f>
        <v>12.922266755125399</v>
      </c>
      <c r="S411" s="8"/>
      <c r="T411" s="8"/>
      <c r="U411" s="8"/>
      <c r="V411" s="1">
        <f t="shared" si="12"/>
        <v>11</v>
      </c>
      <c r="W411" s="1">
        <f t="shared" si="13"/>
        <v>0</v>
      </c>
    </row>
    <row r="412" spans="1:23" hidden="1" x14ac:dyDescent="0.2">
      <c r="A412" s="7" t="str">
        <f>Data!A329</f>
        <v>Heartland Financial USA, Inc.</v>
      </c>
      <c r="B412" s="7" t="str">
        <f>Data!B329</f>
        <v>HTLF</v>
      </c>
      <c r="C412" s="7" t="str">
        <f>Data!C329</f>
        <v>Financials</v>
      </c>
      <c r="D412" s="8">
        <f>IF(ISNUMBER(Data!AL329),Data!AL329/1000,"n/a")</f>
        <v>2.0299999999999998</v>
      </c>
      <c r="E412" s="1">
        <f>Data!E329</f>
        <v>6</v>
      </c>
      <c r="F412" s="28">
        <f>Data!J329/100</f>
        <v>2.2708840227088401E-2</v>
      </c>
      <c r="G412" s="28">
        <f>IF(ISNUMBER(Data!S329),Data!S329/100,"n/a")</f>
        <v>0.19999999999999996</v>
      </c>
      <c r="H412" s="28">
        <f>IF(ISNUMBER(Data!T329),Data!T329/100,"n/a")</f>
        <v>0.21141372855475971</v>
      </c>
      <c r="I412" s="28">
        <f>IF(ISNUMBER(Data!U329),Data!U329/100,"n/a")</f>
        <v>0.19135789816709159</v>
      </c>
      <c r="J412" s="28">
        <f>IF(ISNUMBER(Data!V329),Data!V329/100,"n/a")</f>
        <v>9.1493425617896987E-2</v>
      </c>
      <c r="K412" s="9">
        <f>IF(ISNUMBER(Data!Z329),Data!Z329/100,"n/a")</f>
        <v>0.24724061810154527</v>
      </c>
      <c r="L412" s="10">
        <f>Data!AA329</f>
        <v>10.887417218543046</v>
      </c>
      <c r="M412" s="10">
        <f>Data!AF329</f>
        <v>1.26</v>
      </c>
      <c r="N412" s="28">
        <f>IF(ISNUMBER(Data!AG329),Data!AG329/100,"n/a")</f>
        <v>0.10100000000000002</v>
      </c>
      <c r="O412" s="28">
        <f>IF(ISNUMBER(Data!AJ329),Data!AJ329/100,"n/a")</f>
        <v>9.1999999999999998E-2</v>
      </c>
      <c r="P412" s="9">
        <f>IF(ISNUMBER(Data!AK329),Data!AK329/100,"n/a")</f>
        <v>0.1</v>
      </c>
      <c r="Q412" s="8">
        <f>Data!AN329</f>
        <v>0.22</v>
      </c>
      <c r="R412" s="8">
        <f>Data!AP329</f>
        <v>21.406673839418001</v>
      </c>
      <c r="S412" s="8"/>
      <c r="T412" s="8"/>
      <c r="U412" s="8"/>
      <c r="V412" s="1">
        <f t="shared" si="12"/>
        <v>11</v>
      </c>
      <c r="W412" s="1">
        <f t="shared" si="13"/>
        <v>0</v>
      </c>
    </row>
    <row r="413" spans="1:23" hidden="1" x14ac:dyDescent="0.2">
      <c r="A413" s="7" t="str">
        <f>Data!A305</f>
        <v>Hess Midstream LP</v>
      </c>
      <c r="B413" s="7" t="str">
        <f>Data!B305</f>
        <v>HESM</v>
      </c>
      <c r="C413" s="7" t="str">
        <f>Data!C305</f>
        <v>Energy</v>
      </c>
      <c r="D413" s="8">
        <f>IF(ISNUMBER(Data!AL305),Data!AL305/1000,"n/a")</f>
        <v>7.57</v>
      </c>
      <c r="E413" s="1">
        <f>Data!E305</f>
        <v>6</v>
      </c>
      <c r="F413" s="28">
        <f>Data!J305/100</f>
        <v>7.7774706288873521E-2</v>
      </c>
      <c r="G413" s="28">
        <f>IF(ISNUMBER(Data!S305),Data!S305/100,"n/a")</f>
        <v>0.10347014065021899</v>
      </c>
      <c r="H413" s="28">
        <f>IF(ISNUMBER(Data!T305),Data!T305/100,"n/a")</f>
        <v>0.12130751207014633</v>
      </c>
      <c r="I413" s="28" t="str">
        <f>IF(ISNUMBER(Data!U305),Data!U305/100,"n/a")</f>
        <v>n/a</v>
      </c>
      <c r="J413" s="28" t="str">
        <f>IF(ISNUMBER(Data!V305),Data!V305/100,"n/a")</f>
        <v>n/a</v>
      </c>
      <c r="K413" s="9">
        <f>IF(ISNUMBER(Data!Z305),Data!Z305/100,"n/a")</f>
        <v>1.1033333333333333</v>
      </c>
      <c r="L413" s="10">
        <f>Data!AA305</f>
        <v>14.186274509803923</v>
      </c>
      <c r="M413" s="10">
        <f>Data!AF305</f>
        <v>5.04</v>
      </c>
      <c r="N413" s="28">
        <f>IF(ISNUMBER(Data!AG305),Data!AG305/100,"n/a")</f>
        <v>0.27600000000000002</v>
      </c>
      <c r="O413" s="28">
        <f>IF(ISNUMBER(Data!AJ305),Data!AJ305/100,"n/a")</f>
        <v>-0.13700000000000001</v>
      </c>
      <c r="P413" s="9">
        <f>IF(ISNUMBER(Data!AK305),Data!AK305/100,"n/a")</f>
        <v>0.1114</v>
      </c>
      <c r="Q413" s="8">
        <f>Data!AN305</f>
        <v>11.81</v>
      </c>
      <c r="R413" s="8" t="str">
        <f>Data!AP305</f>
        <v>n/a</v>
      </c>
      <c r="S413" s="8"/>
      <c r="T413" s="8"/>
      <c r="U413" s="8"/>
      <c r="V413" s="1">
        <f t="shared" si="12"/>
        <v>6</v>
      </c>
      <c r="W413" s="1">
        <f t="shared" si="13"/>
        <v>0</v>
      </c>
    </row>
    <row r="414" spans="1:23" hidden="1" x14ac:dyDescent="0.2">
      <c r="A414" s="7" t="str">
        <f>Data!A321</f>
        <v>Honat Bancorp, Inc.</v>
      </c>
      <c r="B414" s="7" t="str">
        <f>Data!B321</f>
        <v>HONT</v>
      </c>
      <c r="C414" s="7" t="str">
        <f>Data!C321</f>
        <v>Financials</v>
      </c>
      <c r="D414" s="8" t="str">
        <f>IF(ISNUMBER(Data!AL321),Data!AL321/1000,"n/a")</f>
        <v>n/a</v>
      </c>
      <c r="E414" s="1">
        <f>Data!E321</f>
        <v>17</v>
      </c>
      <c r="F414" s="28">
        <f>Data!J321/100</f>
        <v>2.0017757688271853E-2</v>
      </c>
      <c r="G414" s="28">
        <f>IF(ISNUMBER(Data!S321),Data!S321/100,"n/a")</f>
        <v>0.10752688172043001</v>
      </c>
      <c r="H414" s="28">
        <f>IF(ISNUMBER(Data!T321),Data!T321/100,"n/a")</f>
        <v>7.2466124161307821E-2</v>
      </c>
      <c r="I414" s="28">
        <f>IF(ISNUMBER(Data!U321),Data!U321/100,"n/a")</f>
        <v>0.11413340246469872</v>
      </c>
      <c r="J414" s="28">
        <f>IF(ISNUMBER(Data!V321),Data!V321/100,"n/a")</f>
        <v>0.11942718117077501</v>
      </c>
      <c r="K414" s="9" t="str">
        <f>IF(ISNUMBER(Data!Z321),Data!Z321/100,"n/a")</f>
        <v>n/a</v>
      </c>
      <c r="L414" s="10" t="str">
        <f>Data!AA321</f>
        <v>n/a</v>
      </c>
      <c r="M414" s="10" t="str">
        <f>Data!AF321</f>
        <v>n/a</v>
      </c>
      <c r="N414" s="28" t="str">
        <f>IF(ISNUMBER(Data!AG321),Data!AG321/100,"n/a")</f>
        <v>n/a</v>
      </c>
      <c r="O414" s="28" t="str">
        <f>IF(ISNUMBER(Data!AJ321),Data!AJ321/100,"n/a")</f>
        <v>n/a</v>
      </c>
      <c r="P414" s="9" t="str">
        <f>IF(ISNUMBER(Data!AK321),Data!AK321/100,"n/a")</f>
        <v>n/a</v>
      </c>
      <c r="Q414" s="8" t="str">
        <f>Data!AN321</f>
        <v>n/a</v>
      </c>
      <c r="R414" s="8">
        <f>Data!AP321</f>
        <v>13.415116015297057</v>
      </c>
      <c r="S414" s="8"/>
      <c r="T414" s="8"/>
      <c r="U414" s="8"/>
      <c r="V414" s="1">
        <f t="shared" si="12"/>
        <v>5</v>
      </c>
      <c r="W414" s="1">
        <f t="shared" si="13"/>
        <v>0</v>
      </c>
    </row>
    <row r="415" spans="1:23" hidden="1" x14ac:dyDescent="0.2">
      <c r="A415" s="7" t="str">
        <f>Data!A323</f>
        <v>Healthcare Realty Trust Inc.</v>
      </c>
      <c r="B415" s="7" t="str">
        <f>Data!B323</f>
        <v>HR</v>
      </c>
      <c r="C415" s="7" t="str">
        <f>Data!C323</f>
        <v>Real Estate</v>
      </c>
      <c r="D415" s="8">
        <f>IF(ISNUMBER(Data!AL323),Data!AL323/1000,"n/a")</f>
        <v>7.66</v>
      </c>
      <c r="E415" s="1">
        <f>Data!E323</f>
        <v>10</v>
      </c>
      <c r="F415" s="28">
        <f>Data!J323/100</f>
        <v>6.3944909001475661E-2</v>
      </c>
      <c r="G415" s="28">
        <f>IF(ISNUMBER(Data!S323),Data!S323/100,"n/a")</f>
        <v>1.5810276679841806E-2</v>
      </c>
      <c r="H415" s="28">
        <f>IF(ISNUMBER(Data!T323),Data!T323/100,"n/a")</f>
        <v>1.6066999579604779E-2</v>
      </c>
      <c r="I415" s="28">
        <f>IF(ISNUMBER(Data!U323),Data!U323/100,"n/a")</f>
        <v>1.633517230276893E-2</v>
      </c>
      <c r="J415" s="28" t="str">
        <f>IF(ISNUMBER(Data!V323),Data!V323/100,"n/a")</f>
        <v>n/a</v>
      </c>
      <c r="K415" s="9">
        <f>IF(ISNUMBER(Data!Z323),Data!Z323/100,"n/a")</f>
        <v>2.6530612244897962</v>
      </c>
      <c r="L415" s="10">
        <f>Data!AA323</f>
        <v>41.489795918367342</v>
      </c>
      <c r="M415" s="10">
        <f>Data!AF323</f>
        <v>1.41</v>
      </c>
      <c r="N415" s="28">
        <f>IF(ISNUMBER(Data!AG323),Data!AG323/100,"n/a")</f>
        <v>2.9000000000000005E-2</v>
      </c>
      <c r="O415" s="28">
        <f>IF(ISNUMBER(Data!AJ323),Data!AJ323/100,"n/a")</f>
        <v>0.06</v>
      </c>
      <c r="P415" s="9" t="str">
        <f>IF(ISNUMBER(Data!AK323),Data!AK323/100,"n/a")</f>
        <v>n/a</v>
      </c>
      <c r="Q415" s="8">
        <f>Data!AN323</f>
        <v>0.98</v>
      </c>
      <c r="R415" s="8">
        <f>Data!AP323</f>
        <v>8.0280081304244604</v>
      </c>
      <c r="S415" s="8"/>
      <c r="T415" s="8"/>
      <c r="U415" s="8"/>
      <c r="V415" s="1">
        <f t="shared" si="12"/>
        <v>3</v>
      </c>
      <c r="W415" s="1">
        <f t="shared" si="13"/>
        <v>0</v>
      </c>
    </row>
    <row r="416" spans="1:23" x14ac:dyDescent="0.2">
      <c r="A416" s="7" t="str">
        <f>Data!A325</f>
        <v>Hormel Foods Corporation</v>
      </c>
      <c r="B416" s="7" t="str">
        <f>Data!B325</f>
        <v>HRL</v>
      </c>
      <c r="C416" s="7" t="str">
        <f>Data!C325</f>
        <v>Consumer Staples</v>
      </c>
      <c r="D416" s="8">
        <f>IF(ISNUMBER(Data!AL325),Data!AL325/1000,"n/a")</f>
        <v>25.14</v>
      </c>
      <c r="E416" s="1">
        <f>Data!E325</f>
        <v>54</v>
      </c>
      <c r="F416" s="28">
        <f>Data!J325/100</f>
        <v>2.2389666307857912E-2</v>
      </c>
      <c r="G416" s="28">
        <f>IF(ISNUMBER(Data!S325),Data!S325/100,"n/a")</f>
        <v>5.3763440860215006E-2</v>
      </c>
      <c r="H416" s="28">
        <f>IF(ISNUMBER(Data!T325),Data!T325/100,"n/a")</f>
        <v>9.3255331866711977E-2</v>
      </c>
      <c r="I416" s="28">
        <f>IF(ISNUMBER(Data!U325),Data!U325/100,"n/a")</f>
        <v>0.11060497971884509</v>
      </c>
      <c r="J416" s="28">
        <f>IF(ISNUMBER(Data!V325),Data!V325/100,"n/a")</f>
        <v>0.14411212858356115</v>
      </c>
      <c r="K416" s="9">
        <f>IF(ISNUMBER(Data!Z325),Data!Z325/100,"n/a")</f>
        <v>0.56830601092896171</v>
      </c>
      <c r="L416" s="10">
        <f>Data!AA325</f>
        <v>25.382513661202186</v>
      </c>
      <c r="M416" s="10">
        <f>Data!AF325</f>
        <v>3.48</v>
      </c>
      <c r="N416" s="28">
        <f>IF(ISNUMBER(Data!AG325),Data!AG325/100,"n/a")</f>
        <v>0.13900000000000001</v>
      </c>
      <c r="O416" s="28">
        <f>IF(ISNUMBER(Data!AJ325),Data!AJ325/100,"n/a")</f>
        <v>2E-3</v>
      </c>
      <c r="P416" s="9">
        <f>IF(ISNUMBER(Data!AK325),Data!AK325/100,"n/a")</f>
        <v>8.7499999999999994E-2</v>
      </c>
      <c r="Q416" s="8">
        <f>Data!AN325</f>
        <v>0.45</v>
      </c>
      <c r="R416" s="8">
        <f>Data!AP325</f>
        <v>13.2994646026703</v>
      </c>
      <c r="S416" s="8"/>
      <c r="T416" s="8"/>
      <c r="U416" s="8"/>
      <c r="V416" s="1">
        <f t="shared" si="12"/>
        <v>11</v>
      </c>
      <c r="W416" s="1">
        <f t="shared" si="13"/>
        <v>0</v>
      </c>
    </row>
    <row r="417" spans="1:23" hidden="1" x14ac:dyDescent="0.2">
      <c r="A417" s="7" t="str">
        <f>Data!A326</f>
        <v>The Hershey Company</v>
      </c>
      <c r="B417" s="7" t="str">
        <f>Data!B326</f>
        <v>HSY</v>
      </c>
      <c r="C417" s="7" t="str">
        <f>Data!C326</f>
        <v>Consumer Staples</v>
      </c>
      <c r="D417" s="8">
        <f>IF(ISNUMBER(Data!AL326),Data!AL326/1000,"n/a")</f>
        <v>48.05</v>
      </c>
      <c r="E417" s="1">
        <f>Data!E326</f>
        <v>13</v>
      </c>
      <c r="F417" s="28">
        <f>Data!J326/100</f>
        <v>1.7355614189387275E-2</v>
      </c>
      <c r="G417" s="28">
        <f>IF(ISNUMBER(Data!S326),Data!S326/100,"n/a")</f>
        <v>8.1166772352568195E-2</v>
      </c>
      <c r="H417" s="28">
        <f>IF(ISNUMBER(Data!T326),Data!T326/100,"n/a")</f>
        <v>7.3556869501053335E-2</v>
      </c>
      <c r="I417" s="28">
        <f>IF(ISNUMBER(Data!U326),Data!U326/100,"n/a")</f>
        <v>7.2596252300143105E-2</v>
      </c>
      <c r="J417" s="28">
        <f>IF(ISNUMBER(Data!V326),Data!V326/100,"n/a")</f>
        <v>9.4680871471561456E-2</v>
      </c>
      <c r="K417" s="9">
        <f>IF(ISNUMBER(Data!Z326),Data!Z326/100,"n/a")</f>
        <v>0.57877094972067045</v>
      </c>
      <c r="L417" s="10">
        <f>Data!AA326</f>
        <v>33.347765363128495</v>
      </c>
      <c r="M417" s="10">
        <f>Data!AF326</f>
        <v>17.05</v>
      </c>
      <c r="N417" s="28">
        <f>IF(ISNUMBER(Data!AG326),Data!AG326/100,"n/a")</f>
        <v>0.58799999999999997</v>
      </c>
      <c r="O417" s="28">
        <f>IF(ISNUMBER(Data!AJ326),Data!AJ326/100,"n/a")</f>
        <v>0.105</v>
      </c>
      <c r="P417" s="9">
        <f>IF(ISNUMBER(Data!AK326),Data!AK326/100,"n/a")</f>
        <v>0.1033</v>
      </c>
      <c r="Q417" s="8">
        <f>Data!AN326</f>
        <v>1.73</v>
      </c>
      <c r="R417" s="8">
        <f>Data!AP326</f>
        <v>8.9951866489530374</v>
      </c>
      <c r="S417" s="8"/>
      <c r="T417" s="8"/>
      <c r="U417" s="8"/>
      <c r="V417" s="1">
        <f t="shared" si="12"/>
        <v>8</v>
      </c>
      <c r="W417" s="1">
        <f t="shared" si="13"/>
        <v>0</v>
      </c>
    </row>
    <row r="418" spans="1:23" hidden="1" x14ac:dyDescent="0.2">
      <c r="A418" s="7" t="str">
        <f>Data!A311</f>
        <v>Huntington Ingalls Industries, Inc.</v>
      </c>
      <c r="B418" s="7" t="str">
        <f>Data!B311</f>
        <v>HII</v>
      </c>
      <c r="C418" s="7" t="str">
        <f>Data!C311</f>
        <v>Industrials</v>
      </c>
      <c r="D418" s="8">
        <f>IF(ISNUMBER(Data!AL311),Data!AL311/1000,"n/a")</f>
        <v>10.130000000000001</v>
      </c>
      <c r="E418" s="1">
        <f>Data!E311</f>
        <v>10</v>
      </c>
      <c r="F418" s="28">
        <f>Data!J311/100</f>
        <v>1.8360757770257127E-2</v>
      </c>
      <c r="G418" s="28">
        <f>IF(ISNUMBER(Data!S311),Data!S311/100,"n/a")</f>
        <v>8.7470449172576625E-2</v>
      </c>
      <c r="H418" s="28">
        <f>IF(ISNUMBER(Data!T311),Data!T311/100,"n/a")</f>
        <v>0.15058037697854276</v>
      </c>
      <c r="I418" s="28">
        <f>IF(ISNUMBER(Data!U311),Data!U311/100,"n/a")</f>
        <v>0.16978946918768023</v>
      </c>
      <c r="J418" s="28" t="str">
        <f>IF(ISNUMBER(Data!V311),Data!V311/100,"n/a")</f>
        <v>n/a</v>
      </c>
      <c r="K418" s="9">
        <f>IF(ISNUMBER(Data!Z311),Data!Z311/100,"n/a")</f>
        <v>0.32417582417582413</v>
      </c>
      <c r="L418" s="10">
        <f>Data!AA311</f>
        <v>17.655906593406591</v>
      </c>
      <c r="M418" s="10">
        <f>Data!AF311</f>
        <v>3.5</v>
      </c>
      <c r="N418" s="28">
        <f>IF(ISNUMBER(Data!AG311),Data!AG311/100,"n/a")</f>
        <v>0.217</v>
      </c>
      <c r="O418" s="28">
        <f>IF(ISNUMBER(Data!AJ311),Data!AJ311/100,"n/a")</f>
        <v>2.1000000000000001E-2</v>
      </c>
      <c r="P418" s="9">
        <f>IF(ISNUMBER(Data!AK311),Data!AK311/100,"n/a")</f>
        <v>0.13900000000000001</v>
      </c>
      <c r="Q418" s="8">
        <f>Data!AN311</f>
        <v>1.05</v>
      </c>
      <c r="R418" s="8">
        <f>Data!AP311</f>
        <v>18.815022695793736</v>
      </c>
      <c r="S418" s="8"/>
      <c r="T418" s="8"/>
      <c r="U418" s="8"/>
      <c r="V418" s="1">
        <f t="shared" si="12"/>
        <v>8</v>
      </c>
      <c r="W418" s="1">
        <f t="shared" si="13"/>
        <v>0</v>
      </c>
    </row>
    <row r="419" spans="1:23" hidden="1" x14ac:dyDescent="0.2">
      <c r="A419" s="7" t="str">
        <f>Data!A324</f>
        <v>H&amp;R Block, Inc.</v>
      </c>
      <c r="B419" s="7" t="str">
        <f>Data!B324</f>
        <v>HRB</v>
      </c>
      <c r="C419" s="7" t="str">
        <f>Data!C324</f>
        <v>Consumer Discretionary</v>
      </c>
      <c r="D419" s="8">
        <f>IF(ISNUMBER(Data!AL324),Data!AL324/1000,"n/a")</f>
        <v>6.54</v>
      </c>
      <c r="E419" s="1">
        <f>Data!E324</f>
        <v>7</v>
      </c>
      <c r="F419" s="28">
        <f>Data!J324/100</f>
        <v>2.818955042527339E-2</v>
      </c>
      <c r="G419" s="28">
        <f>IF(ISNUMBER(Data!S324),Data!S324/100,"n/a")</f>
        <v>1.9230769230769162E-2</v>
      </c>
      <c r="H419" s="28">
        <f>IF(ISNUMBER(Data!T324),Data!T324/100,"n/a")</f>
        <v>2.6502307236170086E-2</v>
      </c>
      <c r="I419" s="28">
        <f>IF(ISNUMBER(Data!U324),Data!U324/100,"n/a")</f>
        <v>4.762370263962179E-2</v>
      </c>
      <c r="J419" s="28">
        <f>IF(ISNUMBER(Data!V324),Data!V324/100,"n/a")</f>
        <v>5.8559956827601622E-2</v>
      </c>
      <c r="K419" s="9">
        <f>IF(ISNUMBER(Data!Z324),Data!Z324/100,"n/a")</f>
        <v>0.336231884057971</v>
      </c>
      <c r="L419" s="10">
        <f>Data!AA324</f>
        <v>11.927536231884057</v>
      </c>
      <c r="M419" s="10">
        <f>Data!AF324</f>
        <v>31.32</v>
      </c>
      <c r="N419" s="28" t="str">
        <f>IF(ISNUMBER(Data!AG324),Data!AG324/100,"n/a")</f>
        <v>n/a</v>
      </c>
      <c r="O419" s="28">
        <f>IF(ISNUMBER(Data!AJ324),Data!AJ324/100,"n/a")</f>
        <v>2.1000000000000001E-2</v>
      </c>
      <c r="P419" s="9">
        <f>IF(ISNUMBER(Data!AK324),Data!AK324/100,"n/a")</f>
        <v>0.15</v>
      </c>
      <c r="Q419" s="8">
        <f>Data!AN324</f>
        <v>0</v>
      </c>
      <c r="R419" s="8">
        <f>Data!AP324</f>
        <v>7.5813253064895179</v>
      </c>
      <c r="S419" s="8"/>
      <c r="T419" s="8"/>
      <c r="U419" s="8"/>
      <c r="V419" s="1">
        <f t="shared" si="12"/>
        <v>8</v>
      </c>
      <c r="W419" s="1">
        <f t="shared" si="13"/>
        <v>0</v>
      </c>
    </row>
    <row r="420" spans="1:23" hidden="1" x14ac:dyDescent="0.2">
      <c r="A420" s="7" t="str">
        <f>Data!A304</f>
        <v>HEICO Corporation</v>
      </c>
      <c r="B420" s="7" t="str">
        <f>Data!B304</f>
        <v>HEI</v>
      </c>
      <c r="C420" s="7" t="str">
        <f>Data!C304</f>
        <v>Industrials</v>
      </c>
      <c r="D420" s="8">
        <f>IF(ISNUMBER(Data!AL304),Data!AL304/1000,"n/a")</f>
        <v>19.14</v>
      </c>
      <c r="E420" s="1">
        <f>Data!E304</f>
        <v>14</v>
      </c>
      <c r="F420" s="28">
        <f>Data!J304/100</f>
        <v>1.1067388096409247E-3</v>
      </c>
      <c r="G420" s="28">
        <f>IF(ISNUMBER(Data!S304),Data!S304/100,"n/a")</f>
        <v>6.25E-2</v>
      </c>
      <c r="H420" s="28">
        <f>IF(ISNUMBER(Data!T304),Data!T304/100,"n/a")</f>
        <v>0.17497658733011634</v>
      </c>
      <c r="I420" s="28">
        <f>IF(ISNUMBER(Data!U304),Data!U304/100,"n/a")</f>
        <v>0.1569830960592169</v>
      </c>
      <c r="J420" s="28">
        <f>IF(ISNUMBER(Data!V304),Data!V304/100,"n/a")</f>
        <v>0.16988875336036968</v>
      </c>
      <c r="K420" s="9">
        <f>IF(ISNUMBER(Data!Z304),Data!Z304/100,"n/a")</f>
        <v>7.28744939271255E-2</v>
      </c>
      <c r="L420" s="10">
        <f>Data!AA304</f>
        <v>65.84615384615384</v>
      </c>
      <c r="M420" s="10">
        <f>Data!AF304</f>
        <v>9.07</v>
      </c>
      <c r="N420" s="28">
        <f>IF(ISNUMBER(Data!AG304),Data!AG304/100,"n/a")</f>
        <v>0.14499999999999999</v>
      </c>
      <c r="O420" s="28">
        <f>IF(ISNUMBER(Data!AJ304),Data!AJ304/100,"n/a")</f>
        <v>0.13500000000000001</v>
      </c>
      <c r="P420" s="9">
        <f>IF(ISNUMBER(Data!AK304),Data!AK304/100,"n/a")</f>
        <v>0.1386</v>
      </c>
      <c r="Q420" s="8">
        <f>Data!AN304</f>
        <v>0.1</v>
      </c>
      <c r="R420" s="8">
        <f>Data!AP304</f>
        <v>15.808983486885783</v>
      </c>
      <c r="S420" s="8"/>
      <c r="T420" s="8"/>
      <c r="U420" s="8"/>
      <c r="V420" s="1">
        <f t="shared" si="12"/>
        <v>9</v>
      </c>
      <c r="W420" s="1">
        <f t="shared" si="13"/>
        <v>0</v>
      </c>
    </row>
    <row r="421" spans="1:23" hidden="1" x14ac:dyDescent="0.2">
      <c r="A421" s="7" t="str">
        <f>Data!A322</f>
        <v>HP Inc.</v>
      </c>
      <c r="B421" s="7" t="str">
        <f>Data!B322</f>
        <v>HPQ</v>
      </c>
      <c r="C421" s="7" t="str">
        <f>Data!C322</f>
        <v>Information Technology</v>
      </c>
      <c r="D421" s="8">
        <f>IF(ISNUMBER(Data!AL322),Data!AL322/1000,"n/a")</f>
        <v>27.38</v>
      </c>
      <c r="E421" s="1">
        <f>Data!E322</f>
        <v>12</v>
      </c>
      <c r="F421" s="28">
        <f>Data!J322/100</f>
        <v>3.6205648081100647E-2</v>
      </c>
      <c r="G421" s="28">
        <f>IF(ISNUMBER(Data!S322),Data!S322/100,"n/a")</f>
        <v>9.9886492622020415E-2</v>
      </c>
      <c r="H421" s="28">
        <f>IF(ISNUMBER(Data!T322),Data!T322/100,"n/a")</f>
        <v>0.11635130764998249</v>
      </c>
      <c r="I421" s="28">
        <f>IF(ISNUMBER(Data!U322),Data!U322/100,"n/a")</f>
        <v>9.5190662172671706E-2</v>
      </c>
      <c r="J421" s="28">
        <f>IF(ISNUMBER(Data!V322),Data!V322/100,"n/a")</f>
        <v>0.15182687520222049</v>
      </c>
      <c r="K421" s="9">
        <f>IF(ISNUMBER(Data!Z322),Data!Z322/100,"n/a")</f>
        <v>0.17421602787456444</v>
      </c>
      <c r="L421" s="10">
        <f>Data!AA322</f>
        <v>4.8118466898954706</v>
      </c>
      <c r="M421" s="10" t="str">
        <f>Data!AF322</f>
        <v>n/a</v>
      </c>
      <c r="N421" s="28">
        <f>IF(ISNUMBER(Data!AG322),Data!AG322/100,"n/a")</f>
        <v>-3.077</v>
      </c>
      <c r="O421" s="28">
        <f>IF(ISNUMBER(Data!AJ322),Data!AJ322/100,"n/a")</f>
        <v>0.28399999999999997</v>
      </c>
      <c r="P421" s="9">
        <f>IF(ISNUMBER(Data!AK322),Data!AK322/100,"n/a")</f>
        <v>1.23E-2</v>
      </c>
      <c r="Q421" s="8" t="str">
        <f>Data!AN322</f>
        <v>n/a</v>
      </c>
      <c r="R421" s="8">
        <f>Data!AP322</f>
        <v>13.139631025377234</v>
      </c>
      <c r="S421" s="8"/>
      <c r="T421" s="8"/>
      <c r="U421" s="8"/>
      <c r="V421" s="1">
        <f t="shared" si="12"/>
        <v>10</v>
      </c>
      <c r="W421" s="1">
        <f t="shared" si="13"/>
        <v>0</v>
      </c>
    </row>
    <row r="422" spans="1:23" hidden="1" x14ac:dyDescent="0.2">
      <c r="A422" s="7" t="str">
        <f>Data!A314</f>
        <v>Houlihan Lokey, Inc.</v>
      </c>
      <c r="B422" s="7" t="str">
        <f>Data!B314</f>
        <v>HLI</v>
      </c>
      <c r="C422" s="7" t="str">
        <f>Data!C314</f>
        <v>Financials</v>
      </c>
      <c r="D422" s="8">
        <f>IF(ISNUMBER(Data!AL314),Data!AL314/1000,"n/a")</f>
        <v>5.73</v>
      </c>
      <c r="E422" s="1">
        <f>Data!E314</f>
        <v>8</v>
      </c>
      <c r="F422" s="28">
        <f>Data!J314/100</f>
        <v>2.3734885803851323E-2</v>
      </c>
      <c r="G422" s="28">
        <f>IF(ISNUMBER(Data!S314),Data!S314/100,"n/a")</f>
        <v>0.265625</v>
      </c>
      <c r="H422" s="28">
        <f>IF(ISNUMBER(Data!T314),Data!T314/100,"n/a")</f>
        <v>0.17057132251103901</v>
      </c>
      <c r="I422" s="28">
        <f>IF(ISNUMBER(Data!U314),Data!U314/100,"n/a")</f>
        <v>0.19672459249017257</v>
      </c>
      <c r="J422" s="28" t="str">
        <f>IF(ISNUMBER(Data!V314),Data!V314/100,"n/a")</f>
        <v>n/a</v>
      </c>
      <c r="K422" s="9">
        <f>IF(ISNUMBER(Data!Z314),Data!Z314/100,"n/a")</f>
        <v>0.34304207119741098</v>
      </c>
      <c r="L422" s="10">
        <f>Data!AA314</f>
        <v>14.453074433656958</v>
      </c>
      <c r="M422" s="10">
        <f>Data!AF314</f>
        <v>4.01</v>
      </c>
      <c r="N422" s="28">
        <f>IF(ISNUMBER(Data!AG314),Data!AG314/100,"n/a")</f>
        <v>0.3</v>
      </c>
      <c r="O422" s="28">
        <f>IF(ISNUMBER(Data!AJ314),Data!AJ314/100,"n/a")</f>
        <v>0.316</v>
      </c>
      <c r="P422" s="9">
        <f>IF(ISNUMBER(Data!AK314),Data!AK314/100,"n/a")</f>
        <v>8.6999999999999994E-2</v>
      </c>
      <c r="Q422" s="8">
        <f>Data!AN314</f>
        <v>0</v>
      </c>
      <c r="R422" s="8">
        <f>Data!AP314</f>
        <v>22.04594782940239</v>
      </c>
      <c r="S422" s="8"/>
      <c r="T422" s="8"/>
      <c r="U422" s="8"/>
      <c r="V422" s="1">
        <f t="shared" si="12"/>
        <v>10</v>
      </c>
      <c r="W422" s="1">
        <f t="shared" si="13"/>
        <v>0</v>
      </c>
    </row>
    <row r="423" spans="1:23" hidden="1" x14ac:dyDescent="0.2">
      <c r="A423" s="7" t="str">
        <f>Data!A332</f>
        <v>Hurco Companies, Inc.</v>
      </c>
      <c r="B423" s="7" t="str">
        <f>Data!B332</f>
        <v>HURC</v>
      </c>
      <c r="C423" s="7" t="str">
        <f>Data!C332</f>
        <v>Industrials</v>
      </c>
      <c r="D423" s="8">
        <f>IF(ISNUMBER(Data!AL332),Data!AL332/1000,"n/a")</f>
        <v>0.15884999999999999</v>
      </c>
      <c r="E423" s="1">
        <f>Data!E332</f>
        <v>10</v>
      </c>
      <c r="F423" s="28">
        <f>Data!J332/100</f>
        <v>2.591792656587473E-2</v>
      </c>
      <c r="G423" s="28">
        <f>IF(ISNUMBER(Data!S332),Data!S332/100,"n/a")</f>
        <v>7.8431372549019773E-2</v>
      </c>
      <c r="H423" s="28">
        <f>IF(ISNUMBER(Data!T332),Data!T332/100,"n/a")</f>
        <v>8.5503957932088634E-2</v>
      </c>
      <c r="I423" s="28">
        <f>IF(ISNUMBER(Data!U332),Data!U332/100,"n/a")</f>
        <v>9.4608784223157549E-2</v>
      </c>
      <c r="J423" s="28" t="str">
        <f>IF(ISNUMBER(Data!V332),Data!V332/100,"n/a")</f>
        <v>n/a</v>
      </c>
      <c r="K423" s="9">
        <f>IF(ISNUMBER(Data!Z332),Data!Z332/100,"n/a")</f>
        <v>0.45112781954887216</v>
      </c>
      <c r="L423" s="10">
        <f>Data!AA332</f>
        <v>17.406015037593981</v>
      </c>
      <c r="M423" s="10">
        <f>Data!AF332</f>
        <v>0.68</v>
      </c>
      <c r="N423" s="28">
        <f>IF(ISNUMBER(Data!AG332),Data!AG332/100,"n/a")</f>
        <v>3.6999999999999998E-2</v>
      </c>
      <c r="O423" s="28">
        <f>IF(ISNUMBER(Data!AJ332),Data!AJ332/100,"n/a")</f>
        <v>-0.126</v>
      </c>
      <c r="P423" s="9" t="str">
        <f>IF(ISNUMBER(Data!AK332),Data!AK332/100,"n/a")</f>
        <v>n/a</v>
      </c>
      <c r="Q423" s="8">
        <f>Data!AN332</f>
        <v>0</v>
      </c>
      <c r="R423" s="8">
        <f>Data!AP332</f>
        <v>12.052671078903227</v>
      </c>
      <c r="S423" s="8"/>
      <c r="T423" s="8"/>
      <c r="U423" s="8"/>
      <c r="V423" s="1">
        <f t="shared" si="12"/>
        <v>7</v>
      </c>
      <c r="W423" s="1">
        <f t="shared" si="13"/>
        <v>0</v>
      </c>
    </row>
    <row r="424" spans="1:23" hidden="1" x14ac:dyDescent="0.2">
      <c r="A424" s="7" t="str">
        <f>Data!A313</f>
        <v>Heartland BancCorp</v>
      </c>
      <c r="B424" s="7" t="str">
        <f>Data!B313</f>
        <v>HLAN</v>
      </c>
      <c r="C424" s="7" t="str">
        <f>Data!C313</f>
        <v>Financials</v>
      </c>
      <c r="D424" s="8" t="str">
        <f>IF(ISNUMBER(Data!AL313),Data!AL313/1000,"n/a")</f>
        <v>n/a</v>
      </c>
      <c r="E424" s="1">
        <f>Data!E313</f>
        <v>10</v>
      </c>
      <c r="F424" s="28">
        <f>Data!J313/100</f>
        <v>0.03</v>
      </c>
      <c r="G424" s="28">
        <f>IF(ISNUMBER(Data!S313),Data!S313/100,"n/a")</f>
        <v>9.9103139013452898E-2</v>
      </c>
      <c r="H424" s="28">
        <f>IF(ISNUMBER(Data!T313),Data!T313/100,"n/a")</f>
        <v>9.8426038235661206E-2</v>
      </c>
      <c r="I424" s="28">
        <f>IF(ISNUMBER(Data!U313),Data!U313/100,"n/a")</f>
        <v>9.7014495863592773E-2</v>
      </c>
      <c r="J424" s="28">
        <f>IF(ISNUMBER(Data!V313),Data!V313/100,"n/a")</f>
        <v>6.6554926043875584E-2</v>
      </c>
      <c r="K424" s="9" t="str">
        <f>IF(ISNUMBER(Data!Z313),Data!Z313/100,"n/a")</f>
        <v>n/a</v>
      </c>
      <c r="L424" s="10" t="str">
        <f>Data!AA313</f>
        <v>n/a</v>
      </c>
      <c r="M424" s="10" t="str">
        <f>Data!AF313</f>
        <v>n/a</v>
      </c>
      <c r="N424" s="28" t="str">
        <f>IF(ISNUMBER(Data!AG313),Data!AG313/100,"n/a")</f>
        <v>n/a</v>
      </c>
      <c r="O424" s="28" t="str">
        <f>IF(ISNUMBER(Data!AJ313),Data!AJ313/100,"n/a")</f>
        <v>n/a</v>
      </c>
      <c r="P424" s="9" t="str">
        <f>IF(ISNUMBER(Data!AK313),Data!AK313/100,"n/a")</f>
        <v>n/a</v>
      </c>
      <c r="Q424" s="8" t="str">
        <f>Data!AN313</f>
        <v>n/a</v>
      </c>
      <c r="R424" s="8">
        <f>Data!AP313</f>
        <v>12.701449586359278</v>
      </c>
      <c r="S424" s="8"/>
      <c r="T424" s="8"/>
      <c r="U424" s="8"/>
      <c r="V424" s="1">
        <f t="shared" si="12"/>
        <v>5</v>
      </c>
      <c r="W424" s="1">
        <f t="shared" si="13"/>
        <v>0</v>
      </c>
    </row>
    <row r="425" spans="1:23" hidden="1" x14ac:dyDescent="0.2">
      <c r="A425" s="7" t="str">
        <f>Data!A317</f>
        <v>HNI Corporation</v>
      </c>
      <c r="B425" s="7" t="str">
        <f>Data!B317</f>
        <v>HNI</v>
      </c>
      <c r="C425" s="7" t="str">
        <f>Data!C317</f>
        <v>Industrials</v>
      </c>
      <c r="D425" s="8">
        <f>IF(ISNUMBER(Data!AL317),Data!AL317/1000,"n/a")</f>
        <v>1.1599999999999999</v>
      </c>
      <c r="E425" s="1">
        <f>Data!E317</f>
        <v>12</v>
      </c>
      <c r="F425" s="28">
        <f>Data!J317/100</f>
        <v>4.4153156260779577E-2</v>
      </c>
      <c r="G425" s="28">
        <f>IF(ISNUMBER(Data!S317),Data!S317/100,"n/a")</f>
        <v>1.2295081967213184E-2</v>
      </c>
      <c r="H425" s="28">
        <f>IF(ISNUMBER(Data!T317),Data!T317/100,"n/a")</f>
        <v>1.8185790714934535E-2</v>
      </c>
      <c r="I425" s="28">
        <f>IF(ISNUMBER(Data!U317),Data!U317/100,"n/a")</f>
        <v>2.5293235168655004E-2</v>
      </c>
      <c r="J425" s="28">
        <f>IF(ISNUMBER(Data!V317),Data!V317/100,"n/a")</f>
        <v>2.9883055969457395E-2</v>
      </c>
      <c r="K425" s="9">
        <f>IF(ISNUMBER(Data!Z317),Data!Z317/100,"n/a")</f>
        <v>0.46715328467153283</v>
      </c>
      <c r="L425" s="10">
        <f>Data!AA317</f>
        <v>10.580291970802918</v>
      </c>
      <c r="M425" s="10">
        <f>Data!AF317</f>
        <v>2.15</v>
      </c>
      <c r="N425" s="28">
        <f>IF(ISNUMBER(Data!AG317),Data!AG317/100,"n/a")</f>
        <v>0.1</v>
      </c>
      <c r="O425" s="28">
        <f>IF(ISNUMBER(Data!AJ317),Data!AJ317/100,"n/a")</f>
        <v>-6.3E-2</v>
      </c>
      <c r="P425" s="9">
        <f>IF(ISNUMBER(Data!AK317),Data!AK317/100,"n/a")</f>
        <v>0.1</v>
      </c>
      <c r="Q425" s="8">
        <f>Data!AN317</f>
        <v>0.57999999999999996</v>
      </c>
      <c r="R425" s="8">
        <f>Data!AP317</f>
        <v>6.9446391429434584</v>
      </c>
      <c r="S425" s="8"/>
      <c r="T425" s="8"/>
      <c r="U425" s="8"/>
      <c r="V425" s="1">
        <f t="shared" si="12"/>
        <v>5</v>
      </c>
      <c r="W425" s="1">
        <f t="shared" si="13"/>
        <v>0</v>
      </c>
    </row>
    <row r="426" spans="1:23" hidden="1" x14ac:dyDescent="0.2">
      <c r="A426" s="7" t="str">
        <f>Data!A310</f>
        <v>The Hartford Financial Services Group, Inc.</v>
      </c>
      <c r="B426" s="7" t="str">
        <f>Data!B310</f>
        <v>HIG</v>
      </c>
      <c r="C426" s="7" t="str">
        <f>Data!C310</f>
        <v>Financials</v>
      </c>
      <c r="D426" s="8">
        <f>IF(ISNUMBER(Data!AL310),Data!AL310/1000,"n/a")</f>
        <v>22.7</v>
      </c>
      <c r="E426" s="1">
        <f>Data!E310</f>
        <v>13</v>
      </c>
      <c r="F426" s="28">
        <f>Data!J310/100</f>
        <v>2.3477420245822399E-2</v>
      </c>
      <c r="G426" s="28">
        <f>IF(ISNUMBER(Data!S310),Data!S310/100,"n/a")</f>
        <v>7.8431372549019773E-2</v>
      </c>
      <c r="H426" s="28">
        <f>IF(ISNUMBER(Data!T310),Data!T310/100,"n/a")</f>
        <v>9.4051585121155412E-2</v>
      </c>
      <c r="I426" s="28">
        <f>IF(ISNUMBER(Data!U310),Data!U310/100,"n/a")</f>
        <v>0.10358218836162303</v>
      </c>
      <c r="J426" s="28">
        <f>IF(ISNUMBER(Data!V310),Data!V310/100,"n/a")</f>
        <v>0.1466304358341195</v>
      </c>
      <c r="K426" s="9">
        <f>IF(ISNUMBER(Data!Z310),Data!Z310/100,"n/a")</f>
        <v>0.27960526315789475</v>
      </c>
      <c r="L426" s="10">
        <f>Data!AA310</f>
        <v>11.909539473684211</v>
      </c>
      <c r="M426" s="10">
        <f>Data!AF310</f>
        <v>1.84</v>
      </c>
      <c r="N426" s="28">
        <f>IF(ISNUMBER(Data!AG310),Data!AG310/100,"n/a")</f>
        <v>0.13</v>
      </c>
      <c r="O426" s="28">
        <f>IF(ISNUMBER(Data!AJ310),Data!AJ310/100,"n/a")</f>
        <v>0.33600000000000002</v>
      </c>
      <c r="P426" s="9">
        <f>IF(ISNUMBER(Data!AK310),Data!AK310/100,"n/a")</f>
        <v>0.1371</v>
      </c>
      <c r="Q426" s="8">
        <f>Data!AN310</f>
        <v>0</v>
      </c>
      <c r="R426" s="8">
        <f>Data!AP310</f>
        <v>12.705960860744543</v>
      </c>
      <c r="S426" s="8"/>
      <c r="T426" s="8"/>
      <c r="U426" s="8"/>
      <c r="V426" s="1">
        <f t="shared" si="12"/>
        <v>11</v>
      </c>
      <c r="W426" s="1">
        <f t="shared" si="13"/>
        <v>0</v>
      </c>
    </row>
    <row r="427" spans="1:23" hidden="1" x14ac:dyDescent="0.2">
      <c r="A427" s="7" t="str">
        <f>Data!A312</f>
        <v>Highwoods Properties, Inc.</v>
      </c>
      <c r="B427" s="7" t="str">
        <f>Data!B312</f>
        <v>HIW</v>
      </c>
      <c r="C427" s="7" t="str">
        <f>Data!C312</f>
        <v>Real Estate</v>
      </c>
      <c r="D427" s="8">
        <f>IF(ISNUMBER(Data!AL312),Data!AL312/1000,"n/a")</f>
        <v>2.92</v>
      </c>
      <c r="E427" s="1">
        <f>Data!E312</f>
        <v>5</v>
      </c>
      <c r="F427" s="28">
        <f>Data!J312/100</f>
        <v>7.084661707403471E-2</v>
      </c>
      <c r="G427" s="28">
        <f>IF(ISNUMBER(Data!S312),Data!S312/100,"n/a")</f>
        <v>2.0833333333333259E-2</v>
      </c>
      <c r="H427" s="28">
        <f>IF(ISNUMBER(Data!T312),Data!T312/100,"n/a")</f>
        <v>1.9439477838389285E-2</v>
      </c>
      <c r="I427" s="28">
        <f>IF(ISNUMBER(Data!U312),Data!U312/100,"n/a")</f>
        <v>2.8872193361828558E-2</v>
      </c>
      <c r="J427" s="28">
        <f>IF(ISNUMBER(Data!V312),Data!V312/100,"n/a")</f>
        <v>1.4333373877557287E-2</v>
      </c>
      <c r="K427" s="9">
        <f>IF(ISNUMBER(Data!Z312),Data!Z312/100,"n/a")</f>
        <v>0.82644628099173556</v>
      </c>
      <c r="L427" s="10">
        <f>Data!AA312</f>
        <v>11.665289256198347</v>
      </c>
      <c r="M427" s="10">
        <f>Data!AF312</f>
        <v>1.2</v>
      </c>
      <c r="N427" s="28">
        <f>IF(ISNUMBER(Data!AG312),Data!AG312/100,"n/a")</f>
        <v>0.10299999999999999</v>
      </c>
      <c r="O427" s="28">
        <f>IF(ISNUMBER(Data!AJ312),Data!AJ312/100,"n/a")</f>
        <v>0.21199999999999999</v>
      </c>
      <c r="P427" s="9">
        <f>IF(ISNUMBER(Data!AK312),Data!AK312/100,"n/a")</f>
        <v>0.08</v>
      </c>
      <c r="Q427" s="8">
        <f>Data!AN312</f>
        <v>1.2</v>
      </c>
      <c r="R427" s="8">
        <f>Data!AP312</f>
        <v>9.9718810435863254</v>
      </c>
      <c r="S427" s="8"/>
      <c r="T427" s="8"/>
      <c r="U427" s="8"/>
      <c r="V427" s="1">
        <f t="shared" si="12"/>
        <v>5</v>
      </c>
      <c r="W427" s="1">
        <f t="shared" si="13"/>
        <v>0</v>
      </c>
    </row>
    <row r="428" spans="1:23" hidden="1" x14ac:dyDescent="0.2">
      <c r="A428" s="7" t="str">
        <f>Data!A309</f>
        <v>Hingham Institution for Savings</v>
      </c>
      <c r="B428" s="7" t="str">
        <f>Data!B309</f>
        <v>HIFS</v>
      </c>
      <c r="C428" s="7" t="str">
        <f>Data!C309</f>
        <v>Financials</v>
      </c>
      <c r="D428" s="8">
        <f>IF(ISNUMBER(Data!AL309),Data!AL309/1000,"n/a")</f>
        <v>0.53261999999999998</v>
      </c>
      <c r="E428" s="1">
        <f>Data!E309</f>
        <v>15</v>
      </c>
      <c r="F428" s="28">
        <f>Data!J309/100</f>
        <v>9.8685540950455009E-3</v>
      </c>
      <c r="G428" s="28">
        <f>IF(ISNUMBER(Data!S309),Data!S309/100,"n/a")</f>
        <v>0.16959064327485371</v>
      </c>
      <c r="H428" s="28">
        <f>IF(ISNUMBER(Data!T309),Data!T309/100,"n/a")</f>
        <v>0.12894226363160999</v>
      </c>
      <c r="I428" s="28">
        <f>IF(ISNUMBER(Data!U309),Data!U309/100,"n/a")</f>
        <v>0.10391092901821718</v>
      </c>
      <c r="J428" s="28">
        <f>IF(ISNUMBER(Data!V309),Data!V309/100,"n/a")</f>
        <v>7.3940923785779322E-2</v>
      </c>
      <c r="K428" s="9">
        <f>IF(ISNUMBER(Data!Z309),Data!Z309/100,"n/a")</f>
        <v>0.12734864300626306</v>
      </c>
      <c r="L428" s="10">
        <f>Data!AA309</f>
        <v>12.904488517745303</v>
      </c>
      <c r="M428" s="10">
        <f>Data!AF309</f>
        <v>1.45</v>
      </c>
      <c r="N428" s="28">
        <f>IF(ISNUMBER(Data!AG309),Data!AG309/100,"n/a")</f>
        <v>0.17599999999999999</v>
      </c>
      <c r="O428" s="28">
        <f>IF(ISNUMBER(Data!AJ309),Data!AJ309/100,"n/a")</f>
        <v>0.20899999999999999</v>
      </c>
      <c r="P428" s="9" t="str">
        <f>IF(ISNUMBER(Data!AK309),Data!AK309/100,"n/a")</f>
        <v>n/a</v>
      </c>
      <c r="Q428" s="8">
        <f>Data!AN309</f>
        <v>0</v>
      </c>
      <c r="R428" s="8">
        <f>Data!AP309</f>
        <v>11.377948311326268</v>
      </c>
      <c r="S428" s="8"/>
      <c r="T428" s="8"/>
      <c r="U428" s="8"/>
      <c r="V428" s="1">
        <f t="shared" si="12"/>
        <v>8</v>
      </c>
      <c r="W428" s="1">
        <f t="shared" si="13"/>
        <v>0</v>
      </c>
    </row>
    <row r="429" spans="1:23" hidden="1" x14ac:dyDescent="0.2">
      <c r="A429" s="7" t="str">
        <f>Data!A333</f>
        <v>Hawthorn Bancshares, Inc.</v>
      </c>
      <c r="B429" s="7" t="str">
        <f>Data!B333</f>
        <v>HWBK</v>
      </c>
      <c r="C429" s="7" t="str">
        <f>Data!C333</f>
        <v>Financials</v>
      </c>
      <c r="D429" s="8">
        <f>IF(ISNUMBER(Data!AL333),Data!AL333/1000,"n/a")</f>
        <v>0.15844999999999998</v>
      </c>
      <c r="E429" s="1">
        <f>Data!E333</f>
        <v>10</v>
      </c>
      <c r="F429" s="28">
        <f>Data!J333/100</f>
        <v>2.9655473179241172E-2</v>
      </c>
      <c r="G429" s="28">
        <f>IF(ISNUMBER(Data!S333),Data!S333/100,"n/a")</f>
        <v>0.16666666666666674</v>
      </c>
      <c r="H429" s="28">
        <f>IF(ISNUMBER(Data!T333),Data!T333/100,"n/a")</f>
        <v>0.18096321418390857</v>
      </c>
      <c r="I429" s="28">
        <f>IF(ISNUMBER(Data!U333),Data!U333/100,"n/a")</f>
        <v>0.22865967908314722</v>
      </c>
      <c r="J429" s="28">
        <f>IF(ISNUMBER(Data!V333),Data!V333/100,"n/a")</f>
        <v>0.13374533737670569</v>
      </c>
      <c r="K429" s="9">
        <f>IF(ISNUMBER(Data!Z333),Data!Z333/100,"n/a")</f>
        <v>0.2105263157894737</v>
      </c>
      <c r="L429" s="10">
        <f>Data!AA333</f>
        <v>7.0990712074303408</v>
      </c>
      <c r="M429" s="10">
        <f>Data!AF333</f>
        <v>1.25</v>
      </c>
      <c r="N429" s="28">
        <f>IF(ISNUMBER(Data!AG333),Data!AG333/100,"n/a")</f>
        <v>0.17</v>
      </c>
      <c r="O429" s="28">
        <f>IF(ISNUMBER(Data!AJ333),Data!AJ333/100,"n/a")</f>
        <v>0.26200000000000001</v>
      </c>
      <c r="P429" s="9" t="str">
        <f>IF(ISNUMBER(Data!AK333),Data!AK333/100,"n/a")</f>
        <v>n/a</v>
      </c>
      <c r="Q429" s="8">
        <f>Data!AN333</f>
        <v>0.4</v>
      </c>
      <c r="R429" s="8">
        <f>Data!AP333</f>
        <v>25.831515226238839</v>
      </c>
      <c r="S429" s="8"/>
      <c r="T429" s="8"/>
      <c r="U429" s="8"/>
      <c r="V429" s="1">
        <f t="shared" si="12"/>
        <v>9</v>
      </c>
      <c r="W429" s="1">
        <f t="shared" si="13"/>
        <v>0</v>
      </c>
    </row>
    <row r="430" spans="1:23" hidden="1" x14ac:dyDescent="0.2">
      <c r="A430" s="7" t="str">
        <f>Data!A318</f>
        <v>Hooker Furnishings Corporation</v>
      </c>
      <c r="B430" s="7" t="str">
        <f>Data!B318</f>
        <v>HOFT</v>
      </c>
      <c r="C430" s="7" t="str">
        <f>Data!C318</f>
        <v>Consumer Discretionary</v>
      </c>
      <c r="D430" s="8">
        <f>IF(ISNUMBER(Data!AL318),Data!AL318/1000,"n/a")</f>
        <v>0.16825999999999999</v>
      </c>
      <c r="E430" s="1">
        <f>Data!E318</f>
        <v>6</v>
      </c>
      <c r="F430" s="28">
        <f>Data!J318/100</f>
        <v>5.2980132450331133E-2</v>
      </c>
      <c r="G430" s="28">
        <f>IF(ISNUMBER(Data!S318),Data!S318/100,"n/a")</f>
        <v>0.1212121212121211</v>
      </c>
      <c r="H430" s="28">
        <f>IF(ISNUMBER(Data!T318),Data!T318/100,"n/a")</f>
        <v>9.0901707079799929E-2</v>
      </c>
      <c r="I430" s="28">
        <f>IF(ISNUMBER(Data!U318),Data!U318/100,"n/a")</f>
        <v>0.11994446021554526</v>
      </c>
      <c r="J430" s="28">
        <f>IF(ISNUMBER(Data!V318),Data!V318/100,"n/a")</f>
        <v>6.3450238139030057E-2</v>
      </c>
      <c r="K430" s="9">
        <f>IF(ISNUMBER(Data!Z318),Data!Z318/100,"n/a")</f>
        <v>2.8571428571428572</v>
      </c>
      <c r="L430" s="10">
        <f>Data!AA318</f>
        <v>53.928571428571423</v>
      </c>
      <c r="M430" s="10">
        <f>Data!AF318</f>
        <v>0.66</v>
      </c>
      <c r="N430" s="28">
        <f>IF(ISNUMBER(Data!AG318),Data!AG318/100,"n/a")</f>
        <v>1.3000000000000001E-2</v>
      </c>
      <c r="O430" s="28">
        <f>IF(ISNUMBER(Data!AJ318),Data!AJ318/100,"n/a")</f>
        <v>-0.15</v>
      </c>
      <c r="P430" s="9">
        <f>IF(ISNUMBER(Data!AK318),Data!AK318/100,"n/a")</f>
        <v>0.17</v>
      </c>
      <c r="Q430" s="8">
        <f>Data!AN318</f>
        <v>0.09</v>
      </c>
      <c r="R430" s="8">
        <f>Data!AP318</f>
        <v>17.292459266587642</v>
      </c>
      <c r="S430" s="8"/>
      <c r="T430" s="8"/>
      <c r="U430" s="8"/>
      <c r="V430" s="1">
        <f t="shared" si="12"/>
        <v>7</v>
      </c>
      <c r="W430" s="1">
        <f t="shared" si="13"/>
        <v>0</v>
      </c>
    </row>
    <row r="431" spans="1:23" hidden="1" x14ac:dyDescent="0.2">
      <c r="A431" s="7" t="str">
        <f>Data!A612</f>
        <v>STORE Capital Corporation</v>
      </c>
      <c r="B431" s="7" t="str">
        <f>Data!B612</f>
        <v>STOR</v>
      </c>
      <c r="C431" s="7" t="str">
        <f>Data!C612</f>
        <v>Real Estate</v>
      </c>
      <c r="D431" s="8">
        <f>IF(ISNUMBER(Data!AL612),Data!AL612/1000,"n/a")</f>
        <v>8.94</v>
      </c>
      <c r="E431" s="1">
        <f>Data!E612</f>
        <v>8</v>
      </c>
      <c r="F431" s="28">
        <f>Data!J612/100</f>
        <v>5.1572327044025153E-2</v>
      </c>
      <c r="G431" s="28">
        <f>IF(ISNUMBER(Data!S612),Data!S612/100,"n/a")</f>
        <v>3.9007092198581672E-2</v>
      </c>
      <c r="H431" s="28">
        <f>IF(ISNUMBER(Data!T612),Data!T612/100,"n/a")</f>
        <v>5.1531676221949319E-2</v>
      </c>
      <c r="I431" s="28">
        <f>IF(ISNUMBER(Data!U612),Data!U612/100,"n/a")</f>
        <v>5.8982998859047564E-2</v>
      </c>
      <c r="J431" s="28" t="str">
        <f>IF(ISNUMBER(Data!V612),Data!V612/100,"n/a")</f>
        <v>n/a</v>
      </c>
      <c r="K431" s="9">
        <f>IF(ISNUMBER(Data!Z612),Data!Z612/100,"n/a")</f>
        <v>1.3781512605042017</v>
      </c>
      <c r="L431" s="10">
        <f>Data!AA612</f>
        <v>26.722689075630253</v>
      </c>
      <c r="M431" s="10">
        <f>Data!AF612</f>
        <v>1.66</v>
      </c>
      <c r="N431" s="28">
        <f>IF(ISNUMBER(Data!AG612),Data!AG612/100,"n/a")</f>
        <v>6.3E-2</v>
      </c>
      <c r="O431" s="28">
        <f>IF(ISNUMBER(Data!AJ612),Data!AJ612/100,"n/a")</f>
        <v>6.2E-2</v>
      </c>
      <c r="P431" s="9">
        <f>IF(ISNUMBER(Data!AK612),Data!AK612/100,"n/a")</f>
        <v>6.0899999999999996E-2</v>
      </c>
      <c r="Q431" s="8">
        <f>Data!AN612</f>
        <v>0.87</v>
      </c>
      <c r="R431" s="8">
        <f>Data!AP612</f>
        <v>11.055532590307273</v>
      </c>
      <c r="S431" s="8"/>
      <c r="T431" s="8"/>
      <c r="U431" s="8"/>
      <c r="V431" s="1">
        <f t="shared" si="12"/>
        <v>6</v>
      </c>
      <c r="W431" s="1">
        <f t="shared" si="13"/>
        <v>0</v>
      </c>
    </row>
    <row r="432" spans="1:23" hidden="1" x14ac:dyDescent="0.2">
      <c r="A432" s="7" t="str">
        <f>Data!A307</f>
        <v>Heritage Financial Corporation</v>
      </c>
      <c r="B432" s="7" t="str">
        <f>Data!B307</f>
        <v>HFWA</v>
      </c>
      <c r="C432" s="7" t="str">
        <f>Data!C307</f>
        <v>Financials</v>
      </c>
      <c r="D432" s="8">
        <f>IF(ISNUMBER(Data!AL307),Data!AL307/1000,"n/a")</f>
        <v>1.1100000000000001</v>
      </c>
      <c r="E432" s="1">
        <f>Data!E307</f>
        <v>11</v>
      </c>
      <c r="F432" s="28">
        <f>Data!J307/100</f>
        <v>2.4933214603739984E-2</v>
      </c>
      <c r="G432" s="28">
        <f>IF(ISNUMBER(Data!S307),Data!S307/100,"n/a")</f>
        <v>1.2499999999999956E-2</v>
      </c>
      <c r="H432" s="28">
        <f>IF(ISNUMBER(Data!T307),Data!T307/100,"n/a")</f>
        <v>4.0041911525952045E-2</v>
      </c>
      <c r="I432" s="28">
        <f>IF(ISNUMBER(Data!U307),Data!U307/100,"n/a")</f>
        <v>0.11500658485308325</v>
      </c>
      <c r="J432" s="28">
        <f>IF(ISNUMBER(Data!V307),Data!V307/100,"n/a")</f>
        <v>0.2007543445114304</v>
      </c>
      <c r="K432" s="9">
        <f>IF(ISNUMBER(Data!Z307),Data!Z307/100,"n/a")</f>
        <v>0.37837837837837829</v>
      </c>
      <c r="L432" s="10">
        <f>Data!AA307</f>
        <v>15.175675675675674</v>
      </c>
      <c r="M432" s="10">
        <f>Data!AF307</f>
        <v>1.43</v>
      </c>
      <c r="N432" s="28">
        <f>IF(ISNUMBER(Data!AG307),Data!AG307/100,"n/a")</f>
        <v>0.111</v>
      </c>
      <c r="O432" s="28">
        <f>IF(ISNUMBER(Data!AJ307),Data!AJ307/100,"n/a")</f>
        <v>0.16</v>
      </c>
      <c r="P432" s="9">
        <f>IF(ISNUMBER(Data!AK307),Data!AK307/100,"n/a")</f>
        <v>7.0000000000000007E-2</v>
      </c>
      <c r="Q432" s="8">
        <f>Data!AN307</f>
        <v>0.03</v>
      </c>
      <c r="R432" s="8">
        <f>Data!AP307</f>
        <v>13.993979945682323</v>
      </c>
      <c r="S432" s="8"/>
      <c r="T432" s="8"/>
      <c r="U432" s="8"/>
      <c r="V432" s="1">
        <f t="shared" si="12"/>
        <v>8</v>
      </c>
      <c r="W432" s="1">
        <f t="shared" si="13"/>
        <v>0</v>
      </c>
    </row>
    <row r="433" spans="1:23" hidden="1" x14ac:dyDescent="0.2">
      <c r="A433" s="7">
        <f>Data!A743</f>
        <v>0</v>
      </c>
      <c r="B433" s="7">
        <f>Data!B743</f>
        <v>0</v>
      </c>
      <c r="C433" s="7">
        <f>Data!C743</f>
        <v>0</v>
      </c>
      <c r="D433" s="8" t="str">
        <f>IF(ISNUMBER(Data!AL743),Data!AL743/1000,"n/a")</f>
        <v>n/a</v>
      </c>
      <c r="E433" s="1">
        <f>Data!E743</f>
        <v>0</v>
      </c>
      <c r="F433" s="28">
        <f>Data!J743/100</f>
        <v>0</v>
      </c>
      <c r="G433" s="28" t="str">
        <f>IF(ISNUMBER(Data!S743),Data!S743/100,"n/a")</f>
        <v>n/a</v>
      </c>
      <c r="H433" s="28" t="str">
        <f>IF(ISNUMBER(Data!T743),Data!T743/100,"n/a")</f>
        <v>n/a</v>
      </c>
      <c r="I433" s="28" t="str">
        <f>IF(ISNUMBER(Data!U743),Data!U743/100,"n/a")</f>
        <v>n/a</v>
      </c>
      <c r="J433" s="28" t="str">
        <f>IF(ISNUMBER(Data!V743),Data!V743/100,"n/a")</f>
        <v>n/a</v>
      </c>
      <c r="K433" s="9" t="str">
        <f>IF(ISNUMBER(Data!Z743),Data!Z743/100,"n/a")</f>
        <v>n/a</v>
      </c>
      <c r="L433" s="10">
        <f>Data!AA743</f>
        <v>0</v>
      </c>
      <c r="M433" s="10">
        <f>Data!AF743</f>
        <v>0</v>
      </c>
      <c r="N433" s="28" t="str">
        <f>IF(ISNUMBER(Data!AG743),Data!AG743/100,"n/a")</f>
        <v>n/a</v>
      </c>
      <c r="O433" s="28" t="str">
        <f>IF(ISNUMBER(Data!AJ743),Data!AJ743/100,"n/a")</f>
        <v>n/a</v>
      </c>
      <c r="P433" s="9" t="str">
        <f>IF(ISNUMBER(Data!AK743),Data!AK743/100,"n/a")</f>
        <v>n/a</v>
      </c>
      <c r="Q433" s="8">
        <f>Data!AN743</f>
        <v>0</v>
      </c>
      <c r="R433" s="8">
        <f>Data!AP743</f>
        <v>0</v>
      </c>
      <c r="S433" s="8"/>
      <c r="T433" s="8"/>
      <c r="U433" s="8"/>
      <c r="V433" s="1">
        <f t="shared" si="12"/>
        <v>2</v>
      </c>
      <c r="W433" s="1">
        <f t="shared" si="13"/>
        <v>0</v>
      </c>
    </row>
    <row r="434" spans="1:23" hidden="1" x14ac:dyDescent="0.2">
      <c r="A434" s="7" t="str">
        <f>Data!A337</f>
        <v>International Business Machines Corporation</v>
      </c>
      <c r="B434" s="7" t="str">
        <f>Data!B337</f>
        <v>IBM</v>
      </c>
      <c r="C434" s="7" t="str">
        <f>Data!C337</f>
        <v>Information Technology</v>
      </c>
      <c r="D434" s="8">
        <f>IF(ISNUMBER(Data!AL337),Data!AL337/1000,"n/a")</f>
        <v>121.85</v>
      </c>
      <c r="E434" s="1">
        <f>Data!E337</f>
        <v>27</v>
      </c>
      <c r="F434" s="28">
        <f>Data!J337/100</f>
        <v>4.7725793622098479E-2</v>
      </c>
      <c r="G434" s="28">
        <f>IF(ISNUMBER(Data!S337),Data!S337/100,"n/a")</f>
        <v>6.1443932411673341E-3</v>
      </c>
      <c r="H434" s="28">
        <f>IF(ISNUMBER(Data!T337),Data!T337/100,"n/a")</f>
        <v>1.7926842130340015E-2</v>
      </c>
      <c r="I434" s="28">
        <f>IF(ISNUMBER(Data!U337),Data!U337/100,"n/a")</f>
        <v>3.5561085561737649E-2</v>
      </c>
      <c r="J434" s="28">
        <f>IF(ISNUMBER(Data!V337),Data!V337/100,"n/a")</f>
        <v>8.4886562966608667E-2</v>
      </c>
      <c r="K434" s="9">
        <f>IF(ISNUMBER(Data!Z337),Data!Z337/100,"n/a")</f>
        <v>4.0740740740740735</v>
      </c>
      <c r="L434" s="10">
        <f>Data!AA337</f>
        <v>85.364197530864189</v>
      </c>
      <c r="M434" s="10">
        <f>Data!AF337</f>
        <v>6.24</v>
      </c>
      <c r="N434" s="28">
        <f>IF(ISNUMBER(Data!AG337),Data!AG337/100,"n/a")</f>
        <v>6.5000000000000002E-2</v>
      </c>
      <c r="O434" s="28">
        <f>IF(ISNUMBER(Data!AJ337),Data!AJ337/100,"n/a")</f>
        <v>-0.16200000000000001</v>
      </c>
      <c r="P434" s="9">
        <f>IF(ISNUMBER(Data!AK337),Data!AK337/100,"n/a")</f>
        <v>9.2200000000000004E-2</v>
      </c>
      <c r="Q434" s="8">
        <f>Data!AN337</f>
        <v>2.5299999999999998</v>
      </c>
      <c r="R434" s="8">
        <f>Data!AP337</f>
        <v>8.3286879183836131</v>
      </c>
      <c r="S434" s="8"/>
      <c r="T434" s="8"/>
      <c r="U434" s="8"/>
      <c r="V434" s="1">
        <f t="shared" si="12"/>
        <v>5</v>
      </c>
      <c r="W434" s="1">
        <f t="shared" si="13"/>
        <v>0</v>
      </c>
    </row>
    <row r="435" spans="1:23" hidden="1" x14ac:dyDescent="0.2">
      <c r="A435" s="7" t="str">
        <f>Data!A338</f>
        <v>International Bancshares Corporation</v>
      </c>
      <c r="B435" s="7" t="str">
        <f>Data!B338</f>
        <v>IBOC</v>
      </c>
      <c r="C435" s="7" t="str">
        <f>Data!C338</f>
        <v>Financials</v>
      </c>
      <c r="D435" s="8">
        <f>IF(ISNUMBER(Data!AL338),Data!AL338/1000,"n/a")</f>
        <v>2.99</v>
      </c>
      <c r="E435" s="1">
        <f>Data!E338</f>
        <v>12</v>
      </c>
      <c r="F435" s="28">
        <f>Data!J338/100</f>
        <v>2.4193548387096774E-2</v>
      </c>
      <c r="G435" s="28">
        <f>IF(ISNUMBER(Data!S338),Data!S338/100,"n/a")</f>
        <v>4.5454545454545192E-2</v>
      </c>
      <c r="H435" s="28">
        <f>IF(ISNUMBER(Data!T338),Data!T338/100,"n/a")</f>
        <v>0.15313156133323269</v>
      </c>
      <c r="I435" s="28">
        <f>IF(ISNUMBER(Data!U338),Data!U338/100,"n/a")</f>
        <v>0.14279719502029864</v>
      </c>
      <c r="J435" s="28">
        <f>IF(ISNUMBER(Data!V338),Data!V338/100,"n/a")</f>
        <v>0.11709838609218902</v>
      </c>
      <c r="K435" s="9">
        <f>IF(ISNUMBER(Data!Z338),Data!Z338/100,"n/a")</f>
        <v>0.34188034188034189</v>
      </c>
      <c r="L435" s="10">
        <f>Data!AA338</f>
        <v>14.131054131054132</v>
      </c>
      <c r="M435" s="10">
        <f>Data!AF338</f>
        <v>1.48</v>
      </c>
      <c r="N435" s="28">
        <f>IF(ISNUMBER(Data!AG338),Data!AG338/100,"n/a")</f>
        <v>0.10100000000000002</v>
      </c>
      <c r="O435" s="28">
        <f>IF(ISNUMBER(Data!AJ338),Data!AJ338/100,"n/a")</f>
        <v>0.14599999999999999</v>
      </c>
      <c r="P435" s="9">
        <f>IF(ISNUMBER(Data!AK338),Data!AK338/100,"n/a")</f>
        <v>0.1</v>
      </c>
      <c r="Q435" s="8">
        <f>Data!AN338</f>
        <v>0.06</v>
      </c>
      <c r="R435" s="8">
        <f>Data!AP338</f>
        <v>16.699074340739539</v>
      </c>
      <c r="S435" s="8"/>
      <c r="T435" s="8"/>
      <c r="U435" s="8"/>
      <c r="V435" s="1">
        <f t="shared" si="12"/>
        <v>10</v>
      </c>
      <c r="W435" s="1">
        <f t="shared" si="13"/>
        <v>0</v>
      </c>
    </row>
    <row r="436" spans="1:23" hidden="1" x14ac:dyDescent="0.2">
      <c r="A436" s="7" t="str">
        <f>Data!A320</f>
        <v>Honeywell International Inc.</v>
      </c>
      <c r="B436" s="7" t="str">
        <f>Data!B320</f>
        <v>HON</v>
      </c>
      <c r="C436" s="7" t="str">
        <f>Data!C320</f>
        <v>Industrials</v>
      </c>
      <c r="D436" s="8">
        <f>IF(ISNUMBER(Data!AL320),Data!AL320/1000,"n/a")</f>
        <v>132.37</v>
      </c>
      <c r="E436" s="1">
        <f>Data!E320</f>
        <v>12</v>
      </c>
      <c r="F436" s="28">
        <f>Data!J320/100</f>
        <v>2.0194098617782569E-2</v>
      </c>
      <c r="G436" s="28">
        <f>IF(ISNUMBER(Data!S320),Data!S320/100,"n/a")</f>
        <v>3.8567493112947604E-2</v>
      </c>
      <c r="H436" s="28">
        <f>IF(ISNUMBER(Data!T320),Data!T320/100,"n/a")</f>
        <v>7.2613795918652579E-2</v>
      </c>
      <c r="I436" s="28">
        <f>IF(ISNUMBER(Data!U320),Data!U320/100,"n/a")</f>
        <v>9.0021472273660752E-2</v>
      </c>
      <c r="J436" s="28">
        <f>IF(ISNUMBER(Data!V320),Data!V320/100,"n/a")</f>
        <v>0.10652716009839791</v>
      </c>
      <c r="K436" s="9">
        <f>IF(ISNUMBER(Data!Z320),Data!Z320/100,"n/a")</f>
        <v>0.56207366984993179</v>
      </c>
      <c r="L436" s="10">
        <f>Data!AA320</f>
        <v>27.833560709413369</v>
      </c>
      <c r="M436" s="10">
        <f>Data!AF320</f>
        <v>7.8</v>
      </c>
      <c r="N436" s="28">
        <f>IF(ISNUMBER(Data!AG320),Data!AG320/100,"n/a")</f>
        <v>0.29799999999999999</v>
      </c>
      <c r="O436" s="28">
        <f>IF(ISNUMBER(Data!AJ320),Data!AJ320/100,"n/a")</f>
        <v>0.05</v>
      </c>
      <c r="P436" s="9">
        <f>IF(ISNUMBER(Data!AK320),Data!AK320/100,"n/a")</f>
        <v>7.3999999999999996E-2</v>
      </c>
      <c r="Q436" s="8">
        <f>Data!AN320</f>
        <v>0.96</v>
      </c>
      <c r="R436" s="8">
        <f>Data!AP320</f>
        <v>11.021557089144332</v>
      </c>
      <c r="S436" s="8"/>
      <c r="T436" s="8"/>
      <c r="U436" s="8"/>
      <c r="V436" s="1">
        <f t="shared" si="12"/>
        <v>8</v>
      </c>
      <c r="W436" s="1">
        <f t="shared" si="13"/>
        <v>0</v>
      </c>
    </row>
    <row r="437" spans="1:23" hidden="1" x14ac:dyDescent="0.2">
      <c r="A437" s="7" t="str">
        <f>Data!A328</f>
        <v>Hilltop Holdings Inc.</v>
      </c>
      <c r="B437" s="7" t="str">
        <f>Data!B328</f>
        <v>HTH</v>
      </c>
      <c r="C437" s="7" t="str">
        <f>Data!C328</f>
        <v>Financials</v>
      </c>
      <c r="D437" s="8">
        <f>IF(ISNUMBER(Data!AL328),Data!AL328/1000,"n/a")</f>
        <v>1.85</v>
      </c>
      <c r="E437" s="1">
        <f>Data!E328</f>
        <v>7</v>
      </c>
      <c r="F437" s="28">
        <f>Data!J328/100</f>
        <v>2.0725388601036274E-2</v>
      </c>
      <c r="G437" s="28">
        <f>IF(ISNUMBER(Data!S328),Data!S328/100,"n/a")</f>
        <v>0.33333333333333326</v>
      </c>
      <c r="H437" s="28">
        <f>IF(ISNUMBER(Data!T328),Data!T328/100,"n/a")</f>
        <v>0.19681696117715083</v>
      </c>
      <c r="I437" s="28">
        <f>IF(ISNUMBER(Data!U328),Data!U328/100,"n/a")</f>
        <v>0.51571656651039799</v>
      </c>
      <c r="J437" s="28" t="str">
        <f>IF(ISNUMBER(Data!V328),Data!V328/100,"n/a")</f>
        <v>n/a</v>
      </c>
      <c r="K437" s="9">
        <f>IF(ISNUMBER(Data!Z328),Data!Z328/100,"n/a")</f>
        <v>0.29850746268656719</v>
      </c>
      <c r="L437" s="10">
        <f>Data!AA328</f>
        <v>14.402985074626868</v>
      </c>
      <c r="M437" s="10">
        <f>Data!AF328</f>
        <v>0.93</v>
      </c>
      <c r="N437" s="28">
        <f>IF(ISNUMBER(Data!AG328),Data!AG328/100,"n/a")</f>
        <v>6.6000000000000003E-2</v>
      </c>
      <c r="O437" s="28">
        <f>IF(ISNUMBER(Data!AJ328),Data!AJ328/100,"n/a")</f>
        <v>0.255</v>
      </c>
      <c r="P437" s="9">
        <f>IF(ISNUMBER(Data!AK328),Data!AK328/100,"n/a")</f>
        <v>0.15</v>
      </c>
      <c r="Q437" s="8">
        <f>Data!AN328</f>
        <v>0.71</v>
      </c>
      <c r="R437" s="8">
        <f>Data!AP328</f>
        <v>53.64419551114343</v>
      </c>
      <c r="S437" s="8"/>
      <c r="T437" s="8"/>
      <c r="U437" s="8"/>
      <c r="V437" s="1">
        <f t="shared" si="12"/>
        <v>8</v>
      </c>
      <c r="W437" s="1">
        <f t="shared" si="13"/>
        <v>0</v>
      </c>
    </row>
    <row r="438" spans="1:23" hidden="1" x14ac:dyDescent="0.2">
      <c r="A438" s="7" t="str">
        <f>Data!A276</f>
        <v>Gladstone Investment</v>
      </c>
      <c r="B438" s="7" t="str">
        <f>Data!B276</f>
        <v>GAIN</v>
      </c>
      <c r="C438" s="7" t="str">
        <f>Data!C276</f>
        <v>Financials</v>
      </c>
      <c r="D438" s="8">
        <f>IF(ISNUMBER(Data!AL276),Data!AL276/1000,"n/a")</f>
        <v>0.43332999999999999</v>
      </c>
      <c r="E438" s="1">
        <f>Data!E276</f>
        <v>11</v>
      </c>
      <c r="F438" s="28">
        <f>Data!J276/100</f>
        <v>7.441860465116279E-2</v>
      </c>
      <c r="G438" s="28">
        <f>IF(ISNUMBER(Data!S276),Data!S276/100,"n/a")</f>
        <v>1.7857142857142794E-2</v>
      </c>
      <c r="H438" s="28">
        <f>IF(ISNUMBER(Data!T276),Data!T276/100,"n/a")</f>
        <v>2.1985026625484849E-2</v>
      </c>
      <c r="I438" s="28">
        <f>IF(ISNUMBER(Data!U276),Data!U276/100,"n/a")</f>
        <v>2.6552039741113198E-2</v>
      </c>
      <c r="J438" s="28">
        <f>IF(ISNUMBER(Data!V276),Data!V276/100,"n/a")</f>
        <v>4.4160627640811301E-2</v>
      </c>
      <c r="K438" s="9">
        <f>IF(ISNUMBER(Data!Z276),Data!Z276/100,"n/a")</f>
        <v>0.47524752475247523</v>
      </c>
      <c r="L438" s="10">
        <f>Data!AA276</f>
        <v>6.3861386138613865</v>
      </c>
      <c r="M438" s="10">
        <f>Data!AF276</f>
        <v>0.97</v>
      </c>
      <c r="N438" s="28" t="str">
        <f>IF(ISNUMBER(Data!AG276),Data!AG276/100,"n/a")</f>
        <v>n/a</v>
      </c>
      <c r="O438" s="28">
        <f>IF(ISNUMBER(Data!AJ276),Data!AJ276/100,"n/a")</f>
        <v>-4.7899999999999998E-2</v>
      </c>
      <c r="P438" s="9">
        <f>IF(ISNUMBER(Data!AK276),Data!AK276/100,"n/a")</f>
        <v>0.03</v>
      </c>
      <c r="Q438" s="8" t="str">
        <f>Data!AN276</f>
        <v>n/a</v>
      </c>
      <c r="R438" s="8">
        <f>Data!AP276</f>
        <v>10.097064439227598</v>
      </c>
      <c r="S438" s="8"/>
      <c r="T438" s="8"/>
      <c r="U438" s="8"/>
      <c r="V438" s="1">
        <f t="shared" si="12"/>
        <v>4</v>
      </c>
      <c r="W438" s="1">
        <f t="shared" si="13"/>
        <v>0</v>
      </c>
    </row>
    <row r="439" spans="1:23" hidden="1" x14ac:dyDescent="0.2">
      <c r="A439" s="7" t="str">
        <f>Data!A295</f>
        <v>Getty Realty Corp.</v>
      </c>
      <c r="B439" s="7" t="str">
        <f>Data!B295</f>
        <v>GTY</v>
      </c>
      <c r="C439" s="7" t="str">
        <f>Data!C295</f>
        <v>Real Estate</v>
      </c>
      <c r="D439" s="8">
        <f>IF(ISNUMBER(Data!AL295),Data!AL295/1000,"n/a")</f>
        <v>1.44</v>
      </c>
      <c r="E439" s="1">
        <f>Data!E295</f>
        <v>11</v>
      </c>
      <c r="F439" s="28">
        <f>Data!J295/100</f>
        <v>5.4620514449031446E-2</v>
      </c>
      <c r="G439" s="28">
        <f>IF(ISNUMBER(Data!S295),Data!S295/100,"n/a")</f>
        <v>5.4054054054054168E-2</v>
      </c>
      <c r="H439" s="28">
        <f>IF(ISNUMBER(Data!T295),Data!T295/100,"n/a")</f>
        <v>6.8164670424479157E-2</v>
      </c>
      <c r="I439" s="28">
        <f>IF(ISNUMBER(Data!U295),Data!U295/100,"n/a")</f>
        <v>9.3011973943858628E-2</v>
      </c>
      <c r="J439" s="28">
        <f>IF(ISNUMBER(Data!V295),Data!V295/100,"n/a")</f>
        <v>-7.9723218914079519E-3</v>
      </c>
      <c r="K439" s="9">
        <f>IF(ISNUMBER(Data!Z295),Data!Z295/100,"n/a")</f>
        <v>1.2647058823529411</v>
      </c>
      <c r="L439" s="10">
        <f>Data!AA295</f>
        <v>23.15441176470588</v>
      </c>
      <c r="M439" s="10">
        <f>Data!AF295</f>
        <v>1.94</v>
      </c>
      <c r="N439" s="28">
        <f>IF(ISNUMBER(Data!AG295),Data!AG295/100,"n/a")</f>
        <v>8.4000000000000005E-2</v>
      </c>
      <c r="O439" s="28">
        <f>IF(ISNUMBER(Data!AJ295),Data!AJ295/100,"n/a")</f>
        <v>3.3000000000000002E-2</v>
      </c>
      <c r="P439" s="9" t="str">
        <f>IF(ISNUMBER(Data!AK295),Data!AK295/100,"n/a")</f>
        <v>n/a</v>
      </c>
      <c r="Q439" s="8">
        <f>Data!AN295</f>
        <v>0.83</v>
      </c>
      <c r="R439" s="8">
        <f>Data!AP295</f>
        <v>14.763248839289007</v>
      </c>
      <c r="S439" s="8"/>
      <c r="T439" s="8"/>
      <c r="U439" s="8"/>
      <c r="V439" s="1">
        <f t="shared" si="12"/>
        <v>5</v>
      </c>
      <c r="W439" s="1">
        <f t="shared" si="13"/>
        <v>0</v>
      </c>
    </row>
    <row r="440" spans="1:23" hidden="1" x14ac:dyDescent="0.2">
      <c r="A440" s="7" t="str">
        <f>Data!A554</f>
        <v>RE/MAX Holdings, Inc.</v>
      </c>
      <c r="B440" s="7" t="str">
        <f>Data!B554</f>
        <v>RMAX</v>
      </c>
      <c r="C440" s="7" t="str">
        <f>Data!C554</f>
        <v>Real Estate</v>
      </c>
      <c r="D440" s="8">
        <f>IF(ISNUMBER(Data!AL554),Data!AL554/1000,"n/a")</f>
        <v>0.36048000000000002</v>
      </c>
      <c r="E440" s="1">
        <f>Data!E554</f>
        <v>8</v>
      </c>
      <c r="F440" s="28">
        <f>Data!J554/100</f>
        <v>4.7276464542651594E-2</v>
      </c>
      <c r="G440" s="28">
        <f>IF(ISNUMBER(Data!S554),Data!S554/100,"n/a")</f>
        <v>4.5454545454545414E-2</v>
      </c>
      <c r="H440" s="28">
        <f>IF(ISNUMBER(Data!T554),Data!T554/100,"n/a")</f>
        <v>4.7689553171647248E-2</v>
      </c>
      <c r="I440" s="28">
        <f>IF(ISNUMBER(Data!U554),Data!U554/100,"n/a")</f>
        <v>8.9249364912943788E-2</v>
      </c>
      <c r="J440" s="28" t="str">
        <f>IF(ISNUMBER(Data!V554),Data!V554/100,"n/a")</f>
        <v>n/a</v>
      </c>
      <c r="K440" s="9" t="str">
        <f>IF(ISNUMBER(Data!Z554),Data!Z554/100,"n/a")</f>
        <v>n/a</v>
      </c>
      <c r="L440" s="10" t="str">
        <f>Data!AA554</f>
        <v>n/a</v>
      </c>
      <c r="M440" s="10">
        <f>Data!AF554</f>
        <v>0.73</v>
      </c>
      <c r="N440" s="28">
        <f>IF(ISNUMBER(Data!AG554),Data!AG554/100,"n/a")</f>
        <v>-2.9000000000000005E-2</v>
      </c>
      <c r="O440" s="28">
        <f>IF(ISNUMBER(Data!AJ554),Data!AJ554/100,"n/a")</f>
        <v>-0.217</v>
      </c>
      <c r="P440" s="9" t="str">
        <f>IF(ISNUMBER(Data!AK554),Data!AK554/100,"n/a")</f>
        <v>n/a</v>
      </c>
      <c r="Q440" s="8">
        <f>Data!AN554</f>
        <v>0.89</v>
      </c>
      <c r="R440" s="8">
        <f>Data!AP554</f>
        <v>13.652582945559537</v>
      </c>
      <c r="S440" s="8"/>
      <c r="T440" s="8"/>
      <c r="U440" s="8"/>
      <c r="V440" s="1">
        <f t="shared" si="12"/>
        <v>2</v>
      </c>
      <c r="W440" s="1">
        <f t="shared" si="13"/>
        <v>0</v>
      </c>
    </row>
    <row r="441" spans="1:23" hidden="1" x14ac:dyDescent="0.2">
      <c r="A441" s="7" t="str">
        <f>Data!A285</f>
        <v>Gilead Sciences, Inc.</v>
      </c>
      <c r="B441" s="7" t="str">
        <f>Data!B285</f>
        <v>GILD</v>
      </c>
      <c r="C441" s="7" t="str">
        <f>Data!C285</f>
        <v>Health Care</v>
      </c>
      <c r="D441" s="8">
        <f>IF(ISNUMBER(Data!AL285),Data!AL285/1000,"n/a")</f>
        <v>87.99</v>
      </c>
      <c r="E441" s="1">
        <f>Data!E285</f>
        <v>8</v>
      </c>
      <c r="F441" s="28">
        <f>Data!J285/100</f>
        <v>3.7216416008157026E-2</v>
      </c>
      <c r="G441" s="28">
        <f>IF(ISNUMBER(Data!S285),Data!S285/100,"n/a")</f>
        <v>4.4117647058823373E-2</v>
      </c>
      <c r="H441" s="28">
        <f>IF(ISNUMBER(Data!T285),Data!T285/100,"n/a")</f>
        <v>7.5955965238099665E-2</v>
      </c>
      <c r="I441" s="28">
        <f>IF(ISNUMBER(Data!U285),Data!U285/100,"n/a")</f>
        <v>9.0686916213479574E-2</v>
      </c>
      <c r="J441" s="28" t="str">
        <f>IF(ISNUMBER(Data!V285),Data!V285/100,"n/a")</f>
        <v>n/a</v>
      </c>
      <c r="K441" s="9">
        <f>IF(ISNUMBER(Data!Z285),Data!Z285/100,"n/a")</f>
        <v>1.106060606060606</v>
      </c>
      <c r="L441" s="10">
        <f>Data!AA285</f>
        <v>29.719696969696965</v>
      </c>
      <c r="M441" s="10">
        <f>Data!AF285</f>
        <v>4.92</v>
      </c>
      <c r="N441" s="28">
        <f>IF(ISNUMBER(Data!AG285),Data!AG285/100,"n/a")</f>
        <v>0.218</v>
      </c>
      <c r="O441" s="28">
        <f>IF(ISNUMBER(Data!AJ285),Data!AJ285/100,"n/a")</f>
        <v>-0.13100000000000001</v>
      </c>
      <c r="P441" s="9">
        <f>IF(ISNUMBER(Data!AK285),Data!AK285/100,"n/a")</f>
        <v>1.1999999999999999E-3</v>
      </c>
      <c r="Q441" s="8">
        <f>Data!AN285</f>
        <v>1.3</v>
      </c>
      <c r="R441" s="8">
        <f>Data!AP285</f>
        <v>12.79033322216366</v>
      </c>
      <c r="S441" s="8"/>
      <c r="T441" s="8"/>
      <c r="U441" s="8"/>
      <c r="V441" s="1">
        <f t="shared" si="12"/>
        <v>5</v>
      </c>
      <c r="W441" s="1">
        <f t="shared" si="13"/>
        <v>0</v>
      </c>
    </row>
    <row r="442" spans="1:23" hidden="1" x14ac:dyDescent="0.2">
      <c r="A442" s="7" t="str">
        <f>Data!A300</f>
        <v>Horizon Bancorp, Inc.</v>
      </c>
      <c r="B442" s="7" t="str">
        <f>Data!B300</f>
        <v>HBNC</v>
      </c>
      <c r="C442" s="7" t="str">
        <f>Data!C300</f>
        <v>Financials</v>
      </c>
      <c r="D442" s="8">
        <f>IF(ISNUMBER(Data!AL300),Data!AL300/1000,"n/a")</f>
        <v>0.69283000000000006</v>
      </c>
      <c r="E442" s="1">
        <f>Data!E300</f>
        <v>12</v>
      </c>
      <c r="F442" s="28">
        <f>Data!J300/100</f>
        <v>4.2924211938296451E-2</v>
      </c>
      <c r="G442" s="28">
        <f>IF(ISNUMBER(Data!S300),Data!S300/100,"n/a")</f>
        <v>0.10416666666666675</v>
      </c>
      <c r="H442" s="28">
        <f>IF(ISNUMBER(Data!T300),Data!T300/100,"n/a")</f>
        <v>0.11079495645418745</v>
      </c>
      <c r="I442" s="28">
        <f>IF(ISNUMBER(Data!U300),Data!U300/100,"n/a")</f>
        <v>0.14725887885044608</v>
      </c>
      <c r="J442" s="28">
        <f>IF(ISNUMBER(Data!V300),Data!V300/100,"n/a")</f>
        <v>0.14545305092154703</v>
      </c>
      <c r="K442" s="9">
        <f>IF(ISNUMBER(Data!Z300),Data!Z300/100,"n/a")</f>
        <v>0.29906542056074764</v>
      </c>
      <c r="L442" s="10">
        <f>Data!AA300</f>
        <v>6.9672897196261676</v>
      </c>
      <c r="M442" s="10">
        <f>Data!AF300</f>
        <v>1.03</v>
      </c>
      <c r="N442" s="28">
        <f>IF(ISNUMBER(Data!AG300),Data!AG300/100,"n/a")</f>
        <v>0.13</v>
      </c>
      <c r="O442" s="28">
        <f>IF(ISNUMBER(Data!AJ300),Data!AJ300/100,"n/a")</f>
        <v>0.20100000000000001</v>
      </c>
      <c r="P442" s="9" t="str">
        <f>IF(ISNUMBER(Data!AK300),Data!AK300/100,"n/a")</f>
        <v>n/a</v>
      </c>
      <c r="Q442" s="8">
        <f>Data!AN300</f>
        <v>1.63</v>
      </c>
      <c r="R442" s="8">
        <f>Data!AP300</f>
        <v>19.018309078874253</v>
      </c>
      <c r="S442" s="8"/>
      <c r="T442" s="8"/>
      <c r="U442" s="8"/>
      <c r="V442" s="1">
        <f t="shared" si="12"/>
        <v>8</v>
      </c>
      <c r="W442" s="1">
        <f t="shared" si="13"/>
        <v>0</v>
      </c>
    </row>
    <row r="443" spans="1:23" hidden="1" x14ac:dyDescent="0.2">
      <c r="A443" s="7" t="str">
        <f>Data!A289</f>
        <v>Acushnet Holdings Corp.</v>
      </c>
      <c r="B443" s="7" t="str">
        <f>Data!B289</f>
        <v>GOLF</v>
      </c>
      <c r="C443" s="7" t="str">
        <f>Data!C289</f>
        <v>Consumer Discretionary</v>
      </c>
      <c r="D443" s="8">
        <f>IF(ISNUMBER(Data!AL289),Data!AL289/1000,"n/a")</f>
        <v>3.21</v>
      </c>
      <c r="E443" s="1">
        <f>Data!E289</f>
        <v>6</v>
      </c>
      <c r="F443" s="28">
        <f>Data!J289/100</f>
        <v>1.5460596950826713E-2</v>
      </c>
      <c r="G443" s="28">
        <f>IF(ISNUMBER(Data!S289),Data!S289/100,"n/a")</f>
        <v>6.4516129032258229E-2</v>
      </c>
      <c r="H443" s="28">
        <f>IF(ISNUMBER(Data!T289),Data!T289/100,"n/a")</f>
        <v>8.2713447015707833E-2</v>
      </c>
      <c r="I443" s="28" t="str">
        <f>IF(ISNUMBER(Data!U289),Data!U289/100,"n/a")</f>
        <v>n/a</v>
      </c>
      <c r="J443" s="28" t="str">
        <f>IF(ISNUMBER(Data!V289),Data!V289/100,"n/a")</f>
        <v>n/a</v>
      </c>
      <c r="K443" s="9">
        <f>IF(ISNUMBER(Data!Z289),Data!Z289/100,"n/a")</f>
        <v>0.33179723502304148</v>
      </c>
      <c r="L443" s="10">
        <f>Data!AA289</f>
        <v>21.460829493087559</v>
      </c>
      <c r="M443" s="10">
        <f>Data!AF289</f>
        <v>3.16</v>
      </c>
      <c r="N443" s="28">
        <f>IF(ISNUMBER(Data!AG289),Data!AG289/100,"n/a")</f>
        <v>0.14799999999999999</v>
      </c>
      <c r="O443" s="28">
        <f>IF(ISNUMBER(Data!AJ289),Data!AJ289/100,"n/a")</f>
        <v>0.31</v>
      </c>
      <c r="P443" s="9">
        <f>IF(ISNUMBER(Data!AK289),Data!AK289/100,"n/a")</f>
        <v>0.05</v>
      </c>
      <c r="Q443" s="8">
        <f>Data!AN289</f>
        <v>0.37</v>
      </c>
      <c r="R443" s="8" t="str">
        <f>Data!AP289</f>
        <v>n/a</v>
      </c>
      <c r="S443" s="8"/>
      <c r="T443" s="8"/>
      <c r="U443" s="8"/>
      <c r="V443" s="1">
        <f t="shared" si="12"/>
        <v>7</v>
      </c>
      <c r="W443" s="1">
        <f t="shared" si="13"/>
        <v>0</v>
      </c>
    </row>
    <row r="444" spans="1:23" hidden="1" x14ac:dyDescent="0.2">
      <c r="A444" s="7" t="str">
        <f>Data!A288</f>
        <v>Guaranty Bancshares, Inc.</v>
      </c>
      <c r="B444" s="7" t="str">
        <f>Data!B288</f>
        <v>GNTY</v>
      </c>
      <c r="C444" s="7" t="str">
        <f>Data!C288</f>
        <v>Financials</v>
      </c>
      <c r="D444" s="8">
        <f>IF(ISNUMBER(Data!AL288),Data!AL288/1000,"n/a")</f>
        <v>0.42597000000000002</v>
      </c>
      <c r="E444" s="1">
        <f>Data!E288</f>
        <v>6</v>
      </c>
      <c r="F444" s="28">
        <f>Data!J288/100</f>
        <v>2.3764515257899001E-2</v>
      </c>
      <c r="G444" s="28">
        <f>IF(ISNUMBER(Data!S288),Data!S288/100,"n/a")</f>
        <v>0.13157894736842124</v>
      </c>
      <c r="H444" s="28">
        <f>IF(ISNUMBER(Data!T288),Data!T288/100,"n/a")</f>
        <v>0.14694131867844429</v>
      </c>
      <c r="I444" s="28" t="str">
        <f>IF(ISNUMBER(Data!U288),Data!U288/100,"n/a")</f>
        <v>n/a</v>
      </c>
      <c r="J444" s="28">
        <f>IF(ISNUMBER(Data!V288),Data!V288/100,"n/a")</f>
        <v>-4.0476733652367702E-2</v>
      </c>
      <c r="K444" s="9">
        <f>IF(ISNUMBER(Data!Z288),Data!Z288/100,"n/a")</f>
        <v>0.25730994152046782</v>
      </c>
      <c r="L444" s="10">
        <f>Data!AA288</f>
        <v>10.827485380116959</v>
      </c>
      <c r="M444" s="10">
        <f>Data!AF288</f>
        <v>1.58</v>
      </c>
      <c r="N444" s="28">
        <f>IF(ISNUMBER(Data!AG288),Data!AG288/100,"n/a")</f>
        <v>0.13500000000000001</v>
      </c>
      <c r="O444" s="28">
        <f>IF(ISNUMBER(Data!AJ288),Data!AJ288/100,"n/a")</f>
        <v>0.26</v>
      </c>
      <c r="P444" s="9" t="str">
        <f>IF(ISNUMBER(Data!AK288),Data!AK288/100,"n/a")</f>
        <v>n/a</v>
      </c>
      <c r="Q444" s="8">
        <f>Data!AN288</f>
        <v>0.21</v>
      </c>
      <c r="R444" s="8" t="str">
        <f>Data!AP288</f>
        <v>n/a</v>
      </c>
      <c r="S444" s="8"/>
      <c r="T444" s="8"/>
      <c r="U444" s="8"/>
      <c r="V444" s="1">
        <f t="shared" si="12"/>
        <v>7</v>
      </c>
      <c r="W444" s="1">
        <f t="shared" si="13"/>
        <v>0</v>
      </c>
    </row>
    <row r="445" spans="1:23" hidden="1" x14ac:dyDescent="0.2">
      <c r="A445" s="7" t="str">
        <f>Data!A292</f>
        <v>Garmin Ltd.</v>
      </c>
      <c r="B445" s="7" t="str">
        <f>Data!B292</f>
        <v>GRMN</v>
      </c>
      <c r="C445" s="7" t="str">
        <f>Data!C292</f>
        <v>Consumer Discretionary</v>
      </c>
      <c r="D445" s="8">
        <f>IF(ISNUMBER(Data!AL292),Data!AL292/1000,"n/a")</f>
        <v>16.47</v>
      </c>
      <c r="E445" s="1">
        <f>Data!E292</f>
        <v>5</v>
      </c>
      <c r="F445" s="28">
        <f>Data!J292/100</f>
        <v>3.3166742389822805E-2</v>
      </c>
      <c r="G445" s="28">
        <f>IF(ISNUMBER(Data!S292),Data!S292/100,"n/a")</f>
        <v>9.1666666666666785E-2</v>
      </c>
      <c r="H445" s="28">
        <f>IF(ISNUMBER(Data!T292),Data!T292/100,"n/a")</f>
        <v>7.653296278279198E-2</v>
      </c>
      <c r="I445" s="28">
        <f>IF(ISNUMBER(Data!U292),Data!U292/100,"n/a")</f>
        <v>5.1318301593113347E-2</v>
      </c>
      <c r="J445" s="28">
        <f>IF(ISNUMBER(Data!V292),Data!V292/100,"n/a")</f>
        <v>5.0553395698049064E-2</v>
      </c>
      <c r="K445" s="9">
        <f>IF(ISNUMBER(Data!Z292),Data!Z292/100,"n/a")</f>
        <v>0.58399999999999996</v>
      </c>
      <c r="L445" s="10">
        <f>Data!AA292</f>
        <v>17.608000000000001</v>
      </c>
      <c r="M445" s="10">
        <f>Data!AF292</f>
        <v>2.9</v>
      </c>
      <c r="N445" s="28">
        <f>IF(ISNUMBER(Data!AG292),Data!AG292/100,"n/a")</f>
        <v>0.16</v>
      </c>
      <c r="O445" s="28">
        <f>IF(ISNUMBER(Data!AJ292),Data!AJ292/100,"n/a")</f>
        <v>0.154</v>
      </c>
      <c r="P445" s="9">
        <f>IF(ISNUMBER(Data!AK292),Data!AK292/100,"n/a")</f>
        <v>5.6000000000000008E-2</v>
      </c>
      <c r="Q445" s="8">
        <f>Data!AN292</f>
        <v>0</v>
      </c>
      <c r="R445" s="8">
        <f>Data!AP292</f>
        <v>8.4485043982936148</v>
      </c>
      <c r="S445" s="8"/>
      <c r="T445" s="8"/>
      <c r="U445" s="8"/>
      <c r="V445" s="1">
        <f t="shared" si="12"/>
        <v>11</v>
      </c>
      <c r="W445" s="1">
        <f t="shared" si="13"/>
        <v>0</v>
      </c>
    </row>
    <row r="446" spans="1:23" hidden="1" x14ac:dyDescent="0.2">
      <c r="A446" s="7" t="str">
        <f>Data!A302</f>
        <v>Healthcare Services Group, Inc.</v>
      </c>
      <c r="B446" s="7" t="str">
        <f>Data!B302</f>
        <v>HCSG</v>
      </c>
      <c r="C446" s="7" t="str">
        <f>Data!C302</f>
        <v>Industrials</v>
      </c>
      <c r="D446" s="8">
        <f>IF(ISNUMBER(Data!AL302),Data!AL302/1000,"n/a")</f>
        <v>1.01</v>
      </c>
      <c r="E446" s="1">
        <f>Data!E302</f>
        <v>20</v>
      </c>
      <c r="F446" s="28">
        <f>Data!J302/100</f>
        <v>6.1604584527220625E-2</v>
      </c>
      <c r="G446" s="28">
        <f>IF(ISNUMBER(Data!S302),Data!S302/100,"n/a")</f>
        <v>2.4615384615384706E-2</v>
      </c>
      <c r="H446" s="28">
        <f>IF(ISNUMBER(Data!T302),Data!T302/100,"n/a")</f>
        <v>2.5247183031277265E-2</v>
      </c>
      <c r="I446" s="28">
        <f>IF(ISNUMBER(Data!U302),Data!U302/100,"n/a")</f>
        <v>2.5924314201370091E-2</v>
      </c>
      <c r="J446" s="28">
        <f>IF(ISNUMBER(Data!V302),Data!V302/100,"n/a")</f>
        <v>2.7856226873689716E-2</v>
      </c>
      <c r="K446" s="9">
        <f>IF(ISNUMBER(Data!Z302),Data!Z302/100,"n/a")</f>
        <v>3.0714285714285712</v>
      </c>
      <c r="L446" s="10">
        <f>Data!AA302</f>
        <v>49.857142857142854</v>
      </c>
      <c r="M446" s="10">
        <f>Data!AF302</f>
        <v>2.4700000000000002</v>
      </c>
      <c r="N446" s="28">
        <f>IF(ISNUMBER(Data!AG302),Data!AG302/100,"n/a")</f>
        <v>4.7E-2</v>
      </c>
      <c r="O446" s="28">
        <f>IF(ISNUMBER(Data!AJ302),Data!AJ302/100,"n/a")</f>
        <v>-0.10299999999999999</v>
      </c>
      <c r="P446" s="9">
        <f>IF(ISNUMBER(Data!AK302),Data!AK302/100,"n/a")</f>
        <v>0.09</v>
      </c>
      <c r="Q446" s="8">
        <f>Data!AN302</f>
        <v>0.06</v>
      </c>
      <c r="R446" s="8">
        <f>Data!AP302</f>
        <v>8.7528898728590718</v>
      </c>
      <c r="S446" s="8"/>
      <c r="T446" s="8"/>
      <c r="U446" s="8"/>
      <c r="V446" s="1">
        <f t="shared" si="12"/>
        <v>4</v>
      </c>
      <c r="W446" s="1">
        <f t="shared" si="13"/>
        <v>0</v>
      </c>
    </row>
    <row r="447" spans="1:23" hidden="1" x14ac:dyDescent="0.2">
      <c r="A447" s="7" t="str">
        <f>Data!A290</f>
        <v>Genuine Parts Company</v>
      </c>
      <c r="B447" s="7" t="str">
        <f>Data!B290</f>
        <v>GPC</v>
      </c>
      <c r="C447" s="7" t="str">
        <f>Data!C290</f>
        <v>Consumer Discretionary</v>
      </c>
      <c r="D447" s="8">
        <f>IF(ISNUMBER(Data!AL290),Data!AL290/1000,"n/a")</f>
        <v>24.66</v>
      </c>
      <c r="E447" s="1">
        <f>Data!E290</f>
        <v>66</v>
      </c>
      <c r="F447" s="28">
        <f>Data!J290/100</f>
        <v>2.0128190711795793E-2</v>
      </c>
      <c r="G447" s="28">
        <f>IF(ISNUMBER(Data!S290),Data!S290/100,"n/a")</f>
        <v>3.2721468475658488E-2</v>
      </c>
      <c r="H447" s="28">
        <f>IF(ISNUMBER(Data!T290),Data!T290/100,"n/a")</f>
        <v>4.4977823427432062E-2</v>
      </c>
      <c r="I447" s="28">
        <f>IF(ISNUMBER(Data!U290),Data!U290/100,"n/a")</f>
        <v>4.5679960658503438E-2</v>
      </c>
      <c r="J447" s="28">
        <f>IF(ISNUMBER(Data!V290),Data!V290/100,"n/a")</f>
        <v>6.0376704192925734E-2</v>
      </c>
      <c r="K447" s="9">
        <f>IF(ISNUMBER(Data!Z290),Data!Z290/100,"n/a")</f>
        <v>0.42977190876350541</v>
      </c>
      <c r="L447" s="10">
        <f>Data!AA290</f>
        <v>21.351740696278512</v>
      </c>
      <c r="M447" s="10">
        <f>Data!AF290</f>
        <v>6.9</v>
      </c>
      <c r="N447" s="28">
        <f>IF(ISNUMBER(Data!AG290),Data!AG290/100,"n/a")</f>
        <v>0.33</v>
      </c>
      <c r="O447" s="28">
        <f>IF(ISNUMBER(Data!AJ290),Data!AJ290/100,"n/a")</f>
        <v>6.3E-2</v>
      </c>
      <c r="P447" s="9">
        <f>IF(ISNUMBER(Data!AK290),Data!AK290/100,"n/a")</f>
        <v>4.5999999999999999E-2</v>
      </c>
      <c r="Q447" s="8">
        <f>Data!AN290</f>
        <v>0.88</v>
      </c>
      <c r="R447" s="8">
        <f>Data!AP290</f>
        <v>6.5808151370299228</v>
      </c>
      <c r="S447" s="8"/>
      <c r="T447" s="8"/>
      <c r="U447" s="8"/>
      <c r="V447" s="1">
        <f t="shared" si="12"/>
        <v>7</v>
      </c>
      <c r="W447" s="1">
        <f t="shared" si="13"/>
        <v>0</v>
      </c>
    </row>
    <row r="448" spans="1:23" hidden="1" x14ac:dyDescent="0.2">
      <c r="A448" s="7" t="str">
        <f>Data!A383</f>
        <v>Lincoln Electric Holdings, Inc.</v>
      </c>
      <c r="B448" s="7" t="str">
        <f>Data!B383</f>
        <v>LECO</v>
      </c>
      <c r="C448" s="7" t="str">
        <f>Data!C383</f>
        <v>Industrials</v>
      </c>
      <c r="D448" s="8">
        <f>IF(ISNUMBER(Data!AL383),Data!AL383/1000,"n/a")</f>
        <v>8.1</v>
      </c>
      <c r="E448" s="1">
        <f>Data!E383</f>
        <v>28</v>
      </c>
      <c r="F448" s="28">
        <f>Data!J383/100</f>
        <v>1.8028169014084508E-2</v>
      </c>
      <c r="G448" s="28">
        <f>IF(ISNUMBER(Data!S383),Data!S383/100,"n/a")</f>
        <v>4.081632653061229E-2</v>
      </c>
      <c r="H448" s="28">
        <f>IF(ISNUMBER(Data!T383),Data!T383/100,"n/a")</f>
        <v>9.3541299792876842E-2</v>
      </c>
      <c r="I448" s="28">
        <f>IF(ISNUMBER(Data!U383),Data!U383/100,"n/a")</f>
        <v>9.7700948713745017E-2</v>
      </c>
      <c r="J448" s="28">
        <f>IF(ISNUMBER(Data!V383),Data!V383/100,"n/a")</f>
        <v>0.12648093976970398</v>
      </c>
      <c r="K448" s="9">
        <f>IF(ISNUMBER(Data!Z383),Data!Z383/100,"n/a")</f>
        <v>0.34501347708894881</v>
      </c>
      <c r="L448" s="10">
        <f>Data!AA383</f>
        <v>19.137466307277627</v>
      </c>
      <c r="M448" s="10">
        <f>Data!AF383</f>
        <v>8.8000000000000007</v>
      </c>
      <c r="N448" s="28">
        <f>IF(ISNUMBER(Data!AG383),Data!AG383/100,"n/a")</f>
        <v>0.49099999999999999</v>
      </c>
      <c r="O448" s="28">
        <f>IF(ISNUMBER(Data!AJ383),Data!AJ383/100,"n/a")</f>
        <v>9.6000000000000002E-2</v>
      </c>
      <c r="P448" s="9">
        <f>IF(ISNUMBER(Data!AK383),Data!AK383/100,"n/a")</f>
        <v>0.14799999999999999</v>
      </c>
      <c r="Q448" s="8">
        <f>Data!AN383</f>
        <v>0.84</v>
      </c>
      <c r="R448" s="8">
        <f>Data!AP383</f>
        <v>11.572911772782952</v>
      </c>
      <c r="S448" s="8"/>
      <c r="T448" s="8"/>
      <c r="U448" s="8"/>
      <c r="V448" s="1">
        <f t="shared" si="12"/>
        <v>9</v>
      </c>
      <c r="W448" s="1">
        <f t="shared" si="13"/>
        <v>0</v>
      </c>
    </row>
    <row r="449" spans="1:23" hidden="1" x14ac:dyDescent="0.2">
      <c r="A449" s="7" t="str">
        <f>Data!A282</f>
        <v>Graco Inc.</v>
      </c>
      <c r="B449" s="7" t="str">
        <f>Data!B282</f>
        <v>GGG</v>
      </c>
      <c r="C449" s="7" t="str">
        <f>Data!C282</f>
        <v>Industrials</v>
      </c>
      <c r="D449" s="8">
        <f>IF(ISNUMBER(Data!AL282),Data!AL282/1000,"n/a")</f>
        <v>11.29</v>
      </c>
      <c r="E449" s="1">
        <f>Data!E282</f>
        <v>25</v>
      </c>
      <c r="F449" s="28">
        <f>Data!J282/100</f>
        <v>1.2072434607645875E-2</v>
      </c>
      <c r="G449" s="28">
        <f>IF(ISNUMBER(Data!S282),Data!S282/100,"n/a")</f>
        <v>7.1428571428571397E-2</v>
      </c>
      <c r="H449" s="28">
        <f>IF(ISNUMBER(Data!T282),Data!T282/100,"n/a")</f>
        <v>0.12411078255652284</v>
      </c>
      <c r="I449" s="28">
        <f>IF(ISNUMBER(Data!U282),Data!U282/100,"n/a")</f>
        <v>0.11255558285117573</v>
      </c>
      <c r="J449" s="28">
        <f>IF(ISNUMBER(Data!V282),Data!V282/100,"n/a")</f>
        <v>0.10354570087759019</v>
      </c>
      <c r="K449" s="9">
        <f>IF(ISNUMBER(Data!Z282),Data!Z282/100,"n/a")</f>
        <v>0.32061068702290074</v>
      </c>
      <c r="L449" s="10">
        <f>Data!AA282</f>
        <v>26.557251908396946</v>
      </c>
      <c r="M449" s="10">
        <f>Data!AF282</f>
        <v>6.57</v>
      </c>
      <c r="N449" s="28">
        <f>IF(ISNUMBER(Data!AG282),Data!AG282/100,"n/a")</f>
        <v>0.26200000000000001</v>
      </c>
      <c r="O449" s="28">
        <f>IF(ISNUMBER(Data!AJ282),Data!AJ282/100,"n/a")</f>
        <v>0.60299999999999998</v>
      </c>
      <c r="P449" s="9">
        <f>IF(ISNUMBER(Data!AK282),Data!AK282/100,"n/a")</f>
        <v>0.10400000000000001</v>
      </c>
      <c r="Q449" s="8">
        <f>Data!AN282</f>
        <v>7.0000000000000007E-2</v>
      </c>
      <c r="R449" s="8">
        <f>Data!AP282</f>
        <v>12.46280174588216</v>
      </c>
      <c r="S449" s="8"/>
      <c r="T449" s="8"/>
      <c r="U449" s="8"/>
      <c r="V449" s="1">
        <f t="shared" si="12"/>
        <v>10</v>
      </c>
      <c r="W449" s="1">
        <f t="shared" si="13"/>
        <v>0</v>
      </c>
    </row>
    <row r="450" spans="1:23" hidden="1" x14ac:dyDescent="0.2">
      <c r="A450" s="7" t="str">
        <f>Data!A284</f>
        <v>Global Industrial Company</v>
      </c>
      <c r="B450" s="7" t="str">
        <f>Data!B284</f>
        <v>GIC</v>
      </c>
      <c r="C450" s="7" t="str">
        <f>Data!C284</f>
        <v>Industrials</v>
      </c>
      <c r="D450" s="8">
        <f>IF(ISNUMBER(Data!AL284),Data!AL284/1000,"n/a")</f>
        <v>1.1499999999999999</v>
      </c>
      <c r="E450" s="1">
        <f>Data!E284</f>
        <v>7</v>
      </c>
      <c r="F450" s="28">
        <f>Data!J284/100</f>
        <v>2.2684310018903597E-2</v>
      </c>
      <c r="G450" s="28">
        <f>IF(ISNUMBER(Data!S284),Data!S284/100,"n/a")</f>
        <v>0.14285714285714279</v>
      </c>
      <c r="H450" s="28">
        <f>IF(ISNUMBER(Data!T284),Data!T284/100,"n/a")</f>
        <v>0.1330326698854094</v>
      </c>
      <c r="I450" s="28">
        <f>IF(ISNUMBER(Data!U284),Data!U284/100,"n/a")</f>
        <v>0.44955932735539106</v>
      </c>
      <c r="J450" s="28" t="str">
        <f>IF(ISNUMBER(Data!V284),Data!V284/100,"n/a")</f>
        <v>n/a</v>
      </c>
      <c r="K450" s="9">
        <f>IF(ISNUMBER(Data!Z284),Data!Z284/100,"n/a")</f>
        <v>0.31168831168831168</v>
      </c>
      <c r="L450" s="10">
        <f>Data!AA284</f>
        <v>13.74025974025974</v>
      </c>
      <c r="M450" s="10">
        <f>Data!AF284</f>
        <v>6.34</v>
      </c>
      <c r="N450" s="28">
        <f>IF(ISNUMBER(Data!AG284),Data!AG284/100,"n/a")</f>
        <v>0.66700000000000004</v>
      </c>
      <c r="O450" s="28">
        <f>IF(ISNUMBER(Data!AJ284),Data!AJ284/100,"n/a")</f>
        <v>0.77500000000000002</v>
      </c>
      <c r="P450" s="9">
        <f>IF(ISNUMBER(Data!AK284),Data!AK284/100,"n/a")</f>
        <v>0.18</v>
      </c>
      <c r="Q450" s="8">
        <f>Data!AN284</f>
        <v>0.16</v>
      </c>
      <c r="R450" s="8">
        <f>Data!AP284</f>
        <v>47.224363737429471</v>
      </c>
      <c r="S450" s="8"/>
      <c r="T450" s="8"/>
      <c r="U450" s="8"/>
      <c r="V450" s="1">
        <f t="shared" si="12"/>
        <v>9</v>
      </c>
      <c r="W450" s="1">
        <f t="shared" si="13"/>
        <v>0</v>
      </c>
    </row>
    <row r="451" spans="1:23" hidden="1" x14ac:dyDescent="0.2">
      <c r="A451" s="7" t="str">
        <f>Data!A291</f>
        <v>The Gorman-Rupp Company</v>
      </c>
      <c r="B451" s="7" t="str">
        <f>Data!B291</f>
        <v>GRC</v>
      </c>
      <c r="C451" s="7" t="str">
        <f>Data!C291</f>
        <v>Industrials</v>
      </c>
      <c r="D451" s="8">
        <f>IF(ISNUMBER(Data!AL291),Data!AL291/1000,"n/a")</f>
        <v>0.69938999999999996</v>
      </c>
      <c r="E451" s="1">
        <f>Data!E291</f>
        <v>50</v>
      </c>
      <c r="F451" s="28">
        <f>Data!J291/100</f>
        <v>2.5792188651436995E-2</v>
      </c>
      <c r="G451" s="28">
        <f>IF(ISNUMBER(Data!S291),Data!S291/100,"n/a")</f>
        <v>7.6271186440677985E-2</v>
      </c>
      <c r="H451" s="28">
        <f>IF(ISNUMBER(Data!T291),Data!T291/100,"n/a")</f>
        <v>7.5807373057610761E-2</v>
      </c>
      <c r="I451" s="28">
        <f>IF(ISNUMBER(Data!U291),Data!U291/100,"n/a")</f>
        <v>8.1088017937179568E-2</v>
      </c>
      <c r="J451" s="28">
        <f>IF(ISNUMBER(Data!V291),Data!V291/100,"n/a")</f>
        <v>8.4096762906304079E-2</v>
      </c>
      <c r="K451" s="9">
        <f>IF(ISNUMBER(Data!Z291),Data!Z291/100,"n/a")</f>
        <v>0.83333333333333326</v>
      </c>
      <c r="L451" s="10">
        <f>Data!AA291</f>
        <v>32.30952380952381</v>
      </c>
      <c r="M451" s="10">
        <f>Data!AF291</f>
        <v>2.19</v>
      </c>
      <c r="N451" s="28">
        <f>IF(ISNUMBER(Data!AG291),Data!AG291/100,"n/a")</f>
        <v>9.0999999999999998E-2</v>
      </c>
      <c r="O451" s="28">
        <f>IF(ISNUMBER(Data!AJ291),Data!AJ291/100,"n/a")</f>
        <v>3.6999999999999998E-2</v>
      </c>
      <c r="P451" s="9">
        <f>IF(ISNUMBER(Data!AK291),Data!AK291/100,"n/a")</f>
        <v>0.15</v>
      </c>
      <c r="Q451" s="8">
        <f>Data!AN291</f>
        <v>1.32</v>
      </c>
      <c r="R451" s="8">
        <f>Data!AP291</f>
        <v>10.688020658861657</v>
      </c>
      <c r="S451" s="8"/>
      <c r="T451" s="8"/>
      <c r="U451" s="8"/>
      <c r="V451" s="1">
        <f t="shared" si="12"/>
        <v>8</v>
      </c>
      <c r="W451" s="1">
        <f t="shared" si="13"/>
        <v>0</v>
      </c>
    </row>
    <row r="452" spans="1:23" hidden="1" x14ac:dyDescent="0.2">
      <c r="A452" s="7" t="str">
        <f>Data!A301</f>
        <v>The Hackett Group, Inc.</v>
      </c>
      <c r="B452" s="7" t="str">
        <f>Data!B301</f>
        <v>HCKT</v>
      </c>
      <c r="C452" s="7" t="str">
        <f>Data!C301</f>
        <v>Information Technology</v>
      </c>
      <c r="D452" s="8">
        <f>IF(ISNUMBER(Data!AL301),Data!AL301/1000,"n/a")</f>
        <v>0.67676000000000003</v>
      </c>
      <c r="E452" s="1">
        <f>Data!E301</f>
        <v>9</v>
      </c>
      <c r="F452" s="28">
        <f>Data!J301/100</f>
        <v>2.0146520146520144E-2</v>
      </c>
      <c r="G452" s="28">
        <f>IF(ISNUMBER(Data!S301),Data!S301/100,"n/a")</f>
        <v>8.1081081081081141E-2</v>
      </c>
      <c r="H452" s="28">
        <f>IF(ISNUMBER(Data!T301),Data!T301/100,"n/a")</f>
        <v>7.7217345015941907E-2</v>
      </c>
      <c r="I452" s="28">
        <f>IF(ISNUMBER(Data!U301),Data!U301/100,"n/a")</f>
        <v>8.9976987048345336E-2</v>
      </c>
      <c r="J452" s="28" t="str">
        <f>IF(ISNUMBER(Data!V301),Data!V301/100,"n/a")</f>
        <v>n/a</v>
      </c>
      <c r="K452" s="9">
        <f>IF(ISNUMBER(Data!Z301),Data!Z301/100,"n/a")</f>
        <v>0.31428571428571433</v>
      </c>
      <c r="L452" s="10">
        <f>Data!AA301</f>
        <v>15.600000000000001</v>
      </c>
      <c r="M452" s="10">
        <f>Data!AF301</f>
        <v>4.43</v>
      </c>
      <c r="N452" s="28">
        <f>IF(ISNUMBER(Data!AG301),Data!AG301/100,"n/a")</f>
        <v>0.30299999999999999</v>
      </c>
      <c r="O452" s="28">
        <f>IF(ISNUMBER(Data!AJ301),Data!AJ301/100,"n/a")</f>
        <v>0.14799999999999999</v>
      </c>
      <c r="P452" s="9">
        <f>IF(ISNUMBER(Data!AK301),Data!AK301/100,"n/a")</f>
        <v>0.15</v>
      </c>
      <c r="Q452" s="8">
        <f>Data!AN301</f>
        <v>0</v>
      </c>
      <c r="R452" s="8">
        <f>Data!AP301</f>
        <v>11.012350719486548</v>
      </c>
      <c r="S452" s="8"/>
      <c r="T452" s="8"/>
      <c r="U452" s="8"/>
      <c r="V452" s="1">
        <f t="shared" si="12"/>
        <v>9</v>
      </c>
      <c r="W452" s="1">
        <f t="shared" si="13"/>
        <v>0</v>
      </c>
    </row>
    <row r="453" spans="1:23" hidden="1" x14ac:dyDescent="0.2">
      <c r="A453" s="7" t="str">
        <f>Data!A281</f>
        <v>Griffon Corporation</v>
      </c>
      <c r="B453" s="7" t="str">
        <f>Data!B281</f>
        <v>GFF</v>
      </c>
      <c r="C453" s="7" t="str">
        <f>Data!C281</f>
        <v>Industrials</v>
      </c>
      <c r="D453" s="8">
        <f>IF(ISNUMBER(Data!AL281),Data!AL281/1000,"n/a")</f>
        <v>1.88</v>
      </c>
      <c r="E453" s="1">
        <f>Data!E281</f>
        <v>11</v>
      </c>
      <c r="F453" s="28">
        <f>Data!J281/100</f>
        <v>1.1200995644057249E-2</v>
      </c>
      <c r="G453" s="28">
        <f>IF(ISNUMBER(Data!S281),Data!S281/100,"n/a")</f>
        <v>8.1967213114754175E-2</v>
      </c>
      <c r="H453" s="28">
        <f>IF(ISNUMBER(Data!T281),Data!T281/100,"n/a")</f>
        <v>5.3792113089372373E-2</v>
      </c>
      <c r="I453" s="28">
        <f>IF(ISNUMBER(Data!U281),Data!U281/100,"n/a")</f>
        <v>9.4608784223157549E-2</v>
      </c>
      <c r="J453" s="28">
        <f>IF(ISNUMBER(Data!V281),Data!V281/100,"n/a")</f>
        <v>0.32357450906659663</v>
      </c>
      <c r="K453" s="9">
        <f>IF(ISNUMBER(Data!Z281),Data!Z281/100,"n/a")</f>
        <v>0.14285714285714285</v>
      </c>
      <c r="L453" s="10">
        <f>Data!AA281</f>
        <v>12.753968253968255</v>
      </c>
      <c r="M453" s="10">
        <f>Data!AF281</f>
        <v>1.88</v>
      </c>
      <c r="N453" s="28">
        <f>IF(ISNUMBER(Data!AG281),Data!AG281/100,"n/a")</f>
        <v>0.28699999999999998</v>
      </c>
      <c r="O453" s="28">
        <f>IF(ISNUMBER(Data!AJ281),Data!AJ281/100,"n/a")</f>
        <v>0.24399999999999999</v>
      </c>
      <c r="P453" s="9">
        <f>IF(ISNUMBER(Data!AK281),Data!AK281/100,"n/a")</f>
        <v>0.2041</v>
      </c>
      <c r="Q453" s="8">
        <f>Data!AN281</f>
        <v>1.75</v>
      </c>
      <c r="R453" s="8">
        <f>Data!AP281</f>
        <v>10.58097798672148</v>
      </c>
      <c r="S453" s="8"/>
      <c r="T453" s="8"/>
      <c r="U453" s="8"/>
      <c r="V453" s="1">
        <f t="shared" ref="V453:V516" si="14">IF($D$4="+",IF(D453="n/a",0,IF(D453&gt;=$D$5,1,0)),0)+IF($E$4="+",IF(E453="n/a",0,IF(E453&gt;=$E$5,1,0)),0)+IF($F$4="+",IF(F453="n/a",0,IF(F453&gt;=$F$5,1,0)),0)+IF($G$4="+",IF(G453="n/a",0,IF(G453&gt;=$G$5,1,0)),0)+IF($H$4="+",IF(H453="n/a",0,IF(H453&gt;=$H$5,1,0)),0)+IF($I$4="+",IF(I453="n/a",0,IF(I453&gt;=$I$5,1,0)),0)+IF($J$4="+",IF(J453="n/a",0,IF(J453&gt;=$J$5,1,0)),0)+IF($K$4="+",IF(K453="n/a",0,IF(K453&lt;=$K$5,1,0)),0)+IF($L$4="+",IF(L453="n/a",0,IF(L453&lt;=$L$5,1,0)),0)+IF($M$4="+",IF(M453="n/a",0,IF(M453&lt;=$M$5,1,0)),0)+IF($N$4="+",IF(N453="n/a",0,IF(N453&gt;=$N$5,1,0)),0)+IF($O$4="+",IF(O453="n/a",0,IF(O453&gt;=$O$5,1,0)),0)+IF($P$4="+",IF(P453="n/a",0,IF(P453&gt;=$P$5,1,0)),0)+IF($Q$4="+",IF(Q453="n/a",0,IF(Q453&lt;=$Q$5,1,0)),0)+IF($R$4="+",IF(R453="n/a",0,IF(R453&gt;=$R$5,1,0)),0)+$Y$4</f>
        <v>8</v>
      </c>
      <c r="W453" s="1">
        <f t="shared" ref="W453:W516" si="15">IF(V453&gt;=$V$2,"",0)</f>
        <v>0</v>
      </c>
    </row>
    <row r="454" spans="1:23" hidden="1" x14ac:dyDescent="0.2">
      <c r="A454" s="7" t="str">
        <f>Data!A297</f>
        <v>W.W. Grainger, Inc.</v>
      </c>
      <c r="B454" s="7" t="str">
        <f>Data!B297</f>
        <v>GWW</v>
      </c>
      <c r="C454" s="7" t="str">
        <f>Data!C297</f>
        <v>Industrials</v>
      </c>
      <c r="D454" s="8">
        <f>IF(ISNUMBER(Data!AL297),Data!AL297/1000,"n/a")</f>
        <v>27.35</v>
      </c>
      <c r="E454" s="1">
        <f>Data!E297</f>
        <v>51</v>
      </c>
      <c r="F454" s="28">
        <f>Data!J297/100</f>
        <v>1.1773765722597758E-2</v>
      </c>
      <c r="G454" s="28">
        <f>IF(ISNUMBER(Data!S297),Data!S297/100,"n/a")</f>
        <v>7.575757575757569E-2</v>
      </c>
      <c r="H454" s="28">
        <f>IF(ISNUMBER(Data!T297),Data!T297/100,"n/a")</f>
        <v>6.0340515705763265E-2</v>
      </c>
      <c r="I454" s="28">
        <f>IF(ISNUMBER(Data!U297),Data!U297/100,"n/a")</f>
        <v>5.757395166420487E-2</v>
      </c>
      <c r="J454" s="28">
        <f>IF(ISNUMBER(Data!V297),Data!V297/100,"n/a")</f>
        <v>9.7513906202665979E-2</v>
      </c>
      <c r="K454" s="9">
        <f>IF(ISNUMBER(Data!Z297),Data!Z297/100,"n/a")</f>
        <v>0.26938136256851997</v>
      </c>
      <c r="L454" s="10">
        <f>Data!AA297</f>
        <v>22.879796397807361</v>
      </c>
      <c r="M454" s="10">
        <f>Data!AF297</f>
        <v>13.34</v>
      </c>
      <c r="N454" s="28">
        <f>IF(ISNUMBER(Data!AG297),Data!AG297/100,"n/a")</f>
        <v>0.58699999999999997</v>
      </c>
      <c r="O454" s="28">
        <f>IF(ISNUMBER(Data!AJ297),Data!AJ297/100,"n/a")</f>
        <v>0.151</v>
      </c>
      <c r="P454" s="9">
        <f>IF(ISNUMBER(Data!AK297),Data!AK297/100,"n/a")</f>
        <v>0.27950000000000003</v>
      </c>
      <c r="Q454" s="8">
        <f>Data!AN297</f>
        <v>1.06</v>
      </c>
      <c r="R454" s="8">
        <f>Data!AP297</f>
        <v>6.9347717386802632</v>
      </c>
      <c r="S454" s="8"/>
      <c r="T454" s="8"/>
      <c r="U454" s="8"/>
      <c r="V454" s="1">
        <f t="shared" si="14"/>
        <v>9</v>
      </c>
      <c r="W454" s="1">
        <f t="shared" si="15"/>
        <v>0</v>
      </c>
    </row>
    <row r="455" spans="1:23" hidden="1" x14ac:dyDescent="0.2">
      <c r="A455" s="7" t="str">
        <f>Data!A294</f>
        <v>Great Southern Bancorp, Inc.</v>
      </c>
      <c r="B455" s="7" t="str">
        <f>Data!B294</f>
        <v>GSBC</v>
      </c>
      <c r="C455" s="7" t="str">
        <f>Data!C294</f>
        <v>Financials</v>
      </c>
      <c r="D455" s="8">
        <f>IF(ISNUMBER(Data!AL294),Data!AL294/1000,"n/a")</f>
        <v>0.74663999999999997</v>
      </c>
      <c r="E455" s="1">
        <f>Data!E294</f>
        <v>9</v>
      </c>
      <c r="F455" s="28">
        <f>Data!J294/100</f>
        <v>2.5814778960955145E-2</v>
      </c>
      <c r="G455" s="28">
        <f>IF(ISNUMBER(Data!S294),Data!S294/100,"n/a")</f>
        <v>1.4705882352941124E-2</v>
      </c>
      <c r="H455" s="28">
        <f>IF(ISNUMBER(Data!T294),Data!T294/100,"n/a")</f>
        <v>7.2063116185391296E-2</v>
      </c>
      <c r="I455" s="28">
        <f>IF(ISNUMBER(Data!U294),Data!U294/100,"n/a")</f>
        <v>9.4156092263382618E-2</v>
      </c>
      <c r="J455" s="28">
        <f>IF(ISNUMBER(Data!V294),Data!V294/100,"n/a")</f>
        <v>6.7221728877321363E-2</v>
      </c>
      <c r="K455" s="9">
        <f>IF(ISNUMBER(Data!Z294),Data!Z294/100,"n/a")</f>
        <v>0.29962546816479402</v>
      </c>
      <c r="L455" s="10">
        <f>Data!AA294</f>
        <v>11.606741573033707</v>
      </c>
      <c r="M455" s="10">
        <f>Data!AF294</f>
        <v>1.42</v>
      </c>
      <c r="N455" s="28">
        <f>IF(ISNUMBER(Data!AG294),Data!AG294/100,"n/a")</f>
        <v>0.12300000000000001</v>
      </c>
      <c r="O455" s="28">
        <f>IF(ISNUMBER(Data!AJ294),Data!AJ294/100,"n/a")</f>
        <v>0.11200000000000002</v>
      </c>
      <c r="P455" s="9">
        <f>IF(ISNUMBER(Data!AK294),Data!AK294/100,"n/a")</f>
        <v>0.06</v>
      </c>
      <c r="Q455" s="8">
        <f>Data!AN294</f>
        <v>0.18</v>
      </c>
      <c r="R455" s="8">
        <f>Data!AP294</f>
        <v>11.997087122433776</v>
      </c>
      <c r="S455" s="8"/>
      <c r="T455" s="8"/>
      <c r="U455" s="8"/>
      <c r="V455" s="1">
        <f t="shared" si="14"/>
        <v>9</v>
      </c>
      <c r="W455" s="1">
        <f t="shared" si="15"/>
        <v>0</v>
      </c>
    </row>
    <row r="456" spans="1:23" x14ac:dyDescent="0.2">
      <c r="A456" s="7" t="str">
        <f>Data!A280</f>
        <v>General Dynamics Corporation</v>
      </c>
      <c r="B456" s="7" t="str">
        <f>Data!B280</f>
        <v>GD</v>
      </c>
      <c r="C456" s="7" t="str">
        <f>Data!C280</f>
        <v>Industrials</v>
      </c>
      <c r="D456" s="8">
        <f>IF(ISNUMBER(Data!AL280),Data!AL280/1000,"n/a")</f>
        <v>68.09</v>
      </c>
      <c r="E456" s="1">
        <f>Data!E280</f>
        <v>31</v>
      </c>
      <c r="F456" s="28">
        <f>Data!J280/100</f>
        <v>2.0176140912730182E-2</v>
      </c>
      <c r="G456" s="28">
        <f>IF(ISNUMBER(Data!S280),Data!S280/100,"n/a")</f>
        <v>8.1018518518518365E-2</v>
      </c>
      <c r="H456" s="28">
        <f>IF(ISNUMBER(Data!T280),Data!T280/100,"n/a")</f>
        <v>8.7602219458706512E-2</v>
      </c>
      <c r="I456" s="28">
        <f>IF(ISNUMBER(Data!U280),Data!U280/100,"n/a")</f>
        <v>9.4742771470482712E-2</v>
      </c>
      <c r="J456" s="28">
        <f>IF(ISNUMBER(Data!V280),Data!V280/100,"n/a")</f>
        <v>9.8212996856713808E-2</v>
      </c>
      <c r="K456" s="9">
        <f>IF(ISNUMBER(Data!Z280),Data!Z280/100,"n/a")</f>
        <v>0.41965029142381349</v>
      </c>
      <c r="L456" s="10">
        <f>Data!AA280</f>
        <v>20.799333888426311</v>
      </c>
      <c r="M456" s="10">
        <f>Data!AF280</f>
        <v>3.89</v>
      </c>
      <c r="N456" s="28">
        <f>IF(ISNUMBER(Data!AG280),Data!AG280/100,"n/a")</f>
        <v>0.19</v>
      </c>
      <c r="O456" s="28">
        <f>IF(ISNUMBER(Data!AJ280),Data!AJ280/100,"n/a")</f>
        <v>0.06</v>
      </c>
      <c r="P456" s="9">
        <f>IF(ISNUMBER(Data!AK280),Data!AK280/100,"n/a")</f>
        <v>0.11110000000000002</v>
      </c>
      <c r="Q456" s="8">
        <f>Data!AN280</f>
        <v>0.65</v>
      </c>
      <c r="R456" s="8">
        <f>Data!AP280</f>
        <v>11.491891238321289</v>
      </c>
      <c r="S456" s="8"/>
      <c r="T456" s="8"/>
      <c r="U456" s="8"/>
      <c r="V456" s="1">
        <f t="shared" si="14"/>
        <v>11</v>
      </c>
      <c r="W456" s="1">
        <f t="shared" si="15"/>
        <v>0</v>
      </c>
    </row>
    <row r="457" spans="1:23" hidden="1" x14ac:dyDescent="0.2">
      <c r="A457" s="7" t="str">
        <f>Data!A286</f>
        <v>Globe Life Inc.</v>
      </c>
      <c r="B457" s="7" t="str">
        <f>Data!B286</f>
        <v>GL</v>
      </c>
      <c r="C457" s="7" t="str">
        <f>Data!C286</f>
        <v>Financials</v>
      </c>
      <c r="D457" s="8">
        <f>IF(ISNUMBER(Data!AL286),Data!AL286/1000,"n/a")</f>
        <v>10.9</v>
      </c>
      <c r="E457" s="1">
        <f>Data!E286</f>
        <v>17</v>
      </c>
      <c r="F457" s="28">
        <f>Data!J286/100</f>
        <v>7.1849030470914118E-3</v>
      </c>
      <c r="G457" s="28">
        <f>IF(ISNUMBER(Data!S286),Data!S286/100,"n/a")</f>
        <v>6.1224489795918435E-2</v>
      </c>
      <c r="H457" s="28">
        <f>IF(ISNUMBER(Data!T286),Data!T286/100,"n/a")</f>
        <v>7.3786693294802586E-2</v>
      </c>
      <c r="I457" s="28">
        <f>IF(ISNUMBER(Data!U286),Data!U286/100,"n/a")</f>
        <v>7.0435057025694414E-2</v>
      </c>
      <c r="J457" s="28">
        <f>IF(ISNUMBER(Data!V286),Data!V286/100,"n/a")</f>
        <v>0.10190687947487544</v>
      </c>
      <c r="K457" s="9">
        <f>IF(ISNUMBER(Data!Z286),Data!Z286/100,"n/a")</f>
        <v>0.11706629055007052</v>
      </c>
      <c r="L457" s="10">
        <f>Data!AA286</f>
        <v>16.293370944992947</v>
      </c>
      <c r="M457" s="10">
        <f>Data!AF286</f>
        <v>2.1</v>
      </c>
      <c r="N457" s="28">
        <f>IF(ISNUMBER(Data!AG286),Data!AG286/100,"n/a")</f>
        <v>9.9000000000000005E-2</v>
      </c>
      <c r="O457" s="28">
        <f>IF(ISNUMBER(Data!AJ286),Data!AJ286/100,"n/a")</f>
        <v>0.10400000000000001</v>
      </c>
      <c r="P457" s="9">
        <f>IF(ISNUMBER(Data!AK286),Data!AK286/100,"n/a")</f>
        <v>0.14910000000000001</v>
      </c>
      <c r="Q457" s="8">
        <f>Data!AN286</f>
        <v>0.4</v>
      </c>
      <c r="R457" s="8">
        <f>Data!AP286</f>
        <v>7.761996007278583</v>
      </c>
      <c r="S457" s="8"/>
      <c r="T457" s="8"/>
      <c r="U457" s="8"/>
      <c r="V457" s="1">
        <f t="shared" si="14"/>
        <v>10</v>
      </c>
      <c r="W457" s="1">
        <f t="shared" si="15"/>
        <v>0</v>
      </c>
    </row>
    <row r="458" spans="1:23" hidden="1" x14ac:dyDescent="0.2">
      <c r="A458" s="7" t="str">
        <f>Data!A283</f>
        <v>Graham Holdings Company</v>
      </c>
      <c r="B458" s="7" t="str">
        <f>Data!B283</f>
        <v>GHC</v>
      </c>
      <c r="C458" s="7" t="str">
        <f>Data!C283</f>
        <v>Consumer Discretionary</v>
      </c>
      <c r="D458" s="8">
        <f>IF(ISNUMBER(Data!AL283),Data!AL283/1000,"n/a")</f>
        <v>2.99</v>
      </c>
      <c r="E458" s="1">
        <f>Data!E283</f>
        <v>6</v>
      </c>
      <c r="F458" s="28">
        <f>Data!J283/100</f>
        <v>1.0130315610624007E-2</v>
      </c>
      <c r="G458" s="28">
        <f>IF(ISNUMBER(Data!S283),Data!S283/100,"n/a")</f>
        <v>4.1379310344827669E-2</v>
      </c>
      <c r="H458" s="28">
        <f>IF(ISNUMBER(Data!T283),Data!T283/100,"n/a")</f>
        <v>4.3218072561138854E-2</v>
      </c>
      <c r="I458" s="28">
        <f>IF(ISNUMBER(Data!U283),Data!U283/100,"n/a")</f>
        <v>4.5293657857078395E-2</v>
      </c>
      <c r="J458" s="28">
        <f>IF(ISNUMBER(Data!V283),Data!V283/100,"n/a")</f>
        <v>-4.3266659796850737E-2</v>
      </c>
      <c r="K458" s="9">
        <f>IF(ISNUMBER(Data!Z283),Data!Z283/100,"n/a")</f>
        <v>0.20559531554977231</v>
      </c>
      <c r="L458" s="10">
        <f>Data!AA283</f>
        <v>20.295055302537413</v>
      </c>
      <c r="M458" s="10">
        <f>Data!AF283</f>
        <v>0.71</v>
      </c>
      <c r="N458" s="28">
        <f>IF(ISNUMBER(Data!AG283),Data!AG283/100,"n/a")</f>
        <v>3.5000000000000003E-2</v>
      </c>
      <c r="O458" s="28">
        <f>IF(ISNUMBER(Data!AJ283),Data!AJ283/100,"n/a")</f>
        <v>0.188</v>
      </c>
      <c r="P458" s="9">
        <f>IF(ISNUMBER(Data!AK283),Data!AK283/100,"n/a")</f>
        <v>0.18099999999999997</v>
      </c>
      <c r="Q458" s="8">
        <f>Data!AN283</f>
        <v>0.15</v>
      </c>
      <c r="R458" s="8">
        <f>Data!AP283</f>
        <v>5.5423973467702403</v>
      </c>
      <c r="S458" s="8"/>
      <c r="T458" s="8"/>
      <c r="U458" s="8"/>
      <c r="V458" s="1">
        <f t="shared" si="14"/>
        <v>5</v>
      </c>
      <c r="W458" s="1">
        <f t="shared" si="15"/>
        <v>0</v>
      </c>
    </row>
    <row r="459" spans="1:23" hidden="1" x14ac:dyDescent="0.2">
      <c r="A459" s="7" t="str">
        <f>Data!A277</f>
        <v>GATX Corporation</v>
      </c>
      <c r="B459" s="7" t="str">
        <f>Data!B277</f>
        <v>GATX</v>
      </c>
      <c r="C459" s="7" t="str">
        <f>Data!C277</f>
        <v>Industrials</v>
      </c>
      <c r="D459" s="8">
        <f>IF(ISNUMBER(Data!AL277),Data!AL277/1000,"n/a")</f>
        <v>3.61</v>
      </c>
      <c r="E459" s="1">
        <f>Data!E277</f>
        <v>12</v>
      </c>
      <c r="F459" s="28">
        <f>Data!J277/100</f>
        <v>1.9864387355553435E-2</v>
      </c>
      <c r="G459" s="28">
        <f>IF(ISNUMBER(Data!S277),Data!S277/100,"n/a")</f>
        <v>4.1666666666666741E-2</v>
      </c>
      <c r="H459" s="28">
        <f>IF(ISNUMBER(Data!T277),Data!T277/100,"n/a")</f>
        <v>4.3532011211615984E-2</v>
      </c>
      <c r="I459" s="28">
        <f>IF(ISNUMBER(Data!U277),Data!U277/100,"n/a")</f>
        <v>4.5639552591273169E-2</v>
      </c>
      <c r="J459" s="28">
        <f>IF(ISNUMBER(Data!V277),Data!V277/100,"n/a")</f>
        <v>5.5983666192986892E-2</v>
      </c>
      <c r="K459" s="9">
        <f>IF(ISNUMBER(Data!Z277),Data!Z277/100,"n/a")</f>
        <v>0.44349680170575689</v>
      </c>
      <c r="L459" s="10">
        <f>Data!AA277</f>
        <v>22.326226012793175</v>
      </c>
      <c r="M459" s="10">
        <f>Data!AF277</f>
        <v>1.86</v>
      </c>
      <c r="N459" s="28">
        <f>IF(ISNUMBER(Data!AG277),Data!AG277/100,"n/a")</f>
        <v>8.4000000000000005E-2</v>
      </c>
      <c r="O459" s="28">
        <f>IF(ISNUMBER(Data!AJ277),Data!AJ277/100,"n/a")</f>
        <v>-8.7999999999999995E-2</v>
      </c>
      <c r="P459" s="9">
        <f>IF(ISNUMBER(Data!AK277),Data!AK277/100,"n/a")</f>
        <v>0.12</v>
      </c>
      <c r="Q459" s="8">
        <f>Data!AN277</f>
        <v>3.28</v>
      </c>
      <c r="R459" s="8">
        <f>Data!AP277</f>
        <v>6.5503939946826604</v>
      </c>
      <c r="S459" s="8"/>
      <c r="T459" s="8"/>
      <c r="U459" s="8"/>
      <c r="V459" s="1">
        <f t="shared" si="14"/>
        <v>5</v>
      </c>
      <c r="W459" s="1">
        <f t="shared" si="15"/>
        <v>0</v>
      </c>
    </row>
    <row r="460" spans="1:23" hidden="1" x14ac:dyDescent="0.2">
      <c r="A460" s="7" t="str">
        <f>Data!A273</f>
        <v>First National Corporation</v>
      </c>
      <c r="B460" s="7" t="str">
        <f>Data!B273</f>
        <v>FXNC</v>
      </c>
      <c r="C460" s="7" t="str">
        <f>Data!C273</f>
        <v>Financials</v>
      </c>
      <c r="D460" s="8" t="str">
        <f>IF(ISNUMBER(Data!AL273),Data!AL273/1000,"n/a")</f>
        <v>n/a</v>
      </c>
      <c r="E460" s="1">
        <f>Data!E273</f>
        <v>9</v>
      </c>
      <c r="F460" s="28">
        <f>Data!J273/100</f>
        <v>3.3674082982561644E-2</v>
      </c>
      <c r="G460" s="28">
        <f>IF(ISNUMBER(Data!S273),Data!S273/100,"n/a")</f>
        <v>9.0909090909090828E-2</v>
      </c>
      <c r="H460" s="28">
        <f>IF(ISNUMBER(Data!T273),Data!T273/100,"n/a")</f>
        <v>0.33886590016433904</v>
      </c>
      <c r="I460" s="28">
        <f>IF(ISNUMBER(Data!U273),Data!U273/100,"n/a")</f>
        <v>0.3195079107728942</v>
      </c>
      <c r="J460" s="28">
        <f>IF(ISNUMBER(Data!V273),Data!V273/100,"n/a")</f>
        <v>9.1493425617896987E-2</v>
      </c>
      <c r="K460" s="9" t="str">
        <f>IF(ISNUMBER(Data!Z273),Data!Z273/100,"n/a")</f>
        <v>n/a</v>
      </c>
      <c r="L460" s="10" t="str">
        <f>Data!AA273</f>
        <v>n/a</v>
      </c>
      <c r="M460" s="10" t="str">
        <f>Data!AF273</f>
        <v>n/a</v>
      </c>
      <c r="N460" s="28" t="str">
        <f>IF(ISNUMBER(Data!AG273),Data!AG273/100,"n/a")</f>
        <v>n/a</v>
      </c>
      <c r="O460" s="28" t="str">
        <f>IF(ISNUMBER(Data!AJ273),Data!AJ273/100,"n/a")</f>
        <v>n/a</v>
      </c>
      <c r="P460" s="9" t="str">
        <f>IF(ISNUMBER(Data!AK273),Data!AK273/100,"n/a")</f>
        <v>n/a</v>
      </c>
      <c r="Q460" s="8" t="str">
        <f>Data!AN273</f>
        <v>n/a</v>
      </c>
      <c r="R460" s="8">
        <f>Data!AP273</f>
        <v>35.318199375545582</v>
      </c>
      <c r="S460" s="8"/>
      <c r="T460" s="8"/>
      <c r="U460" s="8"/>
      <c r="V460" s="1">
        <f t="shared" si="14"/>
        <v>5</v>
      </c>
      <c r="W460" s="1">
        <f t="shared" si="15"/>
        <v>0</v>
      </c>
    </row>
    <row r="461" spans="1:23" hidden="1" x14ac:dyDescent="0.2">
      <c r="A461" s="7" t="str">
        <f>Data!A263</f>
        <v>Franklin Financial Services Corporation</v>
      </c>
      <c r="B461" s="7" t="str">
        <f>Data!B263</f>
        <v>FRAF</v>
      </c>
      <c r="C461" s="7" t="str">
        <f>Data!C263</f>
        <v>Financials</v>
      </c>
      <c r="D461" s="8">
        <f>IF(ISNUMBER(Data!AL263),Data!AL263/1000,"n/a")</f>
        <v>0.14401</v>
      </c>
      <c r="E461" s="1">
        <f>Data!E263</f>
        <v>7</v>
      </c>
      <c r="F461" s="28">
        <f>Data!J263/100</f>
        <v>3.9372500768994158E-2</v>
      </c>
      <c r="G461" s="28">
        <f>IF(ISNUMBER(Data!S263),Data!S263/100,"n/a")</f>
        <v>4.1666666666666741E-2</v>
      </c>
      <c r="H461" s="28">
        <f>IF(ISNUMBER(Data!T263),Data!T263/100,"n/a")</f>
        <v>5.983983294832651E-2</v>
      </c>
      <c r="I461" s="28">
        <f>IF(ISNUMBER(Data!U263),Data!U263/100,"n/a")</f>
        <v>8.7975791805680506E-2</v>
      </c>
      <c r="J461" s="28">
        <f>IF(ISNUMBER(Data!V263),Data!V263/100,"n/a")</f>
        <v>1.4725620194454336E-2</v>
      </c>
      <c r="K461" s="9">
        <f>IF(ISNUMBER(Data!Z263),Data!Z263/100,"n/a")</f>
        <v>0.35457063711911357</v>
      </c>
      <c r="L461" s="10">
        <f>Data!AA263</f>
        <v>9.0055401662049857</v>
      </c>
      <c r="M461" s="10">
        <f>Data!AF263</f>
        <v>1.18</v>
      </c>
      <c r="N461" s="28" t="str">
        <f>IF(ISNUMBER(Data!AG263),Data!AG263/100,"n/a")</f>
        <v>n/a</v>
      </c>
      <c r="O461" s="28" t="str">
        <f>IF(ISNUMBER(Data!AJ263),Data!AJ263/100,"n/a")</f>
        <v>n/a</v>
      </c>
      <c r="P461" s="9" t="str">
        <f>IF(ISNUMBER(Data!AK263),Data!AK263/100,"n/a")</f>
        <v>n/a</v>
      </c>
      <c r="Q461" s="8" t="str">
        <f>Data!AN263</f>
        <v>n/a</v>
      </c>
      <c r="R461" s="8">
        <f>Data!AP263</f>
        <v>12.734829257467466</v>
      </c>
      <c r="S461" s="8"/>
      <c r="T461" s="8"/>
      <c r="U461" s="8"/>
      <c r="V461" s="1">
        <f t="shared" si="14"/>
        <v>5</v>
      </c>
      <c r="W461" s="1">
        <f t="shared" si="15"/>
        <v>0</v>
      </c>
    </row>
    <row r="462" spans="1:23" hidden="1" x14ac:dyDescent="0.2">
      <c r="A462" s="7" t="str">
        <f>Data!A86</f>
        <v>Brookfield Renewable Partners L.P.</v>
      </c>
      <c r="B462" s="7" t="str">
        <f>Data!B86</f>
        <v>BEP</v>
      </c>
      <c r="C462" s="7" t="str">
        <f>Data!C86</f>
        <v>Utilities</v>
      </c>
      <c r="D462" s="8">
        <f>IF(ISNUMBER(Data!AL86),Data!AL86/1000,"n/a")</f>
        <v>8.01</v>
      </c>
      <c r="E462" s="1">
        <f>Data!E86</f>
        <v>13</v>
      </c>
      <c r="F462" s="28">
        <f>Data!J86/100</f>
        <v>4.386566141192598E-2</v>
      </c>
      <c r="G462" s="28">
        <f>IF(ISNUMBER(Data!S86),Data!S86/100,"n/a")</f>
        <v>4.9827188940092304E-2</v>
      </c>
      <c r="H462" s="28">
        <f>IF(ISNUMBER(Data!T86),Data!T86/100,"n/a")</f>
        <v>5.1414171132046604E-2</v>
      </c>
      <c r="I462" s="28">
        <f>IF(ISNUMBER(Data!U86),Data!U86/100,"n/a")</f>
        <v>5.0585759050103096E-2</v>
      </c>
      <c r="J462" s="28">
        <f>IF(ISNUMBER(Data!V86),Data!V86/100,"n/a")</f>
        <v>5.770385669456668E-2</v>
      </c>
      <c r="K462" s="9" t="str">
        <f>IF(ISNUMBER(Data!Z86),Data!Z86/100,"n/a")</f>
        <v>n/a</v>
      </c>
      <c r="L462" s="10" t="str">
        <f>Data!AA86</f>
        <v>n/a</v>
      </c>
      <c r="M462" s="10">
        <f>Data!AF86</f>
        <v>1.53</v>
      </c>
      <c r="N462" s="28" t="str">
        <f>IF(ISNUMBER(Data!AG86),Data!AG86/100,"n/a")</f>
        <v>n/a</v>
      </c>
      <c r="O462" s="28">
        <f>IF(ISNUMBER(Data!AJ86),Data!AJ86/100,"n/a")</f>
        <v>-0.24560000000000001</v>
      </c>
      <c r="P462" s="9" t="str">
        <f>IF(ISNUMBER(Data!AK86),Data!AK86/100,"n/a")</f>
        <v>n/a</v>
      </c>
      <c r="Q462" s="8" t="str">
        <f>Data!AN86</f>
        <v>n/a</v>
      </c>
      <c r="R462" s="8">
        <f>Data!AP86</f>
        <v>9.445142046202907</v>
      </c>
      <c r="S462" s="8"/>
      <c r="T462" s="8"/>
      <c r="U462" s="8"/>
      <c r="V462" s="1">
        <f t="shared" si="14"/>
        <v>5</v>
      </c>
      <c r="W462" s="1">
        <f t="shared" si="15"/>
        <v>0</v>
      </c>
    </row>
    <row r="463" spans="1:23" hidden="1" x14ac:dyDescent="0.2">
      <c r="A463" s="7" t="str">
        <f>Data!A269</f>
        <v>FirstService Corporation</v>
      </c>
      <c r="B463" s="7" t="str">
        <f>Data!B269</f>
        <v>FSV</v>
      </c>
      <c r="C463" s="7" t="str">
        <f>Data!C269</f>
        <v>Real Estate</v>
      </c>
      <c r="D463" s="8">
        <f>IF(ISNUMBER(Data!AL269),Data!AL269/1000,"n/a")</f>
        <v>7.46</v>
      </c>
      <c r="E463" s="1">
        <f>Data!E269</f>
        <v>8</v>
      </c>
      <c r="F463" s="28">
        <f>Data!J269/100</f>
        <v>6.4794816414686825E-3</v>
      </c>
      <c r="G463" s="28">
        <f>IF(ISNUMBER(Data!S269),Data!S269/100,"n/a")</f>
        <v>0.10465116279069765</v>
      </c>
      <c r="H463" s="28">
        <f>IF(ISNUMBER(Data!T269),Data!T269/100,"n/a")</f>
        <v>0.10540341404846633</v>
      </c>
      <c r="I463" s="28">
        <f>IF(ISNUMBER(Data!U269),Data!U269/100,"n/a")</f>
        <v>0.10627546987528479</v>
      </c>
      <c r="J463" s="28" t="str">
        <f>IF(ISNUMBER(Data!V269),Data!V269/100,"n/a")</f>
        <v>n/a</v>
      </c>
      <c r="K463" s="9">
        <f>IF(ISNUMBER(Data!Z269),Data!Z269/100,"n/a")</f>
        <v>0.2334293948126801</v>
      </c>
      <c r="L463" s="10">
        <f>Data!AA269</f>
        <v>36.02593659942363</v>
      </c>
      <c r="M463" s="10">
        <f>Data!AF269</f>
        <v>4.72</v>
      </c>
      <c r="N463" s="28">
        <f>IF(ISNUMBER(Data!AG269),Data!AG269/100,"n/a")</f>
        <v>0.13600000000000001</v>
      </c>
      <c r="O463" s="28">
        <f>IF(ISNUMBER(Data!AJ269),Data!AJ269/100,"n/a")</f>
        <v>0.26900000000000002</v>
      </c>
      <c r="P463" s="9">
        <f>IF(ISNUMBER(Data!AK269),Data!AK269/100,"n/a")</f>
        <v>0.15</v>
      </c>
      <c r="Q463" s="8">
        <f>Data!AN269</f>
        <v>0.82</v>
      </c>
      <c r="R463" s="8">
        <f>Data!AP269</f>
        <v>11.275495151675347</v>
      </c>
      <c r="S463" s="8"/>
      <c r="T463" s="8"/>
      <c r="U463" s="8"/>
      <c r="V463" s="1">
        <f t="shared" si="14"/>
        <v>7</v>
      </c>
      <c r="W463" s="1">
        <f t="shared" si="15"/>
        <v>0</v>
      </c>
    </row>
    <row r="464" spans="1:23" hidden="1" x14ac:dyDescent="0.2">
      <c r="A464" s="7" t="str">
        <f>Data!A247</f>
        <v>First Interstate BancSystem, Inc.</v>
      </c>
      <c r="B464" s="7" t="str">
        <f>Data!B247</f>
        <v>FIBK</v>
      </c>
      <c r="C464" s="7" t="str">
        <f>Data!C247</f>
        <v>Financials</v>
      </c>
      <c r="D464" s="8">
        <f>IF(ISNUMBER(Data!AL247),Data!AL247/1000,"n/a")</f>
        <v>4.72</v>
      </c>
      <c r="E464" s="1">
        <f>Data!E247</f>
        <v>13</v>
      </c>
      <c r="F464" s="28">
        <f>Data!J247/100</f>
        <v>4.1219030914273175E-2</v>
      </c>
      <c r="G464" s="28">
        <f>IF(ISNUMBER(Data!S247),Data!S247/100,"n/a")</f>
        <v>0.17142857142857149</v>
      </c>
      <c r="H464" s="28">
        <f>IF(ISNUMBER(Data!T247),Data!T247/100,"n/a")</f>
        <v>0.13555613628301177</v>
      </c>
      <c r="I464" s="28">
        <f>IF(ISNUMBER(Data!U247),Data!U247/100,"n/a")</f>
        <v>0.13258872838875679</v>
      </c>
      <c r="J464" s="28">
        <f>IF(ISNUMBER(Data!V247),Data!V247/100,"n/a")</f>
        <v>0.13805469143339377</v>
      </c>
      <c r="K464" s="9">
        <f>IF(ISNUMBER(Data!Z247),Data!Z247/100,"n/a")</f>
        <v>1.010752688172043</v>
      </c>
      <c r="L464" s="10">
        <f>Data!AA247</f>
        <v>24.521505376344084</v>
      </c>
      <c r="M464" s="10">
        <f>Data!AF247</f>
        <v>1.5</v>
      </c>
      <c r="N464" s="28">
        <f>IF(ISNUMBER(Data!AG247),Data!AG247/100,"n/a")</f>
        <v>0.04</v>
      </c>
      <c r="O464" s="28">
        <f>IF(ISNUMBER(Data!AJ247),Data!AJ247/100,"n/a")</f>
        <v>7.9000000000000001E-2</v>
      </c>
      <c r="P464" s="9">
        <f>IF(ISNUMBER(Data!AK247),Data!AK247/100,"n/a")</f>
        <v>0.08</v>
      </c>
      <c r="Q464" s="8">
        <f>Data!AN247</f>
        <v>0.09</v>
      </c>
      <c r="R464" s="8">
        <f>Data!AP247</f>
        <v>17.380775930302995</v>
      </c>
      <c r="S464" s="8"/>
      <c r="T464" s="8"/>
      <c r="U464" s="8"/>
      <c r="V464" s="1">
        <f t="shared" si="14"/>
        <v>9</v>
      </c>
      <c r="W464" s="1">
        <f t="shared" si="15"/>
        <v>0</v>
      </c>
    </row>
    <row r="465" spans="1:24" hidden="1" x14ac:dyDescent="0.2">
      <c r="A465" s="7" t="str">
        <f>Data!A267</f>
        <v>FS Bancorp, Inc.</v>
      </c>
      <c r="B465" s="7" t="str">
        <f>Data!B267</f>
        <v>FSBW</v>
      </c>
      <c r="C465" s="7" t="str">
        <f>Data!C267</f>
        <v>Financials</v>
      </c>
      <c r="D465" s="8">
        <f>IF(ISNUMBER(Data!AL267),Data!AL267/1000,"n/a")</f>
        <v>0.21706</v>
      </c>
      <c r="E465" s="1">
        <f>Data!E267</f>
        <v>10</v>
      </c>
      <c r="F465" s="28">
        <f>Data!J267/100</f>
        <v>2.7595722662987245E-2</v>
      </c>
      <c r="G465" s="28">
        <f>IF(ISNUMBER(Data!S267),Data!S267/100,"n/a")</f>
        <v>0.32142857142857162</v>
      </c>
      <c r="H465" s="28">
        <f>IF(ISNUMBER(Data!T267),Data!T267/100,"n/a")</f>
        <v>0.27942756439783012</v>
      </c>
      <c r="I465" s="28">
        <f>IF(ISNUMBER(Data!U267),Data!U267/100,"n/a")</f>
        <v>0.24573093961551742</v>
      </c>
      <c r="J465" s="28" t="str">
        <f>IF(ISNUMBER(Data!V267),Data!V267/100,"n/a")</f>
        <v>n/a</v>
      </c>
      <c r="K465" s="9">
        <f>IF(ISNUMBER(Data!Z267),Data!Z267/100,"n/a")</f>
        <v>0.22038567493112951</v>
      </c>
      <c r="L465" s="10">
        <f>Data!AA267</f>
        <v>7.9862258953168039</v>
      </c>
      <c r="M465" s="10">
        <f>Data!AF267</f>
        <v>0.98</v>
      </c>
      <c r="N465" s="28" t="str">
        <f>IF(ISNUMBER(Data!AG267),Data!AG267/100,"n/a")</f>
        <v>n/a</v>
      </c>
      <c r="O465" s="28">
        <f>IF(ISNUMBER(Data!AJ267),Data!AJ267/100,"n/a")</f>
        <v>0.19699999999999998</v>
      </c>
      <c r="P465" s="9">
        <f>IF(ISNUMBER(Data!AK267),Data!AK267/100,"n/a")</f>
        <v>7.0000000000000007E-2</v>
      </c>
      <c r="Q465" s="8">
        <f>Data!AN267</f>
        <v>0.22</v>
      </c>
      <c r="R465" s="8">
        <f>Data!AP267</f>
        <v>27.332666227850467</v>
      </c>
      <c r="S465" s="8"/>
      <c r="T465" s="8"/>
      <c r="U465" s="8"/>
      <c r="V465" s="1">
        <f t="shared" si="14"/>
        <v>9</v>
      </c>
      <c r="W465" s="1">
        <f t="shared" si="15"/>
        <v>0</v>
      </c>
    </row>
    <row r="466" spans="1:24" hidden="1" x14ac:dyDescent="0.2">
      <c r="A466" s="7" t="str">
        <f>Data!A244</f>
        <v>First Farmers Financial Corporation</v>
      </c>
      <c r="B466" s="7" t="str">
        <f>Data!B244</f>
        <v>FFMR</v>
      </c>
      <c r="C466" s="7" t="str">
        <f>Data!C244</f>
        <v>Financials</v>
      </c>
      <c r="D466" s="8" t="str">
        <f>IF(ISNUMBER(Data!AL244),Data!AL244/1000,"n/a")</f>
        <v>n/a</v>
      </c>
      <c r="E466" s="1">
        <f>Data!E244</f>
        <v>32</v>
      </c>
      <c r="F466" s="28">
        <f>Data!J244/100</f>
        <v>2.6094520150768338E-2</v>
      </c>
      <c r="G466" s="28">
        <f>IF(ISNUMBER(Data!S244),Data!S244/100,"n/a")</f>
        <v>6.25E-2</v>
      </c>
      <c r="H466" s="28">
        <f>IF(ISNUMBER(Data!T244),Data!T244/100,"n/a")</f>
        <v>0.14122848941808042</v>
      </c>
      <c r="I466" s="28">
        <f>IF(ISNUMBER(Data!U244),Data!U244/100,"n/a")</f>
        <v>0.16637894619954463</v>
      </c>
      <c r="J466" s="28">
        <f>IF(ISNUMBER(Data!V244),Data!V244/100,"n/a")</f>
        <v>0.15389304249040325</v>
      </c>
      <c r="K466" s="9" t="str">
        <f>IF(ISNUMBER(Data!Z244),Data!Z244/100,"n/a")</f>
        <v>n/a</v>
      </c>
      <c r="L466" s="10" t="str">
        <f>Data!AA244</f>
        <v>n/a</v>
      </c>
      <c r="M466" s="10" t="str">
        <f>Data!AF244</f>
        <v>n/a</v>
      </c>
      <c r="N466" s="28" t="str">
        <f>IF(ISNUMBER(Data!AG244),Data!AG244/100,"n/a")</f>
        <v>n/a</v>
      </c>
      <c r="O466" s="28" t="str">
        <f>IF(ISNUMBER(Data!AJ244),Data!AJ244/100,"n/a")</f>
        <v>n/a</v>
      </c>
      <c r="P466" s="9" t="str">
        <f>IF(ISNUMBER(Data!AK244),Data!AK244/100,"n/a")</f>
        <v>n/a</v>
      </c>
      <c r="Q466" s="8" t="str">
        <f>Data!AN244</f>
        <v>n/a</v>
      </c>
      <c r="R466" s="8">
        <f>Data!AP244</f>
        <v>19.247346635031295</v>
      </c>
      <c r="S466" s="8"/>
      <c r="T466" s="8"/>
      <c r="U466" s="8"/>
      <c r="V466" s="1">
        <f t="shared" si="14"/>
        <v>6</v>
      </c>
      <c r="W466" s="1">
        <f t="shared" si="15"/>
        <v>0</v>
      </c>
      <c r="X466" s="7"/>
    </row>
    <row r="467" spans="1:24" hidden="1" x14ac:dyDescent="0.2">
      <c r="A467" s="7" t="str">
        <f>Data!A278</f>
        <v>Glacier Bancorp, Inc.</v>
      </c>
      <c r="B467" s="7" t="str">
        <f>Data!B278</f>
        <v>GBCI</v>
      </c>
      <c r="C467" s="7" t="str">
        <f>Data!C278</f>
        <v>Financials</v>
      </c>
      <c r="D467" s="8">
        <f>IF(ISNUMBER(Data!AL278),Data!AL278/1000,"n/a")</f>
        <v>6.05</v>
      </c>
      <c r="E467" s="1">
        <f>Data!E278</f>
        <v>11</v>
      </c>
      <c r="F467" s="28">
        <f>Data!J278/100</f>
        <v>2.3044692737430168E-2</v>
      </c>
      <c r="G467" s="28">
        <f>IF(ISNUMBER(Data!S278),Data!S278/100,"n/a")</f>
        <v>7.6271186440677985E-2</v>
      </c>
      <c r="H467" s="28">
        <f>IF(ISNUMBER(Data!T278),Data!T278/100,"n/a")</f>
        <v>7.9346238587324924E-2</v>
      </c>
      <c r="I467" s="28">
        <f>IF(ISNUMBER(Data!U278),Data!U278/100,"n/a")</f>
        <v>9.9601505891531841E-2</v>
      </c>
      <c r="J467" s="28">
        <f>IF(ISNUMBER(Data!V278),Data!V278/100,"n/a")</f>
        <v>9.3402437529127802E-2</v>
      </c>
      <c r="K467" s="9">
        <f>IF(ISNUMBER(Data!Z278),Data!Z278/100,"n/a")</f>
        <v>0.53225806451612911</v>
      </c>
      <c r="L467" s="10">
        <f>Data!AA278</f>
        <v>23.096774193548388</v>
      </c>
      <c r="M467" s="10">
        <f>Data!AF278</f>
        <v>2.16</v>
      </c>
      <c r="N467" s="28">
        <f>IF(ISNUMBER(Data!AG278),Data!AG278/100,"n/a")</f>
        <v>9.5000000000000001E-2</v>
      </c>
      <c r="O467" s="28">
        <f>IF(ISNUMBER(Data!AJ278),Data!AJ278/100,"n/a")</f>
        <v>0.125</v>
      </c>
      <c r="P467" s="9">
        <f>IF(ISNUMBER(Data!AK278),Data!AK278/100,"n/a")</f>
        <v>0.1</v>
      </c>
      <c r="Q467" s="8">
        <f>Data!AN278</f>
        <v>0.4</v>
      </c>
      <c r="R467" s="8">
        <f>Data!AP278</f>
        <v>12.2646198628962</v>
      </c>
      <c r="S467" s="8"/>
      <c r="T467" s="8"/>
      <c r="U467" s="8"/>
      <c r="V467" s="1">
        <f t="shared" si="14"/>
        <v>10</v>
      </c>
      <c r="W467" s="1">
        <f t="shared" si="15"/>
        <v>0</v>
      </c>
    </row>
    <row r="468" spans="1:24" hidden="1" x14ac:dyDescent="0.2">
      <c r="A468" s="7" t="str">
        <f>Data!A154</f>
        <v>Costco Wholesale Corporation</v>
      </c>
      <c r="B468" s="7" t="str">
        <f>Data!B154</f>
        <v>COST</v>
      </c>
      <c r="C468" s="7" t="str">
        <f>Data!C154</f>
        <v>Consumer Staples</v>
      </c>
      <c r="D468" s="8">
        <f>IF(ISNUMBER(Data!AL154),Data!AL154/1000,"n/a")</f>
        <v>219.77</v>
      </c>
      <c r="E468" s="1">
        <f>Data!E154</f>
        <v>19</v>
      </c>
      <c r="F468" s="28">
        <f>Data!J154/100</f>
        <v>7.1784646061814564E-3</v>
      </c>
      <c r="G468" s="28">
        <f>IF(ISNUMBER(Data!S154),Data!S154/100,"n/a")</f>
        <v>0.11636363636363622</v>
      </c>
      <c r="H468" s="28">
        <f>IF(ISNUMBER(Data!T154),Data!T154/100,"n/a")</f>
        <v>0.11578889292890814</v>
      </c>
      <c r="I468" s="28">
        <f>IF(ISNUMBER(Data!U154),Data!U154/100,"n/a")</f>
        <v>0.11897417982379555</v>
      </c>
      <c r="J468" s="28">
        <f>IF(ISNUMBER(Data!V154),Data!V154/100,"n/a")</f>
        <v>0.12745616129826476</v>
      </c>
      <c r="K468" s="9">
        <f>IF(ISNUMBER(Data!Z154),Data!Z154/100,"n/a")</f>
        <v>0.27397260273972601</v>
      </c>
      <c r="L468" s="10">
        <f>Data!AA154</f>
        <v>38.165905631659058</v>
      </c>
      <c r="M468" s="10">
        <f>Data!AF154</f>
        <v>10.99</v>
      </c>
      <c r="N468" s="28">
        <f>IF(ISNUMBER(Data!AG154),Data!AG154/100,"n/a")</f>
        <v>0.29799999999999999</v>
      </c>
      <c r="O468" s="28">
        <f>IF(ISNUMBER(Data!AJ154),Data!AJ154/100,"n/a")</f>
        <v>0.16699999999999998</v>
      </c>
      <c r="P468" s="9">
        <f>IF(ISNUMBER(Data!AK154),Data!AK154/100,"n/a")</f>
        <v>0.13819999999999999</v>
      </c>
      <c r="Q468" s="8">
        <f>Data!AN154</f>
        <v>0.32</v>
      </c>
      <c r="R468" s="8">
        <f>Data!AP154</f>
        <v>12.615264442997701</v>
      </c>
      <c r="S468" s="8"/>
      <c r="T468" s="8"/>
      <c r="U468" s="8"/>
      <c r="V468" s="1">
        <f t="shared" si="14"/>
        <v>9</v>
      </c>
      <c r="W468" s="1">
        <f t="shared" si="15"/>
        <v>0</v>
      </c>
    </row>
    <row r="469" spans="1:24" hidden="1" x14ac:dyDescent="0.2">
      <c r="A469" s="7" t="str">
        <f>Data!A264</f>
        <v>First Republic Bank</v>
      </c>
      <c r="B469" s="7" t="str">
        <f>Data!B264</f>
        <v>FRC</v>
      </c>
      <c r="C469" s="7" t="str">
        <f>Data!C264</f>
        <v>Financials</v>
      </c>
      <c r="D469" s="8">
        <f>IF(ISNUMBER(Data!AL264),Data!AL264/1000,"n/a")</f>
        <v>21.32</v>
      </c>
      <c r="E469" s="1">
        <f>Data!E264</f>
        <v>11</v>
      </c>
      <c r="F469" s="28">
        <f>Data!J264/100</f>
        <v>8.9925062447960037E-3</v>
      </c>
      <c r="G469" s="28">
        <f>IF(ISNUMBER(Data!S264),Data!S264/100,"n/a")</f>
        <v>8.8607594936708889E-2</v>
      </c>
      <c r="H469" s="28">
        <f>IF(ISNUMBER(Data!T264),Data!T264/100,"n/a")</f>
        <v>6.5974218029114517E-2</v>
      </c>
      <c r="I469" s="28">
        <f>IF(ISNUMBER(Data!U264),Data!U264/100,"n/a")</f>
        <v>6.4220401752684619E-2</v>
      </c>
      <c r="J469" s="28" t="str">
        <f>IF(ISNUMBER(Data!V264),Data!V264/100,"n/a")</f>
        <v>n/a</v>
      </c>
      <c r="K469" s="9">
        <f>IF(ISNUMBER(Data!Z264),Data!Z264/100,"n/a")</f>
        <v>0.12872467222884387</v>
      </c>
      <c r="L469" s="10">
        <f>Data!AA264</f>
        <v>14.314660309892728</v>
      </c>
      <c r="M469" s="10">
        <f>Data!AF264</f>
        <v>1.69</v>
      </c>
      <c r="N469" s="28">
        <f>IF(ISNUMBER(Data!AG264),Data!AG264/100,"n/a")</f>
        <v>0.115</v>
      </c>
      <c r="O469" s="28">
        <f>IF(ISNUMBER(Data!AJ264),Data!AJ264/100,"n/a")</f>
        <v>0.14299999999999999</v>
      </c>
      <c r="P469" s="9">
        <f>IF(ISNUMBER(Data!AK264),Data!AK264/100,"n/a")</f>
        <v>7.6100000000000001E-2</v>
      </c>
      <c r="Q469" s="8">
        <f>Data!AN264</f>
        <v>0.1</v>
      </c>
      <c r="R469" s="8">
        <f>Data!AP264</f>
        <v>7.3212907997480627</v>
      </c>
      <c r="S469" s="8"/>
      <c r="T469" s="8"/>
      <c r="U469" s="8"/>
      <c r="V469" s="1">
        <f t="shared" si="14"/>
        <v>9</v>
      </c>
      <c r="W469" s="1">
        <f t="shared" si="15"/>
        <v>0</v>
      </c>
    </row>
    <row r="470" spans="1:24" hidden="1" x14ac:dyDescent="0.2">
      <c r="A470" s="7" t="str">
        <f>Data!A49</f>
        <v>Air Products and Chemicals, Inc.</v>
      </c>
      <c r="B470" s="7" t="str">
        <f>Data!B49</f>
        <v>APD</v>
      </c>
      <c r="C470" s="7" t="str">
        <f>Data!C49</f>
        <v>Materials</v>
      </c>
      <c r="D470" s="8">
        <f>IF(ISNUMBER(Data!AL49),Data!AL49/1000,"n/a")</f>
        <v>55.24</v>
      </c>
      <c r="E470" s="1">
        <f>Data!E49</f>
        <v>40</v>
      </c>
      <c r="F470" s="28">
        <f>Data!J49/100</f>
        <v>2.5878594249201279E-2</v>
      </c>
      <c r="G470" s="28">
        <f>IF(ISNUMBER(Data!S49),Data!S49/100,"n/a")</f>
        <v>0.12741312741312738</v>
      </c>
      <c r="H470" s="28">
        <f>IF(ISNUMBER(Data!T49),Data!T49/100,"n/a")</f>
        <v>0.11175213555440067</v>
      </c>
      <c r="I470" s="28">
        <f>IF(ISNUMBER(Data!U49),Data!U49/100,"n/a")</f>
        <v>0.11491723681966871</v>
      </c>
      <c r="J470" s="28">
        <f>IF(ISNUMBER(Data!V49),Data!V49/100,"n/a")</f>
        <v>0.10105952540834927</v>
      </c>
      <c r="K470" s="9">
        <f>IF(ISNUMBER(Data!Z49),Data!Z49/100,"n/a")</f>
        <v>0.64606181455633105</v>
      </c>
      <c r="L470" s="10">
        <f>Data!AA49</f>
        <v>24.965104685942176</v>
      </c>
      <c r="M470" s="10">
        <f>Data!AF49</f>
        <v>4.1399999999999997</v>
      </c>
      <c r="N470" s="28">
        <f>IF(ISNUMBER(Data!AG49),Data!AG49/100,"n/a")</f>
        <v>0.16600000000000001</v>
      </c>
      <c r="O470" s="28">
        <f>IF(ISNUMBER(Data!AJ49),Data!AJ49/100,"n/a")</f>
        <v>0.126</v>
      </c>
      <c r="P470" s="9">
        <f>IF(ISNUMBER(Data!AK49),Data!AK49/100,"n/a")</f>
        <v>0.1158</v>
      </c>
      <c r="Q470" s="8">
        <f>Data!AN49</f>
        <v>0.56000000000000005</v>
      </c>
      <c r="R470" s="8">
        <f>Data!AP49</f>
        <v>14.079583106886998</v>
      </c>
      <c r="S470" s="8"/>
      <c r="T470" s="8"/>
      <c r="U470" s="8"/>
      <c r="V470" s="1">
        <f t="shared" si="14"/>
        <v>10</v>
      </c>
      <c r="W470" s="1">
        <f t="shared" si="15"/>
        <v>0</v>
      </c>
    </row>
    <row r="471" spans="1:24" hidden="1" x14ac:dyDescent="0.2">
      <c r="A471" s="7" t="str">
        <f>Data!A275</f>
        <v>German American Bancorp, Inc.</v>
      </c>
      <c r="B471" s="7" t="str">
        <f>Data!B275</f>
        <v>GABC</v>
      </c>
      <c r="C471" s="7" t="str">
        <f>Data!C275</f>
        <v>Financials</v>
      </c>
      <c r="D471" s="8">
        <f>IF(ISNUMBER(Data!AL275),Data!AL275/1000,"n/a")</f>
        <v>1.1200000000000001</v>
      </c>
      <c r="E471" s="1">
        <f>Data!E275</f>
        <v>10</v>
      </c>
      <c r="F471" s="28">
        <f>Data!J275/100</f>
        <v>2.3415627386103335E-2</v>
      </c>
      <c r="G471" s="28">
        <f>IF(ISNUMBER(Data!S275),Data!S275/100,"n/a")</f>
        <v>0.10526315789473673</v>
      </c>
      <c r="H471" s="28">
        <f>IF(ISNUMBER(Data!T275),Data!T275/100,"n/a")</f>
        <v>0.11868894208139678</v>
      </c>
      <c r="I471" s="28">
        <f>IF(ISNUMBER(Data!U275),Data!U275/100,"n/a")</f>
        <v>0.11842691472014465</v>
      </c>
      <c r="J471" s="28">
        <f>IF(ISNUMBER(Data!V275),Data!V275/100,"n/a")</f>
        <v>8.4471771197698539E-2</v>
      </c>
      <c r="K471" s="9">
        <f>IF(ISNUMBER(Data!Z275),Data!Z275/100,"n/a")</f>
        <v>0.34716981132075475</v>
      </c>
      <c r="L471" s="10">
        <f>Data!AA275</f>
        <v>14.826415094339623</v>
      </c>
      <c r="M471" s="10">
        <f>Data!AF275</f>
        <v>2.0099999999999998</v>
      </c>
      <c r="N471" s="28">
        <f>IF(ISNUMBER(Data!AG275),Data!AG275/100,"n/a")</f>
        <v>0.11600000000000002</v>
      </c>
      <c r="O471" s="28">
        <f>IF(ISNUMBER(Data!AJ275),Data!AJ275/100,"n/a")</f>
        <v>0.151</v>
      </c>
      <c r="P471" s="9">
        <f>IF(ISNUMBER(Data!AK275),Data!AK275/100,"n/a")</f>
        <v>0.09</v>
      </c>
      <c r="Q471" s="8">
        <f>Data!AN275</f>
        <v>0.01</v>
      </c>
      <c r="R471" s="8">
        <f>Data!AP275</f>
        <v>14.184254210624799</v>
      </c>
      <c r="S471" s="8"/>
      <c r="T471" s="8"/>
      <c r="U471" s="8"/>
      <c r="V471" s="1">
        <f t="shared" si="14"/>
        <v>10</v>
      </c>
      <c r="W471" s="1">
        <f t="shared" si="15"/>
        <v>0</v>
      </c>
    </row>
    <row r="472" spans="1:24" hidden="1" x14ac:dyDescent="0.2">
      <c r="A472" s="7" t="str">
        <f>Data!A243</f>
        <v>First Financial Bankshares, Inc.</v>
      </c>
      <c r="B472" s="7" t="str">
        <f>Data!B243</f>
        <v>FFIN</v>
      </c>
      <c r="C472" s="7" t="str">
        <f>Data!C243</f>
        <v>Financials</v>
      </c>
      <c r="D472" s="8">
        <f>IF(ISNUMBER(Data!AL243),Data!AL243/1000,"n/a")</f>
        <v>5.28</v>
      </c>
      <c r="E472" s="1">
        <f>Data!E243</f>
        <v>12</v>
      </c>
      <c r="F472" s="28">
        <f>Data!J243/100</f>
        <v>1.7666926474408939E-2</v>
      </c>
      <c r="G472" s="28">
        <f>IF(ISNUMBER(Data!S243),Data!S243/100,"n/a")</f>
        <v>0.12000000000000011</v>
      </c>
      <c r="H472" s="28">
        <f>IF(ISNUMBER(Data!T243),Data!T243/100,"n/a")</f>
        <v>0.11868894208139678</v>
      </c>
      <c r="I472" s="28">
        <f>IF(ISNUMBER(Data!U243),Data!U243/100,"n/a")</f>
        <v>0.10494795379650323</v>
      </c>
      <c r="J472" s="28">
        <f>IF(ISNUMBER(Data!V243),Data!V243/100,"n/a")</f>
        <v>9.1492645982798701E-2</v>
      </c>
      <c r="K472" s="9">
        <f>IF(ISNUMBER(Data!Z243),Data!Z243/100,"n/a")</f>
        <v>0.42236024844720499</v>
      </c>
      <c r="L472" s="10">
        <f>Data!AA243</f>
        <v>23.906832298136646</v>
      </c>
      <c r="M472" s="10">
        <f>Data!AF243</f>
        <v>4.09</v>
      </c>
      <c r="N472" s="28">
        <f>IF(ISNUMBER(Data!AG243),Data!AG243/100,"n/a")</f>
        <v>0.14399999999999999</v>
      </c>
      <c r="O472" s="28">
        <f>IF(ISNUMBER(Data!AJ243),Data!AJ243/100,"n/a")</f>
        <v>0.14899999999999999</v>
      </c>
      <c r="P472" s="9">
        <f>IF(ISNUMBER(Data!AK243),Data!AK243/100,"n/a")</f>
        <v>0.1</v>
      </c>
      <c r="Q472" s="8">
        <f>Data!AN243</f>
        <v>0</v>
      </c>
      <c r="R472" s="8">
        <f>Data!AP243</f>
        <v>12.261488027091218</v>
      </c>
      <c r="S472" s="8"/>
      <c r="T472" s="8"/>
      <c r="U472" s="8"/>
      <c r="V472" s="1">
        <f t="shared" si="14"/>
        <v>9</v>
      </c>
      <c r="W472" s="1">
        <f t="shared" si="15"/>
        <v>0</v>
      </c>
    </row>
    <row r="473" spans="1:24" hidden="1" x14ac:dyDescent="0.2">
      <c r="A473" s="7" t="str">
        <f>Data!A274</f>
        <v>Genpact Limited</v>
      </c>
      <c r="B473" s="7" t="str">
        <f>Data!B274</f>
        <v>G</v>
      </c>
      <c r="C473" s="7" t="str">
        <f>Data!C274</f>
        <v>Information Technology</v>
      </c>
      <c r="D473" s="8">
        <f>IF(ISNUMBER(Data!AL274),Data!AL274/1000,"n/a")</f>
        <v>8.76</v>
      </c>
      <c r="E473" s="1">
        <f>Data!E274</f>
        <v>6</v>
      </c>
      <c r="F473" s="28">
        <f>Data!J274/100</f>
        <v>1.0309278350515462E-2</v>
      </c>
      <c r="G473" s="28">
        <f>IF(ISNUMBER(Data!S274),Data!S274/100,"n/a")</f>
        <v>0.10256410256410241</v>
      </c>
      <c r="H473" s="28">
        <f>IF(ISNUMBER(Data!T274),Data!T274/100,"n/a")</f>
        <v>0.12749787911711175</v>
      </c>
      <c r="I473" s="28" t="str">
        <f>IF(ISNUMBER(Data!U274),Data!U274/100,"n/a")</f>
        <v>n/a</v>
      </c>
      <c r="J473" s="28" t="str">
        <f>IF(ISNUMBER(Data!V274),Data!V274/100,"n/a")</f>
        <v>n/a</v>
      </c>
      <c r="K473" s="9">
        <f>IF(ISNUMBER(Data!Z274),Data!Z274/100,"n/a")</f>
        <v>0.27777777777777779</v>
      </c>
      <c r="L473" s="10">
        <f>Data!AA274</f>
        <v>26.944444444444443</v>
      </c>
      <c r="M473" s="10">
        <f>Data!AF274</f>
        <v>5.1100000000000003</v>
      </c>
      <c r="N473" s="28">
        <f>IF(ISNUMBER(Data!AG274),Data!AG274/100,"n/a")</f>
        <v>0.184</v>
      </c>
      <c r="O473" s="28">
        <f>IF(ISNUMBER(Data!AJ274),Data!AJ274/100,"n/a")</f>
        <v>8.3000000000000004E-2</v>
      </c>
      <c r="P473" s="9">
        <f>IF(ISNUMBER(Data!AK274),Data!AK274/100,"n/a")</f>
        <v>0.1171</v>
      </c>
      <c r="Q473" s="8">
        <f>Data!AN274</f>
        <v>0.9</v>
      </c>
      <c r="R473" s="8" t="str">
        <f>Data!AP274</f>
        <v>n/a</v>
      </c>
      <c r="S473" s="8"/>
      <c r="T473" s="8"/>
      <c r="U473" s="8"/>
      <c r="V473" s="1">
        <f t="shared" si="14"/>
        <v>6</v>
      </c>
      <c r="W473" s="1">
        <f t="shared" si="15"/>
        <v>0</v>
      </c>
    </row>
    <row r="474" spans="1:24" hidden="1" x14ac:dyDescent="0.2">
      <c r="A474" s="7" t="str">
        <f>Data!A270</f>
        <v>H.B. Fuller Company</v>
      </c>
      <c r="B474" s="7" t="str">
        <f>Data!B270</f>
        <v>FUL</v>
      </c>
      <c r="C474" s="7" t="str">
        <f>Data!C270</f>
        <v>Materials</v>
      </c>
      <c r="D474" s="8">
        <f>IF(ISNUMBER(Data!AL270),Data!AL270/1000,"n/a")</f>
        <v>3.63</v>
      </c>
      <c r="E474" s="1">
        <f>Data!E270</f>
        <v>53</v>
      </c>
      <c r="F474" s="28">
        <f>Data!J270/100</f>
        <v>1.0902309568211161E-2</v>
      </c>
      <c r="G474" s="28">
        <f>IF(ISNUMBER(Data!S270),Data!S270/100,"n/a")</f>
        <v>2.7027027027027195E-2</v>
      </c>
      <c r="H474" s="28">
        <f>IF(ISNUMBER(Data!T270),Data!T270/100,"n/a")</f>
        <v>2.6397321062363366E-2</v>
      </c>
      <c r="I474" s="28">
        <f>IF(ISNUMBER(Data!U270),Data!U270/100,"n/a")</f>
        <v>3.8703969123587312E-2</v>
      </c>
      <c r="J474" s="28">
        <f>IF(ISNUMBER(Data!V270),Data!V270/100,"n/a")</f>
        <v>8.4675830297884946E-2</v>
      </c>
      <c r="K474" s="9">
        <f>IF(ISNUMBER(Data!Z270),Data!Z270/100,"n/a")</f>
        <v>0.22891566265060243</v>
      </c>
      <c r="L474" s="10">
        <f>Data!AA270</f>
        <v>20.996987951807228</v>
      </c>
      <c r="M474" s="10">
        <f>Data!AF270</f>
        <v>2.37</v>
      </c>
      <c r="N474" s="28">
        <f>IF(ISNUMBER(Data!AG270),Data!AG270/100,"n/a")</f>
        <v>0.114</v>
      </c>
      <c r="O474" s="28">
        <f>IF(ISNUMBER(Data!AJ270),Data!AJ270/100,"n/a")</f>
        <v>4.5999999999999999E-2</v>
      </c>
      <c r="P474" s="9">
        <f>IF(ISNUMBER(Data!AK270),Data!AK270/100,"n/a")</f>
        <v>0.14760000000000001</v>
      </c>
      <c r="Q474" s="8">
        <f>Data!AN270</f>
        <v>1.22</v>
      </c>
      <c r="R474" s="8">
        <f>Data!AP270</f>
        <v>4.9606278691798469</v>
      </c>
      <c r="S474" s="8"/>
      <c r="T474" s="8"/>
      <c r="U474" s="8"/>
      <c r="V474" s="1">
        <f t="shared" si="14"/>
        <v>6</v>
      </c>
      <c r="W474" s="1">
        <f t="shared" si="15"/>
        <v>0</v>
      </c>
    </row>
    <row r="475" spans="1:24" hidden="1" x14ac:dyDescent="0.2">
      <c r="A475" s="7" t="str">
        <f>Data!A279</f>
        <v>Greene County Bancorp, Inc.</v>
      </c>
      <c r="B475" s="7" t="str">
        <f>Data!B279</f>
        <v>GCBC</v>
      </c>
      <c r="C475" s="7" t="str">
        <f>Data!C279</f>
        <v>Financials</v>
      </c>
      <c r="D475" s="8">
        <f>IF(ISNUMBER(Data!AL279),Data!AL279/1000,"n/a")</f>
        <v>0.55726999999999993</v>
      </c>
      <c r="E475" s="1">
        <f>Data!E279</f>
        <v>9</v>
      </c>
      <c r="F475" s="28">
        <f>Data!J279/100</f>
        <v>8.4084084084084104E-3</v>
      </c>
      <c r="G475" s="28">
        <f>IF(ISNUMBER(Data!S279),Data!S279/100,"n/a")</f>
        <v>8.6956521739130377E-2</v>
      </c>
      <c r="H475" s="28">
        <f>IF(ISNUMBER(Data!T279),Data!T279/100,"n/a")</f>
        <v>8.1743521473638156E-2</v>
      </c>
      <c r="I475" s="28">
        <f>IF(ISNUMBER(Data!U279),Data!U279/100,"n/a")</f>
        <v>5.9223841048812176E-2</v>
      </c>
      <c r="J475" s="28">
        <f>IF(ISNUMBER(Data!V279),Data!V279/100,"n/a")</f>
        <v>3.6311209910314224E-2</v>
      </c>
      <c r="K475" s="9">
        <f>IF(ISNUMBER(Data!Z279),Data!Z279/100,"n/a")</f>
        <v>0.15954415954415957</v>
      </c>
      <c r="L475" s="10">
        <f>Data!AA279</f>
        <v>18.974358974358974</v>
      </c>
      <c r="M475" s="10">
        <f>Data!AF279</f>
        <v>3.67</v>
      </c>
      <c r="N475" s="28">
        <f>IF(ISNUMBER(Data!AG279),Data!AG279/100,"n/a")</f>
        <v>0.183</v>
      </c>
      <c r="O475" s="28">
        <f>IF(ISNUMBER(Data!AJ279),Data!AJ279/100,"n/a")</f>
        <v>0.20100000000000001</v>
      </c>
      <c r="P475" s="9" t="str">
        <f>IF(ISNUMBER(Data!AK279),Data!AK279/100,"n/a")</f>
        <v>n/a</v>
      </c>
      <c r="Q475" s="8">
        <f>Data!AN279</f>
        <v>0.31</v>
      </c>
      <c r="R475" s="8">
        <f>Data!AP279</f>
        <v>6.7632249457220581</v>
      </c>
      <c r="S475" s="8"/>
      <c r="T475" s="8"/>
      <c r="U475" s="8"/>
      <c r="V475" s="1">
        <f t="shared" si="14"/>
        <v>7</v>
      </c>
      <c r="W475" s="1">
        <f t="shared" si="15"/>
        <v>0</v>
      </c>
    </row>
    <row r="476" spans="1:24" hidden="1" x14ac:dyDescent="0.2">
      <c r="A476" s="7" t="str">
        <f>Data!A260</f>
        <v>The First Bancorp, Inc.</v>
      </c>
      <c r="B476" s="7" t="str">
        <f>Data!B260</f>
        <v>FNLC</v>
      </c>
      <c r="C476" s="7" t="str">
        <f>Data!C260</f>
        <v>Financials</v>
      </c>
      <c r="D476" s="8">
        <f>IF(ISNUMBER(Data!AL260),Data!AL260/1000,"n/a")</f>
        <v>0.33130000000000004</v>
      </c>
      <c r="E476" s="1">
        <f>Data!E260</f>
        <v>9</v>
      </c>
      <c r="F476" s="28">
        <f>Data!J260/100</f>
        <v>4.4502617801047126E-2</v>
      </c>
      <c r="G476" s="28">
        <f>IF(ISNUMBER(Data!S260),Data!S260/100,"n/a")</f>
        <v>3.2786885245901676E-2</v>
      </c>
      <c r="H476" s="28">
        <f>IF(ISNUMBER(Data!T260),Data!T260/100,"n/a")</f>
        <v>5.9306311673701595E-2</v>
      </c>
      <c r="I476" s="28">
        <f>IF(ISNUMBER(Data!U260),Data!U260/100,"n/a")</f>
        <v>7.0420362683703441E-2</v>
      </c>
      <c r="J476" s="28">
        <f>IF(ISNUMBER(Data!V260),Data!V260/100,"n/a")</f>
        <v>4.9503219834913237E-2</v>
      </c>
      <c r="K476" s="9">
        <f>IF(ISNUMBER(Data!Z260),Data!Z260/100,"n/a")</f>
        <v>0.3820224719101124</v>
      </c>
      <c r="L476" s="10">
        <f>Data!AA260</f>
        <v>8.5842696629213471</v>
      </c>
      <c r="M476" s="10">
        <f>Data!AF260</f>
        <v>1.48</v>
      </c>
      <c r="N476" s="28">
        <f>IF(ISNUMBER(Data!AG260),Data!AG260/100,"n/a")</f>
        <v>0.157</v>
      </c>
      <c r="O476" s="28">
        <f>IF(ISNUMBER(Data!AJ260),Data!AJ260/100,"n/a")</f>
        <v>0.14699999999999999</v>
      </c>
      <c r="P476" s="9" t="str">
        <f>IF(ISNUMBER(Data!AK260),Data!AK260/100,"n/a")</f>
        <v>n/a</v>
      </c>
      <c r="Q476" s="8">
        <f>Data!AN260</f>
        <v>0</v>
      </c>
      <c r="R476" s="8">
        <f>Data!AP260</f>
        <v>11.492298048475057</v>
      </c>
      <c r="S476" s="8"/>
      <c r="T476" s="8"/>
      <c r="U476" s="8"/>
      <c r="V476" s="1">
        <f t="shared" si="14"/>
        <v>7</v>
      </c>
      <c r="W476" s="1">
        <f t="shared" si="15"/>
        <v>0</v>
      </c>
    </row>
    <row r="477" spans="1:24" hidden="1" x14ac:dyDescent="0.2">
      <c r="A477" s="7" t="str">
        <f>Data!A271</f>
        <v>Fulton Financial Corporation</v>
      </c>
      <c r="B477" s="7" t="str">
        <f>Data!B271</f>
        <v>FULT</v>
      </c>
      <c r="C477" s="7" t="str">
        <f>Data!C271</f>
        <v>Financials</v>
      </c>
      <c r="D477" s="8">
        <f>IF(ISNUMBER(Data!AL271),Data!AL271/1000,"n/a")</f>
        <v>2.98</v>
      </c>
      <c r="E477" s="1">
        <f>Data!E271</f>
        <v>8</v>
      </c>
      <c r="F477" s="28">
        <f>Data!J271/100</f>
        <v>3.2912781130005481E-2</v>
      </c>
      <c r="G477" s="28">
        <f>IF(ISNUMBER(Data!S271),Data!S271/100,"n/a")</f>
        <v>5.7692307692307709E-2</v>
      </c>
      <c r="H477" s="28">
        <f>IF(ISNUMBER(Data!T271),Data!T271/100,"n/a")</f>
        <v>5.3792113089372373E-2</v>
      </c>
      <c r="I477" s="28">
        <f>IF(ISNUMBER(Data!U271),Data!U271/100,"n/a")</f>
        <v>7.1172997986781006E-2</v>
      </c>
      <c r="J477" s="28">
        <f>IF(ISNUMBER(Data!V271),Data!V271/100,"n/a")</f>
        <v>0.12458264445389444</v>
      </c>
      <c r="K477" s="9">
        <f>IF(ISNUMBER(Data!Z271),Data!Z271/100,"n/a")</f>
        <v>0.38216560509554137</v>
      </c>
      <c r="L477" s="10">
        <f>Data!AA271</f>
        <v>11.611464968152866</v>
      </c>
      <c r="M477" s="10">
        <f>Data!AF271</f>
        <v>1.28</v>
      </c>
      <c r="N477" s="28">
        <f>IF(ISNUMBER(Data!AG271),Data!AG271/100,"n/a")</f>
        <v>0.106</v>
      </c>
      <c r="O477" s="28">
        <f>IF(ISNUMBER(Data!AJ271),Data!AJ271/100,"n/a")</f>
        <v>0.11899999999999998</v>
      </c>
      <c r="P477" s="9">
        <f>IF(ISNUMBER(Data!AK271),Data!AK271/100,"n/a")</f>
        <v>0.08</v>
      </c>
      <c r="Q477" s="8">
        <f>Data!AN271</f>
        <v>0.24</v>
      </c>
      <c r="R477" s="8">
        <f>Data!AP271</f>
        <v>10.408577911678648</v>
      </c>
      <c r="S477" s="8"/>
      <c r="T477" s="8"/>
      <c r="U477" s="8"/>
      <c r="V477" s="1">
        <f t="shared" si="14"/>
        <v>11</v>
      </c>
      <c r="W477" s="1">
        <f t="shared" si="15"/>
        <v>0</v>
      </c>
    </row>
    <row r="478" spans="1:24" hidden="1" x14ac:dyDescent="0.2">
      <c r="A478" s="7" t="str">
        <f>Data!A253</f>
        <v>Farmers &amp; Merchants Bancorp, Inc.</v>
      </c>
      <c r="B478" s="7" t="str">
        <f>Data!B253</f>
        <v>FMAO</v>
      </c>
      <c r="C478" s="7" t="str">
        <f>Data!C253</f>
        <v>Financials</v>
      </c>
      <c r="D478" s="8">
        <f>IF(ISNUMBER(Data!AL253),Data!AL253/1000,"n/a")</f>
        <v>0.38952999999999999</v>
      </c>
      <c r="E478" s="1">
        <f>Data!E253</f>
        <v>18</v>
      </c>
      <c r="F478" s="28">
        <f>Data!J253/100</f>
        <v>2.8708133971291863E-2</v>
      </c>
      <c r="G478" s="28">
        <f>IF(ISNUMBER(Data!S253),Data!S253/100,"n/a")</f>
        <v>6.153846153846132E-2</v>
      </c>
      <c r="H478" s="28">
        <f>IF(ISNUMBER(Data!T253),Data!T253/100,"n/a")</f>
        <v>8.5138345254405431E-2</v>
      </c>
      <c r="I478" s="28">
        <f>IF(ISNUMBER(Data!U253),Data!U253/100,"n/a")</f>
        <v>8.9249364912943788E-2</v>
      </c>
      <c r="J478" s="28">
        <f>IF(ISNUMBER(Data!V253),Data!V253/100,"n/a")</f>
        <v>6.1467128322939546E-2</v>
      </c>
      <c r="K478" s="9">
        <f>IF(ISNUMBER(Data!Z253),Data!Z253/100,"n/a")</f>
        <v>0.33333333333333326</v>
      </c>
      <c r="L478" s="10">
        <f>Data!AA253</f>
        <v>11.611111111111112</v>
      </c>
      <c r="M478" s="10">
        <f>Data!AF253</f>
        <v>1.36</v>
      </c>
      <c r="N478" s="28">
        <f>IF(ISNUMBER(Data!AG253),Data!AG253/100,"n/a")</f>
        <v>0.11600000000000002</v>
      </c>
      <c r="O478" s="28">
        <f>IF(ISNUMBER(Data!AJ253),Data!AJ253/100,"n/a")</f>
        <v>9.8000000000000004E-2</v>
      </c>
      <c r="P478" s="9" t="str">
        <f>IF(ISNUMBER(Data!AK253),Data!AK253/100,"n/a")</f>
        <v>n/a</v>
      </c>
      <c r="Q478" s="8">
        <f>Data!AN253</f>
        <v>0.16</v>
      </c>
      <c r="R478" s="8">
        <f>Data!AP253</f>
        <v>11.795749888423565</v>
      </c>
      <c r="S478" s="8"/>
      <c r="T478" s="8"/>
      <c r="U478" s="8"/>
      <c r="V478" s="1">
        <f t="shared" si="14"/>
        <v>9</v>
      </c>
      <c r="W478" s="1">
        <f t="shared" si="15"/>
        <v>0</v>
      </c>
    </row>
    <row r="479" spans="1:24" hidden="1" x14ac:dyDescent="0.2">
      <c r="A479" s="7" t="str">
        <f>Data!A268</f>
        <v>First Savings Financial Group, Inc.</v>
      </c>
      <c r="B479" s="7" t="str">
        <f>Data!B268</f>
        <v>FSFG</v>
      </c>
      <c r="C479" s="7" t="str">
        <f>Data!C268</f>
        <v>Financials</v>
      </c>
      <c r="D479" s="8">
        <f>IF(ISNUMBER(Data!AL268),Data!AL268/1000,"n/a")</f>
        <v>0.16409000000000001</v>
      </c>
      <c r="E479" s="1">
        <f>Data!E268</f>
        <v>9</v>
      </c>
      <c r="F479" s="28">
        <f>Data!J268/100</f>
        <v>2.2958057395143491E-2</v>
      </c>
      <c r="G479" s="28">
        <f>IF(ISNUMBER(Data!S268),Data!S268/100,"n/a")</f>
        <v>0.85294117647058809</v>
      </c>
      <c r="H479" s="28">
        <f>IF(ISNUMBER(Data!T268),Data!T268/100,"n/a")</f>
        <v>0.28057916498749425</v>
      </c>
      <c r="I479" s="28">
        <f>IF(ISNUMBER(Data!U268),Data!U268/100,"n/a")</f>
        <v>0.19364020972713125</v>
      </c>
      <c r="J479" s="28" t="str">
        <f>IF(ISNUMBER(Data!V268),Data!V268/100,"n/a")</f>
        <v>n/a</v>
      </c>
      <c r="K479" s="9">
        <f>IF(ISNUMBER(Data!Z268),Data!Z268/100,"n/a")</f>
        <v>0.19847328244274809</v>
      </c>
      <c r="L479" s="10">
        <f>Data!AA268</f>
        <v>8.6450381679389299</v>
      </c>
      <c r="M479" s="10">
        <f>Data!AF268</f>
        <v>0.96</v>
      </c>
      <c r="N479" s="28">
        <f>IF(ISNUMBER(Data!AG268),Data!AG268/100,"n/a")</f>
        <v>0.115</v>
      </c>
      <c r="O479" s="28">
        <f>IF(ISNUMBER(Data!AJ268),Data!AJ268/100,"n/a")</f>
        <v>0.29399999999999998</v>
      </c>
      <c r="P479" s="9" t="str">
        <f>IF(ISNUMBER(Data!AK268),Data!AK268/100,"n/a")</f>
        <v>n/a</v>
      </c>
      <c r="Q479" s="8">
        <f>Data!AN268</f>
        <v>0.3</v>
      </c>
      <c r="R479" s="8">
        <f>Data!AP268</f>
        <v>21.659826712227474</v>
      </c>
      <c r="S479" s="8"/>
      <c r="T479" s="8"/>
      <c r="U479" s="8"/>
      <c r="V479" s="1">
        <f t="shared" si="14"/>
        <v>8</v>
      </c>
      <c r="W479" s="1">
        <f t="shared" si="15"/>
        <v>0</v>
      </c>
    </row>
    <row r="480" spans="1:24" hidden="1" x14ac:dyDescent="0.2">
      <c r="A480" s="7" t="str">
        <f>Data!A252</f>
        <v>Flowers Foods, Inc.</v>
      </c>
      <c r="B480" s="7" t="str">
        <f>Data!B252</f>
        <v>FLO</v>
      </c>
      <c r="C480" s="7" t="str">
        <f>Data!C252</f>
        <v>Consumer Staples</v>
      </c>
      <c r="D480" s="8">
        <f>IF(ISNUMBER(Data!AL252),Data!AL252/1000,"n/a")</f>
        <v>5.96</v>
      </c>
      <c r="E480" s="1">
        <f>Data!E252</f>
        <v>21</v>
      </c>
      <c r="F480" s="28">
        <f>Data!J252/100</f>
        <v>3.0651340996168577E-2</v>
      </c>
      <c r="G480" s="28">
        <f>IF(ISNUMBER(Data!S252),Data!S252/100,"n/a")</f>
        <v>5.0632911392404889E-2</v>
      </c>
      <c r="H480" s="28">
        <f>IF(ISNUMBER(Data!T252),Data!T252/100,"n/a")</f>
        <v>5.343218065147215E-2</v>
      </c>
      <c r="I480" s="28">
        <f>IF(ISNUMBER(Data!U252),Data!U252/100,"n/a")</f>
        <v>5.8375102906382148E-2</v>
      </c>
      <c r="J480" s="28">
        <f>IF(ISNUMBER(Data!V252),Data!V252/100,"n/a")</f>
        <v>7.8761662515203001E-2</v>
      </c>
      <c r="K480" s="9">
        <f>IF(ISNUMBER(Data!Z252),Data!Z252/100,"n/a")</f>
        <v>0.86274509803921573</v>
      </c>
      <c r="L480" s="10">
        <f>Data!AA252</f>
        <v>28.147058823529413</v>
      </c>
      <c r="M480" s="10">
        <f>Data!AF252</f>
        <v>4.18</v>
      </c>
      <c r="N480" s="28">
        <f>IF(ISNUMBER(Data!AG252),Data!AG252/100,"n/a")</f>
        <v>0.152</v>
      </c>
      <c r="O480" s="28">
        <f>IF(ISNUMBER(Data!AJ252),Data!AJ252/100,"n/a")</f>
        <v>4.3999999999999997E-2</v>
      </c>
      <c r="P480" s="9">
        <f>IF(ISNUMBER(Data!AK252),Data!AK252/100,"n/a")</f>
        <v>3.2099999999999997E-2</v>
      </c>
      <c r="Q480" s="8">
        <f>Data!AN252</f>
        <v>0.63</v>
      </c>
      <c r="R480" s="8">
        <f>Data!AP252</f>
        <v>8.9026443902550731</v>
      </c>
      <c r="S480" s="8"/>
      <c r="T480" s="8"/>
      <c r="U480" s="8"/>
      <c r="V480" s="1">
        <f t="shared" si="14"/>
        <v>10</v>
      </c>
      <c r="W480" s="1">
        <f t="shared" si="15"/>
        <v>0</v>
      </c>
    </row>
    <row r="481" spans="1:23" hidden="1" x14ac:dyDescent="0.2">
      <c r="A481" s="7" t="str">
        <f>Data!A251</f>
        <v>The First of Long Island Corporation</v>
      </c>
      <c r="B481" s="7" t="str">
        <f>Data!B251</f>
        <v>FLIC</v>
      </c>
      <c r="C481" s="7" t="str">
        <f>Data!C251</f>
        <v>Financials</v>
      </c>
      <c r="D481" s="8">
        <f>IF(ISNUMBER(Data!AL251),Data!AL251/1000,"n/a")</f>
        <v>0.41132000000000002</v>
      </c>
      <c r="E481" s="1">
        <f>Data!E251</f>
        <v>27</v>
      </c>
      <c r="F481" s="28">
        <f>Data!J251/100</f>
        <v>4.778156996587031E-2</v>
      </c>
      <c r="G481" s="28">
        <f>IF(ISNUMBER(Data!S251),Data!S251/100,"n/a")</f>
        <v>5.4794520547945202E-2</v>
      </c>
      <c r="H481" s="28">
        <f>IF(ISNUMBER(Data!T251),Data!T251/100,"n/a")</f>
        <v>7.4895748713678545E-2</v>
      </c>
      <c r="I481" s="28">
        <f>IF(ISNUMBER(Data!U251),Data!U251/100,"n/a")</f>
        <v>7.3542872926286584E-2</v>
      </c>
      <c r="J481" s="28">
        <f>IF(ISNUMBER(Data!V251),Data!V251/100,"n/a")</f>
        <v>6.887845604167131E-2</v>
      </c>
      <c r="K481" s="9">
        <f>IF(ISNUMBER(Data!Z251),Data!Z251/100,"n/a")</f>
        <v>0.4242424242424242</v>
      </c>
      <c r="L481" s="10">
        <f>Data!AA251</f>
        <v>8.8787878787878771</v>
      </c>
      <c r="M481" s="10">
        <f>Data!AF251</f>
        <v>1.08</v>
      </c>
      <c r="N481" s="28">
        <f>IF(ISNUMBER(Data!AG251),Data!AG251/100,"n/a")</f>
        <v>0.11</v>
      </c>
      <c r="O481" s="28">
        <f>IF(ISNUMBER(Data!AJ251),Data!AJ251/100,"n/a")</f>
        <v>6.3E-2</v>
      </c>
      <c r="P481" s="9">
        <f>IF(ISNUMBER(Data!AK251),Data!AK251/100,"n/a")</f>
        <v>7.0000000000000007E-2</v>
      </c>
      <c r="Q481" s="8">
        <f>Data!AN251</f>
        <v>0.74</v>
      </c>
      <c r="R481" s="8">
        <f>Data!AP251</f>
        <v>12.132444289215689</v>
      </c>
      <c r="S481" s="8"/>
      <c r="T481" s="8"/>
      <c r="U481" s="8"/>
      <c r="V481" s="1">
        <f t="shared" si="14"/>
        <v>10</v>
      </c>
      <c r="W481" s="1">
        <f t="shared" si="15"/>
        <v>0</v>
      </c>
    </row>
    <row r="482" spans="1:23" hidden="1" x14ac:dyDescent="0.2">
      <c r="A482" s="7" t="str">
        <f>Data!A250</f>
        <v>Comfort Systems USA, Inc.</v>
      </c>
      <c r="B482" s="7" t="str">
        <f>Data!B250</f>
        <v>FIX</v>
      </c>
      <c r="C482" s="7" t="str">
        <f>Data!C250</f>
        <v>Industrials</v>
      </c>
      <c r="D482" s="8">
        <f>IF(ISNUMBER(Data!AL250),Data!AL250/1000,"n/a")</f>
        <v>4.24</v>
      </c>
      <c r="E482" s="1">
        <f>Data!E250</f>
        <v>10</v>
      </c>
      <c r="F482" s="28">
        <f>Data!J250/100</f>
        <v>4.8669695003244647E-3</v>
      </c>
      <c r="G482" s="28">
        <f>IF(ISNUMBER(Data!S250),Data!S250/100,"n/a")</f>
        <v>0.12941176470588234</v>
      </c>
      <c r="H482" s="28">
        <f>IF(ISNUMBER(Data!T250),Data!T250/100,"n/a")</f>
        <v>0.1330326698854094</v>
      </c>
      <c r="I482" s="28">
        <f>IF(ISNUMBER(Data!U250),Data!U250/100,"n/a")</f>
        <v>0.11784530914564041</v>
      </c>
      <c r="J482" s="28">
        <f>IF(ISNUMBER(Data!V250),Data!V250/100,"n/a")</f>
        <v>9.1493425617896987E-2</v>
      </c>
      <c r="K482" s="9">
        <f>IF(ISNUMBER(Data!Z250),Data!Z250/100,"n/a")</f>
        <v>9.5087163232963554E-2</v>
      </c>
      <c r="L482" s="10">
        <f>Data!AA250</f>
        <v>19.537242472266247</v>
      </c>
      <c r="M482" s="10">
        <f>Data!AF250</f>
        <v>4.58</v>
      </c>
      <c r="N482" s="28">
        <f>IF(ISNUMBER(Data!AG250),Data!AG250/100,"n/a")</f>
        <v>0.25800000000000001</v>
      </c>
      <c r="O482" s="28">
        <f>IF(ISNUMBER(Data!AJ250),Data!AJ250/100,"n/a")</f>
        <v>0.18</v>
      </c>
      <c r="P482" s="9">
        <f>IF(ISNUMBER(Data!AK250),Data!AK250/100,"n/a")</f>
        <v>0.1</v>
      </c>
      <c r="Q482" s="8">
        <f>Data!AN250</f>
        <v>0.4</v>
      </c>
      <c r="R482" s="8">
        <f>Data!AP250</f>
        <v>12.271227864596487</v>
      </c>
      <c r="S482" s="8"/>
      <c r="T482" s="8"/>
      <c r="U482" s="8"/>
      <c r="V482" s="1">
        <f t="shared" si="14"/>
        <v>9</v>
      </c>
      <c r="W482" s="1">
        <f t="shared" si="15"/>
        <v>0</v>
      </c>
    </row>
    <row r="483" spans="1:23" hidden="1" x14ac:dyDescent="0.2">
      <c r="A483" s="7" t="str">
        <f>Data!A641</f>
        <v>Texas Pacific Land Corporation</v>
      </c>
      <c r="B483" s="7" t="str">
        <f>Data!B641</f>
        <v>TPL</v>
      </c>
      <c r="C483" s="7" t="str">
        <f>Data!C641</f>
        <v>Energy</v>
      </c>
      <c r="D483" s="8">
        <f>IF(ISNUMBER(Data!AL641),Data!AL641/1000,"n/a")</f>
        <v>17.18</v>
      </c>
      <c r="E483" s="1">
        <f>Data!E641</f>
        <v>17</v>
      </c>
      <c r="F483" s="28">
        <f>Data!J641/100</f>
        <v>5.2086272228901807E-3</v>
      </c>
      <c r="G483" s="28">
        <f>IF(ISNUMBER(Data!S641),Data!S641/100,"n/a")</f>
        <v>0.10000000000000009</v>
      </c>
      <c r="H483" s="28">
        <f>IF(ISNUMBER(Data!T641),Data!T641/100,"n/a")</f>
        <v>1.1881031702423104</v>
      </c>
      <c r="I483" s="28">
        <f>IF(ISNUMBER(Data!U641),Data!U641/100,"n/a")</f>
        <v>1.0417670846269766</v>
      </c>
      <c r="J483" s="28">
        <f>IF(ISNUMBER(Data!V641),Data!V641/100,"n/a")</f>
        <v>0.48565284529167374</v>
      </c>
      <c r="K483" s="9">
        <f>IF(ISNUMBER(Data!Z641),Data!Z641/100,"n/a")</f>
        <v>0.24474811339995919</v>
      </c>
      <c r="L483" s="10">
        <f>Data!AA641</f>
        <v>46.988986334897</v>
      </c>
      <c r="M483" s="10">
        <f>Data!AF641</f>
        <v>27.79</v>
      </c>
      <c r="N483" s="28">
        <f>IF(ISNUMBER(Data!AG641),Data!AG641/100,"n/a")</f>
        <v>0.57799999999999996</v>
      </c>
      <c r="O483" s="28">
        <f>IF(ISNUMBER(Data!AJ641),Data!AJ641/100,"n/a")</f>
        <v>0.45800000000000002</v>
      </c>
      <c r="P483" s="9">
        <f>IF(ISNUMBER(Data!AK641),Data!AK641/100,"n/a")</f>
        <v>0.20030000000000001</v>
      </c>
      <c r="Q483" s="8">
        <f>Data!AN641</f>
        <v>0</v>
      </c>
      <c r="R483" s="8">
        <f>Data!AP641</f>
        <v>104.69757118498669</v>
      </c>
      <c r="S483" s="8"/>
      <c r="T483" s="8"/>
      <c r="U483" s="8"/>
      <c r="V483" s="1">
        <f t="shared" si="14"/>
        <v>9</v>
      </c>
      <c r="W483" s="1">
        <f t="shared" si="15"/>
        <v>0</v>
      </c>
    </row>
    <row r="484" spans="1:23" hidden="1" x14ac:dyDescent="0.2">
      <c r="A484" s="7" t="str">
        <f>Data!A248</f>
        <v>Financial Institutions, Inc.</v>
      </c>
      <c r="B484" s="7" t="str">
        <f>Data!B248</f>
        <v>FISI</v>
      </c>
      <c r="C484" s="7" t="str">
        <f>Data!C248</f>
        <v>Financials</v>
      </c>
      <c r="D484" s="8">
        <f>IF(ISNUMBER(Data!AL248),Data!AL248/1000,"n/a")</f>
        <v>0.40700999999999998</v>
      </c>
      <c r="E484" s="1">
        <f>Data!E248</f>
        <v>12</v>
      </c>
      <c r="F484" s="28">
        <f>Data!J248/100</f>
        <v>4.8678136802349982E-2</v>
      </c>
      <c r="G484" s="28">
        <f>IF(ISNUMBER(Data!S248),Data!S248/100,"n/a")</f>
        <v>3.8834951456310662E-2</v>
      </c>
      <c r="H484" s="28">
        <f>IF(ISNUMBER(Data!T248),Data!T248/100,"n/a")</f>
        <v>4.4123750499876158E-2</v>
      </c>
      <c r="I484" s="28">
        <f>IF(ISNUMBER(Data!U248),Data!U248/100,"n/a")</f>
        <v>5.7255009883433017E-2</v>
      </c>
      <c r="J484" s="28">
        <f>IF(ISNUMBER(Data!V248),Data!V248/100,"n/a")</f>
        <v>8.5746884816594537E-2</v>
      </c>
      <c r="K484" s="9">
        <f>IF(ISNUMBER(Data!Z248),Data!Z248/100,"n/a")</f>
        <v>0.27684964200477324</v>
      </c>
      <c r="L484" s="10">
        <f>Data!AA248</f>
        <v>5.6873508353221949</v>
      </c>
      <c r="M484" s="10">
        <f>Data!AF248</f>
        <v>0.96</v>
      </c>
      <c r="N484" s="28">
        <f>IF(ISNUMBER(Data!AG248),Data!AG248/100,"n/a")</f>
        <v>0.156</v>
      </c>
      <c r="O484" s="28">
        <f>IF(ISNUMBER(Data!AJ248),Data!AJ248/100,"n/a")</f>
        <v>0.17899999999999999</v>
      </c>
      <c r="P484" s="9">
        <f>IF(ISNUMBER(Data!AK248),Data!AK248/100,"n/a")</f>
        <v>0.08</v>
      </c>
      <c r="Q484" s="8">
        <f>Data!AN248</f>
        <v>0.18</v>
      </c>
      <c r="R484" s="8">
        <f>Data!AP248</f>
        <v>10.5933146685783</v>
      </c>
      <c r="S484" s="8"/>
      <c r="T484" s="8"/>
      <c r="U484" s="8"/>
      <c r="V484" s="1">
        <f t="shared" si="14"/>
        <v>8</v>
      </c>
      <c r="W484" s="1">
        <f t="shared" si="15"/>
        <v>0</v>
      </c>
    </row>
    <row r="485" spans="1:23" hidden="1" x14ac:dyDescent="0.2">
      <c r="A485" s="7" t="str">
        <f>Data!A249</f>
        <v>Fifth Third Bancorp</v>
      </c>
      <c r="B485" s="7" t="str">
        <f>Data!B249</f>
        <v>FITB</v>
      </c>
      <c r="C485" s="7" t="str">
        <f>Data!C249</f>
        <v>Financials</v>
      </c>
      <c r="D485" s="8">
        <f>IF(ISNUMBER(Data!AL249),Data!AL249/1000,"n/a")</f>
        <v>24.26</v>
      </c>
      <c r="E485" s="1">
        <f>Data!E249</f>
        <v>12</v>
      </c>
      <c r="F485" s="28">
        <f>Data!J249/100</f>
        <v>3.6985149901933322E-2</v>
      </c>
      <c r="G485" s="28">
        <f>IF(ISNUMBER(Data!S249),Data!S249/100,"n/a")</f>
        <v>5.7142857142857162E-2</v>
      </c>
      <c r="H485" s="28">
        <f>IF(ISNUMBER(Data!T249),Data!T249/100,"n/a")</f>
        <v>0.17743792988480944</v>
      </c>
      <c r="I485" s="28">
        <f>IF(ISNUMBER(Data!U249),Data!U249/100,"n/a")</f>
        <v>0.15933626678433654</v>
      </c>
      <c r="J485" s="28">
        <f>IF(ISNUMBER(Data!V249),Data!V249/100,"n/a")</f>
        <v>0.14766858720286558</v>
      </c>
      <c r="K485" s="9">
        <f>IF(ISNUMBER(Data!Z249),Data!Z249/100,"n/a")</f>
        <v>0.4061538461538462</v>
      </c>
      <c r="L485" s="10">
        <f>Data!AA249</f>
        <v>10.981538461538461</v>
      </c>
      <c r="M485" s="10">
        <f>Data!AF249</f>
        <v>1.47</v>
      </c>
      <c r="N485" s="28">
        <f>IF(ISNUMBER(Data!AG249),Data!AG249/100,"n/a")</f>
        <v>0.13100000000000001</v>
      </c>
      <c r="O485" s="28">
        <f>IF(ISNUMBER(Data!AJ249),Data!AJ249/100,"n/a")</f>
        <v>0.14399999999999999</v>
      </c>
      <c r="P485" s="9">
        <f>IF(ISNUMBER(Data!AK249),Data!AK249/100,"n/a")</f>
        <v>5.04E-2</v>
      </c>
      <c r="Q485" s="8">
        <f>Data!AN249</f>
        <v>0.65</v>
      </c>
      <c r="R485" s="8">
        <f>Data!AP249</f>
        <v>19.632141668626986</v>
      </c>
      <c r="S485" s="8"/>
      <c r="T485" s="8"/>
      <c r="U485" s="8"/>
      <c r="V485" s="1">
        <f t="shared" si="14"/>
        <v>11</v>
      </c>
      <c r="W485" s="1">
        <f t="shared" si="15"/>
        <v>0</v>
      </c>
    </row>
    <row r="486" spans="1:23" hidden="1" x14ac:dyDescent="0.2">
      <c r="A486" s="7" t="str">
        <f>Data!A241</f>
        <v>FactSet Research Systems Inc.</v>
      </c>
      <c r="B486" s="7" t="str">
        <f>Data!B241</f>
        <v>FDS</v>
      </c>
      <c r="C486" s="7" t="str">
        <f>Data!C241</f>
        <v>Financials</v>
      </c>
      <c r="D486" s="8">
        <f>IF(ISNUMBER(Data!AL241),Data!AL241/1000,"n/a")</f>
        <v>16.12</v>
      </c>
      <c r="E486" s="1">
        <f>Data!E241</f>
        <v>24</v>
      </c>
      <c r="F486" s="28">
        <f>Data!J241/100</f>
        <v>8.3668241321770195E-3</v>
      </c>
      <c r="G486" s="28">
        <f>IF(ISNUMBER(Data!S241),Data!S241/100,"n/a")</f>
        <v>6.6006600660066139E-2</v>
      </c>
      <c r="H486" s="28">
        <f>IF(ISNUMBER(Data!T241),Data!T241/100,"n/a")</f>
        <v>9.2069506224545794E-2</v>
      </c>
      <c r="I486" s="28">
        <f>IF(ISNUMBER(Data!U241),Data!U241/100,"n/a")</f>
        <v>0.10733788482471196</v>
      </c>
      <c r="J486" s="28">
        <f>IF(ISNUMBER(Data!V241),Data!V241/100,"n/a")</f>
        <v>0.11999715195688143</v>
      </c>
      <c r="K486" s="9">
        <f>IF(ISNUMBER(Data!Z241),Data!Z241/100,"n/a")</f>
        <v>0.34799608993157377</v>
      </c>
      <c r="L486" s="10">
        <f>Data!AA241</f>
        <v>41.592375366568916</v>
      </c>
      <c r="M486" s="10">
        <f>Data!AF241</f>
        <v>12.38</v>
      </c>
      <c r="N486" s="28">
        <f>IF(ISNUMBER(Data!AG241),Data!AG241/100,"n/a")</f>
        <v>0.32300000000000006</v>
      </c>
      <c r="O486" s="28">
        <f>IF(ISNUMBER(Data!AJ241),Data!AJ241/100,"n/a")</f>
        <v>9.5000000000000001E-2</v>
      </c>
      <c r="P486" s="9">
        <f>IF(ISNUMBER(Data!AK241),Data!AK241/100,"n/a")</f>
        <v>0.11899999999999998</v>
      </c>
      <c r="Q486" s="8">
        <f>Data!AN241</f>
        <v>1.49</v>
      </c>
      <c r="R486" s="8">
        <f>Data!AP241</f>
        <v>11.570470895688898</v>
      </c>
      <c r="S486" s="8"/>
      <c r="T486" s="8"/>
      <c r="U486" s="8"/>
      <c r="V486" s="1">
        <f t="shared" si="14"/>
        <v>9</v>
      </c>
      <c r="W486" s="1">
        <f t="shared" si="15"/>
        <v>0</v>
      </c>
    </row>
    <row r="487" spans="1:23" hidden="1" x14ac:dyDescent="0.2">
      <c r="A487" s="7" t="str">
        <f>Data!A242</f>
        <v>Franklin Electric Co., Inc.</v>
      </c>
      <c r="B487" s="7" t="str">
        <f>Data!B242</f>
        <v>FELE</v>
      </c>
      <c r="C487" s="7" t="str">
        <f>Data!C242</f>
        <v>Industrials</v>
      </c>
      <c r="D487" s="8">
        <f>IF(ISNUMBER(Data!AL242),Data!AL242/1000,"n/a")</f>
        <v>3.75</v>
      </c>
      <c r="E487" s="1">
        <f>Data!E242</f>
        <v>30</v>
      </c>
      <c r="F487" s="28">
        <f>Data!J242/100</f>
        <v>9.5191603612399325E-3</v>
      </c>
      <c r="G487" s="28">
        <f>IF(ISNUMBER(Data!S242),Data!S242/100,"n/a")</f>
        <v>0.12903225806451601</v>
      </c>
      <c r="H487" s="28">
        <f>IF(ISNUMBER(Data!T242),Data!T242/100,"n/a")</f>
        <v>0.14403367506678078</v>
      </c>
      <c r="I487" s="28">
        <f>IF(ISNUMBER(Data!U242),Data!U242/100,"n/a")</f>
        <v>0.11983021513918857</v>
      </c>
      <c r="J487" s="28">
        <f>IF(ISNUMBER(Data!V242),Data!V242/100,"n/a")</f>
        <v>0.10097491854803042</v>
      </c>
      <c r="K487" s="9">
        <f>IF(ISNUMBER(Data!Z242),Data!Z242/100,"n/a")</f>
        <v>0.19500000000000001</v>
      </c>
      <c r="L487" s="10">
        <f>Data!AA242</f>
        <v>20.484999999999999</v>
      </c>
      <c r="M487" s="10">
        <f>Data!AF242</f>
        <v>3.81</v>
      </c>
      <c r="N487" s="28">
        <f>IF(ISNUMBER(Data!AG242),Data!AG242/100,"n/a")</f>
        <v>0.16200000000000001</v>
      </c>
      <c r="O487" s="28">
        <f>IF(ISNUMBER(Data!AJ242),Data!AJ242/100,"n/a")</f>
        <v>0.13600000000000001</v>
      </c>
      <c r="P487" s="9">
        <f>IF(ISNUMBER(Data!AK242),Data!AK242/100,"n/a")</f>
        <v>0.13400000000000001</v>
      </c>
      <c r="Q487" s="8">
        <f>Data!AN242</f>
        <v>0.32</v>
      </c>
      <c r="R487" s="8">
        <f>Data!AP242</f>
        <v>12.93493755004285</v>
      </c>
      <c r="S487" s="8"/>
      <c r="T487" s="8"/>
      <c r="U487" s="8"/>
      <c r="V487" s="1">
        <f t="shared" si="14"/>
        <v>10</v>
      </c>
      <c r="W487" s="1">
        <f t="shared" si="15"/>
        <v>0</v>
      </c>
    </row>
    <row r="488" spans="1:23" hidden="1" x14ac:dyDescent="0.2">
      <c r="A488" s="7" t="str">
        <f>Data!A240</f>
        <v>Fidelity D &amp; D Bancorp, Inc.</v>
      </c>
      <c r="B488" s="7" t="str">
        <f>Data!B240</f>
        <v>FDBC</v>
      </c>
      <c r="C488" s="7" t="str">
        <f>Data!C240</f>
        <v>Financials</v>
      </c>
      <c r="D488" s="8">
        <f>IF(ISNUMBER(Data!AL240),Data!AL240/1000,"n/a")</f>
        <v>0.26302999999999999</v>
      </c>
      <c r="E488" s="1">
        <f>Data!E240</f>
        <v>8</v>
      </c>
      <c r="F488" s="28">
        <f>Data!J240/100</f>
        <v>3.0835117773019269E-2</v>
      </c>
      <c r="G488" s="28">
        <f>IF(ISNUMBER(Data!S240),Data!S240/100,"n/a")</f>
        <v>7.8947368421052655E-2</v>
      </c>
      <c r="H488" s="28">
        <f>IF(ISNUMBER(Data!T240),Data!T240/100,"n/a")</f>
        <v>7.8680957339111846E-2</v>
      </c>
      <c r="I488" s="28">
        <f>IF(ISNUMBER(Data!U240),Data!U240/100,"n/a")</f>
        <v>0.10107855395181196</v>
      </c>
      <c r="J488" s="28">
        <f>IF(ISNUMBER(Data!V240),Data!V240/100,"n/a")</f>
        <v>6.3162468992593812E-2</v>
      </c>
      <c r="K488" s="9">
        <f>IF(ISNUMBER(Data!Z240),Data!Z240/100,"n/a")</f>
        <v>0.26568265682656828</v>
      </c>
      <c r="L488" s="10">
        <f>Data!AA240</f>
        <v>8.6162361623616235</v>
      </c>
      <c r="M488" s="10">
        <f>Data!AF240</f>
        <v>1.8</v>
      </c>
      <c r="N488" s="28">
        <f>IF(ISNUMBER(Data!AG240),Data!AG240/100,"n/a")</f>
        <v>0.17419999999999999</v>
      </c>
      <c r="O488" s="28" t="str">
        <f>IF(ISNUMBER(Data!AJ240),Data!AJ240/100,"n/a")</f>
        <v>n/a</v>
      </c>
      <c r="P488" s="9" t="str">
        <f>IF(ISNUMBER(Data!AK240),Data!AK240/100,"n/a")</f>
        <v>n/a</v>
      </c>
      <c r="Q488" s="8" t="str">
        <f>Data!AN240</f>
        <v>n/a</v>
      </c>
      <c r="R488" s="8">
        <f>Data!AP240</f>
        <v>13.191367172483124</v>
      </c>
      <c r="S488" s="8"/>
      <c r="T488" s="8"/>
      <c r="U488" s="8"/>
      <c r="V488" s="1">
        <f t="shared" si="14"/>
        <v>7</v>
      </c>
      <c r="W488" s="1">
        <f t="shared" si="15"/>
        <v>0</v>
      </c>
    </row>
    <row r="489" spans="1:23" hidden="1" x14ac:dyDescent="0.2">
      <c r="A489" s="7" t="str">
        <f>Data!A235</f>
        <v>First Capital, Inc.</v>
      </c>
      <c r="B489" s="7" t="str">
        <f>Data!B235</f>
        <v>FCAP</v>
      </c>
      <c r="C489" s="7" t="str">
        <f>Data!C235</f>
        <v>Financials</v>
      </c>
      <c r="D489" s="8">
        <f>IF(ISNUMBER(Data!AL235),Data!AL235/1000,"n/a")</f>
        <v>8.1799999999999998E-2</v>
      </c>
      <c r="E489" s="1">
        <f>Data!E235</f>
        <v>5</v>
      </c>
      <c r="F489" s="28">
        <f>Data!J235/100</f>
        <v>4.2431660546715627E-2</v>
      </c>
      <c r="G489" s="28">
        <f>IF(ISNUMBER(Data!S235),Data!S235/100,"n/a")</f>
        <v>8.3333333333333481E-2</v>
      </c>
      <c r="H489" s="28">
        <f>IF(ISNUMBER(Data!T235),Data!T235/100,"n/a")</f>
        <v>4.1714007510293971E-2</v>
      </c>
      <c r="I489" s="28">
        <f>IF(ISNUMBER(Data!U235),Data!U235/100,"n/a")</f>
        <v>4.3640227150435917E-2</v>
      </c>
      <c r="J489" s="28">
        <f>IF(ISNUMBER(Data!V235),Data!V235/100,"n/a")</f>
        <v>3.1862844783501654E-2</v>
      </c>
      <c r="K489" s="9">
        <f>IF(ISNUMBER(Data!Z235),Data!Z235/100,"n/a")</f>
        <v>0.31707317073170732</v>
      </c>
      <c r="L489" s="10">
        <f>Data!AA235</f>
        <v>7.4725609756097571</v>
      </c>
      <c r="M489" s="10">
        <f>Data!AF235</f>
        <v>0.95</v>
      </c>
      <c r="N489" s="28">
        <f>IF(ISNUMBER(Data!AG235),Data!AG235/100,"n/a")</f>
        <v>0.107</v>
      </c>
      <c r="O489" s="28">
        <f>IF(ISNUMBER(Data!AJ235),Data!AJ235/100,"n/a")</f>
        <v>0.107</v>
      </c>
      <c r="P489" s="9" t="str">
        <f>IF(ISNUMBER(Data!AK235),Data!AK235/100,"n/a")</f>
        <v>n/a</v>
      </c>
      <c r="Q489" s="8">
        <f>Data!AN235</f>
        <v>0</v>
      </c>
      <c r="R489" s="8">
        <f>Data!AP235</f>
        <v>8.6071887697151546</v>
      </c>
      <c r="S489" s="8"/>
      <c r="T489" s="8"/>
      <c r="U489" s="8"/>
      <c r="V489" s="1">
        <f t="shared" si="14"/>
        <v>6</v>
      </c>
      <c r="W489" s="1">
        <f t="shared" si="15"/>
        <v>0</v>
      </c>
    </row>
    <row r="490" spans="1:23" hidden="1" x14ac:dyDescent="0.2">
      <c r="A490" s="7" t="str">
        <f>Data!A110</f>
        <v>Cable One, Inc.</v>
      </c>
      <c r="B490" s="7" t="str">
        <f>Data!B110</f>
        <v>CABO</v>
      </c>
      <c r="C490" s="7" t="str">
        <f>Data!C110</f>
        <v>Communication Services</v>
      </c>
      <c r="D490" s="8">
        <f>IF(ISNUMBER(Data!AL110),Data!AL110/1000,"n/a")</f>
        <v>4.83</v>
      </c>
      <c r="E490" s="1">
        <f>Data!E110</f>
        <v>8</v>
      </c>
      <c r="F490" s="28">
        <f>Data!J110/100</f>
        <v>1.3264605610695462E-2</v>
      </c>
      <c r="G490" s="28">
        <f>IF(ISNUMBER(Data!S110),Data!S110/100,"n/a")</f>
        <v>0.10526315789473696</v>
      </c>
      <c r="H490" s="28">
        <f>IF(ISNUMBER(Data!T110),Data!T110/100,"n/a")</f>
        <v>0.11868894208139678</v>
      </c>
      <c r="I490" s="28">
        <f>IF(ISNUMBER(Data!U110),Data!U110/100,"n/a")</f>
        <v>0.11842691472014465</v>
      </c>
      <c r="J490" s="28" t="str">
        <f>IF(ISNUMBER(Data!V110),Data!V110/100,"n/a")</f>
        <v>n/a</v>
      </c>
      <c r="K490" s="9">
        <f>IF(ISNUMBER(Data!Z110),Data!Z110/100,"n/a")</f>
        <v>0.20152024041011138</v>
      </c>
      <c r="L490" s="10">
        <f>Data!AA110</f>
        <v>15.192328089093158</v>
      </c>
      <c r="M490" s="10">
        <f>Data!AF110</f>
        <v>2.73</v>
      </c>
      <c r="N490" s="28">
        <f>IF(ISNUMBER(Data!AG110),Data!AG110/100,"n/a")</f>
        <v>0.19400000000000003</v>
      </c>
      <c r="O490" s="28">
        <f>IF(ISNUMBER(Data!AJ110),Data!AJ110/100,"n/a")</f>
        <v>0.217</v>
      </c>
      <c r="P490" s="9">
        <f>IF(ISNUMBER(Data!AK110),Data!AK110/100,"n/a")</f>
        <v>0.1</v>
      </c>
      <c r="Q490" s="8">
        <f>Data!AN110</f>
        <v>2.0099999999999998</v>
      </c>
      <c r="R490" s="8">
        <f>Data!AP110</f>
        <v>13.169152033084011</v>
      </c>
      <c r="S490" s="8"/>
      <c r="T490" s="8"/>
      <c r="U490" s="8"/>
      <c r="V490" s="1">
        <f t="shared" si="14"/>
        <v>8</v>
      </c>
      <c r="W490" s="1">
        <f t="shared" si="15"/>
        <v>0</v>
      </c>
    </row>
    <row r="491" spans="1:23" hidden="1" x14ac:dyDescent="0.2">
      <c r="A491" s="7" t="str">
        <f>Data!A238</f>
        <v>FirstCash, Inc.</v>
      </c>
      <c r="B491" s="7" t="str">
        <f>Data!B238</f>
        <v>FCFS</v>
      </c>
      <c r="C491" s="7" t="str">
        <f>Data!C238</f>
        <v>Financials</v>
      </c>
      <c r="D491" s="8">
        <f>IF(ISNUMBER(Data!AL238),Data!AL238/1000,"n/a")</f>
        <v>4.41</v>
      </c>
      <c r="E491" s="1">
        <f>Data!E238</f>
        <v>7</v>
      </c>
      <c r="F491" s="28">
        <f>Data!J238/100</f>
        <v>1.3407821229050279E-2</v>
      </c>
      <c r="G491" s="28">
        <f>IF(ISNUMBER(Data!S238),Data!S238/100,"n/a")</f>
        <v>8.3333333333333245E-2</v>
      </c>
      <c r="H491" s="28">
        <f>IF(ISNUMBER(Data!T238),Data!T238/100,"n/a")</f>
        <v>8.7380373002892142E-2</v>
      </c>
      <c r="I491" s="28">
        <f>IF(ISNUMBER(Data!U238),Data!U238/100,"n/a")</f>
        <v>0.15671797064219306</v>
      </c>
      <c r="J491" s="28" t="str">
        <f>IF(ISNUMBER(Data!V238),Data!V238/100,"n/a")</f>
        <v>n/a</v>
      </c>
      <c r="K491" s="9">
        <f>IF(ISNUMBER(Data!Z238),Data!Z238/100,"n/a")</f>
        <v>0.33673469387755106</v>
      </c>
      <c r="L491" s="10">
        <f>Data!AA238</f>
        <v>25.114795918367349</v>
      </c>
      <c r="M491" s="10">
        <f>Data!AF238</f>
        <v>2.48</v>
      </c>
      <c r="N491" s="28">
        <f>IF(ISNUMBER(Data!AG238),Data!AG238/100,"n/a")</f>
        <v>7.0999999999999994E-2</v>
      </c>
      <c r="O491" s="28">
        <f>IF(ISNUMBER(Data!AJ238),Data!AJ238/100,"n/a")</f>
        <v>0.121</v>
      </c>
      <c r="P491" s="9">
        <f>IF(ISNUMBER(Data!AK238),Data!AK238/100,"n/a")</f>
        <v>0.15920000000000001</v>
      </c>
      <c r="Q491" s="8">
        <f>Data!AN238</f>
        <v>0.72</v>
      </c>
      <c r="R491" s="8">
        <f>Data!AP238</f>
        <v>17.012579187124334</v>
      </c>
      <c r="S491" s="8"/>
      <c r="T491" s="8"/>
      <c r="U491" s="8"/>
      <c r="V491" s="1">
        <f t="shared" si="14"/>
        <v>7</v>
      </c>
      <c r="W491" s="1">
        <f t="shared" si="15"/>
        <v>0</v>
      </c>
    </row>
    <row r="492" spans="1:23" hidden="1" x14ac:dyDescent="0.2">
      <c r="A492" s="7" t="str">
        <f>Data!A237</f>
        <v>First Commonwealth Financial Corporation</v>
      </c>
      <c r="B492" s="7" t="str">
        <f>Data!B237</f>
        <v>FCF</v>
      </c>
      <c r="C492" s="7" t="str">
        <f>Data!C237</f>
        <v>Financials</v>
      </c>
      <c r="D492" s="8">
        <f>IF(ISNUMBER(Data!AL237),Data!AL237/1000,"n/a")</f>
        <v>1.31</v>
      </c>
      <c r="E492" s="1">
        <f>Data!E237</f>
        <v>6</v>
      </c>
      <c r="F492" s="28">
        <f>Data!J237/100</f>
        <v>3.3472803347280332E-2</v>
      </c>
      <c r="G492" s="28">
        <f>IF(ISNUMBER(Data!S237),Data!S237/100,"n/a")</f>
        <v>3.4090909090909172E-2</v>
      </c>
      <c r="H492" s="28">
        <f>IF(ISNUMBER(Data!T237),Data!T237/100,"n/a")</f>
        <v>9.1392883061105726E-2</v>
      </c>
      <c r="I492" s="28">
        <f>IF(ISNUMBER(Data!U237),Data!U237/100,"n/a")</f>
        <v>0.10197228772148016</v>
      </c>
      <c r="J492" s="28">
        <f>IF(ISNUMBER(Data!V237),Data!V237/100,"n/a")</f>
        <v>0.1425705216529487</v>
      </c>
      <c r="K492" s="9">
        <f>IF(ISNUMBER(Data!Z237),Data!Z237/100,"n/a")</f>
        <v>0.35555555555555551</v>
      </c>
      <c r="L492" s="10">
        <f>Data!AA237</f>
        <v>10.622222222222222</v>
      </c>
      <c r="M492" s="10">
        <f>Data!AF237</f>
        <v>1.29</v>
      </c>
      <c r="N492" s="28">
        <f>IF(ISNUMBER(Data!AG237),Data!AG237/100,"n/a")</f>
        <v>0.11600000000000002</v>
      </c>
      <c r="O492" s="28">
        <f>IF(ISNUMBER(Data!AJ237),Data!AJ237/100,"n/a")</f>
        <v>0.16600000000000001</v>
      </c>
      <c r="P492" s="9">
        <f>IF(ISNUMBER(Data!AK237),Data!AK237/100,"n/a")</f>
        <v>0.08</v>
      </c>
      <c r="Q492" s="8">
        <f>Data!AN237</f>
        <v>0.25</v>
      </c>
      <c r="R492" s="8">
        <f>Data!AP237</f>
        <v>13.544509106876049</v>
      </c>
      <c r="S492" s="8"/>
      <c r="T492" s="8"/>
      <c r="U492" s="8"/>
      <c r="V492" s="1">
        <f t="shared" si="14"/>
        <v>9</v>
      </c>
      <c r="W492" s="1">
        <f t="shared" si="15"/>
        <v>0</v>
      </c>
    </row>
    <row r="493" spans="1:23" hidden="1" x14ac:dyDescent="0.2">
      <c r="A493" s="7" t="str">
        <f>Data!A231</f>
        <v>The First Bancshares, Inc.</v>
      </c>
      <c r="B493" s="7" t="str">
        <f>Data!B231</f>
        <v>FBMS</v>
      </c>
      <c r="C493" s="7" t="str">
        <f>Data!C231</f>
        <v>Financials</v>
      </c>
      <c r="D493" s="8">
        <f>IF(ISNUMBER(Data!AL231),Data!AL231/1000,"n/a")</f>
        <v>0.7605599999999999</v>
      </c>
      <c r="E493" s="1">
        <f>Data!E231</f>
        <v>5</v>
      </c>
      <c r="F493" s="28">
        <f>Data!J231/100</f>
        <v>2.4434941967012833E-2</v>
      </c>
      <c r="G493" s="28">
        <f>IF(ISNUMBER(Data!S231),Data!S231/100,"n/a")</f>
        <v>0.38095238095238093</v>
      </c>
      <c r="H493" s="28">
        <f>IF(ISNUMBER(Data!T231),Data!T231/100,"n/a")</f>
        <v>0.42604314714240887</v>
      </c>
      <c r="I493" s="28">
        <f>IF(ISNUMBER(Data!U231),Data!U231/100,"n/a")</f>
        <v>0.31059149982403733</v>
      </c>
      <c r="J493" s="28">
        <f>IF(ISNUMBER(Data!V231),Data!V231/100,"n/a")</f>
        <v>0.1448106829620508</v>
      </c>
      <c r="K493" s="9">
        <f>IF(ISNUMBER(Data!Z231),Data!Z231/100,"n/a")</f>
        <v>0.25974025974025977</v>
      </c>
      <c r="L493" s="10">
        <f>Data!AA231</f>
        <v>10.629870129870131</v>
      </c>
      <c r="M493" s="10">
        <f>Data!AF231</f>
        <v>1.19</v>
      </c>
      <c r="N493" s="28">
        <f>IF(ISNUMBER(Data!AG231),Data!AG231/100,"n/a")</f>
        <v>0.10299999999999999</v>
      </c>
      <c r="O493" s="28">
        <f>IF(ISNUMBER(Data!AJ231),Data!AJ231/100,"n/a")</f>
        <v>0.14099999999999999</v>
      </c>
      <c r="P493" s="9" t="str">
        <f>IF(ISNUMBER(Data!AK231),Data!AK231/100,"n/a")</f>
        <v>n/a</v>
      </c>
      <c r="Q493" s="8">
        <f>Data!AN231</f>
        <v>0.26</v>
      </c>
      <c r="R493" s="8">
        <f>Data!AP231</f>
        <v>33.502644179105012</v>
      </c>
      <c r="S493" s="8"/>
      <c r="T493" s="8"/>
      <c r="U493" s="8"/>
      <c r="V493" s="1">
        <f t="shared" si="14"/>
        <v>9</v>
      </c>
      <c r="W493" s="1">
        <f t="shared" si="15"/>
        <v>0</v>
      </c>
    </row>
    <row r="494" spans="1:23" hidden="1" x14ac:dyDescent="0.2">
      <c r="A494" s="7">
        <f>Data!A742</f>
        <v>0</v>
      </c>
      <c r="B494" s="7">
        <f>Data!B742</f>
        <v>0</v>
      </c>
      <c r="C494" s="7">
        <f>Data!C742</f>
        <v>0</v>
      </c>
      <c r="D494" s="8" t="str">
        <f>IF(ISNUMBER(Data!AL742),Data!AL742/1000,"n/a")</f>
        <v>n/a</v>
      </c>
      <c r="E494" s="1">
        <f>Data!E742</f>
        <v>0</v>
      </c>
      <c r="F494" s="28">
        <f>Data!J742/100</f>
        <v>0</v>
      </c>
      <c r="G494" s="28" t="str">
        <f>IF(ISNUMBER(Data!S742),Data!S742/100,"n/a")</f>
        <v>n/a</v>
      </c>
      <c r="H494" s="28" t="str">
        <f>IF(ISNUMBER(Data!T742),Data!T742/100,"n/a")</f>
        <v>n/a</v>
      </c>
      <c r="I494" s="28" t="str">
        <f>IF(ISNUMBER(Data!U742),Data!U742/100,"n/a")</f>
        <v>n/a</v>
      </c>
      <c r="J494" s="28" t="str">
        <f>IF(ISNUMBER(Data!V742),Data!V742/100,"n/a")</f>
        <v>n/a</v>
      </c>
      <c r="K494" s="9" t="str">
        <f>IF(ISNUMBER(Data!Z742),Data!Z742/100,"n/a")</f>
        <v>n/a</v>
      </c>
      <c r="L494" s="10">
        <f>Data!AA742</f>
        <v>0</v>
      </c>
      <c r="M494" s="10">
        <f>Data!AF742</f>
        <v>0</v>
      </c>
      <c r="N494" s="28" t="str">
        <f>IF(ISNUMBER(Data!AG742),Data!AG742/100,"n/a")</f>
        <v>n/a</v>
      </c>
      <c r="O494" s="28" t="str">
        <f>IF(ISNUMBER(Data!AJ742),Data!AJ742/100,"n/a")</f>
        <v>n/a</v>
      </c>
      <c r="P494" s="9" t="str">
        <f>IF(ISNUMBER(Data!AK742),Data!AK742/100,"n/a")</f>
        <v>n/a</v>
      </c>
      <c r="Q494" s="8">
        <f>Data!AN742</f>
        <v>0</v>
      </c>
      <c r="R494" s="8">
        <f>Data!AP742</f>
        <v>0</v>
      </c>
      <c r="S494" s="8"/>
      <c r="T494" s="8"/>
      <c r="U494" s="8"/>
      <c r="V494" s="1">
        <f t="shared" si="14"/>
        <v>2</v>
      </c>
      <c r="W494" s="1">
        <f t="shared" si="15"/>
        <v>0</v>
      </c>
    </row>
    <row r="495" spans="1:23" hidden="1" x14ac:dyDescent="0.2">
      <c r="A495" s="7" t="str">
        <f>Data!A254</f>
        <v>First Mid Bancshares, Inc.</v>
      </c>
      <c r="B495" s="7" t="str">
        <f>Data!B254</f>
        <v>FMBH</v>
      </c>
      <c r="C495" s="7" t="str">
        <f>Data!C254</f>
        <v>Financials</v>
      </c>
      <c r="D495" s="8">
        <f>IF(ISNUMBER(Data!AL254),Data!AL254/1000,"n/a")</f>
        <v>0.71832000000000007</v>
      </c>
      <c r="E495" s="1">
        <f>Data!E254</f>
        <v>12</v>
      </c>
      <c r="F495" s="28">
        <f>Data!J254/100</f>
        <v>2.5691147724099413E-2</v>
      </c>
      <c r="G495" s="28">
        <f>IF(ISNUMBER(Data!S254),Data!S254/100,"n/a")</f>
        <v>4.9382716049382713E-2</v>
      </c>
      <c r="H495" s="28">
        <f>IF(ISNUMBER(Data!T254),Data!T254/100,"n/a")</f>
        <v>5.688761756416616E-2</v>
      </c>
      <c r="I495" s="28">
        <f>IF(ISNUMBER(Data!U254),Data!U254/100,"n/a")</f>
        <v>6.5136941314388963E-2</v>
      </c>
      <c r="J495" s="28">
        <f>IF(ISNUMBER(Data!V254),Data!V254/100,"n/a")</f>
        <v>7.8290784167006633E-2</v>
      </c>
      <c r="K495" s="9">
        <f>IF(ISNUMBER(Data!Z254),Data!Z254/100,"n/a")</f>
        <v>0.26136363636363635</v>
      </c>
      <c r="L495" s="10">
        <f>Data!AA254</f>
        <v>10.173295454545455</v>
      </c>
      <c r="M495" s="10">
        <f>Data!AF254</f>
        <v>1.17</v>
      </c>
      <c r="N495" s="28">
        <f>IF(ISNUMBER(Data!AG254),Data!AG254/100,"n/a")</f>
        <v>0.1</v>
      </c>
      <c r="O495" s="28">
        <f>IF(ISNUMBER(Data!AJ254),Data!AJ254/100,"n/a")</f>
        <v>7.0000000000000007E-2</v>
      </c>
      <c r="P495" s="9">
        <f>IF(ISNUMBER(Data!AK254),Data!AK254/100,"n/a")</f>
        <v>0.09</v>
      </c>
      <c r="Q495" s="8">
        <f>Data!AN254</f>
        <v>0.2</v>
      </c>
      <c r="R495" s="8">
        <f>Data!AP254</f>
        <v>9.0828089038488375</v>
      </c>
      <c r="S495" s="8"/>
      <c r="T495" s="8"/>
      <c r="U495" s="8"/>
      <c r="V495" s="1">
        <f t="shared" si="14"/>
        <v>9</v>
      </c>
      <c r="W495" s="1">
        <f t="shared" si="15"/>
        <v>0</v>
      </c>
    </row>
    <row r="496" spans="1:23" hidden="1" x14ac:dyDescent="0.2">
      <c r="A496" s="7" t="str">
        <f>Data!A255</f>
        <v>Farmers &amp; Merchants Bancorp</v>
      </c>
      <c r="B496" s="7" t="str">
        <f>Data!B255</f>
        <v>FMCB</v>
      </c>
      <c r="C496" s="7" t="str">
        <f>Data!C255</f>
        <v>Financials</v>
      </c>
      <c r="D496" s="8" t="str">
        <f>IF(ISNUMBER(Data!AL255),Data!AL255/1000,"n/a")</f>
        <v>n/a</v>
      </c>
      <c r="E496" s="1">
        <f>Data!E255</f>
        <v>59</v>
      </c>
      <c r="F496" s="28">
        <f>Data!J255/100</f>
        <v>1.6186234483896243E-2</v>
      </c>
      <c r="G496" s="28">
        <f>IF(ISNUMBER(Data!S255),Data!S255/100,"n/a")</f>
        <v>4.1666666666666741E-2</v>
      </c>
      <c r="H496" s="28">
        <f>IF(ISNUMBER(Data!T255),Data!T255/100,"n/a")</f>
        <v>2.5712117681764513E-2</v>
      </c>
      <c r="I496" s="28">
        <f>IF(ISNUMBER(Data!U255),Data!U255/100,"n/a")</f>
        <v>2.8243918267097934E-2</v>
      </c>
      <c r="J496" s="28">
        <f>IF(ISNUMBER(Data!V255),Data!V255/100,"n/a")</f>
        <v>2.5596507760801579E-2</v>
      </c>
      <c r="K496" s="9" t="str">
        <f>IF(ISNUMBER(Data!Z255),Data!Z255/100,"n/a")</f>
        <v>n/a</v>
      </c>
      <c r="L496" s="10" t="str">
        <f>Data!AA255</f>
        <v>n/a</v>
      </c>
      <c r="M496" s="10" t="str">
        <f>Data!AF255</f>
        <v>n/a</v>
      </c>
      <c r="N496" s="28" t="str">
        <f>IF(ISNUMBER(Data!AG255),Data!AG255/100,"n/a")</f>
        <v>n/a</v>
      </c>
      <c r="O496" s="28" t="str">
        <f>IF(ISNUMBER(Data!AJ255),Data!AJ255/100,"n/a")</f>
        <v>n/a</v>
      </c>
      <c r="P496" s="9" t="str">
        <f>IF(ISNUMBER(Data!AK255),Data!AK255/100,"n/a")</f>
        <v>n/a</v>
      </c>
      <c r="Q496" s="8" t="str">
        <f>Data!AN255</f>
        <v>n/a</v>
      </c>
      <c r="R496" s="8">
        <f>Data!AP255</f>
        <v>4.4430152750994178</v>
      </c>
      <c r="S496" s="8"/>
      <c r="T496" s="8"/>
      <c r="U496" s="8"/>
      <c r="V496" s="1">
        <f t="shared" si="14"/>
        <v>1</v>
      </c>
      <c r="W496" s="1">
        <f t="shared" si="15"/>
        <v>0</v>
      </c>
    </row>
    <row r="497" spans="1:23" hidden="1" x14ac:dyDescent="0.2">
      <c r="A497" s="7" t="str">
        <f>Data!A265</f>
        <v>First Merchants Corporation</v>
      </c>
      <c r="B497" s="7" t="str">
        <f>Data!B265</f>
        <v>FRME</v>
      </c>
      <c r="C497" s="7" t="str">
        <f>Data!C265</f>
        <v>Financials</v>
      </c>
      <c r="D497" s="8">
        <f>IF(ISNUMBER(Data!AL265),Data!AL265/1000,"n/a")</f>
        <v>2.61</v>
      </c>
      <c r="E497" s="1">
        <f>Data!E265</f>
        <v>11</v>
      </c>
      <c r="F497" s="28">
        <f>Data!J265/100</f>
        <v>2.8507795100222718E-2</v>
      </c>
      <c r="G497" s="28">
        <f>IF(ISNUMBER(Data!S265),Data!S265/100,"n/a")</f>
        <v>8.6538461538461467E-2</v>
      </c>
      <c r="H497" s="28">
        <f>IF(ISNUMBER(Data!T265),Data!T265/100,"n/a")</f>
        <v>0.10390843667722827</v>
      </c>
      <c r="I497" s="28">
        <f>IF(ISNUMBER(Data!U265),Data!U265/100,"n/a")</f>
        <v>0.15914278608818</v>
      </c>
      <c r="J497" s="28">
        <f>IF(ISNUMBER(Data!V265),Data!V265/100,"n/a")</f>
        <v>0.39669585799404272</v>
      </c>
      <c r="K497" s="9">
        <f>IF(ISNUMBER(Data!Z265),Data!Z265/100,"n/a")</f>
        <v>0.36467236467236469</v>
      </c>
      <c r="L497" s="10">
        <f>Data!AA265</f>
        <v>12.792022792022792</v>
      </c>
      <c r="M497" s="10">
        <f>Data!AF265</f>
        <v>1.35</v>
      </c>
      <c r="N497" s="28">
        <f>IF(ISNUMBER(Data!AG265),Data!AG265/100,"n/a")</f>
        <v>0.109</v>
      </c>
      <c r="O497" s="28">
        <f>IF(ISNUMBER(Data!AJ265),Data!AJ265/100,"n/a")</f>
        <v>0.14000000000000001</v>
      </c>
      <c r="P497" s="9">
        <f>IF(ISNUMBER(Data!AK265),Data!AK265/100,"n/a")</f>
        <v>7.0000000000000007E-2</v>
      </c>
      <c r="Q497" s="8">
        <f>Data!AN265</f>
        <v>0</v>
      </c>
      <c r="R497" s="8">
        <f>Data!AP265</f>
        <v>18.765058118840273</v>
      </c>
      <c r="S497" s="8"/>
      <c r="T497" s="8"/>
      <c r="U497" s="8"/>
      <c r="V497" s="1">
        <f t="shared" si="14"/>
        <v>11</v>
      </c>
      <c r="W497" s="1">
        <f t="shared" si="15"/>
        <v>0</v>
      </c>
    </row>
    <row r="498" spans="1:23" hidden="1" x14ac:dyDescent="0.2">
      <c r="A498" s="7" t="str">
        <f>Data!A245</f>
        <v>First Financial Northwest, Inc.</v>
      </c>
      <c r="B498" s="7" t="str">
        <f>Data!B245</f>
        <v>FFNW</v>
      </c>
      <c r="C498" s="7" t="str">
        <f>Data!C245</f>
        <v>Financials</v>
      </c>
      <c r="D498" s="8">
        <f>IF(ISNUMBER(Data!AL245),Data!AL245/1000,"n/a")</f>
        <v>0.13800000000000001</v>
      </c>
      <c r="E498" s="1">
        <f>Data!E245</f>
        <v>6</v>
      </c>
      <c r="F498" s="28">
        <f>Data!J245/100</f>
        <v>3.2301480484522208E-2</v>
      </c>
      <c r="G498" s="28">
        <f>IF(ISNUMBER(Data!S245),Data!S245/100,"n/a")</f>
        <v>9.9999999999999853E-2</v>
      </c>
      <c r="H498" s="28">
        <f>IF(ISNUMBER(Data!T245),Data!T245/100,"n/a")</f>
        <v>0.12382061455639448</v>
      </c>
      <c r="I498" s="28">
        <f>IF(ISNUMBER(Data!U245),Data!U245/100,"n/a")</f>
        <v>0.12888132073019753</v>
      </c>
      <c r="J498" s="28" t="str">
        <f>IF(ISNUMBER(Data!V245),Data!V245/100,"n/a")</f>
        <v>n/a</v>
      </c>
      <c r="K498" s="9">
        <f>IF(ISNUMBER(Data!Z245),Data!Z245/100,"n/a")</f>
        <v>0.37209302325581395</v>
      </c>
      <c r="L498" s="10">
        <f>Data!AA245</f>
        <v>11.519379844961239</v>
      </c>
      <c r="M498" s="10">
        <f>Data!AF245</f>
        <v>0.86</v>
      </c>
      <c r="N498" s="28">
        <f>IF(ISNUMBER(Data!AG245),Data!AG245/100,"n/a")</f>
        <v>8.2000000000000017E-2</v>
      </c>
      <c r="O498" s="28">
        <f>IF(ISNUMBER(Data!AJ245),Data!AJ245/100,"n/a")</f>
        <v>0.11799999999999999</v>
      </c>
      <c r="P498" s="9">
        <f>IF(ISNUMBER(Data!AK245),Data!AK245/100,"n/a")</f>
        <v>7.0000000000000007E-2</v>
      </c>
      <c r="Q498" s="8">
        <f>Data!AN245</f>
        <v>0</v>
      </c>
      <c r="R498" s="8">
        <f>Data!AP245</f>
        <v>16.118280121471976</v>
      </c>
      <c r="S498" s="8"/>
      <c r="T498" s="8"/>
      <c r="U498" s="8"/>
      <c r="V498" s="1">
        <f t="shared" si="14"/>
        <v>9</v>
      </c>
      <c r="W498" s="1">
        <f t="shared" si="15"/>
        <v>0</v>
      </c>
    </row>
    <row r="499" spans="1:23" hidden="1" x14ac:dyDescent="0.2">
      <c r="A499" s="7" t="str">
        <f>Data!A272</f>
        <v>Forward Air Corporation</v>
      </c>
      <c r="B499" s="7" t="str">
        <f>Data!B272</f>
        <v>FWRD</v>
      </c>
      <c r="C499" s="7" t="str">
        <f>Data!C272</f>
        <v>Industrials</v>
      </c>
      <c r="D499" s="8">
        <f>IF(ISNUMBER(Data!AL272),Data!AL272/1000,"n/a")</f>
        <v>2.73</v>
      </c>
      <c r="E499" s="1">
        <f>Data!E272</f>
        <v>7</v>
      </c>
      <c r="F499" s="28">
        <f>Data!J272/100</f>
        <v>9.0677245678662498E-3</v>
      </c>
      <c r="G499" s="28">
        <f>IF(ISNUMBER(Data!S272),Data!S272/100,"n/a")</f>
        <v>0.1199999999999999</v>
      </c>
      <c r="H499" s="28">
        <f>IF(ISNUMBER(Data!T272),Data!T272/100,"n/a")</f>
        <v>0.10064241629820891</v>
      </c>
      <c r="I499" s="28">
        <f>IF(ISNUMBER(Data!U272),Data!U272/100,"n/a")</f>
        <v>0.10494795379650303</v>
      </c>
      <c r="J499" s="28">
        <f>IF(ISNUMBER(Data!V272),Data!V272/100,"n/a")</f>
        <v>0.11612317403390439</v>
      </c>
      <c r="K499" s="9">
        <f>IF(ISNUMBER(Data!Z272),Data!Z272/100,"n/a")</f>
        <v>0.13812949640287769</v>
      </c>
      <c r="L499" s="10">
        <f>Data!AA272</f>
        <v>15.233093525179857</v>
      </c>
      <c r="M499" s="10">
        <f>Data!AF272</f>
        <v>4.21</v>
      </c>
      <c r="N499" s="28" t="str">
        <f>IF(ISNUMBER(Data!AG272),Data!AG272/100,"n/a")</f>
        <v>n/a</v>
      </c>
      <c r="O499" s="28">
        <f>IF(ISNUMBER(Data!AJ272),Data!AJ272/100,"n/a")</f>
        <v>0.36199999999999993</v>
      </c>
      <c r="P499" s="9">
        <f>IF(ISNUMBER(Data!AK272),Data!AK272/100,"n/a")</f>
        <v>0.13159999999999999</v>
      </c>
      <c r="Q499" s="8">
        <f>Data!AN272</f>
        <v>0.25</v>
      </c>
      <c r="R499" s="8">
        <f>Data!AP272</f>
        <v>11.401567836436927</v>
      </c>
      <c r="S499" s="8"/>
      <c r="T499" s="8"/>
      <c r="U499" s="8"/>
      <c r="V499" s="1">
        <f t="shared" si="14"/>
        <v>10</v>
      </c>
      <c r="W499" s="1">
        <f t="shared" si="15"/>
        <v>0</v>
      </c>
    </row>
    <row r="500" spans="1:23" hidden="1" x14ac:dyDescent="0.2">
      <c r="A500" s="7" t="str">
        <f>Data!A27</f>
        <v>Federal Agricultural Mortgage Corporation</v>
      </c>
      <c r="B500" s="7" t="str">
        <f>Data!B27</f>
        <v>AGM</v>
      </c>
      <c r="C500" s="7" t="str">
        <f>Data!C27</f>
        <v>Financials</v>
      </c>
      <c r="D500" s="8">
        <f>IF(ISNUMBER(Data!AL27),Data!AL27/1000,"n/a")</f>
        <v>1.2</v>
      </c>
      <c r="E500" s="1">
        <f>Data!E27</f>
        <v>11</v>
      </c>
      <c r="F500" s="28">
        <f>Data!J27/100</f>
        <v>3.2986111111111112E-2</v>
      </c>
      <c r="G500" s="28">
        <f>IF(ISNUMBER(Data!S27),Data!S27/100,"n/a")</f>
        <v>9.9999999999999853E-2</v>
      </c>
      <c r="H500" s="28">
        <f>IF(ISNUMBER(Data!T27),Data!T27/100,"n/a")</f>
        <v>0.1490834232364584</v>
      </c>
      <c r="I500" s="28">
        <f>IF(ISNUMBER(Data!U27),Data!U27/100,"n/a")</f>
        <v>0.27615041145487362</v>
      </c>
      <c r="J500" s="28">
        <f>IF(ISNUMBER(Data!V27),Data!V27/100,"n/a")</f>
        <v>0.33214428750516811</v>
      </c>
      <c r="K500" s="9">
        <f>IF(ISNUMBER(Data!Z27),Data!Z27/100,"n/a")</f>
        <v>0.30744336569579289</v>
      </c>
      <c r="L500" s="10">
        <f>Data!AA27</f>
        <v>9.3203883495145643</v>
      </c>
      <c r="M500" s="10">
        <f>Data!AF27</f>
        <v>1.7</v>
      </c>
      <c r="N500" s="28">
        <f>IF(ISNUMBER(Data!AG27),Data!AG27/100,"n/a")</f>
        <v>0.187</v>
      </c>
      <c r="O500" s="28">
        <f>IF(ISNUMBER(Data!AJ27),Data!AJ27/100,"n/a")</f>
        <v>0.107</v>
      </c>
      <c r="P500" s="9">
        <f>IF(ISNUMBER(Data!AK27),Data!AK27/100,"n/a")</f>
        <v>0.11</v>
      </c>
      <c r="Q500" s="8">
        <f>Data!AN27</f>
        <v>33.44</v>
      </c>
      <c r="R500" s="8">
        <f>Data!AP27</f>
        <v>30.913652256598471</v>
      </c>
      <c r="S500" s="8"/>
      <c r="T500" s="8"/>
      <c r="U500" s="8"/>
      <c r="V500" s="1">
        <f t="shared" si="14"/>
        <v>9</v>
      </c>
      <c r="W500" s="1">
        <f t="shared" si="15"/>
        <v>0</v>
      </c>
    </row>
    <row r="501" spans="1:23" hidden="1" x14ac:dyDescent="0.2">
      <c r="A501" s="7" t="str">
        <f>Data!A233</f>
        <v>First BanCorp.</v>
      </c>
      <c r="B501" s="7" t="str">
        <f>Data!B233</f>
        <v>FBP</v>
      </c>
      <c r="C501" s="7" t="str">
        <f>Data!C233</f>
        <v>Financials</v>
      </c>
      <c r="D501" s="8">
        <f>IF(ISNUMBER(Data!AL233),Data!AL233/1000,"n/a")</f>
        <v>2.84</v>
      </c>
      <c r="E501" s="1">
        <f>Data!E233</f>
        <v>5</v>
      </c>
      <c r="F501" s="28">
        <f>Data!J233/100</f>
        <v>3.0398986700443321E-2</v>
      </c>
      <c r="G501" s="28">
        <f>IF(ISNUMBER(Data!S233),Data!S233/100,"n/a")</f>
        <v>0.55000000000000027</v>
      </c>
      <c r="H501" s="28">
        <f>IF(ISNUMBER(Data!T233),Data!T233/100,"n/a")</f>
        <v>1.1781116923625246</v>
      </c>
      <c r="I501" s="28" t="str">
        <f>IF(ISNUMBER(Data!U233),Data!U233/100,"n/a")</f>
        <v>n/a</v>
      </c>
      <c r="J501" s="28" t="str">
        <f>IF(ISNUMBER(Data!V233),Data!V233/100,"n/a")</f>
        <v>n/a</v>
      </c>
      <c r="K501" s="9">
        <f>IF(ISNUMBER(Data!Z233),Data!Z233/100,"n/a")</f>
        <v>0.31168831168831168</v>
      </c>
      <c r="L501" s="10">
        <f>Data!AA233</f>
        <v>10.253246753246753</v>
      </c>
      <c r="M501" s="10">
        <f>Data!AF233</f>
        <v>1.95</v>
      </c>
      <c r="N501" s="28">
        <f>IF(ISNUMBER(Data!AG233),Data!AG233/100,"n/a")</f>
        <v>0.158</v>
      </c>
      <c r="O501" s="28">
        <f>IF(ISNUMBER(Data!AJ233),Data!AJ233/100,"n/a")</f>
        <v>0.249</v>
      </c>
      <c r="P501" s="9">
        <f>IF(ISNUMBER(Data!AK233),Data!AK233/100,"n/a")</f>
        <v>0.14399999999999999</v>
      </c>
      <c r="Q501" s="8">
        <f>Data!AN233</f>
        <v>0.12</v>
      </c>
      <c r="R501" s="8" t="str">
        <f>Data!AP233</f>
        <v>n/a</v>
      </c>
      <c r="S501" s="8"/>
      <c r="T501" s="8"/>
      <c r="U501" s="8"/>
      <c r="V501" s="1">
        <f t="shared" si="14"/>
        <v>9</v>
      </c>
      <c r="W501" s="1">
        <f t="shared" si="15"/>
        <v>0</v>
      </c>
    </row>
    <row r="502" spans="1:23" hidden="1" x14ac:dyDescent="0.2">
      <c r="A502" s="7" t="str">
        <f>Data!A262</f>
        <v>First Industrial Realty Trust, Inc.</v>
      </c>
      <c r="B502" s="7" t="str">
        <f>Data!B262</f>
        <v>FR</v>
      </c>
      <c r="C502" s="7" t="str">
        <f>Data!C262</f>
        <v>Real Estate</v>
      </c>
      <c r="D502" s="8">
        <f>IF(ISNUMBER(Data!AL262),Data!AL262/1000,"n/a")</f>
        <v>6.23</v>
      </c>
      <c r="E502" s="1">
        <f>Data!E262</f>
        <v>10</v>
      </c>
      <c r="F502" s="28">
        <f>Data!J262/100</f>
        <v>2.4774301910560573E-2</v>
      </c>
      <c r="G502" s="28">
        <f>IF(ISNUMBER(Data!S262),Data!S262/100,"n/a")</f>
        <v>8.163265306122458E-2</v>
      </c>
      <c r="H502" s="28">
        <f>IF(ISNUMBER(Data!T262),Data!T262/100,"n/a")</f>
        <v>7.0526381427061358E-2</v>
      </c>
      <c r="I502" s="28">
        <f>IF(ISNUMBER(Data!U262),Data!U262/100,"n/a")</f>
        <v>8.7463320644729267E-2</v>
      </c>
      <c r="J502" s="28" t="str">
        <f>IF(ISNUMBER(Data!V262),Data!V262/100,"n/a")</f>
        <v>n/a</v>
      </c>
      <c r="K502" s="9">
        <f>IF(ISNUMBER(Data!Z262),Data!Z262/100,"n/a")</f>
        <v>0.39730639730639727</v>
      </c>
      <c r="L502" s="10">
        <f>Data!AA262</f>
        <v>16.037037037037038</v>
      </c>
      <c r="M502" s="10">
        <f>Data!AF262</f>
        <v>2.61</v>
      </c>
      <c r="N502" s="28">
        <f>IF(ISNUMBER(Data!AG262),Data!AG262/100,"n/a")</f>
        <v>0.17100000000000001</v>
      </c>
      <c r="O502" s="28">
        <f>IF(ISNUMBER(Data!AJ262),Data!AJ262/100,"n/a")</f>
        <v>0.14799999999999999</v>
      </c>
      <c r="P502" s="9">
        <f>IF(ISNUMBER(Data!AK262),Data!AK262/100,"n/a")</f>
        <v>0.1</v>
      </c>
      <c r="Q502" s="8">
        <f>Data!AN262</f>
        <v>0.82</v>
      </c>
      <c r="R502" s="8">
        <f>Data!AP262</f>
        <v>11.223762255528985</v>
      </c>
      <c r="S502" s="8"/>
      <c r="T502" s="8"/>
      <c r="U502" s="8"/>
      <c r="V502" s="1">
        <f t="shared" si="14"/>
        <v>9</v>
      </c>
      <c r="W502" s="1">
        <f t="shared" si="15"/>
        <v>0</v>
      </c>
    </row>
    <row r="503" spans="1:23" hidden="1" x14ac:dyDescent="0.2">
      <c r="A503" s="7" t="str">
        <f>Data!A239</f>
        <v>Four Corners Property Trust, Inc.</v>
      </c>
      <c r="B503" s="7" t="str">
        <f>Data!B239</f>
        <v>FCPT</v>
      </c>
      <c r="C503" s="7" t="str">
        <f>Data!C239</f>
        <v>Real Estate</v>
      </c>
      <c r="D503" s="8">
        <f>IF(ISNUMBER(Data!AL239),Data!AL239/1000,"n/a")</f>
        <v>2.0299999999999998</v>
      </c>
      <c r="E503" s="1">
        <f>Data!E239</f>
        <v>7</v>
      </c>
      <c r="F503" s="28">
        <f>Data!J239/100</f>
        <v>5.1912568306010931E-2</v>
      </c>
      <c r="G503" s="28">
        <f>IF(ISNUMBER(Data!S239),Data!S239/100,"n/a")</f>
        <v>4.0983606557376984E-2</v>
      </c>
      <c r="H503" s="28">
        <f>IF(ISNUMBER(Data!T239),Data!T239/100,"n/a")</f>
        <v>4.9068093647468114E-2</v>
      </c>
      <c r="I503" s="28">
        <f>IF(ISNUMBER(Data!U239),Data!U239/100,"n/a")</f>
        <v>6.4873355422527368E-2</v>
      </c>
      <c r="J503" s="28" t="str">
        <f>IF(ISNUMBER(Data!V239),Data!V239/100,"n/a")</f>
        <v>n/a</v>
      </c>
      <c r="K503" s="9">
        <f>IF(ISNUMBER(Data!Z239),Data!Z239/100,"n/a")</f>
        <v>1.0991735537190084</v>
      </c>
      <c r="L503" s="10">
        <f>Data!AA239</f>
        <v>21.173553719008265</v>
      </c>
      <c r="M503" s="10">
        <f>Data!AF239</f>
        <v>2.06</v>
      </c>
      <c r="N503" s="28">
        <f>IF(ISNUMBER(Data!AG239),Data!AG239/100,"n/a")</f>
        <v>0.1</v>
      </c>
      <c r="O503" s="28">
        <f>IF(ISNUMBER(Data!AJ239),Data!AJ239/100,"n/a")</f>
        <v>-0.158</v>
      </c>
      <c r="P503" s="9" t="str">
        <f>IF(ISNUMBER(Data!AK239),Data!AK239/100,"n/a")</f>
        <v>n/a</v>
      </c>
      <c r="Q503" s="8">
        <f>Data!AN239</f>
        <v>0.98</v>
      </c>
      <c r="R503" s="8">
        <f>Data!AP239</f>
        <v>11.67859237285383</v>
      </c>
      <c r="S503" s="8"/>
      <c r="T503" s="8"/>
      <c r="U503" s="8"/>
      <c r="V503" s="1">
        <f t="shared" si="14"/>
        <v>3</v>
      </c>
      <c r="W503" s="1">
        <f t="shared" si="15"/>
        <v>0</v>
      </c>
    </row>
    <row r="504" spans="1:23" hidden="1" x14ac:dyDescent="0.2">
      <c r="A504" s="7" t="str">
        <f>Data!A392</f>
        <v>Lockheed Martin Corporation</v>
      </c>
      <c r="B504" s="7" t="str">
        <f>Data!B392</f>
        <v>LMT</v>
      </c>
      <c r="C504" s="7" t="str">
        <f>Data!C392</f>
        <v>Industrials</v>
      </c>
      <c r="D504" s="8">
        <f>IF(ISNUMBER(Data!AL392),Data!AL392/1000,"n/a")</f>
        <v>123.68</v>
      </c>
      <c r="E504" s="1">
        <f>Data!E392</f>
        <v>19</v>
      </c>
      <c r="F504" s="28">
        <f>Data!J392/100</f>
        <v>2.4656858716199555E-2</v>
      </c>
      <c r="G504" s="28">
        <f>IF(ISNUMBER(Data!S392),Data!S392/100,"n/a")</f>
        <v>8.1632653061224372E-2</v>
      </c>
      <c r="H504" s="28">
        <f>IF(ISNUMBER(Data!T392),Data!T392/100,"n/a")</f>
        <v>8.9341387842532871E-2</v>
      </c>
      <c r="I504" s="28">
        <f>IF(ISNUMBER(Data!U392),Data!U392/100,"n/a")</f>
        <v>9.3813903279786004E-2</v>
      </c>
      <c r="J504" s="28">
        <f>IF(ISNUMBER(Data!V392),Data!V392/100,"n/a")</f>
        <v>0.1254915802931611</v>
      </c>
      <c r="K504" s="9">
        <f>IF(ISNUMBER(Data!Z392),Data!Z392/100,"n/a")</f>
        <v>0.55096418732782371</v>
      </c>
      <c r="L504" s="10">
        <f>Data!AA392</f>
        <v>22.345270890725434</v>
      </c>
      <c r="M504" s="10">
        <f>Data!AF392</f>
        <v>10.7</v>
      </c>
      <c r="N504" s="28">
        <f>IF(ISNUMBER(Data!AG392),Data!AG392/100,"n/a")</f>
        <v>0.52900000000000003</v>
      </c>
      <c r="O504" s="28">
        <f>IF(ISNUMBER(Data!AJ392),Data!AJ392/100,"n/a")</f>
        <v>0.13500000000000001</v>
      </c>
      <c r="P504" s="9">
        <f>IF(ISNUMBER(Data!AK392),Data!AK392/100,"n/a")</f>
        <v>7.85E-2</v>
      </c>
      <c r="Q504" s="8">
        <f>Data!AN392</f>
        <v>0</v>
      </c>
      <c r="R504" s="8">
        <f>Data!AP392</f>
        <v>11.847076199598556</v>
      </c>
      <c r="S504" s="8"/>
      <c r="T504" s="8"/>
      <c r="U504" s="8"/>
      <c r="V504" s="1">
        <f t="shared" si="14"/>
        <v>10</v>
      </c>
      <c r="W504" s="1">
        <f t="shared" si="15"/>
        <v>0</v>
      </c>
    </row>
    <row r="505" spans="1:23" hidden="1" x14ac:dyDescent="0.2">
      <c r="A505" s="7" t="str">
        <f>Data!A261</f>
        <v>Franco-Nevada Corporation</v>
      </c>
      <c r="B505" s="7" t="str">
        <f>Data!B261</f>
        <v>FNV</v>
      </c>
      <c r="C505" s="7" t="str">
        <f>Data!C261</f>
        <v>Materials</v>
      </c>
      <c r="D505" s="8">
        <f>IF(ISNUMBER(Data!AL261),Data!AL261/1000,"n/a")</f>
        <v>32.36</v>
      </c>
      <c r="E505" s="1">
        <f>Data!E261</f>
        <v>15</v>
      </c>
      <c r="F505" s="28">
        <f>Data!J261/100</f>
        <v>1.0357663052273831E-2</v>
      </c>
      <c r="G505" s="28">
        <f>IF(ISNUMBER(Data!S261),Data!S261/100,"n/a")</f>
        <v>0.12621359223300965</v>
      </c>
      <c r="H505" s="28">
        <f>IF(ISNUMBER(Data!T261),Data!T261/100,"n/a")</f>
        <v>6.8836955505124253E-2</v>
      </c>
      <c r="I505" s="28">
        <f>IF(ISNUMBER(Data!U261),Data!U261/100,"n/a")</f>
        <v>5.9223841048812176E-2</v>
      </c>
      <c r="J505" s="28">
        <f>IF(ISNUMBER(Data!V261),Data!V261/100,"n/a")</f>
        <v>0.1148110168963077</v>
      </c>
      <c r="K505" s="9">
        <f>IF(ISNUMBER(Data!Z261),Data!Z261/100,"n/a")</f>
        <v>0.23616236162361626</v>
      </c>
      <c r="L505" s="10">
        <f>Data!AA261</f>
        <v>22.800738007380073</v>
      </c>
      <c r="M505" s="10">
        <f>Data!AF261</f>
        <v>2.83</v>
      </c>
      <c r="N505" s="28">
        <f>IF(ISNUMBER(Data!AG261),Data!AG261/100,"n/a")</f>
        <v>0.126</v>
      </c>
      <c r="O505" s="28">
        <f>IF(ISNUMBER(Data!AJ261),Data!AJ261/100,"n/a")</f>
        <v>0.40799999999999997</v>
      </c>
      <c r="P505" s="9">
        <f>IF(ISNUMBER(Data!AK261),Data!AK261/100,"n/a")</f>
        <v>6.3500000000000001E-2</v>
      </c>
      <c r="Q505" s="8">
        <f>Data!AN261</f>
        <v>0</v>
      </c>
      <c r="R505" s="8">
        <f>Data!AP261</f>
        <v>6.9581504101086011</v>
      </c>
      <c r="S505" s="8"/>
      <c r="T505" s="8"/>
      <c r="U505" s="8"/>
      <c r="V505" s="1">
        <f t="shared" si="14"/>
        <v>9</v>
      </c>
      <c r="W505" s="1">
        <f t="shared" si="15"/>
        <v>0</v>
      </c>
    </row>
    <row r="506" spans="1:23" hidden="1" x14ac:dyDescent="0.2">
      <c r="A506" s="7" t="str">
        <f>Data!A246</f>
        <v>First Guaranty Bancshares, Inc.</v>
      </c>
      <c r="B506" s="7" t="str">
        <f>Data!B246</f>
        <v>FGBI</v>
      </c>
      <c r="C506" s="7" t="str">
        <f>Data!C246</f>
        <v>Financials</v>
      </c>
      <c r="D506" s="8">
        <f>IF(ISNUMBER(Data!AL246),Data!AL246/1000,"n/a")</f>
        <v>0.23904</v>
      </c>
      <c r="E506" s="1">
        <f>Data!E246</f>
        <v>7</v>
      </c>
      <c r="F506" s="28">
        <f>Data!J246/100</f>
        <v>2.7741655830082357E-2</v>
      </c>
      <c r="G506" s="28">
        <f>IF(ISNUMBER(Data!S246),Data!S246/100,"n/a")</f>
        <v>2.5000000000000133E-2</v>
      </c>
      <c r="H506" s="28">
        <f>IF(ISNUMBER(Data!T246),Data!T246/100,"n/a")</f>
        <v>4.0811742977667542E-2</v>
      </c>
      <c r="I506" s="28">
        <f>IF(ISNUMBER(Data!U246),Data!U246/100,"n/a")</f>
        <v>4.4003241603481458E-2</v>
      </c>
      <c r="J506" s="28">
        <f>IF(ISNUMBER(Data!V246),Data!V246/100,"n/a")</f>
        <v>3.1549783115105257E-2</v>
      </c>
      <c r="K506" s="9">
        <f>IF(ISNUMBER(Data!Z246),Data!Z246/100,"n/a")</f>
        <v>0.2344322344322344</v>
      </c>
      <c r="L506" s="10">
        <f>Data!AA246</f>
        <v>8.4505494505494507</v>
      </c>
      <c r="M506" s="10">
        <f>Data!AF246</f>
        <v>1.33</v>
      </c>
      <c r="N506" s="28">
        <f>IF(ISNUMBER(Data!AG246),Data!AG246/100,"n/a")</f>
        <v>0.14699999999999999</v>
      </c>
      <c r="O506" s="28">
        <f>IF(ISNUMBER(Data!AJ246),Data!AJ246/100,"n/a")</f>
        <v>0.11700000000000001</v>
      </c>
      <c r="P506" s="9" t="str">
        <f>IF(ISNUMBER(Data!AK246),Data!AK246/100,"n/a")</f>
        <v>n/a</v>
      </c>
      <c r="Q506" s="8">
        <f>Data!AN246</f>
        <v>0.2</v>
      </c>
      <c r="R506" s="8">
        <f>Data!AP246</f>
        <v>7.1744897433563821</v>
      </c>
      <c r="S506" s="8"/>
      <c r="T506" s="8"/>
      <c r="U506" s="8"/>
      <c r="V506" s="1">
        <f t="shared" si="14"/>
        <v>5</v>
      </c>
      <c r="W506" s="1">
        <f t="shared" si="15"/>
        <v>0</v>
      </c>
    </row>
    <row r="507" spans="1:23" hidden="1" x14ac:dyDescent="0.2">
      <c r="A507" s="7">
        <f>Data!A724</f>
        <v>0</v>
      </c>
      <c r="B507" s="7">
        <f>Data!B724</f>
        <v>0</v>
      </c>
      <c r="C507" s="7">
        <f>Data!C724</f>
        <v>0</v>
      </c>
      <c r="D507" s="8" t="str">
        <f>IF(ISNUMBER(Data!AL724),Data!AL724/1000,"n/a")</f>
        <v>n/a</v>
      </c>
      <c r="E507" s="1">
        <f>Data!E724</f>
        <v>0</v>
      </c>
      <c r="F507" s="28">
        <f>Data!J724/100</f>
        <v>0</v>
      </c>
      <c r="G507" s="28" t="str">
        <f>IF(ISNUMBER(Data!S724),Data!S724/100,"n/a")</f>
        <v>n/a</v>
      </c>
      <c r="H507" s="28" t="str">
        <f>IF(ISNUMBER(Data!T724),Data!T724/100,"n/a")</f>
        <v>n/a</v>
      </c>
      <c r="I507" s="28" t="str">
        <f>IF(ISNUMBER(Data!U724),Data!U724/100,"n/a")</f>
        <v>n/a</v>
      </c>
      <c r="J507" s="28" t="str">
        <f>IF(ISNUMBER(Data!V724),Data!V724/100,"n/a")</f>
        <v>n/a</v>
      </c>
      <c r="K507" s="9" t="str">
        <f>IF(ISNUMBER(Data!Z724),Data!Z724/100,"n/a")</f>
        <v>n/a</v>
      </c>
      <c r="L507" s="10">
        <f>Data!AA724</f>
        <v>0</v>
      </c>
      <c r="M507" s="10">
        <f>Data!AF724</f>
        <v>0</v>
      </c>
      <c r="N507" s="28" t="str">
        <f>IF(ISNUMBER(Data!AG724),Data!AG724/100,"n/a")</f>
        <v>n/a</v>
      </c>
      <c r="O507" s="28" t="str">
        <f>IF(ISNUMBER(Data!AJ724),Data!AJ724/100,"n/a")</f>
        <v>n/a</v>
      </c>
      <c r="P507" s="9" t="str">
        <f>IF(ISNUMBER(Data!AK724),Data!AK724/100,"n/a")</f>
        <v>n/a</v>
      </c>
      <c r="Q507" s="8">
        <f>Data!AN724</f>
        <v>0</v>
      </c>
      <c r="R507" s="8">
        <f>Data!AP724</f>
        <v>0</v>
      </c>
      <c r="S507" s="8"/>
      <c r="T507" s="8"/>
      <c r="U507" s="8"/>
      <c r="V507" s="1">
        <f t="shared" si="14"/>
        <v>2</v>
      </c>
      <c r="W507" s="1">
        <f t="shared" si="15"/>
        <v>0</v>
      </c>
    </row>
    <row r="508" spans="1:23" hidden="1" x14ac:dyDescent="0.2">
      <c r="A508" s="7" t="str">
        <f>Data!A230</f>
        <v>First Business Financial Services, Inc.</v>
      </c>
      <c r="B508" s="7" t="str">
        <f>Data!B230</f>
        <v>FBIZ</v>
      </c>
      <c r="C508" s="7" t="str">
        <f>Data!C230</f>
        <v>Financials</v>
      </c>
      <c r="D508" s="8">
        <f>IF(ISNUMBER(Data!AL230),Data!AL230/1000,"n/a")</f>
        <v>0.29905999999999999</v>
      </c>
      <c r="E508" s="1">
        <f>Data!E230</f>
        <v>10</v>
      </c>
      <c r="F508" s="28">
        <f>Data!J230/100</f>
        <v>2.0707732634338137E-2</v>
      </c>
      <c r="G508" s="28">
        <f>IF(ISNUMBER(Data!S230),Data!S230/100,"n/a")</f>
        <v>9.0909090909090828E-2</v>
      </c>
      <c r="H508" s="28">
        <f>IF(ISNUMBER(Data!T230),Data!T230/100,"n/a")</f>
        <v>8.7380373002892142E-2</v>
      </c>
      <c r="I508" s="28">
        <f>IF(ISNUMBER(Data!U230),Data!U230/100,"n/a")</f>
        <v>8.4471771197698539E-2</v>
      </c>
      <c r="J508" s="28">
        <f>IF(ISNUMBER(Data!V230),Data!V230/100,"n/a")</f>
        <v>0.17793261291868734</v>
      </c>
      <c r="K508" s="9">
        <f>IF(ISNUMBER(Data!Z230),Data!Z230/100,"n/a")</f>
        <v>0.17913832199546487</v>
      </c>
      <c r="L508" s="10">
        <f>Data!AA230</f>
        <v>8.6507936507936503</v>
      </c>
      <c r="M508" s="10">
        <f>Data!AF230</f>
        <v>1.27</v>
      </c>
      <c r="N508" s="28">
        <f>IF(ISNUMBER(Data!AG230),Data!AG230/100,"n/a")</f>
        <v>0.14499999999999999</v>
      </c>
      <c r="O508" s="28">
        <f>IF(ISNUMBER(Data!AJ230),Data!AJ230/100,"n/a")</f>
        <v>0.19500000000000001</v>
      </c>
      <c r="P508" s="9">
        <f>IF(ISNUMBER(Data!AK230),Data!AK230/100,"n/a")</f>
        <v>0.08</v>
      </c>
      <c r="Q508" s="8">
        <f>Data!AN230</f>
        <v>0.18</v>
      </c>
      <c r="R508" s="8">
        <f>Data!AP230</f>
        <v>10.517950383203669</v>
      </c>
      <c r="S508" s="8"/>
      <c r="T508" s="8"/>
      <c r="U508" s="8"/>
      <c r="V508" s="1">
        <f t="shared" si="14"/>
        <v>10</v>
      </c>
      <c r="W508" s="1">
        <f t="shared" si="15"/>
        <v>0</v>
      </c>
    </row>
    <row r="509" spans="1:23" hidden="1" x14ac:dyDescent="0.2">
      <c r="A509" s="7" t="str">
        <f>Data!A229</f>
        <v>Fortune Brands Home &amp; Security, Inc.</v>
      </c>
      <c r="B509" s="7" t="str">
        <f>Data!B229</f>
        <v>FBHS</v>
      </c>
      <c r="C509" s="7" t="str">
        <f>Data!C229</f>
        <v>Industrials</v>
      </c>
      <c r="D509" s="8">
        <f>IF(ISNUMBER(Data!AL229),Data!AL229/1000,"n/a")</f>
        <v>7.66</v>
      </c>
      <c r="E509" s="1">
        <f>Data!E229</f>
        <v>10</v>
      </c>
      <c r="F509" s="28">
        <f>Data!J229/100</f>
        <v>1.8567639257294433E-2</v>
      </c>
      <c r="G509" s="28">
        <f>IF(ISNUMBER(Data!S229),Data!S229/100,"n/a")</f>
        <v>8.3333333333333481E-2</v>
      </c>
      <c r="H509" s="28">
        <f>IF(ISNUMBER(Data!T229),Data!T229/100,"n/a")</f>
        <v>9.1392883061105934E-2</v>
      </c>
      <c r="I509" s="28">
        <f>IF(ISNUMBER(Data!U229),Data!U229/100,"n/a")</f>
        <v>0.10197228772148016</v>
      </c>
      <c r="J509" s="28" t="str">
        <f>IF(ISNUMBER(Data!V229),Data!V229/100,"n/a")</f>
        <v>n/a</v>
      </c>
      <c r="K509" s="9">
        <f>IF(ISNUMBER(Data!Z229),Data!Z229/100,"n/a")</f>
        <v>0.19823008849557522</v>
      </c>
      <c r="L509" s="10">
        <f>Data!AA229</f>
        <v>10.676106194690265</v>
      </c>
      <c r="M509" s="10">
        <f>Data!AF229</f>
        <v>2.62</v>
      </c>
      <c r="N509" s="28">
        <f>IF(ISNUMBER(Data!AG229),Data!AG229/100,"n/a")</f>
        <v>0.252</v>
      </c>
      <c r="O509" s="28">
        <f>IF(ISNUMBER(Data!AJ229),Data!AJ229/100,"n/a")</f>
        <v>0.16200000000000001</v>
      </c>
      <c r="P509" s="9">
        <f>IF(ISNUMBER(Data!AK229),Data!AK229/100,"n/a")</f>
        <v>1.2E-2</v>
      </c>
      <c r="Q509" s="8">
        <f>Data!AN229</f>
        <v>1.1200000000000001</v>
      </c>
      <c r="R509" s="8">
        <f>Data!AP229</f>
        <v>12.053992697877458</v>
      </c>
      <c r="S509" s="8"/>
      <c r="T509" s="8"/>
      <c r="U509" s="8"/>
      <c r="V509" s="1">
        <f t="shared" si="14"/>
        <v>8</v>
      </c>
      <c r="W509" s="1">
        <f t="shared" si="15"/>
        <v>0</v>
      </c>
    </row>
    <row r="510" spans="1:23" hidden="1" x14ac:dyDescent="0.2">
      <c r="A510" s="7" t="str">
        <f>Data!A228</f>
        <v>Fastenal Company</v>
      </c>
      <c r="B510" s="7" t="str">
        <f>Data!B228</f>
        <v>FAST</v>
      </c>
      <c r="C510" s="7" t="str">
        <f>Data!C228</f>
        <v>Industrials</v>
      </c>
      <c r="D510" s="8">
        <f>IF(ISNUMBER(Data!AL228),Data!AL228/1000,"n/a")</f>
        <v>26.95</v>
      </c>
      <c r="E510" s="1">
        <f>Data!E228</f>
        <v>23</v>
      </c>
      <c r="F510" s="28">
        <f>Data!J228/100</f>
        <v>2.5656941858059178E-2</v>
      </c>
      <c r="G510" s="28">
        <f>IF(ISNUMBER(Data!S228),Data!S228/100,"n/a")</f>
        <v>0.12000000000000011</v>
      </c>
      <c r="H510" s="28">
        <f>IF(ISNUMBER(Data!T228),Data!T228/100,"n/a")</f>
        <v>0.1330326698854094</v>
      </c>
      <c r="I510" s="28">
        <f>IF(ISNUMBER(Data!U228),Data!U228/100,"n/a")</f>
        <v>0.13295681060117071</v>
      </c>
      <c r="J510" s="28">
        <f>IF(ISNUMBER(Data!V228),Data!V228/100,"n/a")</f>
        <v>0.15613585876251501</v>
      </c>
      <c r="K510" s="9">
        <f>IF(ISNUMBER(Data!Z228),Data!Z228/100,"n/a")</f>
        <v>0.66666666666666652</v>
      </c>
      <c r="L510" s="10">
        <f>Data!AA228</f>
        <v>25.983870967741932</v>
      </c>
      <c r="M510" s="10">
        <f>Data!AF228</f>
        <v>8.82</v>
      </c>
      <c r="N510" s="28">
        <f>IF(ISNUMBER(Data!AG228),Data!AG228/100,"n/a")</f>
        <v>0.34300000000000003</v>
      </c>
      <c r="O510" s="28">
        <f>IF(ISNUMBER(Data!AJ228),Data!AJ228/100,"n/a")</f>
        <v>0.13200000000000001</v>
      </c>
      <c r="P510" s="9">
        <f>IF(ISNUMBER(Data!AK228),Data!AK228/100,"n/a")</f>
        <v>6.3299999999999995E-2</v>
      </c>
      <c r="Q510" s="8">
        <f>Data!AN228</f>
        <v>0.18</v>
      </c>
      <c r="R510" s="8">
        <f>Data!AP228</f>
        <v>15.861375245922989</v>
      </c>
      <c r="S510" s="8"/>
      <c r="T510" s="8"/>
      <c r="U510" s="8"/>
      <c r="V510" s="1">
        <f t="shared" si="14"/>
        <v>10</v>
      </c>
      <c r="W510" s="1">
        <f t="shared" si="15"/>
        <v>0</v>
      </c>
    </row>
    <row r="511" spans="1:23" hidden="1" x14ac:dyDescent="0.2">
      <c r="A511" s="7" t="str">
        <f>Data!A258</f>
        <v>FNCB Bancorp, Inc.</v>
      </c>
      <c r="B511" s="7" t="str">
        <f>Data!B258</f>
        <v>FNCB</v>
      </c>
      <c r="C511" s="7" t="str">
        <f>Data!C258</f>
        <v>Financials</v>
      </c>
      <c r="D511" s="8">
        <f>IF(ISNUMBER(Data!AL258),Data!AL258/1000,"n/a")</f>
        <v>0.15039</v>
      </c>
      <c r="E511" s="1">
        <f>Data!E258</f>
        <v>7</v>
      </c>
      <c r="F511" s="28">
        <f>Data!J258/100</f>
        <v>4.7368421052631587E-2</v>
      </c>
      <c r="G511" s="28">
        <f>IF(ISNUMBER(Data!S258),Data!S258/100,"n/a")</f>
        <v>0.22727272727272729</v>
      </c>
      <c r="H511" s="28">
        <f>IF(ISNUMBER(Data!T258),Data!T258/100,"n/a")</f>
        <v>0.16673335619846097</v>
      </c>
      <c r="I511" s="28">
        <f>IF(ISNUMBER(Data!U258),Data!U258/100,"n/a")</f>
        <v>0.24573093961551742</v>
      </c>
      <c r="J511" s="28" t="str">
        <f>IF(ISNUMBER(Data!V258),Data!V258/100,"n/a")</f>
        <v>n/a</v>
      </c>
      <c r="K511" s="9">
        <f>IF(ISNUMBER(Data!Z258),Data!Z258/100,"n/a")</f>
        <v>0.3529411764705882</v>
      </c>
      <c r="L511" s="10">
        <f>Data!AA258</f>
        <v>7.450980392156862</v>
      </c>
      <c r="M511" s="10">
        <f>Data!AF258</f>
        <v>1.2</v>
      </c>
      <c r="N511" s="28">
        <f>IF(ISNUMBER(Data!AG258),Data!AG258/100,"n/a")</f>
        <v>0.13500000000000001</v>
      </c>
      <c r="O511" s="28">
        <f>IF(ISNUMBER(Data!AJ258),Data!AJ258/100,"n/a")</f>
        <v>0.22800000000000001</v>
      </c>
      <c r="P511" s="9" t="str">
        <f>IF(ISNUMBER(Data!AK258),Data!AK258/100,"n/a")</f>
        <v>n/a</v>
      </c>
      <c r="Q511" s="8">
        <f>Data!AN258</f>
        <v>0.08</v>
      </c>
      <c r="R511" s="8">
        <f>Data!AP258</f>
        <v>29.309936066814899</v>
      </c>
      <c r="S511" s="8"/>
      <c r="T511" s="8"/>
      <c r="U511" s="8"/>
      <c r="V511" s="1">
        <f t="shared" si="14"/>
        <v>8</v>
      </c>
      <c r="W511" s="1">
        <f t="shared" si="15"/>
        <v>0</v>
      </c>
    </row>
    <row r="512" spans="1:23" hidden="1" x14ac:dyDescent="0.2">
      <c r="A512" s="7" t="str">
        <f>Data!A226</f>
        <v>First American Financial Corporation</v>
      </c>
      <c r="B512" s="7" t="str">
        <f>Data!B226</f>
        <v>FAF</v>
      </c>
      <c r="C512" s="7" t="str">
        <f>Data!C226</f>
        <v>Financials</v>
      </c>
      <c r="D512" s="8">
        <f>IF(ISNUMBER(Data!AL226),Data!AL226/1000,"n/a")</f>
        <v>5.15</v>
      </c>
      <c r="E512" s="1">
        <f>Data!E226</f>
        <v>13</v>
      </c>
      <c r="F512" s="28">
        <f>Data!J226/100</f>
        <v>4.1269841269841276E-2</v>
      </c>
      <c r="G512" s="28">
        <f>IF(ISNUMBER(Data!S226),Data!S226/100,"n/a")</f>
        <v>8.9887640449438214E-2</v>
      </c>
      <c r="H512" s="28">
        <f>IF(ISNUMBER(Data!T226),Data!T226/100,"n/a")</f>
        <v>6.6335617752943499E-2</v>
      </c>
      <c r="I512" s="28">
        <f>IF(ISNUMBER(Data!U226),Data!U226/100,"n/a")</f>
        <v>0.10083973415839222</v>
      </c>
      <c r="J512" s="28">
        <f>IF(ISNUMBER(Data!V226),Data!V226/100,"n/a")</f>
        <v>0.23242088335657976</v>
      </c>
      <c r="K512" s="9">
        <f>IF(ISNUMBER(Data!Z226),Data!Z226/100,"n/a")</f>
        <v>0.49056603773584906</v>
      </c>
      <c r="L512" s="10">
        <f>Data!AA226</f>
        <v>11.886792452830187</v>
      </c>
      <c r="M512" s="10">
        <f>Data!AF226</f>
        <v>1.1100000000000001</v>
      </c>
      <c r="N512" s="28">
        <f>IF(ISNUMBER(Data!AG226),Data!AG226/100,"n/a")</f>
        <v>0.20399999999999999</v>
      </c>
      <c r="O512" s="28">
        <f>IF(ISNUMBER(Data!AJ226),Data!AJ226/100,"n/a")</f>
        <v>0.29299999999999998</v>
      </c>
      <c r="P512" s="9">
        <f>IF(ISNUMBER(Data!AK226),Data!AK226/100,"n/a")</f>
        <v>-9.849999999999999E-2</v>
      </c>
      <c r="Q512" s="8">
        <f>Data!AN226</f>
        <v>0.42</v>
      </c>
      <c r="R512" s="8">
        <f>Data!AP226</f>
        <v>14.210957542823348</v>
      </c>
      <c r="S512" s="8"/>
      <c r="T512" s="8"/>
      <c r="U512" s="8"/>
      <c r="V512" s="1">
        <f t="shared" si="14"/>
        <v>10</v>
      </c>
      <c r="W512" s="1">
        <f t="shared" si="15"/>
        <v>0</v>
      </c>
    </row>
    <row r="513" spans="1:23" hidden="1" x14ac:dyDescent="0.2">
      <c r="A513" s="7" t="str">
        <f>Data!A225</f>
        <v>Extra Space Storage Inc.</v>
      </c>
      <c r="B513" s="7" t="str">
        <f>Data!B225</f>
        <v>EXR</v>
      </c>
      <c r="C513" s="7" t="str">
        <f>Data!C225</f>
        <v>Real Estate</v>
      </c>
      <c r="D513" s="8">
        <f>IF(ISNUMBER(Data!AL225),Data!AL225/1000,"n/a")</f>
        <v>23.02</v>
      </c>
      <c r="E513" s="1">
        <f>Data!E225</f>
        <v>13</v>
      </c>
      <c r="F513" s="28">
        <f>Data!J225/100</f>
        <v>3.3814247069431924E-2</v>
      </c>
      <c r="G513" s="28">
        <f>IF(ISNUMBER(Data!S225),Data!S225/100,"n/a")</f>
        <v>0.25</v>
      </c>
      <c r="H513" s="28">
        <f>IF(ISNUMBER(Data!T225),Data!T225/100,"n/a")</f>
        <v>0.10227784577092326</v>
      </c>
      <c r="I513" s="28">
        <f>IF(ISNUMBER(Data!U225),Data!U225/100,"n/a")</f>
        <v>8.9604727061539435E-2</v>
      </c>
      <c r="J513" s="28">
        <f>IF(ISNUMBER(Data!V225),Data!V225/100,"n/a")</f>
        <v>0.23169293035496571</v>
      </c>
      <c r="K513" s="9">
        <f>IF(ISNUMBER(Data!Z225),Data!Z225/100,"n/a")</f>
        <v>0.90225563909774431</v>
      </c>
      <c r="L513" s="10">
        <f>Data!AA225</f>
        <v>26.682706766917292</v>
      </c>
      <c r="M513" s="10">
        <f>Data!AF225</f>
        <v>7.49</v>
      </c>
      <c r="N513" s="28">
        <f>IF(ISNUMBER(Data!AG225),Data!AG225/100,"n/a")</f>
        <v>0.28499999999999998</v>
      </c>
      <c r="O513" s="28">
        <f>IF(ISNUMBER(Data!AJ225),Data!AJ225/100,"n/a")</f>
        <v>0.16300000000000001</v>
      </c>
      <c r="P513" s="9">
        <f>IF(ISNUMBER(Data!AK225),Data!AK225/100,"n/a")</f>
        <v>0.06</v>
      </c>
      <c r="Q513" s="8">
        <f>Data!AN225</f>
        <v>1.99</v>
      </c>
      <c r="R513" s="8">
        <f>Data!AP225</f>
        <v>12.341897413097136</v>
      </c>
      <c r="S513" s="8"/>
      <c r="T513" s="8"/>
      <c r="U513" s="8"/>
      <c r="V513" s="1">
        <f t="shared" si="14"/>
        <v>8</v>
      </c>
      <c r="W513" s="1">
        <f t="shared" si="15"/>
        <v>0</v>
      </c>
    </row>
    <row r="514" spans="1:23" hidden="1" x14ac:dyDescent="0.2">
      <c r="A514" s="7" t="str">
        <f>Data!A224</f>
        <v>Exponent, Inc.</v>
      </c>
      <c r="B514" s="7" t="str">
        <f>Data!B224</f>
        <v>EXPO</v>
      </c>
      <c r="C514" s="7" t="str">
        <f>Data!C224</f>
        <v>Industrials</v>
      </c>
      <c r="D514" s="8">
        <f>IF(ISNUMBER(Data!AL224),Data!AL224/1000,"n/a")</f>
        <v>4.6399999999999997</v>
      </c>
      <c r="E514" s="1">
        <f>Data!E224</f>
        <v>10</v>
      </c>
      <c r="F514" s="28">
        <f>Data!J224/100</f>
        <v>1.0077682133109384E-2</v>
      </c>
      <c r="G514" s="28">
        <f>IF(ISNUMBER(Data!S224),Data!S224/100,"n/a")</f>
        <v>5.2631578947368363E-2</v>
      </c>
      <c r="H514" s="28">
        <f>IF(ISNUMBER(Data!T224),Data!T224/100,"n/a")</f>
        <v>0.15441567326431938</v>
      </c>
      <c r="I514" s="28">
        <f>IF(ISNUMBER(Data!U224),Data!U224/100,"n/a")</f>
        <v>0.17316067631184098</v>
      </c>
      <c r="J514" s="28" t="str">
        <f>IF(ISNUMBER(Data!V224),Data!V224/100,"n/a")</f>
        <v>n/a</v>
      </c>
      <c r="K514" s="9">
        <f>IF(ISNUMBER(Data!Z224),Data!Z224/100,"n/a")</f>
        <v>0.50526315789473686</v>
      </c>
      <c r="L514" s="10">
        <f>Data!AA224</f>
        <v>50.136842105263163</v>
      </c>
      <c r="M514" s="10">
        <f>Data!AF224</f>
        <v>14.48</v>
      </c>
      <c r="N514" s="28">
        <f>IF(ISNUMBER(Data!AG224),Data!AG224/100,"n/a")</f>
        <v>0.25900000000000001</v>
      </c>
      <c r="O514" s="28">
        <f>IF(ISNUMBER(Data!AJ224),Data!AJ224/100,"n/a")</f>
        <v>0.16800000000000001</v>
      </c>
      <c r="P514" s="9">
        <f>IF(ISNUMBER(Data!AK224),Data!AK224/100,"n/a")</f>
        <v>0.15</v>
      </c>
      <c r="Q514" s="8">
        <f>Data!AN224</f>
        <v>0</v>
      </c>
      <c r="R514" s="8">
        <f>Data!AP224</f>
        <v>18.323835844495036</v>
      </c>
      <c r="S514" s="8"/>
      <c r="T514" s="8"/>
      <c r="U514" s="8"/>
      <c r="V514" s="1">
        <f t="shared" si="14"/>
        <v>8</v>
      </c>
      <c r="W514" s="1">
        <f t="shared" si="15"/>
        <v>0</v>
      </c>
    </row>
    <row r="515" spans="1:23" hidden="1" x14ac:dyDescent="0.2">
      <c r="A515" s="7" t="str">
        <f>Data!A220</f>
        <v>Evercore Inc.</v>
      </c>
      <c r="B515" s="7" t="str">
        <f>Data!B220</f>
        <v>EVR</v>
      </c>
      <c r="C515" s="7" t="str">
        <f>Data!C220</f>
        <v>Financials</v>
      </c>
      <c r="D515" s="8">
        <f>IF(ISNUMBER(Data!AL220),Data!AL220/1000,"n/a")</f>
        <v>4.22</v>
      </c>
      <c r="E515" s="1">
        <f>Data!E220</f>
        <v>16</v>
      </c>
      <c r="F515" s="28">
        <f>Data!J220/100</f>
        <v>2.7402473834443386E-2</v>
      </c>
      <c r="G515" s="28">
        <f>IF(ISNUMBER(Data!S220),Data!S220/100,"n/a")</f>
        <v>0.12765957446808507</v>
      </c>
      <c r="H515" s="28">
        <f>IF(ISNUMBER(Data!T220),Data!T220/100,"n/a")</f>
        <v>0.11728531583684119</v>
      </c>
      <c r="I515" s="28">
        <f>IF(ISNUMBER(Data!U220),Data!U220/100,"n/a")</f>
        <v>0.15847970675088541</v>
      </c>
      <c r="J515" s="28">
        <f>IF(ISNUMBER(Data!V220),Data!V220/100,"n/a")</f>
        <v>0.13606038338918736</v>
      </c>
      <c r="K515" s="9">
        <f>IF(ISNUMBER(Data!Z220),Data!Z220/100,"n/a")</f>
        <v>0.19060225016545335</v>
      </c>
      <c r="L515" s="10">
        <f>Data!AA220</f>
        <v>6.9556585043017867</v>
      </c>
      <c r="M515" s="10">
        <f>Data!AF220</f>
        <v>3.07</v>
      </c>
      <c r="N515" s="28">
        <f>IF(ISNUMBER(Data!AG220),Data!AG220/100,"n/a")</f>
        <v>0.56899999999999995</v>
      </c>
      <c r="O515" s="28">
        <f>IF(ISNUMBER(Data!AJ220),Data!AJ220/100,"n/a")</f>
        <v>0.47699999999999998</v>
      </c>
      <c r="P515" s="9">
        <f>IF(ISNUMBER(Data!AK220),Data!AK220/100,"n/a")</f>
        <v>-0.04</v>
      </c>
      <c r="Q515" s="8">
        <f>Data!AN220</f>
        <v>0</v>
      </c>
      <c r="R515" s="8">
        <f>Data!AP220</f>
        <v>18.588218058532878</v>
      </c>
      <c r="S515" s="8"/>
      <c r="T515" s="8"/>
      <c r="U515" s="8"/>
      <c r="V515" s="1">
        <f t="shared" si="14"/>
        <v>10</v>
      </c>
      <c r="W515" s="1">
        <f t="shared" si="15"/>
        <v>0</v>
      </c>
    </row>
    <row r="516" spans="1:23" hidden="1" x14ac:dyDescent="0.2">
      <c r="A516" s="7" t="str">
        <f>Data!A719</f>
        <v>Xylem Inc.</v>
      </c>
      <c r="B516" s="7" t="str">
        <f>Data!B719</f>
        <v>XYL</v>
      </c>
      <c r="C516" s="7" t="str">
        <f>Data!C719</f>
        <v>Industrials</v>
      </c>
      <c r="D516" s="8">
        <f>IF(ISNUMBER(Data!AL719),Data!AL719/1000,"n/a")</f>
        <v>18.12</v>
      </c>
      <c r="E516" s="1">
        <f>Data!E719</f>
        <v>12</v>
      </c>
      <c r="F516" s="28">
        <f>Data!J719/100</f>
        <v>1.1715317777994727E-2</v>
      </c>
      <c r="G516" s="28">
        <f>IF(ISNUMBER(Data!S719),Data!S719/100,"n/a")</f>
        <v>7.6923076923077094E-2</v>
      </c>
      <c r="H516" s="28">
        <f>IF(ISNUMBER(Data!T719),Data!T719/100,"n/a")</f>
        <v>0.10064241629820891</v>
      </c>
      <c r="I516" s="28">
        <f>IF(ISNUMBER(Data!U719),Data!U719/100,"n/a")</f>
        <v>0.12569651795712189</v>
      </c>
      <c r="J516" s="28">
        <f>IF(ISNUMBER(Data!V719),Data!V719/100,"n/a")</f>
        <v>0.27200747916175105</v>
      </c>
      <c r="K516" s="9">
        <f>IF(ISNUMBER(Data!Z719),Data!Z719/100,"n/a")</f>
        <v>0.51724137931034486</v>
      </c>
      <c r="L516" s="10">
        <f>Data!AA719</f>
        <v>44.150862068965523</v>
      </c>
      <c r="M516" s="10">
        <f>Data!AF719</f>
        <v>5.78</v>
      </c>
      <c r="N516" s="28">
        <f>IF(ISNUMBER(Data!AG719),Data!AG719/100,"n/a")</f>
        <v>0.13300000000000001</v>
      </c>
      <c r="O516" s="28">
        <f>IF(ISNUMBER(Data!AJ719),Data!AJ719/100,"n/a")</f>
        <v>0.10199999999999999</v>
      </c>
      <c r="P516" s="9">
        <f>IF(ISNUMBER(Data!AK719),Data!AK719/100,"n/a")</f>
        <v>0.18759999999999999</v>
      </c>
      <c r="Q516" s="8">
        <f>Data!AN719</f>
        <v>0.75</v>
      </c>
      <c r="R516" s="8">
        <f>Data!AP719</f>
        <v>13.741183573511663</v>
      </c>
      <c r="S516" s="8"/>
      <c r="T516" s="8"/>
      <c r="U516" s="8"/>
      <c r="V516" s="1">
        <f t="shared" si="14"/>
        <v>8</v>
      </c>
      <c r="W516" s="1">
        <f t="shared" si="15"/>
        <v>0</v>
      </c>
    </row>
    <row r="517" spans="1:23" hidden="1" x14ac:dyDescent="0.2">
      <c r="A517" s="7" t="str">
        <f>Data!A218</f>
        <v>Enviva Partners, LP</v>
      </c>
      <c r="B517" s="7" t="str">
        <f>Data!B218</f>
        <v>EVA</v>
      </c>
      <c r="C517" s="7" t="str">
        <f>Data!C218</f>
        <v>Energy</v>
      </c>
      <c r="D517" s="8">
        <f>IF(ISNUMBER(Data!AL218),Data!AL218/1000,"n/a")</f>
        <v>3.92</v>
      </c>
      <c r="E517" s="1">
        <f>Data!E218</f>
        <v>8</v>
      </c>
      <c r="F517" s="28">
        <f>Data!J218/100</f>
        <v>6.0494652406417118E-2</v>
      </c>
      <c r="G517" s="28">
        <f>IF(ISNUMBER(Data!S218),Data!S218/100,"n/a")</f>
        <v>0.11226252158894656</v>
      </c>
      <c r="H517" s="28">
        <f>IF(ISNUMBER(Data!T218),Data!T218/100,"n/a")</f>
        <v>8.6577522465140819E-2</v>
      </c>
      <c r="I517" s="28">
        <f>IF(ISNUMBER(Data!U218),Data!U218/100,"n/a")</f>
        <v>9.7200934505663916E-2</v>
      </c>
      <c r="J517" s="28" t="str">
        <f>IF(ISNUMBER(Data!V218),Data!V218/100,"n/a")</f>
        <v>n/a</v>
      </c>
      <c r="K517" s="9" t="str">
        <f>IF(ISNUMBER(Data!Z218),Data!Z218/100,"n/a")</f>
        <v>n/a</v>
      </c>
      <c r="L517" s="10" t="str">
        <f>Data!AA218</f>
        <v>n/a</v>
      </c>
      <c r="M517" s="10">
        <f>Data!AF218</f>
        <v>8.1999999999999993</v>
      </c>
      <c r="N517" s="28">
        <f>IF(ISNUMBER(Data!AG218),Data!AG218/100,"n/a")</f>
        <v>-0.41099999999999992</v>
      </c>
      <c r="O517" s="28">
        <f>IF(ISNUMBER(Data!AJ218),Data!AJ218/100,"n/a")</f>
        <v>-0.47299999999999998</v>
      </c>
      <c r="P517" s="9">
        <f>IF(ISNUMBER(Data!AK218),Data!AK218/100,"n/a")</f>
        <v>0.34499999999999997</v>
      </c>
      <c r="Q517" s="8">
        <f>Data!AN218</f>
        <v>2.61</v>
      </c>
      <c r="R517" s="8">
        <f>Data!AP218</f>
        <v>15.769558691208104</v>
      </c>
      <c r="S517" s="8"/>
      <c r="T517" s="8"/>
      <c r="U517" s="8"/>
      <c r="V517" s="1">
        <f t="shared" ref="V517:V580" si="16">IF($D$4="+",IF(D517="n/a",0,IF(D517&gt;=$D$5,1,0)),0)+IF($E$4="+",IF(E517="n/a",0,IF(E517&gt;=$E$5,1,0)),0)+IF($F$4="+",IF(F517="n/a",0,IF(F517&gt;=$F$5,1,0)),0)+IF($G$4="+",IF(G517="n/a",0,IF(G517&gt;=$G$5,1,0)),0)+IF($H$4="+",IF(H517="n/a",0,IF(H517&gt;=$H$5,1,0)),0)+IF($I$4="+",IF(I517="n/a",0,IF(I517&gt;=$I$5,1,0)),0)+IF($J$4="+",IF(J517="n/a",0,IF(J517&gt;=$J$5,1,0)),0)+IF($K$4="+",IF(K517="n/a",0,IF(K517&lt;=$K$5,1,0)),0)+IF($L$4="+",IF(L517="n/a",0,IF(L517&lt;=$L$5,1,0)),0)+IF($M$4="+",IF(M517="n/a",0,IF(M517&lt;=$M$5,1,0)),0)+IF($N$4="+",IF(N517="n/a",0,IF(N517&gt;=$N$5,1,0)),0)+IF($O$4="+",IF(O517="n/a",0,IF(O517&gt;=$O$5,1,0)),0)+IF($P$4="+",IF(P517="n/a",0,IF(P517&gt;=$P$5,1,0)),0)+IF($Q$4="+",IF(Q517="n/a",0,IF(Q517&lt;=$Q$5,1,0)),0)+IF($R$4="+",IF(R517="n/a",0,IF(R517&gt;=$R$5,1,0)),0)+$Y$4</f>
        <v>6</v>
      </c>
      <c r="W517" s="1">
        <f t="shared" ref="W517:W580" si="17">IF(V517&gt;=$V$2,"",0)</f>
        <v>0</v>
      </c>
    </row>
    <row r="518" spans="1:23" hidden="1" x14ac:dyDescent="0.2">
      <c r="A518" s="7" t="str">
        <f>Data!A210</f>
        <v>Enterprise Products Partners L.P.</v>
      </c>
      <c r="B518" s="7" t="str">
        <f>Data!B210</f>
        <v>EPD</v>
      </c>
      <c r="C518" s="7" t="str">
        <f>Data!C210</f>
        <v>Energy</v>
      </c>
      <c r="D518" s="8">
        <f>IF(ISNUMBER(Data!AL210),Data!AL210/1000,"n/a")</f>
        <v>54.72</v>
      </c>
      <c r="E518" s="1">
        <f>Data!E210</f>
        <v>25</v>
      </c>
      <c r="F518" s="28">
        <f>Data!J210/100</f>
        <v>7.5247524752475245E-2</v>
      </c>
      <c r="G518" s="28">
        <f>IF(ISNUMBER(Data!S210),Data!S210/100,"n/a")</f>
        <v>1.1235955056179803E-2</v>
      </c>
      <c r="H518" s="28">
        <f>IF(ISNUMBER(Data!T210),Data!T210/100,"n/a")</f>
        <v>1.6057783719578334E-2</v>
      </c>
      <c r="I518" s="28">
        <f>IF(ISNUMBER(Data!U210),Data!U210/100,"n/a")</f>
        <v>2.5120872198526989E-2</v>
      </c>
      <c r="J518" s="28">
        <f>IF(ISNUMBER(Data!V210),Data!V210/100,"n/a")</f>
        <v>4.1163038110386241E-2</v>
      </c>
      <c r="K518" s="9">
        <f>IF(ISNUMBER(Data!Z210),Data!Z210/100,"n/a")</f>
        <v>0.86363636363636365</v>
      </c>
      <c r="L518" s="10">
        <f>Data!AA210</f>
        <v>11.477272727272727</v>
      </c>
      <c r="M518" s="10">
        <f>Data!AF210</f>
        <v>2.09</v>
      </c>
      <c r="N518" s="28">
        <f>IF(ISNUMBER(Data!AG210),Data!AG210/100,"n/a")</f>
        <v>0.191</v>
      </c>
      <c r="O518" s="28">
        <f>IF(ISNUMBER(Data!AJ210),Data!AJ210/100,"n/a")</f>
        <v>0.16</v>
      </c>
      <c r="P518" s="9">
        <f>IF(ISNUMBER(Data!AK210),Data!AK210/100,"n/a")</f>
        <v>0.10199999999999999</v>
      </c>
      <c r="Q518" s="8">
        <f>Data!AN210</f>
        <v>1.1100000000000001</v>
      </c>
      <c r="R518" s="8">
        <f>Data!AP210</f>
        <v>10.036839695100223</v>
      </c>
      <c r="S518" s="8"/>
      <c r="T518" s="8"/>
      <c r="U518" s="8"/>
      <c r="V518" s="1">
        <f t="shared" si="16"/>
        <v>6</v>
      </c>
      <c r="W518" s="1">
        <f t="shared" si="17"/>
        <v>0</v>
      </c>
    </row>
    <row r="519" spans="1:23" hidden="1" x14ac:dyDescent="0.2">
      <c r="A519" s="7" t="str">
        <f>Data!A217</f>
        <v>Entergy Corporation</v>
      </c>
      <c r="B519" s="7" t="str">
        <f>Data!B217</f>
        <v>ETR</v>
      </c>
      <c r="C519" s="7" t="str">
        <f>Data!C217</f>
        <v>Utilities</v>
      </c>
      <c r="D519" s="8">
        <f>IF(ISNUMBER(Data!AL217),Data!AL217/1000,"n/a")</f>
        <v>21.37</v>
      </c>
      <c r="E519" s="1">
        <f>Data!E217</f>
        <v>8</v>
      </c>
      <c r="F519" s="28">
        <f>Data!J217/100</f>
        <v>3.9947731939518387E-2</v>
      </c>
      <c r="G519" s="28">
        <f>IF(ISNUMBER(Data!S217),Data!S217/100,"n/a")</f>
        <v>3.2085561497326109E-2</v>
      </c>
      <c r="H519" s="28">
        <f>IF(ISNUMBER(Data!T217),Data!T217/100,"n/a")</f>
        <v>2.5419155321439568E-2</v>
      </c>
      <c r="I519" s="28">
        <f>IF(ISNUMBER(Data!U217),Data!U217/100,"n/a")</f>
        <v>2.4500653409534889E-2</v>
      </c>
      <c r="J519" s="28">
        <f>IF(ISNUMBER(Data!V217),Data!V217/100,"n/a")</f>
        <v>1.5184368717213292E-2</v>
      </c>
      <c r="K519" s="9">
        <f>IF(ISNUMBER(Data!Z217),Data!Z217/100,"n/a")</f>
        <v>0.70860927152317887</v>
      </c>
      <c r="L519" s="10">
        <f>Data!AA217</f>
        <v>17.73841059602649</v>
      </c>
      <c r="M519" s="10">
        <f>Data!AF217</f>
        <v>1.87</v>
      </c>
      <c r="N519" s="28">
        <f>IF(ISNUMBER(Data!AG217),Data!AG217/100,"n/a")</f>
        <v>0.106</v>
      </c>
      <c r="O519" s="28">
        <f>IF(ISNUMBER(Data!AJ217),Data!AJ217/100,"n/a")</f>
        <v>0.29899999999999999</v>
      </c>
      <c r="P519" s="9">
        <f>IF(ISNUMBER(Data!AK217),Data!AK217/100,"n/a")</f>
        <v>6.1899999999999997E-2</v>
      </c>
      <c r="Q519" s="8">
        <f>Data!AN217</f>
        <v>2.29</v>
      </c>
      <c r="R519" s="8">
        <f>Data!AP217</f>
        <v>6.4448385349053279</v>
      </c>
      <c r="S519" s="8"/>
      <c r="T519" s="8"/>
      <c r="U519" s="8"/>
      <c r="V519" s="1">
        <f t="shared" si="16"/>
        <v>5</v>
      </c>
      <c r="W519" s="1">
        <f t="shared" si="17"/>
        <v>0</v>
      </c>
    </row>
    <row r="520" spans="1:23" hidden="1" x14ac:dyDescent="0.2">
      <c r="A520" s="7" t="str">
        <f>Data!A215</f>
        <v>Essex Property Trust, Inc.</v>
      </c>
      <c r="B520" s="7" t="str">
        <f>Data!B215</f>
        <v>ESS</v>
      </c>
      <c r="C520" s="7" t="str">
        <f>Data!C215</f>
        <v>Real Estate</v>
      </c>
      <c r="D520" s="8">
        <f>IF(ISNUMBER(Data!AL215),Data!AL215/1000,"n/a")</f>
        <v>14.35</v>
      </c>
      <c r="E520" s="1">
        <f>Data!E215</f>
        <v>28</v>
      </c>
      <c r="F520" s="28">
        <f>Data!J215/100</f>
        <v>3.9596832253419728E-2</v>
      </c>
      <c r="G520" s="28">
        <f>IF(ISNUMBER(Data!S215),Data!S215/100,"n/a")</f>
        <v>2.0164986251145933E-2</v>
      </c>
      <c r="H520" s="28">
        <f>IF(ISNUMBER(Data!T215),Data!T215/100,"n/a")</f>
        <v>4.428125965709695E-2</v>
      </c>
      <c r="I520" s="28">
        <f>IF(ISNUMBER(Data!U215),Data!U215/100,"n/a")</f>
        <v>5.9923125192651083E-2</v>
      </c>
      <c r="J520" s="28">
        <f>IF(ISNUMBER(Data!V215),Data!V215/100,"n/a")</f>
        <v>7.2320672844796041E-2</v>
      </c>
      <c r="K520" s="9">
        <f>IF(ISNUMBER(Data!Z215),Data!Z215/100,"n/a")</f>
        <v>1.5942028985507251</v>
      </c>
      <c r="L520" s="10">
        <f>Data!AA215</f>
        <v>40.260869565217398</v>
      </c>
      <c r="M520" s="10">
        <f>Data!AF215</f>
        <v>2.54</v>
      </c>
      <c r="N520" s="28">
        <f>IF(ISNUMBER(Data!AG215),Data!AG215/100,"n/a")</f>
        <v>6.0999999999999999E-2</v>
      </c>
      <c r="O520" s="28">
        <f>IF(ISNUMBER(Data!AJ215),Data!AJ215/100,"n/a")</f>
        <v>3.6999999999999998E-2</v>
      </c>
      <c r="P520" s="9">
        <f>IF(ISNUMBER(Data!AK215),Data!AK215/100,"n/a")</f>
        <v>7.9000000000000001E-2</v>
      </c>
      <c r="Q520" s="8">
        <f>Data!AN215</f>
        <v>1.08</v>
      </c>
      <c r="R520" s="8">
        <f>Data!AP215</f>
        <v>9.9519957446070819</v>
      </c>
      <c r="S520" s="8"/>
      <c r="T520" s="8"/>
      <c r="U520" s="8"/>
      <c r="V520" s="1">
        <f t="shared" si="16"/>
        <v>7</v>
      </c>
      <c r="W520" s="1">
        <f t="shared" si="17"/>
        <v>0</v>
      </c>
    </row>
    <row r="521" spans="1:23" hidden="1" x14ac:dyDescent="0.2">
      <c r="A521" s="7" t="str">
        <f>Data!A223</f>
        <v>Expeditors International of Washington, Inc.</v>
      </c>
      <c r="B521" s="7" t="str">
        <f>Data!B223</f>
        <v>EXPD</v>
      </c>
      <c r="C521" s="7" t="str">
        <f>Data!C223</f>
        <v>Industrials</v>
      </c>
      <c r="D521" s="8">
        <f>IF(ISNUMBER(Data!AL223),Data!AL223/1000,"n/a")</f>
        <v>15.77</v>
      </c>
      <c r="E521" s="1">
        <f>Data!E223</f>
        <v>28</v>
      </c>
      <c r="F521" s="28">
        <f>Data!J223/100</f>
        <v>1.3694430250383241E-2</v>
      </c>
      <c r="G521" s="28">
        <f>IF(ISNUMBER(Data!S223),Data!S223/100,"n/a")</f>
        <v>0.11538461538461518</v>
      </c>
      <c r="H521" s="28">
        <f>IF(ISNUMBER(Data!T223),Data!T223/100,"n/a")</f>
        <v>8.8274600686327975E-2</v>
      </c>
      <c r="I521" s="28">
        <f>IF(ISNUMBER(Data!U223),Data!U223/100,"n/a")</f>
        <v>7.7143587792743107E-2</v>
      </c>
      <c r="J521" s="28">
        <f>IF(ISNUMBER(Data!V223),Data!V223/100,"n/a")</f>
        <v>8.7799358808551956E-2</v>
      </c>
      <c r="K521" s="9">
        <f>IF(ISNUMBER(Data!Z223),Data!Z223/100,"n/a")</f>
        <v>0.14773980154355018</v>
      </c>
      <c r="L521" s="10">
        <f>Data!AA223</f>
        <v>10.788313120176404</v>
      </c>
      <c r="M521" s="10">
        <f>Data!AF223</f>
        <v>4.58</v>
      </c>
      <c r="N521" s="28">
        <f>IF(ISNUMBER(Data!AG223),Data!AG223/100,"n/a")</f>
        <v>0.43</v>
      </c>
      <c r="O521" s="28">
        <f>IF(ISNUMBER(Data!AJ223),Data!AJ223/100,"n/a")</f>
        <v>0.28499999999999998</v>
      </c>
      <c r="P521" s="9" t="str">
        <f>IF(ISNUMBER(Data!AK223),Data!AK223/100,"n/a")</f>
        <v>n/a</v>
      </c>
      <c r="Q521" s="8">
        <f>Data!AN223</f>
        <v>0</v>
      </c>
      <c r="R521" s="8">
        <f>Data!AP223</f>
        <v>9.0838018043126354</v>
      </c>
      <c r="S521" s="8"/>
      <c r="T521" s="8"/>
      <c r="U521" s="8"/>
      <c r="V521" s="1">
        <f t="shared" si="16"/>
        <v>10</v>
      </c>
      <c r="W521" s="1">
        <f t="shared" si="17"/>
        <v>0</v>
      </c>
    </row>
    <row r="522" spans="1:23" hidden="1" x14ac:dyDescent="0.2">
      <c r="A522" s="7" t="str">
        <f>Data!A216</f>
        <v>Eaton Corporation plc</v>
      </c>
      <c r="B522" s="7" t="str">
        <f>Data!B216</f>
        <v>ETN</v>
      </c>
      <c r="C522" s="7" t="str">
        <f>Data!C216</f>
        <v>Industrials</v>
      </c>
      <c r="D522" s="8">
        <f>IF(ISNUMBER(Data!AL216),Data!AL216/1000,"n/a")</f>
        <v>58.43</v>
      </c>
      <c r="E522" s="1">
        <f>Data!E216</f>
        <v>13</v>
      </c>
      <c r="F522" s="28">
        <f>Data!J216/100</f>
        <v>2.1589924701805825E-2</v>
      </c>
      <c r="G522" s="28">
        <f>IF(ISNUMBER(Data!S216),Data!S216/100,"n/a")</f>
        <v>4.1095890410958846E-2</v>
      </c>
      <c r="H522" s="28">
        <f>IF(ISNUMBER(Data!T216),Data!T216/100,"n/a")</f>
        <v>4.8149469628073316E-2</v>
      </c>
      <c r="I522" s="28">
        <f>IF(ISNUMBER(Data!U216),Data!U216/100,"n/a")</f>
        <v>5.9223841048812176E-2</v>
      </c>
      <c r="J522" s="28">
        <f>IF(ISNUMBER(Data!V216),Data!V216/100,"n/a")</f>
        <v>8.3760872726998503E-2</v>
      </c>
      <c r="K522" s="9">
        <f>IF(ISNUMBER(Data!Z216),Data!Z216/100,"n/a")</f>
        <v>0.56250000000000011</v>
      </c>
      <c r="L522" s="10">
        <f>Data!AA216</f>
        <v>26.053819444444443</v>
      </c>
      <c r="M522" s="10">
        <f>Data!AF216</f>
        <v>3.66</v>
      </c>
      <c r="N522" s="28">
        <f>IF(ISNUMBER(Data!AG216),Data!AG216/100,"n/a")</f>
        <v>0.14199999999999999</v>
      </c>
      <c r="O522" s="28">
        <f>IF(ISNUMBER(Data!AJ216),Data!AJ216/100,"n/a")</f>
        <v>4.9000000000000002E-2</v>
      </c>
      <c r="P522" s="9">
        <f>IF(ISNUMBER(Data!AK216),Data!AK216/100,"n/a")</f>
        <v>0.10199999999999999</v>
      </c>
      <c r="Q522" s="8">
        <f>Data!AN216</f>
        <v>0.59</v>
      </c>
      <c r="R522" s="8">
        <f>Data!AP216</f>
        <v>8.0813765750617996</v>
      </c>
      <c r="S522" s="8"/>
      <c r="T522" s="8"/>
      <c r="U522" s="8"/>
      <c r="V522" s="1">
        <f t="shared" si="16"/>
        <v>8</v>
      </c>
      <c r="W522" s="1">
        <f t="shared" si="17"/>
        <v>0</v>
      </c>
    </row>
    <row r="523" spans="1:23" hidden="1" x14ac:dyDescent="0.2">
      <c r="A523" s="7" t="str">
        <f>Data!A206</f>
        <v>Emerson Electric Co.</v>
      </c>
      <c r="B523" s="7" t="str">
        <f>Data!B206</f>
        <v>EMR</v>
      </c>
      <c r="C523" s="7" t="str">
        <f>Data!C206</f>
        <v>Industrials</v>
      </c>
      <c r="D523" s="8">
        <f>IF(ISNUMBER(Data!AL206),Data!AL206/1000,"n/a")</f>
        <v>50.79</v>
      </c>
      <c r="E523" s="1">
        <f>Data!E206</f>
        <v>65</v>
      </c>
      <c r="F523" s="28">
        <f>Data!J206/100</f>
        <v>2.3787528868360278E-2</v>
      </c>
      <c r="G523" s="28">
        <f>IF(ISNUMBER(Data!S206),Data!S206/100,"n/a")</f>
        <v>1.2468827930174564E-2</v>
      </c>
      <c r="H523" s="28">
        <f>IF(ISNUMBER(Data!T206),Data!T206/100,"n/a")</f>
        <v>1.4360067875288873E-2</v>
      </c>
      <c r="I523" s="28">
        <f>IF(ISNUMBER(Data!U206),Data!U206/100,"n/a")</f>
        <v>1.2791881921203618E-2</v>
      </c>
      <c r="J523" s="28">
        <f>IF(ISNUMBER(Data!V206),Data!V206/100,"n/a")</f>
        <v>3.5295708270354442E-2</v>
      </c>
      <c r="K523" s="9">
        <f>IF(ISNUMBER(Data!Z206),Data!Z206/100,"n/a")</f>
        <v>0.38941398865784499</v>
      </c>
      <c r="L523" s="10">
        <f>Data!AA206</f>
        <v>16.370510396975423</v>
      </c>
      <c r="M523" s="10">
        <f>Data!AF206</f>
        <v>5.0199999999999996</v>
      </c>
      <c r="N523" s="28">
        <f>IF(ISNUMBER(Data!AG206),Data!AG206/100,"n/a")</f>
        <v>0.308</v>
      </c>
      <c r="O523" s="28">
        <f>IF(ISNUMBER(Data!AJ206),Data!AJ206/100,"n/a")</f>
        <v>9.3000000000000013E-2</v>
      </c>
      <c r="P523" s="9">
        <f>IF(ISNUMBER(Data!AK206),Data!AK206/100,"n/a")</f>
        <v>0.1021</v>
      </c>
      <c r="Q523" s="8">
        <f>Data!AN206</f>
        <v>1.1200000000000001</v>
      </c>
      <c r="R523" s="8">
        <f>Data!AP206</f>
        <v>3.6579410789563895</v>
      </c>
      <c r="S523" s="8"/>
      <c r="T523" s="8"/>
      <c r="U523" s="8"/>
      <c r="V523" s="1">
        <f t="shared" si="16"/>
        <v>7</v>
      </c>
      <c r="W523" s="1">
        <f t="shared" si="17"/>
        <v>0</v>
      </c>
    </row>
    <row r="524" spans="1:23" hidden="1" x14ac:dyDescent="0.2">
      <c r="A524" s="7" t="str">
        <f>Data!A203</f>
        <v>Equity LifeStyle Properties, Inc.</v>
      </c>
      <c r="B524" s="7" t="str">
        <f>Data!B203</f>
        <v>ELS</v>
      </c>
      <c r="C524" s="7" t="str">
        <f>Data!C203</f>
        <v>Real Estate</v>
      </c>
      <c r="D524" s="8">
        <f>IF(ISNUMBER(Data!AL203),Data!AL203/1000,"n/a")</f>
        <v>11.41</v>
      </c>
      <c r="E524" s="1">
        <f>Data!E203</f>
        <v>18</v>
      </c>
      <c r="F524" s="28">
        <f>Data!J203/100</f>
        <v>2.564102564102564E-2</v>
      </c>
      <c r="G524" s="28">
        <f>IF(ISNUMBER(Data!S203),Data!S203/100,"n/a")</f>
        <v>7.2164948453608213E-2</v>
      </c>
      <c r="H524" s="28">
        <f>IF(ISNUMBER(Data!T203),Data!T203/100,"n/a")</f>
        <v>0.10184230775050329</v>
      </c>
      <c r="I524" s="28">
        <f>IF(ISNUMBER(Data!U203),Data!U203/100,"n/a")</f>
        <v>0.11628841548417412</v>
      </c>
      <c r="J524" s="28">
        <f>IF(ISNUMBER(Data!V203),Data!V203/100,"n/a")</f>
        <v>0.14910077206406935</v>
      </c>
      <c r="K524" s="9">
        <f>IF(ISNUMBER(Data!Z203),Data!Z203/100,"n/a")</f>
        <v>1.1549295774647887</v>
      </c>
      <c r="L524" s="10">
        <f>Data!AA203</f>
        <v>45.04225352112676</v>
      </c>
      <c r="M524" s="10">
        <f>Data!AF203</f>
        <v>8.09</v>
      </c>
      <c r="N524" s="28">
        <f>IF(ISNUMBER(Data!AG203),Data!AG203/100,"n/a")</f>
        <v>0.192</v>
      </c>
      <c r="O524" s="28">
        <f>IF(ISNUMBER(Data!AJ203),Data!AJ203/100,"n/a")</f>
        <v>7.1999999999999995E-2</v>
      </c>
      <c r="P524" s="9">
        <f>IF(ISNUMBER(Data!AK203),Data!AK203/100,"n/a")</f>
        <v>7.0000000000000007E-2</v>
      </c>
      <c r="Q524" s="8">
        <f>Data!AN203</f>
        <v>2.2799999999999998</v>
      </c>
      <c r="R524" s="8">
        <f>Data!AP203</f>
        <v>14.192944112519976</v>
      </c>
      <c r="S524" s="8"/>
      <c r="T524" s="8"/>
      <c r="U524" s="8"/>
      <c r="V524" s="1">
        <f t="shared" si="16"/>
        <v>8</v>
      </c>
      <c r="W524" s="1">
        <f t="shared" si="17"/>
        <v>0</v>
      </c>
    </row>
    <row r="525" spans="1:23" hidden="1" x14ac:dyDescent="0.2">
      <c r="A525" s="7" t="str">
        <f>Data!A222</f>
        <v>East West Bancorp, Inc.</v>
      </c>
      <c r="B525" s="7" t="str">
        <f>Data!B222</f>
        <v>EWBC</v>
      </c>
      <c r="C525" s="7" t="str">
        <f>Data!C222</f>
        <v>Financials</v>
      </c>
      <c r="D525" s="8">
        <f>IF(ISNUMBER(Data!AL222),Data!AL222/1000,"n/a")</f>
        <v>9.85</v>
      </c>
      <c r="E525" s="1">
        <f>Data!E222</f>
        <v>5</v>
      </c>
      <c r="F525" s="28">
        <f>Data!J222/100</f>
        <v>2.2355735643426019E-2</v>
      </c>
      <c r="G525" s="28">
        <f>IF(ISNUMBER(Data!S222),Data!S222/100,"n/a")</f>
        <v>0.19999999999999996</v>
      </c>
      <c r="H525" s="28">
        <f>IF(ISNUMBER(Data!T222),Data!T222/100,"n/a")</f>
        <v>0.15352008277817442</v>
      </c>
      <c r="I525" s="28">
        <f>IF(ISNUMBER(Data!U222),Data!U222/100,"n/a")</f>
        <v>0.10534229649286943</v>
      </c>
      <c r="J525" s="28">
        <f>IF(ISNUMBER(Data!V222),Data!V222/100,"n/a")</f>
        <v>0.23493868371626792</v>
      </c>
      <c r="K525" s="9">
        <f>IF(ISNUMBER(Data!Z222),Data!Z222/100,"n/a")</f>
        <v>0.2263083451202263</v>
      </c>
      <c r="L525" s="10">
        <f>Data!AA222</f>
        <v>10.123055162659123</v>
      </c>
      <c r="M525" s="10">
        <f>Data!AF222</f>
        <v>1.81</v>
      </c>
      <c r="N525" s="28">
        <f>IF(ISNUMBER(Data!AG222),Data!AG222/100,"n/a")</f>
        <v>0.159</v>
      </c>
      <c r="O525" s="28">
        <f>IF(ISNUMBER(Data!AJ222),Data!AJ222/100,"n/a")</f>
        <v>0.154</v>
      </c>
      <c r="P525" s="9">
        <f>IF(ISNUMBER(Data!AK222),Data!AK222/100,"n/a")</f>
        <v>0.08</v>
      </c>
      <c r="Q525" s="8">
        <f>Data!AN222</f>
        <v>0.03</v>
      </c>
      <c r="R525" s="8">
        <f>Data!AP222</f>
        <v>12.769803213629544</v>
      </c>
      <c r="S525" s="8"/>
      <c r="T525" s="8"/>
      <c r="U525" s="8"/>
      <c r="V525" s="1">
        <f t="shared" si="16"/>
        <v>11</v>
      </c>
      <c r="W525" s="1">
        <f t="shared" si="17"/>
        <v>0</v>
      </c>
    </row>
    <row r="526" spans="1:23" hidden="1" x14ac:dyDescent="0.2">
      <c r="A526" s="7" t="str">
        <f>Data!A481</f>
        <v>Northwest Bancshares, Inc.</v>
      </c>
      <c r="B526" s="7" t="str">
        <f>Data!B481</f>
        <v>NWBI</v>
      </c>
      <c r="C526" s="7" t="str">
        <f>Data!C481</f>
        <v>Financials</v>
      </c>
      <c r="D526" s="8">
        <f>IF(ISNUMBER(Data!AL481),Data!AL481/1000,"n/a")</f>
        <v>1.84</v>
      </c>
      <c r="E526" s="1">
        <f>Data!E481</f>
        <v>12</v>
      </c>
      <c r="F526" s="28">
        <f>Data!J481/100</f>
        <v>5.3120849933598932E-2</v>
      </c>
      <c r="G526" s="28">
        <f>IF(ISNUMBER(Data!S481),Data!S481/100,"n/a")</f>
        <v>3.9473684210526327E-2</v>
      </c>
      <c r="H526" s="28">
        <f>IF(ISNUMBER(Data!T481),Data!T481/100,"n/a")</f>
        <v>5.1250122777545482E-2</v>
      </c>
      <c r="I526" s="28">
        <f>IF(ISNUMBER(Data!U481),Data!U481/100,"n/a")</f>
        <v>5.6562440968709549E-2</v>
      </c>
      <c r="J526" s="28">
        <f>IF(ISNUMBER(Data!V481),Data!V481/100,"n/a")</f>
        <v>6.271268263592078E-2</v>
      </c>
      <c r="K526" s="9">
        <f>IF(ISNUMBER(Data!Z481),Data!Z481/100,"n/a")</f>
        <v>0.79207920792079212</v>
      </c>
      <c r="L526" s="10">
        <f>Data!AA481</f>
        <v>14.910891089108912</v>
      </c>
      <c r="M526" s="10">
        <f>Data!AF481</f>
        <v>1.26</v>
      </c>
      <c r="N526" s="28">
        <f>IF(ISNUMBER(Data!AG481),Data!AG481/100,"n/a")</f>
        <v>9.1999999999999998E-2</v>
      </c>
      <c r="O526" s="28">
        <f>IF(ISNUMBER(Data!AJ481),Data!AJ481/100,"n/a")</f>
        <v>0.19800000000000001</v>
      </c>
      <c r="P526" s="9">
        <f>IF(ISNUMBER(Data!AK481),Data!AK481/100,"n/a")</f>
        <v>7.0000000000000007E-2</v>
      </c>
      <c r="Q526" s="8">
        <f>Data!AN481</f>
        <v>0.25</v>
      </c>
      <c r="R526" s="8">
        <f>Data!AP481</f>
        <v>10.968329090230849</v>
      </c>
      <c r="S526" s="8"/>
      <c r="T526" s="8"/>
      <c r="U526" s="8"/>
      <c r="V526" s="1">
        <f t="shared" si="16"/>
        <v>8</v>
      </c>
      <c r="W526" s="1">
        <f t="shared" si="17"/>
        <v>0</v>
      </c>
    </row>
    <row r="527" spans="1:23" hidden="1" x14ac:dyDescent="0.2">
      <c r="A527" s="7" t="str">
        <f>Data!A741</f>
        <v>Utilities</v>
      </c>
      <c r="B527" s="7">
        <f>Data!B741</f>
        <v>58</v>
      </c>
      <c r="C527" s="7">
        <f>Data!C741</f>
        <v>0</v>
      </c>
      <c r="D527" s="8">
        <f>IF(ISNUMBER(Data!AL741),Data!AL741/1000,"n/a")</f>
        <v>15.313843965517238</v>
      </c>
      <c r="E527" s="1">
        <f>Data!E741</f>
        <v>22.948275862068964</v>
      </c>
      <c r="F527" s="28">
        <f>Data!J741/100</f>
        <v>3.4460225794328773E-2</v>
      </c>
      <c r="G527" s="28">
        <f>IF(ISNUMBER(Data!S741),Data!S741/100,"n/a")</f>
        <v>5.4484284724264337E-2</v>
      </c>
      <c r="H527" s="28">
        <f>IF(ISNUMBER(Data!T741),Data!T741/100,"n/a")</f>
        <v>5.868226474834607E-2</v>
      </c>
      <c r="I527" s="28">
        <f>IF(ISNUMBER(Data!U741),Data!U741/100,"n/a")</f>
        <v>6.5779137599949161E-2</v>
      </c>
      <c r="J527" s="28">
        <f>IF(ISNUMBER(Data!V741),Data!V741/100,"n/a")</f>
        <v>5.8594142413658103E-2</v>
      </c>
      <c r="K527" s="9">
        <f>IF(ISNUMBER(Data!Z741),Data!Z741/100,"n/a")</f>
        <v>0.75467886471641821</v>
      </c>
      <c r="L527" s="10">
        <f>Data!AA741</f>
        <v>23.682876203989721</v>
      </c>
      <c r="M527" s="10">
        <f>Data!AF741</f>
        <v>2.310862068965517</v>
      </c>
      <c r="N527" s="28">
        <f>IF(ISNUMBER(Data!AG741),Data!AG741/100,"n/a")</f>
        <v>9.5105263157894734E-2</v>
      </c>
      <c r="O527" s="28">
        <f>IF(ISNUMBER(Data!AJ741),Data!AJ741/100,"n/a")</f>
        <v>4.572758620689657E-2</v>
      </c>
      <c r="P527" s="9">
        <f>IF(ISNUMBER(Data!AK741),Data!AK741/100,"n/a")</f>
        <v>6.1903773584905689E-2</v>
      </c>
      <c r="Q527" s="8">
        <f>Data!AN741</f>
        <v>1.6226315789473689</v>
      </c>
      <c r="R527" s="8">
        <f>Data!AP741</f>
        <v>10.023936339427792</v>
      </c>
      <c r="S527" s="8"/>
      <c r="T527" s="8"/>
      <c r="U527" s="8"/>
      <c r="V527" s="1">
        <f t="shared" si="16"/>
        <v>9</v>
      </c>
      <c r="W527" s="1">
        <f t="shared" si="17"/>
        <v>0</v>
      </c>
    </row>
    <row r="528" spans="1:23" hidden="1" x14ac:dyDescent="0.2">
      <c r="A528" s="7" t="str">
        <f>Data!A213</f>
        <v>Erie Indemnity Company</v>
      </c>
      <c r="B528" s="7" t="str">
        <f>Data!B213</f>
        <v>ERIE</v>
      </c>
      <c r="C528" s="7" t="str">
        <f>Data!C213</f>
        <v>Financials</v>
      </c>
      <c r="D528" s="8">
        <f>IF(ISNUMBER(Data!AL213),Data!AL213/1000,"n/a")</f>
        <v>11.02</v>
      </c>
      <c r="E528" s="1">
        <f>Data!E213</f>
        <v>32</v>
      </c>
      <c r="F528" s="28">
        <f>Data!J213/100</f>
        <v>1.7275592389401191E-2</v>
      </c>
      <c r="G528" s="28">
        <f>IF(ISNUMBER(Data!S213),Data!S213/100,"n/a")</f>
        <v>7.2538860103626979E-2</v>
      </c>
      <c r="H528" s="28">
        <f>IF(ISNUMBER(Data!T213),Data!T213/100,"n/a")</f>
        <v>7.2063116185391296E-2</v>
      </c>
      <c r="I528" s="28">
        <f>IF(ISNUMBER(Data!U213),Data!U213/100,"n/a")</f>
        <v>7.2317757507352143E-2</v>
      </c>
      <c r="J528" s="28">
        <f>IF(ISNUMBER(Data!V213),Data!V213/100,"n/a")</f>
        <v>7.2292607867660008E-2</v>
      </c>
      <c r="K528" s="9">
        <f>IF(ISNUMBER(Data!Z213),Data!Z213/100,"n/a")</f>
        <v>0.88095238095238104</v>
      </c>
      <c r="L528" s="10">
        <f>Data!AA213</f>
        <v>50.99404761904762</v>
      </c>
      <c r="M528" s="10">
        <f>Data!AF213</f>
        <v>9.61</v>
      </c>
      <c r="N528" s="28">
        <f>IF(ISNUMBER(Data!AG213),Data!AG213/100,"n/a")</f>
        <v>0.215</v>
      </c>
      <c r="O528" s="28">
        <f>IF(ISNUMBER(Data!AJ213),Data!AJ213/100,"n/a")</f>
        <v>7.2999999999999995E-2</v>
      </c>
      <c r="P528" s="9">
        <f>IF(ISNUMBER(Data!AK213),Data!AK213/100,"n/a")</f>
        <v>0.1</v>
      </c>
      <c r="Q528" s="8">
        <f>Data!AN213</f>
        <v>0</v>
      </c>
      <c r="R528" s="8">
        <f>Data!AP213</f>
        <v>8.9593349896753338</v>
      </c>
      <c r="S528" s="8"/>
      <c r="T528" s="8"/>
      <c r="U528" s="8"/>
      <c r="V528" s="1">
        <f t="shared" si="16"/>
        <v>9</v>
      </c>
      <c r="W528" s="1">
        <f t="shared" si="17"/>
        <v>0</v>
      </c>
    </row>
    <row r="529" spans="1:23" hidden="1" x14ac:dyDescent="0.2">
      <c r="A529" s="7" t="str">
        <f>Data!A212</f>
        <v>Equinix, Inc. (REIT)</v>
      </c>
      <c r="B529" s="7" t="str">
        <f>Data!B212</f>
        <v>EQIX</v>
      </c>
      <c r="C529" s="7" t="str">
        <f>Data!C212</f>
        <v>Real Estate</v>
      </c>
      <c r="D529" s="8">
        <f>IF(ISNUMBER(Data!AL212),Data!AL212/1000,"n/a")</f>
        <v>50.54</v>
      </c>
      <c r="E529" s="1">
        <f>Data!E212</f>
        <v>8</v>
      </c>
      <c r="F529" s="28">
        <f>Data!J212/100</f>
        <v>2.1891109384930441E-2</v>
      </c>
      <c r="G529" s="28">
        <f>IF(ISNUMBER(Data!S212),Data!S212/100,"n/a")</f>
        <v>7.8947368421052655E-2</v>
      </c>
      <c r="H529" s="28">
        <f>IF(ISNUMBER(Data!T212),Data!T212/100,"n/a")</f>
        <v>7.9731280259086823E-2</v>
      </c>
      <c r="I529" s="28">
        <f>IF(ISNUMBER(Data!U212),Data!U212/100,"n/a")</f>
        <v>0.10399922776586902</v>
      </c>
      <c r="J529" s="28" t="str">
        <f>IF(ISNUMBER(Data!V212),Data!V212/100,"n/a")</f>
        <v>n/a</v>
      </c>
      <c r="K529" s="9">
        <f>IF(ISNUMBER(Data!Z212),Data!Z212/100,"n/a")</f>
        <v>1.7638691322901849</v>
      </c>
      <c r="L529" s="10">
        <f>Data!AA212</f>
        <v>80.574679943101003</v>
      </c>
      <c r="M529" s="10">
        <f>Data!AF212</f>
        <v>4.87</v>
      </c>
      <c r="N529" s="28">
        <f>IF(ISNUMBER(Data!AG212),Data!AG212/100,"n/a")</f>
        <v>5.8999999999999997E-2</v>
      </c>
      <c r="O529" s="28">
        <f>IF(ISNUMBER(Data!AJ212),Data!AJ212/100,"n/a")</f>
        <v>0.27900000000000003</v>
      </c>
      <c r="P529" s="9">
        <f>IF(ISNUMBER(Data!AK212),Data!AK212/100,"n/a")</f>
        <v>0.21299999999999999</v>
      </c>
      <c r="Q529" s="8">
        <f>Data!AN212</f>
        <v>1.4</v>
      </c>
      <c r="R529" s="8">
        <f>Data!AP212</f>
        <v>12.589033715079946</v>
      </c>
      <c r="S529" s="8"/>
      <c r="T529" s="8"/>
      <c r="U529" s="8"/>
      <c r="V529" s="1">
        <f t="shared" si="16"/>
        <v>7</v>
      </c>
      <c r="W529" s="1">
        <f t="shared" si="17"/>
        <v>0</v>
      </c>
    </row>
    <row r="530" spans="1:23" hidden="1" x14ac:dyDescent="0.2">
      <c r="A530" s="7" t="str">
        <f>Data!A394</f>
        <v>Lindsay Corporation</v>
      </c>
      <c r="B530" s="7" t="str">
        <f>Data!B394</f>
        <v>LNN</v>
      </c>
      <c r="C530" s="7" t="str">
        <f>Data!C394</f>
        <v>Industrials</v>
      </c>
      <c r="D530" s="8">
        <f>IF(ISNUMBER(Data!AL394),Data!AL394/1000,"n/a")</f>
        <v>1.74</v>
      </c>
      <c r="E530" s="1">
        <f>Data!E394</f>
        <v>20</v>
      </c>
      <c r="F530" s="28">
        <f>Data!J394/100</f>
        <v>8.0330773774365035E-3</v>
      </c>
      <c r="G530" s="28">
        <f>IF(ISNUMBER(Data!S394),Data!S394/100,"n/a")</f>
        <v>3.1496062992125928E-2</v>
      </c>
      <c r="H530" s="28">
        <f>IF(ISNUMBER(Data!T394),Data!T394/100,"n/a")</f>
        <v>2.4009113168127927E-2</v>
      </c>
      <c r="I530" s="28">
        <f>IF(ISNUMBER(Data!U394),Data!U394/100,"n/a")</f>
        <v>2.8189794468594709E-2</v>
      </c>
      <c r="J530" s="28">
        <f>IF(ISNUMBER(Data!V394),Data!V394/100,"n/a")</f>
        <v>0.14109111852539913</v>
      </c>
      <c r="K530" s="9">
        <f>IF(ISNUMBER(Data!Z394),Data!Z394/100,"n/a")</f>
        <v>0.22818791946308728</v>
      </c>
      <c r="L530" s="10">
        <f>Data!AA394</f>
        <v>28.406040268456376</v>
      </c>
      <c r="M530" s="10">
        <f>Data!AF394</f>
        <v>4.59</v>
      </c>
      <c r="N530" s="28">
        <f>IF(ISNUMBER(Data!AG394),Data!AG394/100,"n/a")</f>
        <v>0.17800000000000002</v>
      </c>
      <c r="O530" s="28">
        <f>IF(ISNUMBER(Data!AJ394),Data!AJ394/100,"n/a")</f>
        <v>0.22400000000000003</v>
      </c>
      <c r="P530" s="9">
        <f>IF(ISNUMBER(Data!AK394),Data!AK394/100,"n/a")</f>
        <v>0.22900000000000001</v>
      </c>
      <c r="Q530" s="8">
        <f>Data!AN394</f>
        <v>0.28999999999999998</v>
      </c>
      <c r="R530" s="8">
        <f>Data!AP394</f>
        <v>3.6222871846031213</v>
      </c>
      <c r="S530" s="8"/>
      <c r="T530" s="8"/>
      <c r="U530" s="8"/>
      <c r="V530" s="1">
        <f t="shared" si="16"/>
        <v>6</v>
      </c>
      <c r="W530" s="1">
        <f t="shared" si="17"/>
        <v>0</v>
      </c>
    </row>
    <row r="531" spans="1:23" hidden="1" x14ac:dyDescent="0.2">
      <c r="A531" s="7" t="str">
        <f>Data!A209</f>
        <v>EOG Resources, Inc.</v>
      </c>
      <c r="B531" s="7" t="str">
        <f>Data!B209</f>
        <v>EOG</v>
      </c>
      <c r="C531" s="7" t="str">
        <f>Data!C209</f>
        <v>Energy</v>
      </c>
      <c r="D531" s="8">
        <f>IF(ISNUMBER(Data!AL209),Data!AL209/1000,"n/a")</f>
        <v>78.75</v>
      </c>
      <c r="E531" s="1">
        <f>Data!E209</f>
        <v>5</v>
      </c>
      <c r="F531" s="28">
        <f>Data!J209/100</f>
        <v>2.1974802226779958E-2</v>
      </c>
      <c r="G531" s="28">
        <f>IF(ISNUMBER(Data!S209),Data!S209/100,"n/a")</f>
        <v>0.14159292035398208</v>
      </c>
      <c r="H531" s="28">
        <f>IF(ISNUMBER(Data!T209),Data!T209/100,"n/a")</f>
        <v>0.28638913123460941</v>
      </c>
      <c r="I531" s="28">
        <f>IF(ISNUMBER(Data!U209),Data!U209/100,"n/a")</f>
        <v>0.19202395778843795</v>
      </c>
      <c r="J531" s="28">
        <f>IF(ISNUMBER(Data!V209),Data!V209/100,"n/a")</f>
        <v>0.17645575719459328</v>
      </c>
      <c r="K531" s="9">
        <f>IF(ISNUMBER(Data!Z209),Data!Z209/100,"n/a")</f>
        <v>0.30769230769230771</v>
      </c>
      <c r="L531" s="10">
        <f>Data!AA209</f>
        <v>14.002051282051283</v>
      </c>
      <c r="M531" s="10">
        <f>Data!AF209</f>
        <v>3.49</v>
      </c>
      <c r="N531" s="28">
        <f>IF(ISNUMBER(Data!AG209),Data!AG209/100,"n/a")</f>
        <v>0.26</v>
      </c>
      <c r="O531" s="28">
        <f>IF(ISNUMBER(Data!AJ209),Data!AJ209/100,"n/a")</f>
        <v>0.43200000000000005</v>
      </c>
      <c r="P531" s="9">
        <f>IF(ISNUMBER(Data!AK209),Data!AK209/100,"n/a")</f>
        <v>0.10549999999999998</v>
      </c>
      <c r="Q531" s="8">
        <f>Data!AN209</f>
        <v>0.23</v>
      </c>
      <c r="R531" s="8">
        <f>Data!AP209</f>
        <v>21.39987600152179</v>
      </c>
      <c r="S531" s="8"/>
      <c r="T531" s="8"/>
      <c r="U531" s="8"/>
      <c r="V531" s="1">
        <f t="shared" si="16"/>
        <v>11</v>
      </c>
      <c r="W531" s="1">
        <f t="shared" si="17"/>
        <v>0</v>
      </c>
    </row>
    <row r="532" spans="1:23" hidden="1" x14ac:dyDescent="0.2">
      <c r="A532" s="7" t="str">
        <f>Data!A204</f>
        <v>Elevance Health Inc.</v>
      </c>
      <c r="B532" s="7" t="str">
        <f>Data!B204</f>
        <v>ELV</v>
      </c>
      <c r="C532" s="7" t="str">
        <f>Data!C204</f>
        <v>Health Care</v>
      </c>
      <c r="D532" s="8">
        <f>IF(ISNUMBER(Data!AL204),Data!AL204/1000,"n/a")</f>
        <v>126.96</v>
      </c>
      <c r="E532" s="1">
        <f>Data!E204</f>
        <v>12</v>
      </c>
      <c r="F532" s="28">
        <f>Data!J204/100</f>
        <v>9.3640836183404366E-3</v>
      </c>
      <c r="G532" s="28">
        <f>IF(ISNUMBER(Data!S204),Data!S204/100,"n/a")</f>
        <v>0.18947368421052624</v>
      </c>
      <c r="H532" s="28">
        <f>IF(ISNUMBER(Data!T204),Data!T204/100,"n/a")</f>
        <v>0.14640760928603602</v>
      </c>
      <c r="I532" s="28">
        <f>IF(ISNUMBER(Data!U204),Data!U204/100,"n/a")</f>
        <v>0.11694816087134609</v>
      </c>
      <c r="J532" s="28">
        <f>IF(ISNUMBER(Data!V204),Data!V204/100,"n/a")</f>
        <v>0.16282361633785158</v>
      </c>
      <c r="K532" s="9">
        <f>IF(ISNUMBER(Data!Z204),Data!Z204/100,"n/a")</f>
        <v>0.20086308356218127</v>
      </c>
      <c r="L532" s="10">
        <f>Data!AA204</f>
        <v>21.450372695174579</v>
      </c>
      <c r="M532" s="10">
        <f>Data!AF204</f>
        <v>3.62</v>
      </c>
      <c r="N532" s="28">
        <f>IF(ISNUMBER(Data!AG204),Data!AG204/100,"n/a")</f>
        <v>0.17299999999999996</v>
      </c>
      <c r="O532" s="28">
        <f>IF(ISNUMBER(Data!AJ204),Data!AJ204/100,"n/a")</f>
        <v>0.218</v>
      </c>
      <c r="P532" s="9">
        <f>IF(ISNUMBER(Data!AK204),Data!AK204/100,"n/a")</f>
        <v>0.11869999999999999</v>
      </c>
      <c r="Q532" s="8">
        <f>Data!AN204</f>
        <v>0.66</v>
      </c>
      <c r="R532" s="8">
        <f>Data!AP204</f>
        <v>12.631224448968652</v>
      </c>
      <c r="S532" s="8"/>
      <c r="T532" s="8"/>
      <c r="U532" s="8"/>
      <c r="V532" s="1">
        <f t="shared" si="16"/>
        <v>9</v>
      </c>
      <c r="W532" s="1">
        <f t="shared" si="17"/>
        <v>0</v>
      </c>
    </row>
    <row r="533" spans="1:23" hidden="1" x14ac:dyDescent="0.2">
      <c r="A533" s="7" t="str">
        <f>Data!A221</f>
        <v>Evergy, Inc.</v>
      </c>
      <c r="B533" s="7" t="str">
        <f>Data!B221</f>
        <v>EVRG</v>
      </c>
      <c r="C533" s="7" t="str">
        <f>Data!C221</f>
        <v>Utilities</v>
      </c>
      <c r="D533" s="8">
        <f>IF(ISNUMBER(Data!AL221),Data!AL221/1000,"n/a")</f>
        <v>13.82</v>
      </c>
      <c r="E533" s="1">
        <f>Data!E221</f>
        <v>17</v>
      </c>
      <c r="F533" s="28">
        <f>Data!J221/100</f>
        <v>3.7461148372321285E-2</v>
      </c>
      <c r="G533" s="28">
        <f>IF(ISNUMBER(Data!S221),Data!S221/100,"n/a")</f>
        <v>6.2195121951219789E-2</v>
      </c>
      <c r="H533" s="28">
        <f>IF(ISNUMBER(Data!T221),Data!T221/100,"n/a")</f>
        <v>7.8664108346093942E-2</v>
      </c>
      <c r="I533" s="28">
        <f>IF(ISNUMBER(Data!U221),Data!U221/100,"n/a")</f>
        <v>7.7391093238865061E-2</v>
      </c>
      <c r="J533" s="28">
        <f>IF(ISNUMBER(Data!V221),Data!V221/100,"n/a")</f>
        <v>5.5396001031511544E-2</v>
      </c>
      <c r="K533" s="9">
        <f>IF(ISNUMBER(Data!Z221),Data!Z221/100,"n/a")</f>
        <v>0.6432584269662921</v>
      </c>
      <c r="L533" s="10">
        <f>Data!AA221</f>
        <v>17.171348314606742</v>
      </c>
      <c r="M533" s="10">
        <f>Data!AF221</f>
        <v>1.53</v>
      </c>
      <c r="N533" s="28">
        <f>IF(ISNUMBER(Data!AG221),Data!AG221/100,"n/a")</f>
        <v>8.7999999999999995E-2</v>
      </c>
      <c r="O533" s="28">
        <f>IF(ISNUMBER(Data!AJ221),Data!AJ221/100,"n/a")</f>
        <v>9.6000000000000002E-2</v>
      </c>
      <c r="P533" s="9">
        <f>IF(ISNUMBER(Data!AK221),Data!AK221/100,"n/a")</f>
        <v>3.5999999999999997E-2</v>
      </c>
      <c r="Q533" s="8">
        <f>Data!AN221</f>
        <v>1.28</v>
      </c>
      <c r="R533" s="8">
        <f>Data!AP221</f>
        <v>11.485224161118634</v>
      </c>
      <c r="S533" s="8"/>
      <c r="T533" s="8"/>
      <c r="U533" s="8"/>
      <c r="V533" s="1">
        <f t="shared" si="16"/>
        <v>9</v>
      </c>
      <c r="W533" s="1">
        <f t="shared" si="17"/>
        <v>0</v>
      </c>
    </row>
    <row r="534" spans="1:23" hidden="1" x14ac:dyDescent="0.2">
      <c r="A534" s="7" t="str">
        <f>Data!A211</f>
        <v>Equitable Holdings, Inc.</v>
      </c>
      <c r="B534" s="7" t="str">
        <f>Data!B211</f>
        <v>EQH</v>
      </c>
      <c r="C534" s="7" t="str">
        <f>Data!C211</f>
        <v>Financials</v>
      </c>
      <c r="D534" s="8">
        <f>IF(ISNUMBER(Data!AL211),Data!AL211/1000,"n/a")</f>
        <v>11.25</v>
      </c>
      <c r="E534" s="1">
        <f>Data!E211</f>
        <v>5</v>
      </c>
      <c r="F534" s="28">
        <f>Data!J211/100</f>
        <v>2.6126714565643371E-2</v>
      </c>
      <c r="G534" s="28">
        <f>IF(ISNUMBER(Data!S211),Data!S211/100,"n/a")</f>
        <v>7.5757575757575912E-2</v>
      </c>
      <c r="H534" s="28">
        <f>IF(ISNUMBER(Data!T211),Data!T211/100,"n/a")</f>
        <v>0.39774624296765571</v>
      </c>
      <c r="I534" s="28" t="str">
        <f>IF(ISNUMBER(Data!U211),Data!U211/100,"n/a")</f>
        <v>n/a</v>
      </c>
      <c r="J534" s="28" t="str">
        <f>IF(ISNUMBER(Data!V211),Data!V211/100,"n/a")</f>
        <v>n/a</v>
      </c>
      <c r="K534" s="9">
        <f>IF(ISNUMBER(Data!Z211),Data!Z211/100,"n/a")</f>
        <v>9.9255583126550861E-2</v>
      </c>
      <c r="L534" s="10">
        <f>Data!AA211</f>
        <v>3.7990074441687343</v>
      </c>
      <c r="M534" s="10">
        <f>Data!AF211</f>
        <v>2.91</v>
      </c>
      <c r="N534" s="28">
        <f>IF(ISNUMBER(Data!AG211),Data!AG211/100,"n/a")</f>
        <v>0.41299999999999998</v>
      </c>
      <c r="O534" s="28">
        <f>IF(ISNUMBER(Data!AJ211),Data!AJ211/100,"n/a")</f>
        <v>-0.20599999999999999</v>
      </c>
      <c r="P534" s="9">
        <f>IF(ISNUMBER(Data!AK211),Data!AK211/100,"n/a")</f>
        <v>3.4099999999999998E-2</v>
      </c>
      <c r="Q534" s="8">
        <f>Data!AN211</f>
        <v>3.11</v>
      </c>
      <c r="R534" s="8" t="str">
        <f>Data!AP211</f>
        <v>n/a</v>
      </c>
      <c r="S534" s="8"/>
      <c r="T534" s="8"/>
      <c r="U534" s="8"/>
      <c r="V534" s="1">
        <f t="shared" si="16"/>
        <v>7</v>
      </c>
      <c r="W534" s="1">
        <f t="shared" si="17"/>
        <v>0</v>
      </c>
    </row>
    <row r="535" spans="1:23" hidden="1" x14ac:dyDescent="0.2">
      <c r="A535" s="7" t="str">
        <f>Data!A208</f>
        <v>The Ensign Group, Inc.</v>
      </c>
      <c r="B535" s="7" t="str">
        <f>Data!B208</f>
        <v>ENSG</v>
      </c>
      <c r="C535" s="7" t="str">
        <f>Data!C208</f>
        <v>Health Care</v>
      </c>
      <c r="D535" s="8">
        <f>IF(ISNUMBER(Data!AL208),Data!AL208/1000,"n/a")</f>
        <v>4.8</v>
      </c>
      <c r="E535" s="1">
        <f>Data!E208</f>
        <v>15</v>
      </c>
      <c r="F535" s="28">
        <f>Data!J208/100</f>
        <v>2.4504343951882381E-3</v>
      </c>
      <c r="G535" s="28">
        <f>IF(ISNUMBER(Data!S208),Data!S208/100,"n/a")</f>
        <v>4.9999999999999822E-2</v>
      </c>
      <c r="H535" s="28">
        <f>IF(ISNUMBER(Data!T208),Data!T208/100,"n/a")</f>
        <v>4.789751061124381E-2</v>
      </c>
      <c r="I535" s="28">
        <f>IF(ISNUMBER(Data!U208),Data!U208/100,"n/a")</f>
        <v>5.5892882483376871E-2</v>
      </c>
      <c r="J535" s="28">
        <f>IF(ISNUMBER(Data!V208),Data!V208/100,"n/a")</f>
        <v>0.12924846734018391</v>
      </c>
      <c r="K535" s="9">
        <f>IF(ISNUMBER(Data!Z208),Data!Z208/100,"n/a")</f>
        <v>5.8666666666666666E-2</v>
      </c>
      <c r="L535" s="10">
        <f>Data!AA208</f>
        <v>23.941333333333333</v>
      </c>
      <c r="M535" s="10">
        <f>Data!AF208</f>
        <v>4.18</v>
      </c>
      <c r="N535" s="28">
        <f>IF(ISNUMBER(Data!AG208),Data!AG208/100,"n/a")</f>
        <v>0.19500000000000001</v>
      </c>
      <c r="O535" s="28">
        <f>IF(ISNUMBER(Data!AJ208),Data!AJ208/100,"n/a")</f>
        <v>0.28999999999999998</v>
      </c>
      <c r="P535" s="9">
        <f>IF(ISNUMBER(Data!AK208),Data!AK208/100,"n/a")</f>
        <v>0.15</v>
      </c>
      <c r="Q535" s="8">
        <f>Data!AN208</f>
        <v>0.13</v>
      </c>
      <c r="R535" s="8">
        <f>Data!AP208</f>
        <v>5.834331687856511</v>
      </c>
      <c r="S535" s="8"/>
      <c r="T535" s="8"/>
      <c r="U535" s="8"/>
      <c r="V535" s="1">
        <f t="shared" si="16"/>
        <v>7</v>
      </c>
      <c r="W535" s="1">
        <f t="shared" si="17"/>
        <v>0</v>
      </c>
    </row>
    <row r="536" spans="1:23" hidden="1" x14ac:dyDescent="0.2">
      <c r="A536" s="7" t="str">
        <f>Data!A227</f>
        <v>Diamondback Energy, Inc.</v>
      </c>
      <c r="B536" s="7" t="str">
        <f>Data!B227</f>
        <v>FANG</v>
      </c>
      <c r="C536" s="7" t="str">
        <f>Data!C227</f>
        <v>Energy</v>
      </c>
      <c r="D536" s="8">
        <f>IF(ISNUMBER(Data!AL227),Data!AL227/1000,"n/a")</f>
        <v>27.27</v>
      </c>
      <c r="E536" s="1">
        <f>Data!E227</f>
        <v>5</v>
      </c>
      <c r="F536" s="28">
        <f>Data!J227/100</f>
        <v>1.9094901661256443E-2</v>
      </c>
      <c r="G536" s="28">
        <f>IF(ISNUMBER(Data!S227),Data!S227/100,"n/a")</f>
        <v>0.16666666666666674</v>
      </c>
      <c r="H536" s="28">
        <f>IF(ISNUMBER(Data!T227),Data!T227/100,"n/a")</f>
        <v>0.67109931165486159</v>
      </c>
      <c r="I536" s="28" t="str">
        <f>IF(ISNUMBER(Data!U227),Data!U227/100,"n/a")</f>
        <v>n/a</v>
      </c>
      <c r="J536" s="28" t="str">
        <f>IF(ISNUMBER(Data!V227),Data!V227/100,"n/a")</f>
        <v>n/a</v>
      </c>
      <c r="K536" s="9">
        <f>IF(ISNUMBER(Data!Z227),Data!Z227/100,"n/a")</f>
        <v>0.14005602240896359</v>
      </c>
      <c r="L536" s="10">
        <f>Data!AA227</f>
        <v>7.3347338935574227</v>
      </c>
      <c r="M536" s="10">
        <f>Data!AF227</f>
        <v>2.04</v>
      </c>
      <c r="N536" s="28">
        <f>IF(ISNUMBER(Data!AG227),Data!AG227/100,"n/a")</f>
        <v>0.309</v>
      </c>
      <c r="O536" s="28">
        <f>IF(ISNUMBER(Data!AJ227),Data!AJ227/100,"n/a")</f>
        <v>0.5</v>
      </c>
      <c r="P536" s="9">
        <f>IF(ISNUMBER(Data!AK227),Data!AK227/100,"n/a")</f>
        <v>0.20610000000000001</v>
      </c>
      <c r="Q536" s="8">
        <f>Data!AN227</f>
        <v>0.41</v>
      </c>
      <c r="R536" s="8" t="str">
        <f>Data!AP227</f>
        <v>n/a</v>
      </c>
      <c r="S536" s="8"/>
      <c r="T536" s="8"/>
      <c r="U536" s="8"/>
      <c r="V536" s="1">
        <f t="shared" si="16"/>
        <v>8</v>
      </c>
      <c r="W536" s="1">
        <f t="shared" si="17"/>
        <v>0</v>
      </c>
    </row>
    <row r="537" spans="1:23" hidden="1" x14ac:dyDescent="0.2">
      <c r="A537" s="7" t="str">
        <f>Data!A207</f>
        <v>Enbridge Inc.</v>
      </c>
      <c r="B537" s="7" t="str">
        <f>Data!B207</f>
        <v>ENB</v>
      </c>
      <c r="C537" s="7" t="str">
        <f>Data!C207</f>
        <v>Energy</v>
      </c>
      <c r="D537" s="8">
        <f>IF(ISNUMBER(Data!AL207),Data!AL207/1000,"n/a")</f>
        <v>79.12</v>
      </c>
      <c r="E537" s="1">
        <f>Data!E207</f>
        <v>26</v>
      </c>
      <c r="F537" s="28">
        <f>Data!J207/100</f>
        <v>6.9216944801026956E-2</v>
      </c>
      <c r="G537" s="28">
        <f>IF(ISNUMBER(Data!S207),Data!S207/100,"n/a")</f>
        <v>0.11114334258837166</v>
      </c>
      <c r="H537" s="28">
        <f>IF(ISNUMBER(Data!T207),Data!T207/100,"n/a")</f>
        <v>8.9378714722497823E-2</v>
      </c>
      <c r="I537" s="28">
        <f>IF(ISNUMBER(Data!U207),Data!U207/100,"n/a")</f>
        <v>0.11004060987437247</v>
      </c>
      <c r="J537" s="28">
        <f>IF(ISNUMBER(Data!V207),Data!V207/100,"n/a")</f>
        <v>0.10476783490817333</v>
      </c>
      <c r="K537" s="9">
        <f>IF(ISNUMBER(Data!Z207),Data!Z207/100,"n/a")</f>
        <v>1.5146067415730338</v>
      </c>
      <c r="L537" s="10">
        <f>Data!AA207</f>
        <v>21.882022471910112</v>
      </c>
      <c r="M537" s="10">
        <f>Data!AF207</f>
        <v>1.94</v>
      </c>
      <c r="N537" s="28">
        <f>IF(ISNUMBER(Data!AG207),Data!AG207/100,"n/a")</f>
        <v>0.09</v>
      </c>
      <c r="O537" s="28">
        <f>IF(ISNUMBER(Data!AJ207),Data!AJ207/100,"n/a")</f>
        <v>8.2000000000000017E-2</v>
      </c>
      <c r="P537" s="9">
        <f>IF(ISNUMBER(Data!AK207),Data!AK207/100,"n/a")</f>
        <v>4.2000000000000003E-2</v>
      </c>
      <c r="Q537" s="8">
        <f>Data!AN207</f>
        <v>1.43</v>
      </c>
      <c r="R537" s="8">
        <f>Data!AP207</f>
        <v>17.925755467539943</v>
      </c>
      <c r="S537" s="8"/>
      <c r="T537" s="8"/>
      <c r="U537" s="8"/>
      <c r="V537" s="1">
        <f t="shared" si="16"/>
        <v>9</v>
      </c>
      <c r="W537" s="1">
        <f t="shared" si="17"/>
        <v>0</v>
      </c>
    </row>
    <row r="538" spans="1:23" hidden="1" x14ac:dyDescent="0.2">
      <c r="A538" s="7" t="str">
        <f>Data!A202</f>
        <v>Edison International</v>
      </c>
      <c r="B538" s="7" t="str">
        <f>Data!B202</f>
        <v>EIX</v>
      </c>
      <c r="C538" s="7" t="str">
        <f>Data!C202</f>
        <v>Utilities</v>
      </c>
      <c r="D538" s="8">
        <f>IF(ISNUMBER(Data!AL202),Data!AL202/1000,"n/a")</f>
        <v>22.27</v>
      </c>
      <c r="E538" s="1">
        <f>Data!E202</f>
        <v>19</v>
      </c>
      <c r="F538" s="28">
        <f>Data!J202/100</f>
        <v>4.6635576282478344E-2</v>
      </c>
      <c r="G538" s="28">
        <f>IF(ISNUMBER(Data!S202),Data!S202/100,"n/a")</f>
        <v>3.9215686274509887E-2</v>
      </c>
      <c r="H538" s="28">
        <f>IF(ISNUMBER(Data!T202),Data!T202/100,"n/a")</f>
        <v>3.0726644161907402E-2</v>
      </c>
      <c r="I538" s="28">
        <f>IF(ISNUMBER(Data!U202),Data!U202/100,"n/a")</f>
        <v>6.6568932108852064E-2</v>
      </c>
      <c r="J538" s="28">
        <f>IF(ISNUMBER(Data!V202),Data!V202/100,"n/a")</f>
        <v>7.5483100243106893E-2</v>
      </c>
      <c r="K538" s="9">
        <f>IF(ISNUMBER(Data!Z202),Data!Z202/100,"n/a")</f>
        <v>2.1052631578947367</v>
      </c>
      <c r="L538" s="10">
        <f>Data!AA202</f>
        <v>45.142857142857139</v>
      </c>
      <c r="M538" s="10">
        <f>Data!AF202</f>
        <v>1.66</v>
      </c>
      <c r="N538" s="28">
        <f>IF(ISNUMBER(Data!AG202),Data!AG202/100,"n/a")</f>
        <v>3.9E-2</v>
      </c>
      <c r="O538" s="28">
        <f>IF(ISNUMBER(Data!AJ202),Data!AJ202/100,"n/a")</f>
        <v>-0.127</v>
      </c>
      <c r="P538" s="9">
        <f>IF(ISNUMBER(Data!AK202),Data!AK202/100,"n/a")</f>
        <v>4.3499999999999997E-2</v>
      </c>
      <c r="Q538" s="8">
        <f>Data!AN202</f>
        <v>2.12</v>
      </c>
      <c r="R538" s="8">
        <f>Data!AP202</f>
        <v>11.320450839133041</v>
      </c>
      <c r="S538" s="8"/>
      <c r="T538" s="8"/>
      <c r="U538" s="8"/>
      <c r="V538" s="1">
        <f t="shared" si="16"/>
        <v>5</v>
      </c>
      <c r="W538" s="1">
        <f t="shared" si="17"/>
        <v>0</v>
      </c>
    </row>
    <row r="539" spans="1:23" hidden="1" x14ac:dyDescent="0.2">
      <c r="A539" s="7" t="str">
        <f>Data!A199</f>
        <v>Enterprise Financial Services Corp</v>
      </c>
      <c r="B539" s="7" t="str">
        <f>Data!B199</f>
        <v>EFSC</v>
      </c>
      <c r="C539" s="7" t="str">
        <f>Data!C199</f>
        <v>Financials</v>
      </c>
      <c r="D539" s="8">
        <f>IF(ISNUMBER(Data!AL199),Data!AL199/1000,"n/a")</f>
        <v>1.93</v>
      </c>
      <c r="E539" s="1">
        <f>Data!E199</f>
        <v>8</v>
      </c>
      <c r="F539" s="28">
        <f>Data!J199/100</f>
        <v>1.7953992893211146E-2</v>
      </c>
      <c r="G539" s="28">
        <f>IF(ISNUMBER(Data!S199),Data!S199/100,"n/a")</f>
        <v>4.1666666666666741E-2</v>
      </c>
      <c r="H539" s="28">
        <f>IF(ISNUMBER(Data!T199),Data!T199/100,"n/a")</f>
        <v>0.16856928897683865</v>
      </c>
      <c r="I539" s="28">
        <f>IF(ISNUMBER(Data!U199),Data!U199/100,"n/a")</f>
        <v>0.12838026357723686</v>
      </c>
      <c r="J539" s="28">
        <f>IF(ISNUMBER(Data!V199),Data!V199/100,"n/a")</f>
        <v>0.13575379559642653</v>
      </c>
      <c r="K539" s="9">
        <f>IF(ISNUMBER(Data!Z199),Data!Z199/100,"n/a")</f>
        <v>0.18972332015810278</v>
      </c>
      <c r="L539" s="10">
        <f>Data!AA199</f>
        <v>10.567193675889328</v>
      </c>
      <c r="M539" s="10">
        <f>Data!AF199</f>
        <v>1.44</v>
      </c>
      <c r="N539" s="28">
        <f>IF(ISNUMBER(Data!AG199),Data!AG199/100,"n/a")</f>
        <v>0.105</v>
      </c>
      <c r="O539" s="28">
        <f>IF(ISNUMBER(Data!AJ199),Data!AJ199/100,"n/a")</f>
        <v>9.9000000000000005E-2</v>
      </c>
      <c r="P539" s="9">
        <f>IF(ISNUMBER(Data!AK199),Data!AK199/100,"n/a")</f>
        <v>0.09</v>
      </c>
      <c r="Q539" s="8">
        <f>Data!AN199</f>
        <v>0.11</v>
      </c>
      <c r="R539" s="8">
        <f>Data!AP199</f>
        <v>14.633425647044801</v>
      </c>
      <c r="S539" s="8"/>
      <c r="T539" s="8"/>
      <c r="U539" s="8"/>
      <c r="V539" s="1">
        <f t="shared" si="16"/>
        <v>8</v>
      </c>
      <c r="W539" s="1">
        <f t="shared" si="17"/>
        <v>0</v>
      </c>
    </row>
    <row r="540" spans="1:23" hidden="1" x14ac:dyDescent="0.2">
      <c r="A540" s="7" t="str">
        <f>Data!A201</f>
        <v>EastGroup Properties, Inc.</v>
      </c>
      <c r="B540" s="7" t="str">
        <f>Data!B201</f>
        <v>EGP</v>
      </c>
      <c r="C540" s="7" t="str">
        <f>Data!C201</f>
        <v>Real Estate</v>
      </c>
      <c r="D540" s="8">
        <f>IF(ISNUMBER(Data!AL201),Data!AL201/1000,"n/a")</f>
        <v>6.67</v>
      </c>
      <c r="E540" s="1">
        <f>Data!E201</f>
        <v>11</v>
      </c>
      <c r="F540" s="28">
        <f>Data!J201/100</f>
        <v>3.1910141042823408E-2</v>
      </c>
      <c r="G540" s="28">
        <f>IF(ISNUMBER(Data!S201),Data!S201/100,"n/a")</f>
        <v>7.5657894736842035E-2</v>
      </c>
      <c r="H540" s="28">
        <f>IF(ISNUMBER(Data!T201),Data!T201/100,"n/a")</f>
        <v>7.3943107964647314E-2</v>
      </c>
      <c r="I540" s="28">
        <f>IF(ISNUMBER(Data!U201),Data!U201/100,"n/a")</f>
        <v>6.030689427453173E-2</v>
      </c>
      <c r="J540" s="28">
        <f>IF(ISNUMBER(Data!V201),Data!V201/100,"n/a")</f>
        <v>4.6281248080960014E-2</v>
      </c>
      <c r="K540" s="9">
        <f>IF(ISNUMBER(Data!Z201),Data!Z201/100,"n/a")</f>
        <v>0.95238095238095222</v>
      </c>
      <c r="L540" s="10">
        <f>Data!AA201</f>
        <v>29.845714285714287</v>
      </c>
      <c r="M540" s="10">
        <f>Data!AF201</f>
        <v>3.41</v>
      </c>
      <c r="N540" s="28">
        <f>IF(ISNUMBER(Data!AG201),Data!AG201/100,"n/a")</f>
        <v>0.122</v>
      </c>
      <c r="O540" s="28">
        <f>IF(ISNUMBER(Data!AJ201),Data!AJ201/100,"n/a")</f>
        <v>5.8999999999999997E-2</v>
      </c>
      <c r="P540" s="9">
        <f>IF(ISNUMBER(Data!AK201),Data!AK201/100,"n/a")</f>
        <v>7.6999999999999999E-2</v>
      </c>
      <c r="Q540" s="8">
        <f>Data!AN201</f>
        <v>0.85</v>
      </c>
      <c r="R540" s="8">
        <f>Data!AP201</f>
        <v>9.221703531735514</v>
      </c>
      <c r="S540" s="8"/>
      <c r="T540" s="8"/>
      <c r="U540" s="8"/>
      <c r="V540" s="1">
        <f t="shared" si="16"/>
        <v>7</v>
      </c>
      <c r="W540" s="1">
        <f t="shared" si="17"/>
        <v>0</v>
      </c>
    </row>
    <row r="541" spans="1:23" hidden="1" x14ac:dyDescent="0.2">
      <c r="A541" s="7" t="str">
        <f>Data!A200</f>
        <v>Eagle Financial Services, Inc.</v>
      </c>
      <c r="B541" s="7" t="str">
        <f>Data!B200</f>
        <v>EFSI</v>
      </c>
      <c r="C541" s="7" t="str">
        <f>Data!C200</f>
        <v>Financials</v>
      </c>
      <c r="D541" s="8" t="str">
        <f>IF(ISNUMBER(Data!AL200),Data!AL200/1000,"n/a")</f>
        <v>n/a</v>
      </c>
      <c r="E541" s="1">
        <f>Data!E200</f>
        <v>36</v>
      </c>
      <c r="F541" s="28">
        <f>Data!J200/100</f>
        <v>3.287671232876712E-2</v>
      </c>
      <c r="G541" s="28">
        <f>IF(ISNUMBER(Data!S200),Data!S200/100,"n/a")</f>
        <v>5.7692307692307709E-2</v>
      </c>
      <c r="H541" s="28">
        <f>IF(ISNUMBER(Data!T200),Data!T200/100,"n/a")</f>
        <v>5.3792113089372373E-2</v>
      </c>
      <c r="I541" s="28">
        <f>IF(ISNUMBER(Data!U200),Data!U200/100,"n/a")</f>
        <v>6.0512438341298491E-2</v>
      </c>
      <c r="J541" s="28">
        <f>IF(ISNUMBER(Data!V200),Data!V200/100,"n/a")</f>
        <v>4.329234031341489E-2</v>
      </c>
      <c r="K541" s="9" t="str">
        <f>IF(ISNUMBER(Data!Z200),Data!Z200/100,"n/a")</f>
        <v>n/a</v>
      </c>
      <c r="L541" s="10" t="str">
        <f>Data!AA200</f>
        <v>n/a</v>
      </c>
      <c r="M541" s="10" t="str">
        <f>Data!AF200</f>
        <v>n/a</v>
      </c>
      <c r="N541" s="28" t="str">
        <f>IF(ISNUMBER(Data!AG200),Data!AG200/100,"n/a")</f>
        <v>n/a</v>
      </c>
      <c r="O541" s="28" t="str">
        <f>IF(ISNUMBER(Data!AJ200),Data!AJ200/100,"n/a")</f>
        <v>n/a</v>
      </c>
      <c r="P541" s="9" t="str">
        <f>IF(ISNUMBER(Data!AK200),Data!AK200/100,"n/a")</f>
        <v>n/a</v>
      </c>
      <c r="Q541" s="8" t="str">
        <f>Data!AN200</f>
        <v>n/a</v>
      </c>
      <c r="R541" s="8">
        <f>Data!AP200</f>
        <v>9.3389150670065604</v>
      </c>
      <c r="S541" s="8"/>
      <c r="T541" s="8"/>
      <c r="U541" s="8"/>
      <c r="V541" s="1">
        <f t="shared" si="16"/>
        <v>5</v>
      </c>
      <c r="W541" s="1">
        <f t="shared" si="17"/>
        <v>0</v>
      </c>
    </row>
    <row r="542" spans="1:23" hidden="1" x14ac:dyDescent="0.2">
      <c r="A542" s="7" t="str">
        <f>Data!A196</f>
        <v>Enterprise Bancorp, Inc.</v>
      </c>
      <c r="B542" s="7" t="str">
        <f>Data!B196</f>
        <v>EBTC</v>
      </c>
      <c r="C542" s="7" t="str">
        <f>Data!C196</f>
        <v>Financials</v>
      </c>
      <c r="D542" s="8">
        <f>IF(ISNUMBER(Data!AL196),Data!AL196/1000,"n/a")</f>
        <v>0.36108999999999997</v>
      </c>
      <c r="E542" s="1">
        <f>Data!E196</f>
        <v>30</v>
      </c>
      <c r="F542" s="28">
        <f>Data!J196/100</f>
        <v>2.6214833759590789E-2</v>
      </c>
      <c r="G542" s="28">
        <f>IF(ISNUMBER(Data!S196),Data!S196/100,"n/a")</f>
        <v>5.7142857142857162E-2</v>
      </c>
      <c r="H542" s="28">
        <f>IF(ISNUMBER(Data!T196),Data!T196/100,"n/a")</f>
        <v>8.4595775991327393E-2</v>
      </c>
      <c r="I542" s="28">
        <f>IF(ISNUMBER(Data!U196),Data!U196/100,"n/a")</f>
        <v>7.3113541506014013E-2</v>
      </c>
      <c r="J542" s="28">
        <f>IF(ISNUMBER(Data!V196),Data!V196/100,"n/a")</f>
        <v>5.8274284018819511E-2</v>
      </c>
      <c r="K542" s="9">
        <f>IF(ISNUMBER(Data!Z196),Data!Z196/100,"n/a")</f>
        <v>0.2411764705882353</v>
      </c>
      <c r="L542" s="10">
        <f>Data!AA196</f>
        <v>9.2000000000000011</v>
      </c>
      <c r="M542" s="10">
        <f>Data!AF196</f>
        <v>1.36</v>
      </c>
      <c r="N542" s="28">
        <f>IF(ISNUMBER(Data!AG196),Data!AG196/100,"n/a")</f>
        <v>0.13100000000000001</v>
      </c>
      <c r="O542" s="28">
        <f>IF(ISNUMBER(Data!AJ196),Data!AJ196/100,"n/a")</f>
        <v>0.156</v>
      </c>
      <c r="P542" s="9" t="str">
        <f>IF(ISNUMBER(Data!AK196),Data!AK196/100,"n/a")</f>
        <v>n/a</v>
      </c>
      <c r="Q542" s="8">
        <f>Data!AN196</f>
        <v>0.21</v>
      </c>
      <c r="R542" s="8">
        <f>Data!AP196</f>
        <v>9.9328375265604798</v>
      </c>
      <c r="S542" s="8"/>
      <c r="T542" s="8"/>
      <c r="U542" s="8"/>
      <c r="V542" s="1">
        <f t="shared" si="16"/>
        <v>10</v>
      </c>
      <c r="W542" s="1">
        <f t="shared" si="17"/>
        <v>0</v>
      </c>
    </row>
    <row r="543" spans="1:23" hidden="1" x14ac:dyDescent="0.2">
      <c r="A543" s="7" t="str">
        <f>Data!A528</f>
        <v>Portland General Electric Company</v>
      </c>
      <c r="B543" s="7" t="str">
        <f>Data!B528</f>
        <v>POR</v>
      </c>
      <c r="C543" s="7" t="str">
        <f>Data!C528</f>
        <v>Utilities</v>
      </c>
      <c r="D543" s="8">
        <f>IF(ISNUMBER(Data!AL528),Data!AL528/1000,"n/a")</f>
        <v>3.97</v>
      </c>
      <c r="E543" s="1">
        <f>Data!E528</f>
        <v>17</v>
      </c>
      <c r="F543" s="28">
        <f>Data!J528/100</f>
        <v>4.0275923453493553E-2</v>
      </c>
      <c r="G543" s="28">
        <f>IF(ISNUMBER(Data!S528),Data!S528/100,"n/a")</f>
        <v>7.2000000000000064E-2</v>
      </c>
      <c r="H543" s="28">
        <f>IF(ISNUMBER(Data!T528),Data!T528/100,"n/a")</f>
        <v>6.0342484118276252E-2</v>
      </c>
      <c r="I543" s="28">
        <f>IF(ISNUMBER(Data!U528),Data!U528/100,"n/a")</f>
        <v>6.1985593337348766E-2</v>
      </c>
      <c r="J543" s="28">
        <f>IF(ISNUMBER(Data!V528),Data!V528/100,"n/a")</f>
        <v>4.7810029714057789E-2</v>
      </c>
      <c r="K543" s="9">
        <f>IF(ISNUMBER(Data!Z528),Data!Z528/100,"n/a")</f>
        <v>0.6534296028880866</v>
      </c>
      <c r="L543" s="10">
        <f>Data!AA528</f>
        <v>16.223826714801444</v>
      </c>
      <c r="M543" s="10">
        <f>Data!AF528</f>
        <v>1.47</v>
      </c>
      <c r="N543" s="28">
        <f>IF(ISNUMBER(Data!AG528),Data!AG528/100,"n/a")</f>
        <v>9.0999999999999998E-2</v>
      </c>
      <c r="O543" s="28">
        <f>IF(ISNUMBER(Data!AJ528),Data!AJ528/100,"n/a")</f>
        <v>4.7E-2</v>
      </c>
      <c r="P543" s="9">
        <f>IF(ISNUMBER(Data!AK528),Data!AK528/100,"n/a")</f>
        <v>1.4000000000000002E-2</v>
      </c>
      <c r="Q543" s="8">
        <f>Data!AN528</f>
        <v>1.32</v>
      </c>
      <c r="R543" s="8">
        <f>Data!AP528</f>
        <v>10.226151679084232</v>
      </c>
      <c r="S543" s="8"/>
      <c r="T543" s="8"/>
      <c r="U543" s="8"/>
      <c r="V543" s="1">
        <f t="shared" si="16"/>
        <v>8</v>
      </c>
      <c r="W543" s="1">
        <f t="shared" si="17"/>
        <v>0</v>
      </c>
    </row>
    <row r="544" spans="1:23" hidden="1" x14ac:dyDescent="0.2">
      <c r="A544" s="7" t="str">
        <f>Data!A188</f>
        <v>Dolby Laboratories, Inc.</v>
      </c>
      <c r="B544" s="7" t="str">
        <f>Data!B188</f>
        <v>DLB</v>
      </c>
      <c r="C544" s="7" t="str">
        <f>Data!C188</f>
        <v>Information Technology</v>
      </c>
      <c r="D544" s="8">
        <f>IF(ISNUMBER(Data!AL188),Data!AL188/1000,"n/a")</f>
        <v>6.41</v>
      </c>
      <c r="E544" s="1">
        <f>Data!E188</f>
        <v>8</v>
      </c>
      <c r="F544" s="28">
        <f>Data!J188/100</f>
        <v>1.4961101137043686E-2</v>
      </c>
      <c r="G544" s="28">
        <f>IF(ISNUMBER(Data!S188),Data!S188/100,"n/a")</f>
        <v>3.4090909090909172E-2</v>
      </c>
      <c r="H544" s="28">
        <f>IF(ISNUMBER(Data!T188),Data!T188/100,"n/a")</f>
        <v>0.10744507612303034</v>
      </c>
      <c r="I544" s="28">
        <f>IF(ISNUMBER(Data!U188),Data!U188/100,"n/a")</f>
        <v>0.12723451383166728</v>
      </c>
      <c r="J544" s="28" t="str">
        <f>IF(ISNUMBER(Data!V188),Data!V188/100,"n/a")</f>
        <v>n/a</v>
      </c>
      <c r="K544" s="9">
        <f>IF(ISNUMBER(Data!Z188),Data!Z188/100,"n/a")</f>
        <v>0.51546391752577325</v>
      </c>
      <c r="L544" s="10">
        <f>Data!AA188</f>
        <v>34.453608247422686</v>
      </c>
      <c r="M544" s="10">
        <f>Data!AF188</f>
        <v>2.73</v>
      </c>
      <c r="N544" s="28">
        <f>IF(ISNUMBER(Data!AG188),Data!AG188/100,"n/a")</f>
        <v>7.8E-2</v>
      </c>
      <c r="O544" s="28">
        <f>IF(ISNUMBER(Data!AJ188),Data!AJ188/100,"n/a")</f>
        <v>0.10299999999999999</v>
      </c>
      <c r="P544" s="9">
        <f>IF(ISNUMBER(Data!AK188),Data!AK188/100,"n/a")</f>
        <v>0.16</v>
      </c>
      <c r="Q544" s="8">
        <f>Data!AN188</f>
        <v>0</v>
      </c>
      <c r="R544" s="8">
        <f>Data!AP188</f>
        <v>14.219561496871098</v>
      </c>
      <c r="S544" s="8"/>
      <c r="T544" s="8"/>
      <c r="U544" s="8"/>
      <c r="V544" s="1">
        <f t="shared" si="16"/>
        <v>7</v>
      </c>
      <c r="W544" s="1">
        <f t="shared" si="17"/>
        <v>0</v>
      </c>
    </row>
    <row r="545" spans="1:23" hidden="1" x14ac:dyDescent="0.2">
      <c r="A545" s="7" t="str">
        <f>Data!A187</f>
        <v>DICK'S Sporting Goods, Inc.</v>
      </c>
      <c r="B545" s="7" t="str">
        <f>Data!B187</f>
        <v>DKS</v>
      </c>
      <c r="C545" s="7" t="str">
        <f>Data!C187</f>
        <v>Consumer Discretionary</v>
      </c>
      <c r="D545" s="8">
        <f>IF(ISNUMBER(Data!AL187),Data!AL187/1000,"n/a")</f>
        <v>8.8000000000000007</v>
      </c>
      <c r="E545" s="1">
        <f>Data!E187</f>
        <v>8</v>
      </c>
      <c r="F545" s="28">
        <f>Data!J187/100</f>
        <v>1.7141350210970463E-2</v>
      </c>
      <c r="G545" s="28">
        <f>IF(ISNUMBER(Data!S187),Data!S187/100,"n/a")</f>
        <v>0.28000000000000003</v>
      </c>
      <c r="H545" s="28">
        <f>IF(ISNUMBER(Data!T187),Data!T187/100,"n/a")</f>
        <v>0.21141372855475971</v>
      </c>
      <c r="I545" s="28">
        <f>IF(ISNUMBER(Data!U187),Data!U187/100,"n/a")</f>
        <v>0.21471088049964693</v>
      </c>
      <c r="J545" s="28" t="str">
        <f>IF(ISNUMBER(Data!V187),Data!V187/100,"n/a")</f>
        <v>n/a</v>
      </c>
      <c r="K545" s="9">
        <f>IF(ISNUMBER(Data!Z187),Data!Z187/100,"n/a")</f>
        <v>0.16927083333333337</v>
      </c>
      <c r="L545" s="10">
        <f>Data!AA187</f>
        <v>9.875</v>
      </c>
      <c r="M545" s="10">
        <f>Data!AF187</f>
        <v>4.04</v>
      </c>
      <c r="N545" s="28">
        <f>IF(ISNUMBER(Data!AG187),Data!AG187/100,"n/a")</f>
        <v>0.55200000000000005</v>
      </c>
      <c r="O545" s="28">
        <f>IF(ISNUMBER(Data!AJ187),Data!AJ187/100,"n/a")</f>
        <v>0.40200000000000002</v>
      </c>
      <c r="P545" s="9">
        <f>IF(ISNUMBER(Data!AK187),Data!AK187/100,"n/a")</f>
        <v>-7.9000000000000001E-2</v>
      </c>
      <c r="Q545" s="8">
        <f>Data!AN187</f>
        <v>0.85</v>
      </c>
      <c r="R545" s="8">
        <f>Data!AP187</f>
        <v>23.185223071061738</v>
      </c>
      <c r="S545" s="8"/>
      <c r="T545" s="8"/>
      <c r="U545" s="8"/>
      <c r="V545" s="1">
        <f t="shared" si="16"/>
        <v>7</v>
      </c>
      <c r="W545" s="1">
        <f t="shared" si="17"/>
        <v>0</v>
      </c>
    </row>
    <row r="546" spans="1:23" hidden="1" x14ac:dyDescent="0.2">
      <c r="A546" s="7" t="str">
        <f>Data!A183</f>
        <v>Quest Diagnostics Incorporated</v>
      </c>
      <c r="B546" s="7" t="str">
        <f>Data!B183</f>
        <v>DGX</v>
      </c>
      <c r="C546" s="7" t="str">
        <f>Data!C183</f>
        <v>Health Care</v>
      </c>
      <c r="D546" s="8">
        <f>IF(ISNUMBER(Data!AL183),Data!AL183/1000,"n/a")</f>
        <v>16.25</v>
      </c>
      <c r="E546" s="1">
        <f>Data!E183</f>
        <v>11</v>
      </c>
      <c r="F546" s="28">
        <f>Data!J183/100</f>
        <v>1.8378002088409329E-2</v>
      </c>
      <c r="G546" s="28">
        <f>IF(ISNUMBER(Data!S183),Data!S183/100,"n/a")</f>
        <v>9.5022624434389011E-2</v>
      </c>
      <c r="H546" s="28">
        <f>IF(ISNUMBER(Data!T183),Data!T183/100,"n/a")</f>
        <v>7.4633194783177093E-2</v>
      </c>
      <c r="I546" s="28">
        <f>IF(ISNUMBER(Data!U183),Data!U183/100,"n/a")</f>
        <v>8.6273229256118356E-2</v>
      </c>
      <c r="J546" s="28">
        <f>IF(ISNUMBER(Data!V183),Data!V183/100,"n/a")</f>
        <v>0.19722433957227323</v>
      </c>
      <c r="K546" s="9">
        <f>IF(ISNUMBER(Data!Z183),Data!Z183/100,"n/a")</f>
        <v>0.26009852216748769</v>
      </c>
      <c r="L546" s="10">
        <f>Data!AA183</f>
        <v>14.152709359605911</v>
      </c>
      <c r="M546" s="10">
        <f>Data!AF183</f>
        <v>2.69</v>
      </c>
      <c r="N546" s="28">
        <f>IF(ISNUMBER(Data!AG183),Data!AG183/100,"n/a")</f>
        <v>0.193</v>
      </c>
      <c r="O546" s="28">
        <f>IF(ISNUMBER(Data!AJ183),Data!AJ183/100,"n/a")</f>
        <v>0.28000000000000003</v>
      </c>
      <c r="P546" s="9">
        <f>IF(ISNUMBER(Data!AK183),Data!AK183/100,"n/a")</f>
        <v>-0.1482</v>
      </c>
      <c r="Q546" s="8">
        <f>Data!AN183</f>
        <v>0.64</v>
      </c>
      <c r="R546" s="8">
        <f>Data!AP183</f>
        <v>10.465123134452769</v>
      </c>
      <c r="S546" s="8"/>
      <c r="T546" s="8"/>
      <c r="U546" s="8"/>
      <c r="V546" s="1">
        <f t="shared" si="16"/>
        <v>9</v>
      </c>
      <c r="W546" s="1">
        <f t="shared" si="17"/>
        <v>0</v>
      </c>
    </row>
    <row r="547" spans="1:23" hidden="1" x14ac:dyDescent="0.2">
      <c r="A547" s="7" t="str">
        <f>Data!A198</f>
        <v>Consolidated Edison, Inc.</v>
      </c>
      <c r="B547" s="7" t="str">
        <f>Data!B198</f>
        <v>ED</v>
      </c>
      <c r="C547" s="7" t="str">
        <f>Data!C198</f>
        <v>Utilities</v>
      </c>
      <c r="D547" s="8">
        <f>IF(ISNUMBER(Data!AL198),Data!AL198/1000,"n/a")</f>
        <v>30.64</v>
      </c>
      <c r="E547" s="1">
        <f>Data!E198</f>
        <v>48</v>
      </c>
      <c r="F547" s="28">
        <f>Data!J198/100</f>
        <v>3.5925420645748073E-2</v>
      </c>
      <c r="G547" s="28">
        <f>IF(ISNUMBER(Data!S198),Data!S198/100,"n/a")</f>
        <v>1.3071895424836555E-2</v>
      </c>
      <c r="H547" s="28">
        <f>IF(ISNUMBER(Data!T198),Data!T198/100,"n/a")</f>
        <v>2.7224147974898694E-2</v>
      </c>
      <c r="I547" s="28">
        <f>IF(ISNUMBER(Data!U198),Data!U198/100,"n/a")</f>
        <v>2.9545109465493713E-2</v>
      </c>
      <c r="J547" s="28">
        <f>IF(ISNUMBER(Data!V198),Data!V198/100,"n/a")</f>
        <v>2.5923658862717858E-2</v>
      </c>
      <c r="K547" s="9">
        <f>IF(ISNUMBER(Data!Z198),Data!Z198/100,"n/a")</f>
        <v>0.69146608315098457</v>
      </c>
      <c r="L547" s="10">
        <f>Data!AA198</f>
        <v>19.247264770240697</v>
      </c>
      <c r="M547" s="10">
        <f>Data!AF198</f>
        <v>1.54</v>
      </c>
      <c r="N547" s="28">
        <f>IF(ISNUMBER(Data!AG198),Data!AG198/100,"n/a")</f>
        <v>0.08</v>
      </c>
      <c r="O547" s="28">
        <f>IF(ISNUMBER(Data!AJ198),Data!AJ198/100,"n/a")</f>
        <v>-1.4000000000000002E-2</v>
      </c>
      <c r="P547" s="9">
        <f>IF(ISNUMBER(Data!AK198),Data!AK198/100,"n/a")</f>
        <v>4.9299999999999997E-2</v>
      </c>
      <c r="Q547" s="8">
        <f>Data!AN198</f>
        <v>1.24</v>
      </c>
      <c r="R547" s="8">
        <f>Data!AP198</f>
        <v>6.5470530111241789</v>
      </c>
      <c r="S547" s="8"/>
      <c r="T547" s="8"/>
      <c r="U547" s="8"/>
      <c r="V547" s="1">
        <f t="shared" si="16"/>
        <v>5</v>
      </c>
      <c r="W547" s="1">
        <f t="shared" si="17"/>
        <v>0</v>
      </c>
    </row>
    <row r="548" spans="1:23" hidden="1" x14ac:dyDescent="0.2">
      <c r="A548" s="7" t="str">
        <f>Data!A186</f>
        <v>Delek Logistics Partners, LP</v>
      </c>
      <c r="B548" s="7" t="str">
        <f>Data!B186</f>
        <v>DKL</v>
      </c>
      <c r="C548" s="7" t="str">
        <f>Data!C186</f>
        <v>Energy</v>
      </c>
      <c r="D548" s="8">
        <f>IF(ISNUMBER(Data!AL186),Data!AL186/1000,"n/a")</f>
        <v>2.33</v>
      </c>
      <c r="E548" s="1">
        <f>Data!E186</f>
        <v>10</v>
      </c>
      <c r="F548" s="28">
        <f>Data!J186/100</f>
        <v>7.2223235455042861E-2</v>
      </c>
      <c r="G548" s="28">
        <f>IF(ISNUMBER(Data!S186),Data!S186/100,"n/a")</f>
        <v>3.9106145251396773E-2</v>
      </c>
      <c r="H548" s="28">
        <f>IF(ISNUMBER(Data!T186),Data!T186/100,"n/a")</f>
        <v>7.0191296843787443E-2</v>
      </c>
      <c r="I548" s="28">
        <f>IF(ISNUMBER(Data!U186),Data!U186/100,"n/a")</f>
        <v>8.4035012388569363E-2</v>
      </c>
      <c r="J548" s="28" t="str">
        <f>IF(ISNUMBER(Data!V186),Data!V186/100,"n/a")</f>
        <v>n/a</v>
      </c>
      <c r="K548" s="9">
        <f>IF(ISNUMBER(Data!Z186),Data!Z186/100,"n/a")</f>
        <v>1.0969529085872576</v>
      </c>
      <c r="L548" s="10">
        <f>Data!AA186</f>
        <v>15.18836565096953</v>
      </c>
      <c r="M548" s="10" t="str">
        <f>Data!AF186</f>
        <v>n/a</v>
      </c>
      <c r="N548" s="28">
        <f>IF(ISNUMBER(Data!AG186),Data!AG186/100,"n/a")</f>
        <v>-1.4550000000000001</v>
      </c>
      <c r="O548" s="28">
        <f>IF(ISNUMBER(Data!AJ186),Data!AJ186/100,"n/a")</f>
        <v>0.128</v>
      </c>
      <c r="P548" s="9">
        <f>IF(ISNUMBER(Data!AK186),Data!AK186/100,"n/a")</f>
        <v>0.1308</v>
      </c>
      <c r="Q548" s="8" t="str">
        <f>Data!AN186</f>
        <v>n/a</v>
      </c>
      <c r="R548" s="8">
        <f>Data!AP186</f>
        <v>15.625824784361223</v>
      </c>
      <c r="S548" s="8"/>
      <c r="T548" s="8"/>
      <c r="U548" s="8"/>
      <c r="V548" s="1">
        <f t="shared" si="16"/>
        <v>7</v>
      </c>
      <c r="W548" s="1">
        <f t="shared" si="17"/>
        <v>0</v>
      </c>
    </row>
    <row r="549" spans="1:23" hidden="1" x14ac:dyDescent="0.2">
      <c r="A549" s="7" t="str">
        <f>Data!A194</f>
        <v>Duke Energy Corporation</v>
      </c>
      <c r="B549" s="7" t="str">
        <f>Data!B194</f>
        <v>DUK</v>
      </c>
      <c r="C549" s="7" t="str">
        <f>Data!C194</f>
        <v>Utilities</v>
      </c>
      <c r="D549" s="8">
        <f>IF(ISNUMBER(Data!AL194),Data!AL194/1000,"n/a")</f>
        <v>70.099999999999994</v>
      </c>
      <c r="E549" s="1">
        <f>Data!E194</f>
        <v>18</v>
      </c>
      <c r="F549" s="28">
        <f>Data!J194/100</f>
        <v>4.3142305215711517E-2</v>
      </c>
      <c r="G549" s="28">
        <f>IF(ISNUMBER(Data!S194),Data!S194/100,"n/a")</f>
        <v>2.0942408376963373E-2</v>
      </c>
      <c r="H549" s="28">
        <f>IF(ISNUMBER(Data!T194),Data!T194/100,"n/a")</f>
        <v>2.3639204941226177E-2</v>
      </c>
      <c r="I549" s="28">
        <f>IF(ISNUMBER(Data!U194),Data!U194/100,"n/a")</f>
        <v>3.0255794755612575E-2</v>
      </c>
      <c r="J549" s="28">
        <f>IF(ISNUMBER(Data!V194),Data!V194/100,"n/a")</f>
        <v>2.7615900977818297E-2</v>
      </c>
      <c r="K549" s="9">
        <f>IF(ISNUMBER(Data!Z194),Data!Z194/100,"n/a")</f>
        <v>0.81376518218623461</v>
      </c>
      <c r="L549" s="10">
        <f>Data!AA194</f>
        <v>18.862348178137651</v>
      </c>
      <c r="M549" s="10">
        <f>Data!AF194</f>
        <v>1.52</v>
      </c>
      <c r="N549" s="28">
        <f>IF(ISNUMBER(Data!AG194),Data!AG194/100,"n/a")</f>
        <v>0.08</v>
      </c>
      <c r="O549" s="28">
        <f>IF(ISNUMBER(Data!AJ194),Data!AJ194/100,"n/a")</f>
        <v>5.8999999999999997E-2</v>
      </c>
      <c r="P549" s="9">
        <f>IF(ISNUMBER(Data!AK194),Data!AK194/100,"n/a")</f>
        <v>5.4699999999999999E-2</v>
      </c>
      <c r="Q549" s="8">
        <f>Data!AN194</f>
        <v>1.47</v>
      </c>
      <c r="R549" s="8">
        <f>Data!AP194</f>
        <v>7.3398099971324093</v>
      </c>
      <c r="S549" s="8"/>
      <c r="T549" s="8"/>
      <c r="U549" s="8"/>
      <c r="V549" s="1">
        <f t="shared" si="16"/>
        <v>5</v>
      </c>
      <c r="W549" s="1">
        <f t="shared" si="17"/>
        <v>0</v>
      </c>
    </row>
    <row r="550" spans="1:23" hidden="1" x14ac:dyDescent="0.2">
      <c r="A550" s="7" t="str">
        <f>Data!A185</f>
        <v>Danaher Corporation</v>
      </c>
      <c r="B550" s="7" t="str">
        <f>Data!B185</f>
        <v>DHR</v>
      </c>
      <c r="C550" s="7" t="str">
        <f>Data!C185</f>
        <v>Health Care</v>
      </c>
      <c r="D550" s="8">
        <f>IF(ISNUMBER(Data!AL185),Data!AL185/1000,"n/a")</f>
        <v>180.61</v>
      </c>
      <c r="E550" s="1">
        <f>Data!E185</f>
        <v>9</v>
      </c>
      <c r="F550" s="28">
        <f>Data!J185/100</f>
        <v>3.9734573052012554E-3</v>
      </c>
      <c r="G550" s="28">
        <f>IF(ISNUMBER(Data!S185),Data!S185/100,"n/a")</f>
        <v>0.14084507042253525</v>
      </c>
      <c r="H550" s="28">
        <f>IF(ISNUMBER(Data!T185),Data!T185/100,"n/a")</f>
        <v>9.319535187362149E-2</v>
      </c>
      <c r="I550" s="28">
        <f>IF(ISNUMBER(Data!U185),Data!U185/100,"n/a")</f>
        <v>0.10624381279132766</v>
      </c>
      <c r="J550" s="28">
        <f>IF(ISNUMBER(Data!V185),Data!V185/100,"n/a")</f>
        <v>0.3242322742148096</v>
      </c>
      <c r="K550" s="9">
        <f>IF(ISNUMBER(Data!Z185),Data!Z185/100,"n/a")</f>
        <v>0.11037527593818984</v>
      </c>
      <c r="L550" s="10">
        <f>Data!AA185</f>
        <v>27.778145695364234</v>
      </c>
      <c r="M550" s="10">
        <f>Data!AF185</f>
        <v>4.05</v>
      </c>
      <c r="N550" s="28">
        <f>IF(ISNUMBER(Data!AG185),Data!AG185/100,"n/a")</f>
        <v>0.152</v>
      </c>
      <c r="O550" s="28">
        <f>IF(ISNUMBER(Data!AJ185),Data!AJ185/100,"n/a")</f>
        <v>0.22500000000000001</v>
      </c>
      <c r="P550" s="9">
        <f>IF(ISNUMBER(Data!AK185),Data!AK185/100,"n/a")</f>
        <v>5.8999999999999997E-2</v>
      </c>
      <c r="Q550" s="8">
        <f>Data!AN185</f>
        <v>0.42</v>
      </c>
      <c r="R550" s="8">
        <f>Data!AP185</f>
        <v>11.021727009652892</v>
      </c>
      <c r="S550" s="8"/>
      <c r="T550" s="8"/>
      <c r="U550" s="8"/>
      <c r="V550" s="1">
        <f t="shared" si="16"/>
        <v>9</v>
      </c>
      <c r="W550" s="1">
        <f t="shared" si="17"/>
        <v>0</v>
      </c>
    </row>
    <row r="551" spans="1:23" hidden="1" x14ac:dyDescent="0.2">
      <c r="A551" s="7" t="str">
        <f>Data!A184</f>
        <v>D.R. Horton, Inc.</v>
      </c>
      <c r="B551" s="7" t="str">
        <f>Data!B184</f>
        <v>DHI</v>
      </c>
      <c r="C551" s="7" t="str">
        <f>Data!C184</f>
        <v>Consumer Discretionary</v>
      </c>
      <c r="D551" s="8">
        <f>IF(ISNUMBER(Data!AL184),Data!AL184/1000,"n/a")</f>
        <v>26.33</v>
      </c>
      <c r="E551" s="1">
        <f>Data!E184</f>
        <v>8</v>
      </c>
      <c r="F551" s="28">
        <f>Data!J184/100</f>
        <v>1.170655567117586E-2</v>
      </c>
      <c r="G551" s="28">
        <f>IF(ISNUMBER(Data!S184),Data!S184/100,"n/a")</f>
        <v>0.13793103448275867</v>
      </c>
      <c r="H551" s="28">
        <f>IF(ISNUMBER(Data!T184),Data!T184/100,"n/a")</f>
        <v>0.16260329205681434</v>
      </c>
      <c r="I551" s="28">
        <f>IF(ISNUMBER(Data!U184),Data!U184/100,"n/a")</f>
        <v>0.19397437557170114</v>
      </c>
      <c r="J551" s="28">
        <f>IF(ISNUMBER(Data!V184),Data!V184/100,"n/a")</f>
        <v>0.18586777862780088</v>
      </c>
      <c r="K551" s="9">
        <f>IF(ISNUMBER(Data!Z184),Data!Z184/100,"n/a")</f>
        <v>5.7803468208092484E-2</v>
      </c>
      <c r="L551" s="10">
        <f>Data!AA184</f>
        <v>4.937700706486833</v>
      </c>
      <c r="M551" s="10">
        <f>Data!AF184</f>
        <v>1.51</v>
      </c>
      <c r="N551" s="28">
        <f>IF(ISNUMBER(Data!AG184),Data!AG184/100,"n/a")</f>
        <v>0.34</v>
      </c>
      <c r="O551" s="28">
        <f>IF(ISNUMBER(Data!AJ184),Data!AJ184/100,"n/a")</f>
        <v>0.37</v>
      </c>
      <c r="P551" s="9">
        <f>IF(ISNUMBER(Data!AK184),Data!AK184/100,"n/a")</f>
        <v>0.17899999999999999</v>
      </c>
      <c r="Q551" s="8">
        <f>Data!AN184</f>
        <v>0.33</v>
      </c>
      <c r="R551" s="8">
        <f>Data!AP184</f>
        <v>20.568093124287699</v>
      </c>
      <c r="S551" s="8"/>
      <c r="T551" s="8"/>
      <c r="U551" s="8"/>
      <c r="V551" s="1">
        <f t="shared" si="16"/>
        <v>10</v>
      </c>
      <c r="W551" s="1">
        <f t="shared" si="17"/>
        <v>0</v>
      </c>
    </row>
    <row r="552" spans="1:23" hidden="1" x14ac:dyDescent="0.2">
      <c r="A552" s="7" t="str">
        <f>Data!A195</f>
        <v>Eagle Bancorp Montana, Inc.</v>
      </c>
      <c r="B552" s="7" t="str">
        <f>Data!B195</f>
        <v>EBMT</v>
      </c>
      <c r="C552" s="7" t="str">
        <f>Data!C195</f>
        <v>Financials</v>
      </c>
      <c r="D552" s="8">
        <f>IF(ISNUMBER(Data!AL195),Data!AL195/1000,"n/a")</f>
        <v>0.15137999999999999</v>
      </c>
      <c r="E552" s="1">
        <f>Data!E195</f>
        <v>23</v>
      </c>
      <c r="F552" s="28">
        <f>Data!J195/100</f>
        <v>2.9506437768240346E-2</v>
      </c>
      <c r="G552" s="28">
        <f>IF(ISNUMBER(Data!S195),Data!S195/100,"n/a")</f>
        <v>0.1558441558441559</v>
      </c>
      <c r="H552" s="28">
        <f>IF(ISNUMBER(Data!T195),Data!T195/100,"n/a")</f>
        <v>6.8289718970508728E-2</v>
      </c>
      <c r="I552" s="28">
        <f>IF(ISNUMBER(Data!U195),Data!U195/100,"n/a")</f>
        <v>7.1543710308821007E-2</v>
      </c>
      <c r="J552" s="28">
        <f>IF(ISNUMBER(Data!V195),Data!V195/100,"n/a")</f>
        <v>4.648776675237265E-2</v>
      </c>
      <c r="K552" s="9">
        <f>IF(ISNUMBER(Data!Z195),Data!Z195/100,"n/a")</f>
        <v>0.44000000000000006</v>
      </c>
      <c r="L552" s="10">
        <f>Data!AA195</f>
        <v>14.912000000000001</v>
      </c>
      <c r="M552" s="10">
        <f>Data!AF195</f>
        <v>0.87</v>
      </c>
      <c r="N552" s="28">
        <f>IF(ISNUMBER(Data!AG195),Data!AG195/100,"n/a")</f>
        <v>7.2999999999999995E-2</v>
      </c>
      <c r="O552" s="28">
        <f>IF(ISNUMBER(Data!AJ195),Data!AJ195/100,"n/a")</f>
        <v>0.10400000000000001</v>
      </c>
      <c r="P552" s="9">
        <f>IF(ISNUMBER(Data!AK195),Data!AK195/100,"n/a")</f>
        <v>0.1</v>
      </c>
      <c r="Q552" s="8">
        <f>Data!AN195</f>
        <v>0.36</v>
      </c>
      <c r="R552" s="8">
        <f>Data!AP195</f>
        <v>10.105014807706135</v>
      </c>
      <c r="S552" s="8"/>
      <c r="T552" s="8"/>
      <c r="U552" s="8"/>
      <c r="V552" s="1">
        <f t="shared" si="16"/>
        <v>10</v>
      </c>
      <c r="W552" s="1">
        <f t="shared" si="17"/>
        <v>0</v>
      </c>
    </row>
    <row r="553" spans="1:23" hidden="1" x14ac:dyDescent="0.2">
      <c r="A553" s="7" t="str">
        <f>Data!A193</f>
        <v>DTE Energy Company</v>
      </c>
      <c r="B553" s="7" t="str">
        <f>Data!B193</f>
        <v>DTE</v>
      </c>
      <c r="C553" s="7" t="str">
        <f>Data!C193</f>
        <v>Utilities</v>
      </c>
      <c r="D553" s="8">
        <f>IF(ISNUMBER(Data!AL193),Data!AL193/1000,"n/a")</f>
        <v>21.17</v>
      </c>
      <c r="E553" s="1">
        <f>Data!E193</f>
        <v>13</v>
      </c>
      <c r="F553" s="28">
        <f>Data!J193/100</f>
        <v>3.1576130586031578E-2</v>
      </c>
      <c r="G553" s="28">
        <f>IF(ISNUMBER(Data!S193),Data!S193/100,"n/a")</f>
        <v>7.1604938271604857E-2</v>
      </c>
      <c r="H553" s="28">
        <f>IF(ISNUMBER(Data!T193),Data!T193/100,"n/a")</f>
        <v>7.1487357150813224E-2</v>
      </c>
      <c r="I553" s="28">
        <f>IF(ISNUMBER(Data!U193),Data!U193/100,"n/a")</f>
        <v>7.0995886039598277E-2</v>
      </c>
      <c r="J553" s="28">
        <f>IF(ISNUMBER(Data!V193),Data!V193/100,"n/a")</f>
        <v>6.5787700290734552E-2</v>
      </c>
      <c r="K553" s="9">
        <f>IF(ISNUMBER(Data!Z193),Data!Z193/100,"n/a")</f>
        <v>0.87192118226601001</v>
      </c>
      <c r="L553" s="10">
        <f>Data!AA193</f>
        <v>27.61330049261084</v>
      </c>
      <c r="M553" s="10">
        <f>Data!AF193</f>
        <v>2.44</v>
      </c>
      <c r="N553" s="28">
        <f>IF(ISNUMBER(Data!AG193),Data!AG193/100,"n/a")</f>
        <v>0.128</v>
      </c>
      <c r="O553" s="28">
        <f>IF(ISNUMBER(Data!AJ193),Data!AJ193/100,"n/a")</f>
        <v>-3.3000000000000002E-2</v>
      </c>
      <c r="P553" s="9">
        <f>IF(ISNUMBER(Data!AK193),Data!AK193/100,"n/a")</f>
        <v>3.9600000000000003E-2</v>
      </c>
      <c r="Q553" s="8">
        <f>Data!AN193</f>
        <v>2.21</v>
      </c>
      <c r="R553" s="8">
        <f>Data!AP193</f>
        <v>10.257201662562986</v>
      </c>
      <c r="S553" s="8"/>
      <c r="T553" s="8"/>
      <c r="U553" s="8"/>
      <c r="V553" s="1">
        <f t="shared" si="16"/>
        <v>7</v>
      </c>
      <c r="W553" s="1">
        <f t="shared" si="17"/>
        <v>0</v>
      </c>
    </row>
    <row r="554" spans="1:23" hidden="1" x14ac:dyDescent="0.2">
      <c r="A554" s="7" t="str">
        <f>Data!A232</f>
        <v>First Bancorp</v>
      </c>
      <c r="B554" s="7" t="str">
        <f>Data!B232</f>
        <v>FBNC</v>
      </c>
      <c r="C554" s="7" t="str">
        <f>Data!C232</f>
        <v>Financials</v>
      </c>
      <c r="D554" s="8">
        <f>IF(ISNUMBER(Data!AL232),Data!AL232/1000,"n/a")</f>
        <v>1.54</v>
      </c>
      <c r="E554" s="1">
        <f>Data!E232</f>
        <v>5</v>
      </c>
      <c r="F554" s="28">
        <f>Data!J232/100</f>
        <v>1.9744222571236258E-2</v>
      </c>
      <c r="G554" s="28">
        <f>IF(ISNUMBER(Data!S232),Data!S232/100,"n/a")</f>
        <v>8.3333333333333481E-2</v>
      </c>
      <c r="H554" s="28">
        <f>IF(ISNUMBER(Data!T232),Data!T232/100,"n/a")</f>
        <v>0.27087743505121042</v>
      </c>
      <c r="I554" s="28">
        <f>IF(ISNUMBER(Data!U232),Data!U232/100,"n/a")</f>
        <v>0.1950578386760935</v>
      </c>
      <c r="J554" s="28">
        <f>IF(ISNUMBER(Data!V232),Data!V232/100,"n/a")</f>
        <v>9.3187009928353159E-2</v>
      </c>
      <c r="K554" s="9">
        <f>IF(ISNUMBER(Data!Z232),Data!Z232/100,"n/a")</f>
        <v>0.27160493827160492</v>
      </c>
      <c r="L554" s="10">
        <f>Data!AA232</f>
        <v>13.756172839506172</v>
      </c>
      <c r="M554" s="10">
        <f>Data!AF232</f>
        <v>1.48</v>
      </c>
      <c r="N554" s="28">
        <f>IF(ISNUMBER(Data!AG232),Data!AG232/100,"n/a")</f>
        <v>9.3000000000000013E-2</v>
      </c>
      <c r="O554" s="28">
        <f>IF(ISNUMBER(Data!AJ232),Data!AJ232/100,"n/a")</f>
        <v>0.192</v>
      </c>
      <c r="P554" s="9">
        <f>IF(ISNUMBER(Data!AK232),Data!AK232/100,"n/a")</f>
        <v>8.1000000000000003E-2</v>
      </c>
      <c r="Q554" s="8">
        <f>Data!AN232</f>
        <v>0.06</v>
      </c>
      <c r="R554" s="8">
        <f>Data!AP232</f>
        <v>21.480206124732973</v>
      </c>
      <c r="S554" s="8"/>
      <c r="T554" s="8"/>
      <c r="U554" s="8"/>
      <c r="V554" s="1">
        <f t="shared" si="16"/>
        <v>9</v>
      </c>
      <c r="W554" s="1">
        <f t="shared" si="17"/>
        <v>0</v>
      </c>
    </row>
    <row r="555" spans="1:23" hidden="1" x14ac:dyDescent="0.2">
      <c r="A555" s="7" t="str">
        <f>Data!A725</f>
        <v>Averages for All</v>
      </c>
      <c r="B555" s="7">
        <f>Data!B725</f>
        <v>717</v>
      </c>
      <c r="C555" s="7">
        <f>Data!C725</f>
        <v>0</v>
      </c>
      <c r="D555" s="8">
        <f>IF(ISNUMBER(Data!AL725),Data!AL725/1000,"n/a")</f>
        <v>35.391767420289867</v>
      </c>
      <c r="E555" s="1">
        <f>Data!E725</f>
        <v>17.340306834030685</v>
      </c>
      <c r="F555" s="28">
        <f>Data!J725/100</f>
        <v>2.7699255778385185E-2</v>
      </c>
      <c r="G555" s="28">
        <f>IF(ISNUMBER(Data!S725),Data!S725/100,"n/a")</f>
        <v>9.1499951757193138E-2</v>
      </c>
      <c r="H555" s="28">
        <f>IF(ISNUMBER(Data!T725),Data!T725/100,"n/a")</f>
        <v>0.10800416087397847</v>
      </c>
      <c r="I555" s="28">
        <f>IF(ISNUMBER(Data!U725),Data!U725/100,"n/a")</f>
        <v>0.1111781697594941</v>
      </c>
      <c r="J555" s="28">
        <f>IF(ISNUMBER(Data!V725),Data!V725/100,"n/a")</f>
        <v>0.10926190297280625</v>
      </c>
      <c r="K555" s="9">
        <f>IF(ISNUMBER(Data!Z725),Data!Z725/100,"n/a")</f>
        <v>0.55023582194853726</v>
      </c>
      <c r="L555" s="10">
        <f>Data!AA725</f>
        <v>21.526349923643203</v>
      </c>
      <c r="M555" s="10">
        <f>Data!AF725</f>
        <v>6.8371982116244432</v>
      </c>
      <c r="N555" s="28">
        <f>IF(ISNUMBER(Data!AG725),Data!AG725/100,"n/a")</f>
        <v>0.19072865761689312</v>
      </c>
      <c r="O555" s="28">
        <f>IF(ISNUMBER(Data!AJ725),Data!AJ725/100,"n/a")</f>
        <v>0.1547328467153285</v>
      </c>
      <c r="P555" s="9">
        <f>IF(ISNUMBER(Data!AK725),Data!AK725/100,"n/a")</f>
        <v>9.0855966386554632E-2</v>
      </c>
      <c r="Q555" s="8">
        <f>Data!AN725</f>
        <v>1.3610984939759025</v>
      </c>
      <c r="R555" s="8">
        <f>Data!AP725</f>
        <v>13.908526102224409</v>
      </c>
      <c r="S555" s="8"/>
      <c r="T555" s="8"/>
      <c r="U555" s="8"/>
      <c r="V555" s="1">
        <f t="shared" si="16"/>
        <v>9</v>
      </c>
      <c r="W555" s="1">
        <f t="shared" si="17"/>
        <v>0</v>
      </c>
    </row>
    <row r="556" spans="1:23" hidden="1" x14ac:dyDescent="0.2">
      <c r="A556" s="7" t="str">
        <f>Data!A192</f>
        <v>Domino's Pizza, Inc.</v>
      </c>
      <c r="B556" s="7" t="str">
        <f>Data!B192</f>
        <v>DPZ</v>
      </c>
      <c r="C556" s="7" t="str">
        <f>Data!C192</f>
        <v>Consumer Discretionary</v>
      </c>
      <c r="D556" s="8">
        <f>IF(ISNUMBER(Data!AL192),Data!AL192/1000,"n/a")</f>
        <v>11.73</v>
      </c>
      <c r="E556" s="1">
        <f>Data!E192</f>
        <v>10</v>
      </c>
      <c r="F556" s="28">
        <f>Data!J192/100</f>
        <v>1.3243438478208525E-2</v>
      </c>
      <c r="G556" s="28">
        <f>IF(ISNUMBER(Data!S192),Data!S192/100,"n/a")</f>
        <v>0.20512820512820507</v>
      </c>
      <c r="H556" s="28">
        <f>IF(ISNUMBER(Data!T192),Data!T192/100,"n/a")</f>
        <v>0.19560683197865125</v>
      </c>
      <c r="I556" s="28">
        <f>IF(ISNUMBER(Data!U192),Data!U192/100,"n/a")</f>
        <v>0.19858503613188616</v>
      </c>
      <c r="J556" s="28" t="str">
        <f>IF(ISNUMBER(Data!V192),Data!V192/100,"n/a")</f>
        <v>n/a</v>
      </c>
      <c r="K556" s="9">
        <f>IF(ISNUMBER(Data!Z192),Data!Z192/100,"n/a")</f>
        <v>0.35512510088781274</v>
      </c>
      <c r="L556" s="10">
        <f>Data!AA192</f>
        <v>26.815173527037935</v>
      </c>
      <c r="M556" s="10" t="str">
        <f>Data!AF192</f>
        <v>n/a</v>
      </c>
      <c r="N556" s="28">
        <f>IF(ISNUMBER(Data!AG192),Data!AG192/100,"n/a")</f>
        <v>-0.106</v>
      </c>
      <c r="O556" s="28">
        <f>IF(ISNUMBER(Data!AJ192),Data!AJ192/100,"n/a")</f>
        <v>0.25800000000000001</v>
      </c>
      <c r="P556" s="9">
        <f>IF(ISNUMBER(Data!AK192),Data!AK192/100,"n/a")</f>
        <v>8.7900000000000006E-2</v>
      </c>
      <c r="Q556" s="8" t="str">
        <f>Data!AN192</f>
        <v>n/a</v>
      </c>
      <c r="R556" s="8">
        <f>Data!AP192</f>
        <v>21.182847461009469</v>
      </c>
      <c r="S556" s="8"/>
      <c r="T556" s="8"/>
      <c r="U556" s="8"/>
      <c r="V556" s="1">
        <f t="shared" si="16"/>
        <v>7</v>
      </c>
      <c r="W556" s="1">
        <f t="shared" si="17"/>
        <v>0</v>
      </c>
    </row>
    <row r="557" spans="1:23" hidden="1" x14ac:dyDescent="0.2">
      <c r="A557" s="7" t="str">
        <f>Data!A191</f>
        <v>Amdocs Limited</v>
      </c>
      <c r="B557" s="7" t="str">
        <f>Data!B191</f>
        <v>DOX</v>
      </c>
      <c r="C557" s="7" t="str">
        <f>Data!C191</f>
        <v>Information Technology</v>
      </c>
      <c r="D557" s="8">
        <f>IF(ISNUMBER(Data!AL191),Data!AL191/1000,"n/a")</f>
        <v>10.32</v>
      </c>
      <c r="E557" s="1">
        <f>Data!E191</f>
        <v>11</v>
      </c>
      <c r="F557" s="28">
        <f>Data!J191/100</f>
        <v>1.8306105897346773E-2</v>
      </c>
      <c r="G557" s="28">
        <f>IF(ISNUMBER(Data!S191),Data!S191/100,"n/a")</f>
        <v>7.4427480916030575E-2</v>
      </c>
      <c r="H557" s="28">
        <f>IF(ISNUMBER(Data!T191),Data!T191/100,"n/a")</f>
        <v>0.13211937538205265</v>
      </c>
      <c r="I557" s="28">
        <f>IF(ISNUMBER(Data!U191),Data!U191/100,"n/a")</f>
        <v>0.13266189539917983</v>
      </c>
      <c r="J557" s="28" t="str">
        <f>IF(ISNUMBER(Data!V191),Data!V191/100,"n/a")</f>
        <v>n/a</v>
      </c>
      <c r="K557" s="9">
        <f>IF(ISNUMBER(Data!Z191),Data!Z191/100,"n/a")</f>
        <v>0.36489607390300238</v>
      </c>
      <c r="L557" s="10">
        <f>Data!AA191</f>
        <v>19.933025404157043</v>
      </c>
      <c r="M557" s="10">
        <f>Data!AF191</f>
        <v>3</v>
      </c>
      <c r="N557" s="28">
        <f>IF(ISNUMBER(Data!AG191),Data!AG191/100,"n/a")</f>
        <v>0.154</v>
      </c>
      <c r="O557" s="28">
        <f>IF(ISNUMBER(Data!AJ191),Data!AJ191/100,"n/a")</f>
        <v>0.14499999999999999</v>
      </c>
      <c r="P557" s="9">
        <f>IF(ISNUMBER(Data!AK191),Data!AK191/100,"n/a")</f>
        <v>0.11200000000000002</v>
      </c>
      <c r="Q557" s="8">
        <f>Data!AN191</f>
        <v>0</v>
      </c>
      <c r="R557" s="8">
        <f>Data!AP191</f>
        <v>15.09680012965266</v>
      </c>
      <c r="S557" s="8"/>
      <c r="T557" s="8"/>
      <c r="U557" s="8"/>
      <c r="V557" s="1">
        <f t="shared" si="16"/>
        <v>8</v>
      </c>
      <c r="W557" s="1">
        <f t="shared" si="17"/>
        <v>0</v>
      </c>
    </row>
    <row r="558" spans="1:23" hidden="1" x14ac:dyDescent="0.2">
      <c r="A558" s="7" t="str">
        <f>Data!A190</f>
        <v>Dover Corporation</v>
      </c>
      <c r="B558" s="7" t="str">
        <f>Data!B190</f>
        <v>DOV</v>
      </c>
      <c r="C558" s="7" t="str">
        <f>Data!C190</f>
        <v>Industrials</v>
      </c>
      <c r="D558" s="8">
        <f>IF(ISNUMBER(Data!AL190),Data!AL190/1000,"n/a")</f>
        <v>18.38</v>
      </c>
      <c r="E558" s="1">
        <f>Data!E190</f>
        <v>67</v>
      </c>
      <c r="F558" s="28">
        <f>Data!J190/100</f>
        <v>1.5456423597826919E-2</v>
      </c>
      <c r="G558" s="28">
        <f>IF(ISNUMBER(Data!S190),Data!S190/100,"n/a")</f>
        <v>1.0152284263959421E-2</v>
      </c>
      <c r="H558" s="28">
        <f>IF(ISNUMBER(Data!T190),Data!T190/100,"n/a")</f>
        <v>1.5546526688833273E-2</v>
      </c>
      <c r="I558" s="28">
        <f>IF(ISNUMBER(Data!U190),Data!U190/100,"n/a")</f>
        <v>2.9591446409518385E-2</v>
      </c>
      <c r="J558" s="28">
        <f>IF(ISNUMBER(Data!V190),Data!V190/100,"n/a")</f>
        <v>7.2785410837295395E-2</v>
      </c>
      <c r="K558" s="9">
        <f>IF(ISNUMBER(Data!Z190),Data!Z190/100,"n/a")</f>
        <v>0.2509316770186335</v>
      </c>
      <c r="L558" s="10">
        <f>Data!AA190</f>
        <v>16.234782608695649</v>
      </c>
      <c r="M558" s="10">
        <f>Data!AF190</f>
        <v>4.71</v>
      </c>
      <c r="N558" s="28">
        <f>IF(ISNUMBER(Data!AG190),Data!AG190/100,"n/a")</f>
        <v>0.27600000000000002</v>
      </c>
      <c r="O558" s="28">
        <f>IF(ISNUMBER(Data!AJ190),Data!AJ190/100,"n/a")</f>
        <v>0.193</v>
      </c>
      <c r="P558" s="9">
        <f>IF(ISNUMBER(Data!AK190),Data!AK190/100,"n/a")</f>
        <v>0.107</v>
      </c>
      <c r="Q558" s="8">
        <f>Data!AN190</f>
        <v>0.91</v>
      </c>
      <c r="R558" s="8">
        <f>Data!AP190</f>
        <v>4.5047870007345301</v>
      </c>
      <c r="S558" s="8"/>
      <c r="T558" s="8"/>
      <c r="U558" s="8"/>
      <c r="V558" s="1">
        <f t="shared" si="16"/>
        <v>7</v>
      </c>
      <c r="W558" s="1">
        <f t="shared" si="17"/>
        <v>0</v>
      </c>
    </row>
    <row r="559" spans="1:23" hidden="1" x14ac:dyDescent="0.2">
      <c r="A559" s="7" t="str">
        <f>Data!A180</f>
        <v>Dollar General Corporation</v>
      </c>
      <c r="B559" s="7" t="str">
        <f>Data!B180</f>
        <v>DG</v>
      </c>
      <c r="C559" s="7" t="str">
        <f>Data!C180</f>
        <v>Consumer Discretionary</v>
      </c>
      <c r="D559" s="8">
        <f>IF(ISNUMBER(Data!AL180),Data!AL180/1000,"n/a")</f>
        <v>57.19</v>
      </c>
      <c r="E559" s="1">
        <f>Data!E180</f>
        <v>8</v>
      </c>
      <c r="F559" s="28">
        <f>Data!J180/100</f>
        <v>8.6257596549696135E-3</v>
      </c>
      <c r="G559" s="28">
        <f>IF(ISNUMBER(Data!S180),Data!S180/100,"n/a")</f>
        <v>0.15714285714285725</v>
      </c>
      <c r="H559" s="28">
        <f>IF(ISNUMBER(Data!T180),Data!T180/100,"n/a")</f>
        <v>0.12757522154286671</v>
      </c>
      <c r="I559" s="28">
        <f>IF(ISNUMBER(Data!U180),Data!U180/100,"n/a")</f>
        <v>0.10802269541937924</v>
      </c>
      <c r="J559" s="28" t="str">
        <f>IF(ISNUMBER(Data!V180),Data!V180/100,"n/a")</f>
        <v>n/a</v>
      </c>
      <c r="K559" s="9">
        <f>IF(ISNUMBER(Data!Z180),Data!Z180/100,"n/a")</f>
        <v>0.21912350597609564</v>
      </c>
      <c r="L559" s="10">
        <f>Data!AA180</f>
        <v>25.40338645418327</v>
      </c>
      <c r="M559" s="10">
        <f>Data!AF180</f>
        <v>9.52</v>
      </c>
      <c r="N559" s="28">
        <f>IF(ISNUMBER(Data!AG180),Data!AG180/100,"n/a")</f>
        <v>0.376</v>
      </c>
      <c r="O559" s="28">
        <f>IF(ISNUMBER(Data!AJ180),Data!AJ180/100,"n/a")</f>
        <v>0.18099999999999997</v>
      </c>
      <c r="P559" s="9">
        <f>IF(ISNUMBER(Data!AK180),Data!AK180/100,"n/a")</f>
        <v>0.1142</v>
      </c>
      <c r="Q559" s="8">
        <f>Data!AN180</f>
        <v>0.84</v>
      </c>
      <c r="R559" s="8">
        <f>Data!AP180</f>
        <v>11.664845507434887</v>
      </c>
      <c r="S559" s="8"/>
      <c r="T559" s="8"/>
      <c r="U559" s="8"/>
      <c r="V559" s="1">
        <f t="shared" si="16"/>
        <v>7</v>
      </c>
      <c r="W559" s="1">
        <f t="shared" si="17"/>
        <v>0</v>
      </c>
    </row>
    <row r="560" spans="1:23" hidden="1" x14ac:dyDescent="0.2">
      <c r="A560" s="7" t="str">
        <f>Data!A151</f>
        <v>Cohen &amp; Steers, Inc.</v>
      </c>
      <c r="B560" s="7" t="str">
        <f>Data!B151</f>
        <v>CNS</v>
      </c>
      <c r="C560" s="7" t="str">
        <f>Data!C151</f>
        <v>Financials</v>
      </c>
      <c r="D560" s="8">
        <f>IF(ISNUMBER(Data!AL151),Data!AL151/1000,"n/a")</f>
        <v>2.91</v>
      </c>
      <c r="E560" s="1">
        <f>Data!E151</f>
        <v>13</v>
      </c>
      <c r="F560" s="28">
        <f>Data!J151/100</f>
        <v>3.656914893617022E-2</v>
      </c>
      <c r="G560" s="28">
        <f>IF(ISNUMBER(Data!S151),Data!S151/100,"n/a")</f>
        <v>0.15384615384615374</v>
      </c>
      <c r="H560" s="28">
        <f>IF(ISNUMBER(Data!T151),Data!T151/100,"n/a")</f>
        <v>0.12624788044360602</v>
      </c>
      <c r="I560" s="28">
        <f>IF(ISNUMBER(Data!U151),Data!U151/100,"n/a")</f>
        <v>0.11595795704392353</v>
      </c>
      <c r="J560" s="28">
        <f>IF(ISNUMBER(Data!V151),Data!V151/100,"n/a")</f>
        <v>0.11612317403390439</v>
      </c>
      <c r="K560" s="9">
        <f>IF(ISNUMBER(Data!Z151),Data!Z151/100,"n/a")</f>
        <v>0.53398058252427183</v>
      </c>
      <c r="L560" s="10">
        <f>Data!AA151</f>
        <v>14.601941747572814</v>
      </c>
      <c r="M560" s="10">
        <f>Data!AF151</f>
        <v>10.210000000000001</v>
      </c>
      <c r="N560" s="28">
        <f>IF(ISNUMBER(Data!AG151),Data!AG151/100,"n/a")</f>
        <v>0.76900000000000002</v>
      </c>
      <c r="O560" s="28">
        <f>IF(ISNUMBER(Data!AJ151),Data!AJ151/100,"n/a")</f>
        <v>0.16600000000000001</v>
      </c>
      <c r="P560" s="9">
        <f>IF(ISNUMBER(Data!AK151),Data!AK151/100,"n/a")</f>
        <v>1.9E-2</v>
      </c>
      <c r="Q560" s="8">
        <f>Data!AN151</f>
        <v>0</v>
      </c>
      <c r="R560" s="8">
        <f>Data!AP151</f>
        <v>15.252710598009376</v>
      </c>
      <c r="S560" s="8"/>
      <c r="T560" s="8"/>
      <c r="U560" s="8"/>
      <c r="V560" s="1">
        <f t="shared" si="16"/>
        <v>11</v>
      </c>
      <c r="W560" s="1">
        <f t="shared" si="17"/>
        <v>0</v>
      </c>
    </row>
    <row r="561" spans="1:23" hidden="1" x14ac:dyDescent="0.2">
      <c r="A561" s="7" t="str">
        <f>Data!A178</f>
        <v>Dillard's, Inc.</v>
      </c>
      <c r="B561" s="7" t="str">
        <f>Data!B178</f>
        <v>DDS</v>
      </c>
      <c r="C561" s="7" t="str">
        <f>Data!C178</f>
        <v>Consumer Discretionary</v>
      </c>
      <c r="D561" s="8">
        <f>IF(ISNUMBER(Data!AL178),Data!AL178/1000,"n/a")</f>
        <v>5.47</v>
      </c>
      <c r="E561" s="1">
        <f>Data!E178</f>
        <v>11</v>
      </c>
      <c r="F561" s="28">
        <f>Data!J178/100</f>
        <v>2.4331640256698805E-3</v>
      </c>
      <c r="G561" s="28">
        <f>IF(ISNUMBER(Data!S178),Data!S178/100,"n/a")</f>
        <v>8.3333333333333481E-2</v>
      </c>
      <c r="H561" s="28">
        <f>IF(ISNUMBER(Data!T178),Data!T178/100,"n/a")</f>
        <v>0.17566734386037886</v>
      </c>
      <c r="I561" s="28">
        <f>IF(ISNUMBER(Data!U178),Data!U178/100,"n/a")</f>
        <v>0.18345313666193497</v>
      </c>
      <c r="J561" s="28">
        <f>IF(ISNUMBER(Data!V178),Data!V178/100,"n/a")</f>
        <v>0.13700947856217893</v>
      </c>
      <c r="K561" s="9">
        <f>IF(ISNUMBER(Data!Z178),Data!Z178/100,"n/a")</f>
        <v>1.6194331983805668E-2</v>
      </c>
      <c r="L561" s="10">
        <f>Data!AA178</f>
        <v>6.6556680161943325</v>
      </c>
      <c r="M561" s="10">
        <f>Data!AF178</f>
        <v>3.95</v>
      </c>
      <c r="N561" s="28">
        <f>IF(ISNUMBER(Data!AG178),Data!AG178/100,"n/a")</f>
        <v>0.624</v>
      </c>
      <c r="O561" s="28">
        <f>IF(ISNUMBER(Data!AJ178),Data!AJ178/100,"n/a")</f>
        <v>0.53400000000000003</v>
      </c>
      <c r="P561" s="9" t="str">
        <f>IF(ISNUMBER(Data!AK178),Data!AK178/100,"n/a")</f>
        <v>n/a</v>
      </c>
      <c r="Q561" s="8">
        <f>Data!AN178</f>
        <v>0.39</v>
      </c>
      <c r="R561" s="8">
        <f>Data!AP178</f>
        <v>18.588630068760487</v>
      </c>
      <c r="S561" s="8"/>
      <c r="T561" s="8"/>
      <c r="U561" s="8"/>
      <c r="V561" s="1">
        <f t="shared" si="16"/>
        <v>9</v>
      </c>
      <c r="W561" s="1">
        <f t="shared" si="17"/>
        <v>0</v>
      </c>
    </row>
    <row r="562" spans="1:23" hidden="1" x14ac:dyDescent="0.2">
      <c r="A562" s="7" t="str">
        <f>Data!A135</f>
        <v>Church &amp; Dwight Co., Inc.</v>
      </c>
      <c r="B562" s="7" t="str">
        <f>Data!B135</f>
        <v>CHD</v>
      </c>
      <c r="C562" s="7" t="str">
        <f>Data!C135</f>
        <v>Consumer Staples</v>
      </c>
      <c r="D562" s="8">
        <f>IF(ISNUMBER(Data!AL135),Data!AL135/1000,"n/a")</f>
        <v>18.579999999999998</v>
      </c>
      <c r="E562" s="1">
        <f>Data!E135</f>
        <v>26</v>
      </c>
      <c r="F562" s="28">
        <f>Data!J135/100</f>
        <v>1.4164305949008501E-2</v>
      </c>
      <c r="G562" s="28">
        <f>IF(ISNUMBER(Data!S135),Data!S135/100,"n/a")</f>
        <v>5.2083333333333481E-2</v>
      </c>
      <c r="H562" s="28">
        <f>IF(ISNUMBER(Data!T135),Data!T135/100,"n/a")</f>
        <v>5.0191010067939912E-2</v>
      </c>
      <c r="I562" s="28">
        <f>IF(ISNUMBER(Data!U135),Data!U135/100,"n/a")</f>
        <v>7.3031830278270871E-2</v>
      </c>
      <c r="J562" s="28">
        <f>IF(ISNUMBER(Data!V135),Data!V135/100,"n/a")</f>
        <v>0.11502407791609892</v>
      </c>
      <c r="K562" s="9">
        <f>IF(ISNUMBER(Data!Z135),Data!Z135/100,"n/a")</f>
        <v>0.33333333333333337</v>
      </c>
      <c r="L562" s="10">
        <f>Data!AA135</f>
        <v>23.533333333333331</v>
      </c>
      <c r="M562" s="10">
        <f>Data!AF135</f>
        <v>5.21</v>
      </c>
      <c r="N562" s="28">
        <f>IF(ISNUMBER(Data!AG135),Data!AG135/100,"n/a")</f>
        <v>0.23699999999999999</v>
      </c>
      <c r="O562" s="28">
        <f>IF(ISNUMBER(Data!AJ135),Data!AJ135/100,"n/a")</f>
        <v>0.13600000000000001</v>
      </c>
      <c r="P562" s="9">
        <f>IF(ISNUMBER(Data!AK135),Data!AK135/100,"n/a")</f>
        <v>4.3700000000000003E-2</v>
      </c>
      <c r="Q562" s="8">
        <f>Data!AN135</f>
        <v>0.79</v>
      </c>
      <c r="R562" s="8">
        <f>Data!AP135</f>
        <v>8.7196136227279375</v>
      </c>
      <c r="S562" s="8"/>
      <c r="T562" s="8"/>
      <c r="U562" s="8"/>
      <c r="V562" s="1">
        <f t="shared" si="16"/>
        <v>9</v>
      </c>
      <c r="W562" s="1">
        <f t="shared" si="17"/>
        <v>0</v>
      </c>
    </row>
    <row r="563" spans="1:23" hidden="1" x14ac:dyDescent="0.2">
      <c r="A563" s="7" t="str">
        <f>Data!A177</f>
        <v>Donaldson Company, Inc.</v>
      </c>
      <c r="B563" s="7" t="str">
        <f>Data!B177</f>
        <v>DCI</v>
      </c>
      <c r="C563" s="7" t="str">
        <f>Data!C177</f>
        <v>Industrials</v>
      </c>
      <c r="D563" s="8">
        <f>IF(ISNUMBER(Data!AL177),Data!AL177/1000,"n/a")</f>
        <v>6.87</v>
      </c>
      <c r="E563" s="1">
        <f>Data!E177</f>
        <v>36</v>
      </c>
      <c r="F563" s="28">
        <f>Data!J177/100</f>
        <v>1.6013925152306353E-2</v>
      </c>
      <c r="G563" s="28">
        <f>IF(ISNUMBER(Data!S177),Data!S177/100,"n/a")</f>
        <v>3.5714285714285809E-2</v>
      </c>
      <c r="H563" s="28">
        <f>IF(ISNUMBER(Data!T177),Data!T177/100,"n/a")</f>
        <v>5.0717574498580165E-2</v>
      </c>
      <c r="I563" s="28">
        <f>IF(ISNUMBER(Data!U177),Data!U177/100,"n/a")</f>
        <v>4.5940283027151585E-2</v>
      </c>
      <c r="J563" s="28">
        <f>IF(ISNUMBER(Data!V177),Data!V177/100,"n/a")</f>
        <v>0.11612317403390439</v>
      </c>
      <c r="K563" s="9">
        <f>IF(ISNUMBER(Data!Z177),Data!Z177/100,"n/a")</f>
        <v>0.34586466165413532</v>
      </c>
      <c r="L563" s="10">
        <f>Data!AA177</f>
        <v>21.597744360902254</v>
      </c>
      <c r="M563" s="10">
        <f>Data!AF177</f>
        <v>6.23</v>
      </c>
      <c r="N563" s="28">
        <f>IF(ISNUMBER(Data!AG177),Data!AG177/100,"n/a")</f>
        <v>0.29699999999999999</v>
      </c>
      <c r="O563" s="28">
        <f>IF(ISNUMBER(Data!AJ177),Data!AJ177/100,"n/a")</f>
        <v>8.900000000000001E-2</v>
      </c>
      <c r="P563" s="9">
        <f>IF(ISNUMBER(Data!AK177),Data!AK177/100,"n/a")</f>
        <v>0.1</v>
      </c>
      <c r="Q563" s="8">
        <f>Data!AN177</f>
        <v>0.56999999999999995</v>
      </c>
      <c r="R563" s="8">
        <f>Data!AP177</f>
        <v>6.1954208179457941</v>
      </c>
      <c r="S563" s="8"/>
      <c r="T563" s="8"/>
      <c r="U563" s="8"/>
      <c r="V563" s="1">
        <f t="shared" si="16"/>
        <v>8</v>
      </c>
      <c r="W563" s="1">
        <f t="shared" si="17"/>
        <v>0</v>
      </c>
    </row>
    <row r="564" spans="1:23" hidden="1" x14ac:dyDescent="0.2">
      <c r="A564" s="7" t="str">
        <f>Data!A174</f>
        <v>Curtiss-Wright Corporation</v>
      </c>
      <c r="B564" s="7" t="str">
        <f>Data!B174</f>
        <v>CW</v>
      </c>
      <c r="C564" s="7" t="str">
        <f>Data!C174</f>
        <v>Industrials</v>
      </c>
      <c r="D564" s="8">
        <f>IF(ISNUMBER(Data!AL174),Data!AL174/1000,"n/a")</f>
        <v>6.36</v>
      </c>
      <c r="E564" s="1">
        <f>Data!E174</f>
        <v>6</v>
      </c>
      <c r="F564" s="28">
        <f>Data!J174/100</f>
        <v>4.5283918250610738E-3</v>
      </c>
      <c r="G564" s="28">
        <f>IF(ISNUMBER(Data!S174),Data!S174/100,"n/a")</f>
        <v>4.4117647058823373E-2</v>
      </c>
      <c r="H564" s="28">
        <f>IF(ISNUMBER(Data!T174),Data!T174/100,"n/a")</f>
        <v>5.7715899735125475E-2</v>
      </c>
      <c r="I564" s="28">
        <f>IF(ISNUMBER(Data!U174),Data!U174/100,"n/a")</f>
        <v>6.4267992326247247E-2</v>
      </c>
      <c r="J564" s="28">
        <f>IF(ISNUMBER(Data!V174),Data!V174/100,"n/a")</f>
        <v>8.2956062937228126E-2</v>
      </c>
      <c r="K564" s="9">
        <f>IF(ISNUMBER(Data!Z174),Data!Z174/100,"n/a")</f>
        <v>0.11620795107033639</v>
      </c>
      <c r="L564" s="10">
        <f>Data!AA174</f>
        <v>25.662079510703364</v>
      </c>
      <c r="M564" s="10">
        <f>Data!AF174</f>
        <v>3.48</v>
      </c>
      <c r="N564" s="28">
        <f>IF(ISNUMBER(Data!AG174),Data!AG174/100,"n/a")</f>
        <v>0.13900000000000001</v>
      </c>
      <c r="O564" s="28">
        <f>IF(ISNUMBER(Data!AJ174),Data!AJ174/100,"n/a")</f>
        <v>9.4E-2</v>
      </c>
      <c r="P564" s="9" t="str">
        <f>IF(ISNUMBER(Data!AK174),Data!AK174/100,"n/a")</f>
        <v>n/a</v>
      </c>
      <c r="Q564" s="8">
        <f>Data!AN174</f>
        <v>0.65</v>
      </c>
      <c r="R564" s="8">
        <f>Data!AP174</f>
        <v>6.8796384151308319</v>
      </c>
      <c r="S564" s="8"/>
      <c r="T564" s="8"/>
      <c r="U564" s="8"/>
      <c r="V564" s="1">
        <f t="shared" si="16"/>
        <v>7</v>
      </c>
      <c r="W564" s="1">
        <f t="shared" si="17"/>
        <v>0</v>
      </c>
    </row>
    <row r="565" spans="1:23" hidden="1" x14ac:dyDescent="0.2">
      <c r="A565" s="7" t="str">
        <f>Data!A171</f>
        <v>CareTrust REIT, Inc.</v>
      </c>
      <c r="B565" s="7" t="str">
        <f>Data!B171</f>
        <v>CTRE</v>
      </c>
      <c r="C565" s="7" t="str">
        <f>Data!C171</f>
        <v>Real Estate</v>
      </c>
      <c r="D565" s="8">
        <f>IF(ISNUMBER(Data!AL171),Data!AL171/1000,"n/a")</f>
        <v>1.78</v>
      </c>
      <c r="E565" s="1">
        <f>Data!E171</f>
        <v>9</v>
      </c>
      <c r="F565" s="28">
        <f>Data!J171/100</f>
        <v>5.8886509635974311E-2</v>
      </c>
      <c r="G565" s="28">
        <f>IF(ISNUMBER(Data!S171),Data!S171/100,"n/a")</f>
        <v>7.1794871794871762E-2</v>
      </c>
      <c r="H565" s="28">
        <f>IF(ISNUMBER(Data!T171),Data!T171/100,"n/a")</f>
        <v>9.3139114651860991E-2</v>
      </c>
      <c r="I565" s="28">
        <f>IF(ISNUMBER(Data!U171),Data!U171/100,"n/a")</f>
        <v>8.9736444803260262E-2</v>
      </c>
      <c r="J565" s="28" t="str">
        <f>IF(ISNUMBER(Data!V171),Data!V171/100,"n/a")</f>
        <v>n/a</v>
      </c>
      <c r="K565" s="9">
        <f>IF(ISNUMBER(Data!Z171),Data!Z171/100,"n/a")</f>
        <v>15.714285714285714</v>
      </c>
      <c r="L565" s="10">
        <f>Data!AA171</f>
        <v>266.85714285714283</v>
      </c>
      <c r="M565" s="10">
        <f>Data!AF171</f>
        <v>2.16</v>
      </c>
      <c r="N565" s="28">
        <f>IF(ISNUMBER(Data!AG171),Data!AG171/100,"n/a")</f>
        <v>8.0000000000000002E-3</v>
      </c>
      <c r="O565" s="28">
        <f>IF(ISNUMBER(Data!AJ171),Data!AJ171/100,"n/a")</f>
        <v>7.4999999999999997E-2</v>
      </c>
      <c r="P565" s="9">
        <f>IF(ISNUMBER(Data!AK171),Data!AK171/100,"n/a")</f>
        <v>0.10800000000000001</v>
      </c>
      <c r="Q565" s="8">
        <f>Data!AN171</f>
        <v>0.95</v>
      </c>
      <c r="R565" s="8">
        <f>Data!AP171</f>
        <v>14.862295443923458</v>
      </c>
      <c r="S565" s="8"/>
      <c r="T565" s="8"/>
      <c r="U565" s="8"/>
      <c r="V565" s="1">
        <f t="shared" si="16"/>
        <v>6</v>
      </c>
      <c r="W565" s="1">
        <f t="shared" si="17"/>
        <v>0</v>
      </c>
    </row>
    <row r="566" spans="1:23" hidden="1" x14ac:dyDescent="0.2">
      <c r="A566" s="7" t="str">
        <f>Data!A167</f>
        <v>Cintas Corporation</v>
      </c>
      <c r="B566" s="7" t="str">
        <f>Data!B167</f>
        <v>CTAS</v>
      </c>
      <c r="C566" s="7" t="str">
        <f>Data!C167</f>
        <v>Industrials</v>
      </c>
      <c r="D566" s="8">
        <f>IF(ISNUMBER(Data!AL167),Data!AL167/1000,"n/a")</f>
        <v>42.11</v>
      </c>
      <c r="E566" s="1">
        <f>Data!E167</f>
        <v>40</v>
      </c>
      <c r="F566" s="28">
        <f>Data!J167/100</f>
        <v>1.0758975558414218E-2</v>
      </c>
      <c r="G566" s="28">
        <f>IF(ISNUMBER(Data!S167),Data!S167/100,"n/a")</f>
        <v>0.20996441281138778</v>
      </c>
      <c r="H566" s="28">
        <f>IF(ISNUMBER(Data!T167),Data!T167/100,"n/a")</f>
        <v>0.1837001027998777</v>
      </c>
      <c r="I566" s="28">
        <f>IF(ISNUMBER(Data!U167),Data!U167/100,"n/a")</f>
        <v>0.20649480216155205</v>
      </c>
      <c r="J566" s="28">
        <f>IF(ISNUMBER(Data!V167),Data!V167/100,"n/a")</f>
        <v>0.20201120388409155</v>
      </c>
      <c r="K566" s="9">
        <f>IF(ISNUMBER(Data!Z167),Data!Z167/100,"n/a")</f>
        <v>0.38493723849372385</v>
      </c>
      <c r="L566" s="10">
        <f>Data!AA167</f>
        <v>35.778242677824274</v>
      </c>
      <c r="M566" s="10">
        <f>Data!AF167</f>
        <v>13.43</v>
      </c>
      <c r="N566" s="28" t="str">
        <f>IF(ISNUMBER(Data!AG167),Data!AG167/100,"n/a")</f>
        <v>n/a</v>
      </c>
      <c r="O566" s="28">
        <f>IF(ISNUMBER(Data!AJ167),Data!AJ167/100,"n/a")</f>
        <v>0.22800000000000001</v>
      </c>
      <c r="P566" s="9">
        <f>IF(ISNUMBER(Data!AK167),Data!AK167/100,"n/a")</f>
        <v>0.113</v>
      </c>
      <c r="Q566" s="8">
        <f>Data!AN167</f>
        <v>0.93</v>
      </c>
      <c r="R566" s="8">
        <f>Data!AP167</f>
        <v>21.725377771996627</v>
      </c>
      <c r="S566" s="8"/>
      <c r="T566" s="8"/>
      <c r="U566" s="8"/>
      <c r="V566" s="1">
        <f t="shared" si="16"/>
        <v>9</v>
      </c>
      <c r="W566" s="1">
        <f t="shared" si="17"/>
        <v>0</v>
      </c>
    </row>
    <row r="567" spans="1:23" hidden="1" x14ac:dyDescent="0.2">
      <c r="A567" s="7" t="str">
        <f>Data!A129</f>
        <v>Celanese Corporation</v>
      </c>
      <c r="B567" s="7" t="str">
        <f>Data!B129</f>
        <v>CE</v>
      </c>
      <c r="C567" s="7" t="str">
        <f>Data!C129</f>
        <v>Materials</v>
      </c>
      <c r="D567" s="8">
        <f>IF(ISNUMBER(Data!AL129),Data!AL129/1000,"n/a")</f>
        <v>10.38</v>
      </c>
      <c r="E567" s="1">
        <f>Data!E129</f>
        <v>13</v>
      </c>
      <c r="F567" s="28">
        <f>Data!J129/100</f>
        <v>2.913025384935497E-2</v>
      </c>
      <c r="G567" s="28">
        <f>IF(ISNUMBER(Data!S129),Data!S129/100,"n/a")</f>
        <v>9.6774193548387219E-2</v>
      </c>
      <c r="H567" s="28">
        <f>IF(ISNUMBER(Data!T129),Data!T129/100,"n/a")</f>
        <v>9.3541299792876842E-2</v>
      </c>
      <c r="I567" s="28">
        <f>IF(ISNUMBER(Data!U129),Data!U129/100,"n/a")</f>
        <v>0.14534932318460858</v>
      </c>
      <c r="J567" s="28">
        <f>IF(ISNUMBER(Data!V129),Data!V129/100,"n/a")</f>
        <v>0.27478154107268105</v>
      </c>
      <c r="K567" s="9">
        <f>IF(ISNUMBER(Data!Z129),Data!Z129/100,"n/a")</f>
        <v>0.15469613259668505</v>
      </c>
      <c r="L567" s="10">
        <f>Data!AA129</f>
        <v>5.3104972375690602</v>
      </c>
      <c r="M567" s="10">
        <f>Data!AF129</f>
        <v>2.13</v>
      </c>
      <c r="N567" s="28">
        <f>IF(ISNUMBER(Data!AG129),Data!AG129/100,"n/a")</f>
        <v>0.44700000000000001</v>
      </c>
      <c r="O567" s="28">
        <f>IF(ISNUMBER(Data!AJ129),Data!AJ129/100,"n/a")</f>
        <v>0.22500000000000001</v>
      </c>
      <c r="P567" s="9">
        <f>IF(ISNUMBER(Data!AK129),Data!AK129/100,"n/a")</f>
        <v>-2.23E-2</v>
      </c>
      <c r="Q567" s="8">
        <f>Data!AN129</f>
        <v>0.79</v>
      </c>
      <c r="R567" s="8">
        <f>Data!AP129</f>
        <v>17.447957703396355</v>
      </c>
      <c r="S567" s="8"/>
      <c r="T567" s="8"/>
      <c r="U567" s="8"/>
      <c r="V567" s="1">
        <f t="shared" si="16"/>
        <v>9</v>
      </c>
      <c r="W567" s="1">
        <f t="shared" si="17"/>
        <v>0</v>
      </c>
    </row>
    <row r="568" spans="1:23" hidden="1" x14ac:dyDescent="0.2">
      <c r="A568" s="7" t="str">
        <f>Data!A165</f>
        <v>Capital Southwest</v>
      </c>
      <c r="B568" s="7" t="str">
        <f>Data!B165</f>
        <v>CSWC</v>
      </c>
      <c r="C568" s="7" t="str">
        <f>Data!C165</f>
        <v>Financials</v>
      </c>
      <c r="D568" s="8">
        <f>IF(ISNUMBER(Data!AL165),Data!AL165/1000,"n/a")</f>
        <v>0.50541000000000003</v>
      </c>
      <c r="E568" s="1">
        <f>Data!E165</f>
        <v>7</v>
      </c>
      <c r="F568" s="28">
        <f>Data!J165/100</f>
        <v>0.11034482758620691</v>
      </c>
      <c r="G568" s="28">
        <f>IF(ISNUMBER(Data!S165),Data!S165/100,"n/a")</f>
        <v>7.3170731707317138E-2</v>
      </c>
      <c r="H568" s="28">
        <f>IF(ISNUMBER(Data!T165),Data!T165/100,"n/a")</f>
        <v>0.11490102727133798</v>
      </c>
      <c r="I568" s="28">
        <f>IF(ISNUMBER(Data!U165),Data!U165/100,"n/a")</f>
        <v>0.35876957647985025</v>
      </c>
      <c r="J568" s="28">
        <f>IF(ISNUMBER(Data!V165),Data!V165/100,"n/a")</f>
        <v>0.24293456972961594</v>
      </c>
      <c r="K568" s="9">
        <f>IF(ISNUMBER(Data!Z165),Data!Z165/100,"n/a")</f>
        <v>1.0348258706467663</v>
      </c>
      <c r="L568" s="10">
        <f>Data!AA165</f>
        <v>9.3781094527363198</v>
      </c>
      <c r="M568" s="10">
        <f>Data!AF165</f>
        <v>1.05</v>
      </c>
      <c r="N568" s="28">
        <f>IF(ISNUMBER(Data!AG165),Data!AG165/100,"n/a")</f>
        <v>7.2999999999999995E-2</v>
      </c>
      <c r="O568" s="28">
        <f>IF(ISNUMBER(Data!AJ165),Data!AJ165/100,"n/a")</f>
        <v>0.122</v>
      </c>
      <c r="P568" s="9">
        <f>IF(ISNUMBER(Data!AK165),Data!AK165/100,"n/a")</f>
        <v>0.01</v>
      </c>
      <c r="Q568" s="8">
        <f>Data!AN165</f>
        <v>1.28</v>
      </c>
      <c r="R568" s="8">
        <f>Data!AP165</f>
        <v>46.911440406605713</v>
      </c>
      <c r="S568" s="8"/>
      <c r="T568" s="8"/>
      <c r="U568" s="8"/>
      <c r="V568" s="1">
        <f t="shared" si="16"/>
        <v>8</v>
      </c>
      <c r="W568" s="1">
        <f t="shared" si="17"/>
        <v>0</v>
      </c>
    </row>
    <row r="569" spans="1:23" hidden="1" x14ac:dyDescent="0.2">
      <c r="A569" s="7" t="str">
        <f>Data!A175</f>
        <v>California Water Service Group</v>
      </c>
      <c r="B569" s="7" t="str">
        <f>Data!B175</f>
        <v>CWT</v>
      </c>
      <c r="C569" s="7" t="str">
        <f>Data!C175</f>
        <v>Utilities</v>
      </c>
      <c r="D569" s="8">
        <f>IF(ISNUMBER(Data!AL175),Data!AL175/1000,"n/a")</f>
        <v>3.18</v>
      </c>
      <c r="E569" s="1">
        <f>Data!E175</f>
        <v>55</v>
      </c>
      <c r="F569" s="28">
        <f>Data!J175/100</f>
        <v>1.6113438607798902E-2</v>
      </c>
      <c r="G569" s="28">
        <f>IF(ISNUMBER(Data!S175),Data!S175/100,"n/a")</f>
        <v>8.235294117647074E-2</v>
      </c>
      <c r="H569" s="28">
        <f>IF(ISNUMBER(Data!T175),Data!T175/100,"n/a")</f>
        <v>6.9522672739187108E-2</v>
      </c>
      <c r="I569" s="28">
        <f>IF(ISNUMBER(Data!U175),Data!U175/100,"n/a")</f>
        <v>5.9223841048812176E-2</v>
      </c>
      <c r="J569" s="28">
        <f>IF(ISNUMBER(Data!V175),Data!V175/100,"n/a")</f>
        <v>4.1097182501000251E-2</v>
      </c>
      <c r="K569" s="9" t="str">
        <f>IF(ISNUMBER(Data!Z175),Data!Z175/100,"n/a")</f>
        <v>n/a</v>
      </c>
      <c r="L569" s="10" t="str">
        <f>Data!AA175</f>
        <v>n/a</v>
      </c>
      <c r="M569" s="10">
        <f>Data!AF175</f>
        <v>2.74</v>
      </c>
      <c r="N569" s="28">
        <f>IF(ISNUMBER(Data!AG175),Data!AG175/100,"n/a")</f>
        <v>0.09</v>
      </c>
      <c r="O569" s="28">
        <f>IF(ISNUMBER(Data!AJ175),Data!AJ175/100,"n/a")</f>
        <v>-0.28699999999999998</v>
      </c>
      <c r="P569" s="9">
        <f>IF(ISNUMBER(Data!AK175),Data!AK175/100,"n/a")</f>
        <v>0.11700000000000001</v>
      </c>
      <c r="Q569" s="8">
        <f>Data!AN175</f>
        <v>0.94</v>
      </c>
      <c r="R569" s="8">
        <f>Data!AP175</f>
        <v>7.5337279656611074</v>
      </c>
      <c r="S569" s="8"/>
      <c r="T569" s="8"/>
      <c r="U569" s="8"/>
      <c r="V569" s="1">
        <f t="shared" si="16"/>
        <v>6</v>
      </c>
      <c r="W569" s="1">
        <f t="shared" si="17"/>
        <v>0</v>
      </c>
    </row>
    <row r="570" spans="1:23" hidden="1" x14ac:dyDescent="0.2">
      <c r="A570" s="7" t="str">
        <f>Data!A159</f>
        <v>Cheniere Energy Partners, L.P.</v>
      </c>
      <c r="B570" s="7" t="str">
        <f>Data!B159</f>
        <v>CQP</v>
      </c>
      <c r="C570" s="7" t="str">
        <f>Data!C159</f>
        <v>Energy</v>
      </c>
      <c r="D570" s="8">
        <f>IF(ISNUMBER(Data!AL159),Data!AL159/1000,"n/a")</f>
        <v>28.82</v>
      </c>
      <c r="E570" s="1">
        <f>Data!E159</f>
        <v>6</v>
      </c>
      <c r="F570" s="28">
        <f>Data!J159/100</f>
        <v>5.1554964244137705E-2</v>
      </c>
      <c r="G570" s="28">
        <f>IF(ISNUMBER(Data!S159),Data!S159/100,"n/a")</f>
        <v>3.7037037037037202E-2</v>
      </c>
      <c r="H570" s="28">
        <f>IF(ISNUMBER(Data!T159),Data!T159/100,"n/a")</f>
        <v>6.6954355429920565E-2</v>
      </c>
      <c r="I570" s="28">
        <f>IF(ISNUMBER(Data!U159),Data!U159/100,"n/a")</f>
        <v>9.3670613755540769E-2</v>
      </c>
      <c r="J570" s="28">
        <f>IF(ISNUMBER(Data!V159),Data!V159/100,"n/a")</f>
        <v>4.5787078594653918E-2</v>
      </c>
      <c r="K570" s="9">
        <f>IF(ISNUMBER(Data!Z159),Data!Z159/100,"n/a")</f>
        <v>1.4090909090909092</v>
      </c>
      <c r="L570" s="10">
        <f>Data!AA159</f>
        <v>27.331818181818182</v>
      </c>
      <c r="M570" s="10">
        <f>Data!AF159</f>
        <v>40.369999999999997</v>
      </c>
      <c r="N570" s="28" t="str">
        <f>IF(ISNUMBER(Data!AG159),Data!AG159/100,"n/a")</f>
        <v>n/a</v>
      </c>
      <c r="O570" s="28">
        <f>IF(ISNUMBER(Data!AJ159),Data!AJ159/100,"n/a")</f>
        <v>0.5161</v>
      </c>
      <c r="P570" s="9">
        <f>IF(ISNUMBER(Data!AK159),Data!AK159/100,"n/a")</f>
        <v>4.3999999999999997E-2</v>
      </c>
      <c r="Q570" s="8" t="str">
        <f>Data!AN159</f>
        <v>n/a</v>
      </c>
      <c r="R570" s="8">
        <f>Data!AP159</f>
        <v>14.522557799967846</v>
      </c>
      <c r="S570" s="8"/>
      <c r="T570" s="8"/>
      <c r="U570" s="8"/>
      <c r="V570" s="1">
        <f t="shared" si="16"/>
        <v>6</v>
      </c>
      <c r="W570" s="1">
        <f t="shared" si="17"/>
        <v>0</v>
      </c>
    </row>
    <row r="571" spans="1:23" hidden="1" x14ac:dyDescent="0.2">
      <c r="A571" s="7" t="str">
        <f>Data!A293</f>
        <v>The Goldman Sachs Group, Inc.</v>
      </c>
      <c r="B571" s="7" t="str">
        <f>Data!B293</f>
        <v>GS</v>
      </c>
      <c r="C571" s="7" t="str">
        <f>Data!C293</f>
        <v>Financials</v>
      </c>
      <c r="D571" s="8">
        <f>IF(ISNUMBER(Data!AL293),Data!AL293/1000,"n/a")</f>
        <v>115.1</v>
      </c>
      <c r="E571" s="1">
        <f>Data!E293</f>
        <v>12</v>
      </c>
      <c r="F571" s="28">
        <f>Data!J293/100</f>
        <v>2.9026733621665555E-2</v>
      </c>
      <c r="G571" s="28">
        <f>IF(ISNUMBER(Data!S293),Data!S293/100,"n/a")</f>
        <v>0.30000000000000004</v>
      </c>
      <c r="H571" s="28">
        <f>IF(ISNUMBER(Data!T293),Data!T293/100,"n/a")</f>
        <v>0.27311489994360283</v>
      </c>
      <c r="I571" s="28">
        <f>IF(ISNUMBER(Data!U293),Data!U293/100,"n/a")</f>
        <v>0.20112443398143132</v>
      </c>
      <c r="J571" s="28">
        <f>IF(ISNUMBER(Data!V293),Data!V293/100,"n/a")</f>
        <v>0.16594625575094413</v>
      </c>
      <c r="K571" s="9">
        <f>IF(ISNUMBER(Data!Z293),Data!Z293/100,"n/a")</f>
        <v>0.26638252530633993</v>
      </c>
      <c r="L571" s="10">
        <f>Data!AA293</f>
        <v>9.1771443793287162</v>
      </c>
      <c r="M571" s="10">
        <f>Data!AF293</f>
        <v>1.1299999999999999</v>
      </c>
      <c r="N571" s="28">
        <f>IF(ISNUMBER(Data!AG293),Data!AG293/100,"n/a")</f>
        <v>0.17899999999999999</v>
      </c>
      <c r="O571" s="28">
        <f>IF(ISNUMBER(Data!AJ293),Data!AJ293/100,"n/a")</f>
        <v>0.29599999999999999</v>
      </c>
      <c r="P571" s="9">
        <f>IF(ISNUMBER(Data!AK293),Data!AK293/100,"n/a")</f>
        <v>-9.1200000000000003E-2</v>
      </c>
      <c r="Q571" s="8">
        <f>Data!AN293</f>
        <v>8.66</v>
      </c>
      <c r="R571" s="8">
        <f>Data!AP293</f>
        <v>23.015116760309688</v>
      </c>
      <c r="S571" s="8"/>
      <c r="T571" s="8"/>
      <c r="U571" s="8"/>
      <c r="V571" s="1">
        <f t="shared" si="16"/>
        <v>9</v>
      </c>
      <c r="W571" s="1">
        <f t="shared" si="17"/>
        <v>0</v>
      </c>
    </row>
    <row r="572" spans="1:23" hidden="1" x14ac:dyDescent="0.2">
      <c r="A572" s="7" t="str">
        <f>Data!A734</f>
        <v>Energy</v>
      </c>
      <c r="B572" s="7">
        <f>Data!B734</f>
        <v>19</v>
      </c>
      <c r="C572" s="7">
        <f>Data!C734</f>
        <v>0</v>
      </c>
      <c r="D572" s="8">
        <f>IF(ISNUMBER(Data!AL734),Data!AL734/1000,"n/a")</f>
        <v>76.635891578947366</v>
      </c>
      <c r="E572" s="1">
        <f>Data!E734</f>
        <v>14.894736842105264</v>
      </c>
      <c r="F572" s="28">
        <f>Data!J734/100</f>
        <v>4.6196049933862504E-2</v>
      </c>
      <c r="G572" s="28">
        <f>IF(ISNUMBER(Data!S734),Data!S734/100,"n/a")</f>
        <v>5.7494798047813898E-2</v>
      </c>
      <c r="H572" s="28">
        <f>IF(ISNUMBER(Data!T734),Data!T734/100,"n/a")</f>
        <v>0.17997599516774695</v>
      </c>
      <c r="I572" s="28">
        <f>IF(ISNUMBER(Data!U734),Data!U734/100,"n/a")</f>
        <v>0.16392021072244148</v>
      </c>
      <c r="J572" s="28">
        <f>IF(ISNUMBER(Data!V734),Data!V734/100,"n/a")</f>
        <v>0.12488077910716643</v>
      </c>
      <c r="K572" s="9">
        <f>IF(ISNUMBER(Data!Z734),Data!Z734/100,"n/a")</f>
        <v>0.68871502939903839</v>
      </c>
      <c r="L572" s="10">
        <f>Data!AA734</f>
        <v>15.610038660717086</v>
      </c>
      <c r="M572" s="10">
        <f>Data!AF734</f>
        <v>6.5761111111111124</v>
      </c>
      <c r="N572" s="28">
        <f>IF(ISNUMBER(Data!AG734),Data!AG734/100,"n/a")</f>
        <v>0.1312777777777778</v>
      </c>
      <c r="O572" s="28">
        <f>IF(ISNUMBER(Data!AJ734),Data!AJ734/100,"n/a")</f>
        <v>0.41584736842105258</v>
      </c>
      <c r="P572" s="9">
        <f>IF(ISNUMBER(Data!AK734),Data!AK734/100,"n/a")</f>
        <v>0.12751111111111113</v>
      </c>
      <c r="Q572" s="8">
        <f>Data!AN734</f>
        <v>1.5864705882352945</v>
      </c>
      <c r="R572" s="8">
        <f>Data!AP734</f>
        <v>20.985287782792721</v>
      </c>
      <c r="S572" s="8"/>
      <c r="T572" s="8"/>
      <c r="U572" s="8"/>
      <c r="V572" s="1">
        <f t="shared" si="16"/>
        <v>9</v>
      </c>
      <c r="W572" s="1">
        <f t="shared" si="17"/>
        <v>0</v>
      </c>
    </row>
    <row r="573" spans="1:23" hidden="1" x14ac:dyDescent="0.2">
      <c r="A573" s="7" t="str">
        <f>Data!A740</f>
        <v>Real Estate</v>
      </c>
      <c r="B573" s="7">
        <f>Data!B740</f>
        <v>45</v>
      </c>
      <c r="C573" s="7">
        <f>Data!C740</f>
        <v>0</v>
      </c>
      <c r="D573" s="8">
        <f>IF(ISNUMBER(Data!AL740),Data!AL740/1000,"n/a")</f>
        <v>15.119016666666667</v>
      </c>
      <c r="E573" s="1">
        <f>Data!E740</f>
        <v>13.111111111111111</v>
      </c>
      <c r="F573" s="28">
        <f>Data!J740/100</f>
        <v>4.5031563098559227E-2</v>
      </c>
      <c r="G573" s="28">
        <f>IF(ISNUMBER(Data!S740),Data!S740/100,"n/a")</f>
        <v>8.7017567327920459E-2</v>
      </c>
      <c r="H573" s="28">
        <f>IF(ISNUMBER(Data!T740),Data!T740/100,"n/a")</f>
        <v>0.1083236866935454</v>
      </c>
      <c r="I573" s="28">
        <f>IF(ISNUMBER(Data!U740),Data!U740/100,"n/a")</f>
        <v>8.4552407221969397E-2</v>
      </c>
      <c r="J573" s="28">
        <f>IF(ISNUMBER(Data!V740),Data!V740/100,"n/a")</f>
        <v>0.10359305746769254</v>
      </c>
      <c r="K573" s="9">
        <f>IF(ISNUMBER(Data!Z740),Data!Z740/100,"n/a")</f>
        <v>1.6710390648024183</v>
      </c>
      <c r="L573" s="10">
        <f>Data!AA740</f>
        <v>39.302502363135389</v>
      </c>
      <c r="M573" s="10">
        <f>Data!AF740</f>
        <v>2.7468888888888894</v>
      </c>
      <c r="N573" s="28">
        <f>IF(ISNUMBER(Data!AG740),Data!AG740/100,"n/a")</f>
        <v>0.10699999999999996</v>
      </c>
      <c r="O573" s="28">
        <f>IF(ISNUMBER(Data!AJ740),Data!AJ740/100,"n/a")</f>
        <v>0.13219772727272727</v>
      </c>
      <c r="P573" s="9">
        <f>IF(ISNUMBER(Data!AK740),Data!AK740/100,"n/a")</f>
        <v>6.8199999999999997E-2</v>
      </c>
      <c r="Q573" s="8">
        <f>Data!AN740</f>
        <v>1.0306666666666666</v>
      </c>
      <c r="R573" s="8">
        <f>Data!AP740</f>
        <v>12.89964954493982</v>
      </c>
      <c r="S573" s="8"/>
      <c r="T573" s="8"/>
      <c r="U573" s="8"/>
      <c r="V573" s="1">
        <f t="shared" si="16"/>
        <v>8</v>
      </c>
      <c r="W573" s="1">
        <f t="shared" si="17"/>
        <v>0</v>
      </c>
    </row>
    <row r="574" spans="1:23" hidden="1" x14ac:dyDescent="0.2">
      <c r="A574" s="7" t="str">
        <f>Data!A739</f>
        <v>Materials</v>
      </c>
      <c r="B574" s="7">
        <f>Data!B739</f>
        <v>41</v>
      </c>
      <c r="C574" s="7">
        <f>Data!C739</f>
        <v>0</v>
      </c>
      <c r="D574" s="8">
        <f>IF(ISNUMBER(Data!AL739),Data!AL739/1000,"n/a")</f>
        <v>17.250609268292681</v>
      </c>
      <c r="E574" s="1">
        <f>Data!E739</f>
        <v>21.097560975609756</v>
      </c>
      <c r="F574" s="28">
        <f>Data!J739/100</f>
        <v>2.027060451344791E-2</v>
      </c>
      <c r="G574" s="28">
        <f>IF(ISNUMBER(Data!S739),Data!S739/100,"n/a")</f>
        <v>8.4564492581798767E-2</v>
      </c>
      <c r="H574" s="28">
        <f>IF(ISNUMBER(Data!T739),Data!T739/100,"n/a")</f>
        <v>8.5454635847536445E-2</v>
      </c>
      <c r="I574" s="28">
        <f>IF(ISNUMBER(Data!U739),Data!U739/100,"n/a")</f>
        <v>9.7330240314234789E-2</v>
      </c>
      <c r="J574" s="28">
        <f>IF(ISNUMBER(Data!V739),Data!V739/100,"n/a")</f>
        <v>0.10844432776875777</v>
      </c>
      <c r="K574" s="9">
        <f>IF(ISNUMBER(Data!Z739),Data!Z739/100,"n/a")</f>
        <v>0.37243360836658129</v>
      </c>
      <c r="L574" s="10">
        <f>Data!AA739</f>
        <v>24.030228574515888</v>
      </c>
      <c r="M574" s="10">
        <f>Data!AF739</f>
        <v>4.1187804878048775</v>
      </c>
      <c r="N574" s="28">
        <f>IF(ISNUMBER(Data!AG739),Data!AG739/100,"n/a")</f>
        <v>0.26100000000000001</v>
      </c>
      <c r="O574" s="28">
        <f>IF(ISNUMBER(Data!AJ739),Data!AJ739/100,"n/a")</f>
        <v>0.14785365853658539</v>
      </c>
      <c r="P574" s="9">
        <f>IF(ISNUMBER(Data!AK739),Data!AK739/100,"n/a")</f>
        <v>0.12595999999999999</v>
      </c>
      <c r="Q574" s="8">
        <f>Data!AN739</f>
        <v>1.1495121951219509</v>
      </c>
      <c r="R574" s="8">
        <f>Data!AP739</f>
        <v>11.771926042595576</v>
      </c>
      <c r="S574" s="8"/>
      <c r="T574" s="8"/>
      <c r="U574" s="8"/>
      <c r="V574" s="1">
        <f t="shared" si="16"/>
        <v>10</v>
      </c>
      <c r="W574" s="1">
        <f t="shared" si="17"/>
        <v>0</v>
      </c>
    </row>
    <row r="575" spans="1:23" hidden="1" x14ac:dyDescent="0.2">
      <c r="A575" s="7" t="str">
        <f>Data!A622</f>
        <v>Stock Yards Bancorp, Inc.</v>
      </c>
      <c r="B575" s="7" t="str">
        <f>Data!B622</f>
        <v>SYBT</v>
      </c>
      <c r="C575" s="7" t="str">
        <f>Data!C622</f>
        <v>Financials</v>
      </c>
      <c r="D575" s="8">
        <f>IF(ISNUMBER(Data!AL622),Data!AL622/1000,"n/a")</f>
        <v>2.19</v>
      </c>
      <c r="E575" s="1">
        <f>Data!E622</f>
        <v>13</v>
      </c>
      <c r="F575" s="28">
        <f>Data!J622/100</f>
        <v>1.4835656733597647E-2</v>
      </c>
      <c r="G575" s="28">
        <f>IF(ISNUMBER(Data!S622),Data!S622/100,"n/a")</f>
        <v>1.8518518518518601E-2</v>
      </c>
      <c r="H575" s="28">
        <f>IF(ISNUMBER(Data!T622),Data!T622/100,"n/a")</f>
        <v>4.6422696369909477E-2</v>
      </c>
      <c r="I575" s="28">
        <f>IF(ISNUMBER(Data!U622),Data!U622/100,"n/a")</f>
        <v>8.9469447406450117E-2</v>
      </c>
      <c r="J575" s="28">
        <f>IF(ISNUMBER(Data!V622),Data!V622/100,"n/a")</f>
        <v>8.6463510264826807E-2</v>
      </c>
      <c r="K575" s="9">
        <f>IF(ISNUMBER(Data!Z622),Data!Z622/100,"n/a")</f>
        <v>0.37540453074433655</v>
      </c>
      <c r="L575" s="10">
        <f>Data!AA622</f>
        <v>25.3042071197411</v>
      </c>
      <c r="M575" s="10">
        <f>Data!AF622</f>
        <v>3.06</v>
      </c>
      <c r="N575" s="28">
        <f>IF(ISNUMBER(Data!AG622),Data!AG622/100,"n/a")</f>
        <v>8.4000000000000005E-2</v>
      </c>
      <c r="O575" s="28">
        <f>IF(ISNUMBER(Data!AJ622),Data!AJ622/100,"n/a")</f>
        <v>0.105</v>
      </c>
      <c r="P575" s="9">
        <f>IF(ISNUMBER(Data!AK622),Data!AK622/100,"n/a")</f>
        <v>0.1</v>
      </c>
      <c r="Q575" s="8">
        <f>Data!AN622</f>
        <v>0.03</v>
      </c>
      <c r="R575" s="8">
        <f>Data!AP622</f>
        <v>10.430510414004777</v>
      </c>
      <c r="S575" s="8"/>
      <c r="T575" s="8"/>
      <c r="U575" s="8"/>
      <c r="V575" s="1">
        <f t="shared" si="16"/>
        <v>7</v>
      </c>
      <c r="W575" s="1">
        <f t="shared" si="17"/>
        <v>0</v>
      </c>
    </row>
    <row r="576" spans="1:23" hidden="1" x14ac:dyDescent="0.2">
      <c r="A576" s="7" t="str">
        <f>Data!A205</f>
        <v>Eastman Chemical Company</v>
      </c>
      <c r="B576" s="7" t="str">
        <f>Data!B205</f>
        <v>EMN</v>
      </c>
      <c r="C576" s="7" t="str">
        <f>Data!C205</f>
        <v>Materials</v>
      </c>
      <c r="D576" s="8">
        <f>IF(ISNUMBER(Data!AL205),Data!AL205/1000,"n/a")</f>
        <v>9.2799999999999994</v>
      </c>
      <c r="E576" s="1">
        <f>Data!E205</f>
        <v>12</v>
      </c>
      <c r="F576" s="28">
        <f>Data!J205/100</f>
        <v>3.9578179924488997E-2</v>
      </c>
      <c r="G576" s="28">
        <f>IF(ISNUMBER(Data!S205),Data!S205/100,"n/a")</f>
        <v>4.5454545454545414E-2</v>
      </c>
      <c r="H576" s="28">
        <f>IF(ISNUMBER(Data!T205),Data!T205/100,"n/a")</f>
        <v>7.2063116185391296E-2</v>
      </c>
      <c r="I576" s="28">
        <f>IF(ISNUMBER(Data!U205),Data!U205/100,"n/a")</f>
        <v>8.4471771197698539E-2</v>
      </c>
      <c r="J576" s="28">
        <f>IF(ISNUMBER(Data!V205),Data!V205/100,"n/a")</f>
        <v>0.1108058975713373</v>
      </c>
      <c r="K576" s="9">
        <f>IF(ISNUMBER(Data!Z205),Data!Z205/100,"n/a")</f>
        <v>0.33151581243184297</v>
      </c>
      <c r="L576" s="10">
        <f>Data!AA205</f>
        <v>8.3762268266085069</v>
      </c>
      <c r="M576" s="10">
        <f>Data!AF205</f>
        <v>1.79</v>
      </c>
      <c r="N576" s="28">
        <f>IF(ISNUMBER(Data!AG205),Data!AG205/100,"n/a")</f>
        <v>0.14199999999999999</v>
      </c>
      <c r="O576" s="28">
        <f>IF(ISNUMBER(Data!AJ205),Data!AJ205/100,"n/a")</f>
        <v>1.7000000000000001E-2</v>
      </c>
      <c r="P576" s="9">
        <f>IF(ISNUMBER(Data!AK205),Data!AK205/100,"n/a")</f>
        <v>3.6600000000000001E-2</v>
      </c>
      <c r="Q576" s="8">
        <f>Data!AN205</f>
        <v>0.94</v>
      </c>
      <c r="R576" s="8">
        <f>Data!AP205</f>
        <v>12.404995112218755</v>
      </c>
      <c r="S576" s="8"/>
      <c r="T576" s="8"/>
      <c r="U576" s="8"/>
      <c r="V576" s="1">
        <f t="shared" si="16"/>
        <v>9</v>
      </c>
      <c r="W576" s="1">
        <f t="shared" si="17"/>
        <v>0</v>
      </c>
    </row>
    <row r="577" spans="1:23" hidden="1" x14ac:dyDescent="0.2">
      <c r="A577" s="7" t="str">
        <f>Data!A158</f>
        <v>Camden Property Trust</v>
      </c>
      <c r="B577" s="7" t="str">
        <f>Data!B158</f>
        <v>CPT</v>
      </c>
      <c r="C577" s="7" t="str">
        <f>Data!C158</f>
        <v>Real Estate</v>
      </c>
      <c r="D577" s="8">
        <f>IF(ISNUMBER(Data!AL158),Data!AL158/1000,"n/a")</f>
        <v>12.24</v>
      </c>
      <c r="E577" s="1">
        <f>Data!E158</f>
        <v>12</v>
      </c>
      <c r="F577" s="28">
        <f>Data!J158/100</f>
        <v>3.254002596278667E-2</v>
      </c>
      <c r="G577" s="28">
        <f>IF(ISNUMBER(Data!S158),Data!S158/100,"n/a")</f>
        <v>9.1185410334346795E-3</v>
      </c>
      <c r="H577" s="28">
        <f>IF(ISNUMBER(Data!T158),Data!T158/100,"n/a")</f>
        <v>2.7556125226588124E-2</v>
      </c>
      <c r="I577" s="28">
        <f>IF(ISNUMBER(Data!U158),Data!U158/100,"n/a")</f>
        <v>2.3913369064288093E-2</v>
      </c>
      <c r="J577" s="28">
        <f>IF(ISNUMBER(Data!V158),Data!V158/100,"n/a")</f>
        <v>5.6291257930365157E-2</v>
      </c>
      <c r="K577" s="9">
        <f>IF(ISNUMBER(Data!Z158),Data!Z158/100,"n/a")</f>
        <v>3.3571428571428568</v>
      </c>
      <c r="L577" s="10">
        <f>Data!AA158</f>
        <v>103.16964285714285</v>
      </c>
      <c r="M577" s="10">
        <f>Data!AF158</f>
        <v>3.37</v>
      </c>
      <c r="N577" s="28" t="str">
        <f>IF(ISNUMBER(Data!AG158),Data!AG158/100,"n/a")</f>
        <v>n/a</v>
      </c>
      <c r="O577" s="28">
        <f>IF(ISNUMBER(Data!AJ158),Data!AJ158/100,"n/a")</f>
        <v>-9.1999999999999998E-2</v>
      </c>
      <c r="P577" s="9">
        <f>IF(ISNUMBER(Data!AK158),Data!AK158/100,"n/a")</f>
        <v>0.25290000000000001</v>
      </c>
      <c r="Q577" s="8">
        <f>Data!AN158</f>
        <v>0</v>
      </c>
      <c r="R577" s="8">
        <f>Data!AP158</f>
        <v>5.6453395027074764</v>
      </c>
      <c r="S577" s="8"/>
      <c r="T577" s="8"/>
      <c r="U577" s="8"/>
      <c r="V577" s="1">
        <f t="shared" si="16"/>
        <v>5</v>
      </c>
      <c r="W577" s="1">
        <f t="shared" si="17"/>
        <v>0</v>
      </c>
    </row>
    <row r="578" spans="1:23" hidden="1" x14ac:dyDescent="0.2">
      <c r="A578" s="7" t="str">
        <f>Data!A169</f>
        <v>CTO Realty Growth, Inc.</v>
      </c>
      <c r="B578" s="7" t="str">
        <f>Data!B169</f>
        <v>CTO</v>
      </c>
      <c r="C578" s="7" t="str">
        <f>Data!C169</f>
        <v>Real Estate</v>
      </c>
      <c r="D578" s="8">
        <f>IF(ISNUMBER(Data!AL169),Data!AL169/1000,"n/a")</f>
        <v>0.3679</v>
      </c>
      <c r="E578" s="1">
        <f>Data!E169</f>
        <v>10</v>
      </c>
      <c r="F578" s="28">
        <f>Data!J169/100</f>
        <v>7.5621890547263676E-2</v>
      </c>
      <c r="G578" s="28">
        <f>IF(ISNUMBER(Data!S169),Data!S169/100,"n/a")</f>
        <v>1.1052631578947367</v>
      </c>
      <c r="H578" s="28">
        <f>IF(ISNUMBER(Data!T169),Data!T169/100,"n/a")</f>
        <v>1.4560209990935906</v>
      </c>
      <c r="I578" s="28">
        <f>IF(ISNUMBER(Data!U169),Data!U169/100,"n/a")</f>
        <v>0.90365393871587851</v>
      </c>
      <c r="J578" s="28">
        <f>IF(ISNUMBER(Data!V169),Data!V169/100,"n/a")</f>
        <v>0.58489319246111338</v>
      </c>
      <c r="K578" s="9">
        <f>IF(ISNUMBER(Data!Z169),Data!Z169/100,"n/a")</f>
        <v>1.1875</v>
      </c>
      <c r="L578" s="10">
        <f>Data!AA169</f>
        <v>15.703125</v>
      </c>
      <c r="M578" s="10">
        <f>Data!AF169</f>
        <v>0.85</v>
      </c>
      <c r="N578" s="28">
        <f>IF(ISNUMBER(Data!AG169),Data!AG169/100,"n/a")</f>
        <v>4.3999999999999997E-2</v>
      </c>
      <c r="O578" s="28">
        <f>IF(ISNUMBER(Data!AJ169),Data!AJ169/100,"n/a")</f>
        <v>0.14499999999999999</v>
      </c>
      <c r="P578" s="9" t="str">
        <f>IF(ISNUMBER(Data!AK169),Data!AK169/100,"n/a")</f>
        <v>n/a</v>
      </c>
      <c r="Q578" s="8">
        <f>Data!AN169</f>
        <v>0</v>
      </c>
      <c r="R578" s="8">
        <f>Data!AP169</f>
        <v>97.927582926314216</v>
      </c>
      <c r="S578" s="8"/>
      <c r="T578" s="8"/>
      <c r="U578" s="8"/>
      <c r="V578" s="1">
        <f t="shared" si="16"/>
        <v>8</v>
      </c>
      <c r="W578" s="1">
        <f t="shared" si="17"/>
        <v>0</v>
      </c>
    </row>
    <row r="579" spans="1:23" hidden="1" x14ac:dyDescent="0.2">
      <c r="A579" s="7" t="str">
        <f>Data!A173</f>
        <v>Chevron Corporation</v>
      </c>
      <c r="B579" s="7" t="str">
        <f>Data!B173</f>
        <v>CVX</v>
      </c>
      <c r="C579" s="7" t="str">
        <f>Data!C173</f>
        <v>Energy</v>
      </c>
      <c r="D579" s="8">
        <f>IF(ISNUMBER(Data!AL173),Data!AL173/1000,"n/a")</f>
        <v>348.23</v>
      </c>
      <c r="E579" s="1">
        <f>Data!E173</f>
        <v>35</v>
      </c>
      <c r="F579" s="28">
        <f>Data!J173/100</f>
        <v>3.1398562741846318E-2</v>
      </c>
      <c r="G579" s="28">
        <f>IF(ISNUMBER(Data!S173),Data!S173/100,"n/a")</f>
        <v>2.3121387283236761E-2</v>
      </c>
      <c r="H579" s="28">
        <f>IF(ISNUMBER(Data!T173),Data!T173/100,"n/a")</f>
        <v>5.8291973697796928E-2</v>
      </c>
      <c r="I579" s="28">
        <f>IF(ISNUMBER(Data!U173),Data!U173/100,"n/a")</f>
        <v>4.3584081237309613E-2</v>
      </c>
      <c r="J579" s="28">
        <f>IF(ISNUMBER(Data!V173),Data!V173/100,"n/a")</f>
        <v>5.5634570186028798E-2</v>
      </c>
      <c r="K579" s="9">
        <f>IF(ISNUMBER(Data!Z173),Data!Z173/100,"n/a")</f>
        <v>0.37942551770207072</v>
      </c>
      <c r="L579" s="10">
        <f>Data!AA173</f>
        <v>12.084168336673347</v>
      </c>
      <c r="M579" s="10">
        <f>Data!AF173</f>
        <v>2.2799999999999998</v>
      </c>
      <c r="N579" s="28">
        <f>IF(ISNUMBER(Data!AG173),Data!AG173/100,"n/a")</f>
        <v>0.14299999999999999</v>
      </c>
      <c r="O579" s="28">
        <f>IF(ISNUMBER(Data!AJ173),Data!AJ173/100,"n/a")</f>
        <v>1.008</v>
      </c>
      <c r="P579" s="9">
        <f>IF(ISNUMBER(Data!AK173),Data!AK173/100,"n/a")</f>
        <v>0.1469</v>
      </c>
      <c r="Q579" s="8">
        <f>Data!AN173</f>
        <v>0.17</v>
      </c>
      <c r="R579" s="8">
        <f>Data!AP173</f>
        <v>7.4982643979155927</v>
      </c>
      <c r="S579" s="8"/>
      <c r="T579" s="8"/>
      <c r="U579" s="8"/>
      <c r="V579" s="1">
        <f t="shared" si="16"/>
        <v>10</v>
      </c>
      <c r="W579" s="1">
        <f t="shared" si="17"/>
        <v>0</v>
      </c>
    </row>
    <row r="580" spans="1:23" hidden="1" x14ac:dyDescent="0.2">
      <c r="A580" s="7" t="str">
        <f>Data!A138</f>
        <v>C.H. Robinson Worldwide, Inc.</v>
      </c>
      <c r="B580" s="7" t="str">
        <f>Data!B138</f>
        <v>CHRW</v>
      </c>
      <c r="C580" s="7" t="str">
        <f>Data!C138</f>
        <v>Industrials</v>
      </c>
      <c r="D580" s="8">
        <f>IF(ISNUMBER(Data!AL138),Data!AL138/1000,"n/a")</f>
        <v>11.99</v>
      </c>
      <c r="E580" s="1">
        <f>Data!E138</f>
        <v>24</v>
      </c>
      <c r="F580" s="28">
        <f>Data!J138/100</f>
        <v>2.2513303315595583E-2</v>
      </c>
      <c r="G580" s="28">
        <f>IF(ISNUMBER(Data!S138),Data!S138/100,"n/a")</f>
        <v>0</v>
      </c>
      <c r="H580" s="28">
        <f>IF(ISNUMBER(Data!T138),Data!T138/100,"n/a")</f>
        <v>2.7600024749230068E-2</v>
      </c>
      <c r="I580" s="28">
        <f>IF(ISNUMBER(Data!U138),Data!U138/100,"n/a")</f>
        <v>3.2324379535307868E-2</v>
      </c>
      <c r="J580" s="28">
        <f>IF(ISNUMBER(Data!V138),Data!V138/100,"n/a")</f>
        <v>5.4495891854766221E-2</v>
      </c>
      <c r="K580" s="9">
        <f>IF(ISNUMBER(Data!Z138),Data!Z138/100,"n/a")</f>
        <v>0.26442307692307693</v>
      </c>
      <c r="L580" s="10">
        <f>Data!AA138</f>
        <v>11.745192307692307</v>
      </c>
      <c r="M580" s="10">
        <f>Data!AF138</f>
        <v>6.12</v>
      </c>
      <c r="N580" s="28">
        <f>IF(ISNUMBER(Data!AG138),Data!AG138/100,"n/a")</f>
        <v>0.54</v>
      </c>
      <c r="O580" s="28">
        <f>IF(ISNUMBER(Data!AJ138),Data!AJ138/100,"n/a")</f>
        <v>0.11899999999999998</v>
      </c>
      <c r="P580" s="9">
        <f>IF(ISNUMBER(Data!AK138),Data!AK138/100,"n/a")</f>
        <v>6.1400000000000003E-2</v>
      </c>
      <c r="Q580" s="8">
        <f>Data!AN138</f>
        <v>1.1299999999999999</v>
      </c>
      <c r="R580" s="8">
        <f>Data!AP138</f>
        <v>5.4837682850903455</v>
      </c>
      <c r="S580" s="8"/>
      <c r="T580" s="8"/>
      <c r="U580" s="8"/>
      <c r="V580" s="1">
        <f t="shared" si="16"/>
        <v>8</v>
      </c>
      <c r="W580" s="1">
        <f t="shared" si="17"/>
        <v>0</v>
      </c>
    </row>
    <row r="581" spans="1:23" hidden="1" x14ac:dyDescent="0.2">
      <c r="A581" s="7" t="str">
        <f>Data!A126</f>
        <v>Crown Castle International Corp. (REIT)</v>
      </c>
      <c r="B581" s="7" t="str">
        <f>Data!B126</f>
        <v>CCI</v>
      </c>
      <c r="C581" s="7" t="str">
        <f>Data!C126</f>
        <v>Real Estate</v>
      </c>
      <c r="D581" s="8">
        <f>IF(ISNUMBER(Data!AL126),Data!AL126/1000,"n/a")</f>
        <v>55.42</v>
      </c>
      <c r="E581" s="1">
        <f>Data!E126</f>
        <v>9</v>
      </c>
      <c r="F581" s="28">
        <f>Data!J126/100</f>
        <v>4.6975836710190608E-2</v>
      </c>
      <c r="G581" s="28">
        <f>IF(ISNUMBER(Data!S126),Data!S126/100,"n/a")</f>
        <v>0.10750507099391493</v>
      </c>
      <c r="H581" s="28">
        <f>IF(ISNUMBER(Data!T126),Data!T126/100,"n/a")</f>
        <v>8.4972776386218474E-2</v>
      </c>
      <c r="I581" s="28">
        <f>IF(ISNUMBER(Data!U126),Data!U126/100,"n/a")</f>
        <v>8.6569411193963428E-2</v>
      </c>
      <c r="J581" s="28" t="str">
        <f>IF(ISNUMBER(Data!V126),Data!V126/100,"n/a")</f>
        <v>n/a</v>
      </c>
      <c r="K581" s="9">
        <f>IF(ISNUMBER(Data!Z126),Data!Z126/100,"n/a")</f>
        <v>1.682795698924731</v>
      </c>
      <c r="L581" s="10">
        <f>Data!AA126</f>
        <v>35.822580645161288</v>
      </c>
      <c r="M581" s="10">
        <f>Data!AF126</f>
        <v>7.3</v>
      </c>
      <c r="N581" s="28">
        <f>IF(ISNUMBER(Data!AG126),Data!AG126/100,"n/a")</f>
        <v>0.17899999999999999</v>
      </c>
      <c r="O581" s="28">
        <f>IF(ISNUMBER(Data!AJ126),Data!AJ126/100,"n/a")</f>
        <v>0.22900000000000001</v>
      </c>
      <c r="P581" s="9">
        <f>IF(ISNUMBER(Data!AK126),Data!AK126/100,"n/a")</f>
        <v>9.849999999999999E-2</v>
      </c>
      <c r="Q581" s="8">
        <f>Data!AN126</f>
        <v>2.71</v>
      </c>
      <c r="R581" s="8">
        <f>Data!AP126</f>
        <v>13.354524790415404</v>
      </c>
      <c r="S581" s="8"/>
      <c r="T581" s="8"/>
      <c r="U581" s="8"/>
      <c r="V581" s="1">
        <f t="shared" ref="V581:V644" si="18">IF($D$4="+",IF(D581="n/a",0,IF(D581&gt;=$D$5,1,0)),0)+IF($E$4="+",IF(E581="n/a",0,IF(E581&gt;=$E$5,1,0)),0)+IF($F$4="+",IF(F581="n/a",0,IF(F581&gt;=$F$5,1,0)),0)+IF($G$4="+",IF(G581="n/a",0,IF(G581&gt;=$G$5,1,0)),0)+IF($H$4="+",IF(H581="n/a",0,IF(H581&gt;=$H$5,1,0)),0)+IF($I$4="+",IF(I581="n/a",0,IF(I581&gt;=$I$5,1,0)),0)+IF($J$4="+",IF(J581="n/a",0,IF(J581&gt;=$J$5,1,0)),0)+IF($K$4="+",IF(K581="n/a",0,IF(K581&lt;=$K$5,1,0)),0)+IF($L$4="+",IF(L581="n/a",0,IF(L581&lt;=$L$5,1,0)),0)+IF($M$4="+",IF(M581="n/a",0,IF(M581&lt;=$M$5,1,0)),0)+IF($N$4="+",IF(N581="n/a",0,IF(N581&gt;=$N$5,1,0)),0)+IF($O$4="+",IF(O581="n/a",0,IF(O581&gt;=$O$5,1,0)),0)+IF($P$4="+",IF(P581="n/a",0,IF(P581&gt;=$P$5,1,0)),0)+IF($Q$4="+",IF(Q581="n/a",0,IF(Q581&lt;=$Q$5,1,0)),0)+IF($R$4="+",IF(R581="n/a",0,IF(R581&gt;=$R$5,1,0)),0)+$Y$4</f>
        <v>7</v>
      </c>
      <c r="W581" s="1">
        <f t="shared" ref="W581:W644" si="19">IF(V581&gt;=$V$2,"",0)</f>
        <v>0</v>
      </c>
    </row>
    <row r="582" spans="1:23" hidden="1" x14ac:dyDescent="0.2">
      <c r="A582" s="7" t="str">
        <f>Data!A738</f>
        <v>Information Technology</v>
      </c>
      <c r="B582" s="7">
        <f>Data!B738</f>
        <v>57</v>
      </c>
      <c r="C582" s="7">
        <f>Data!C738</f>
        <v>0</v>
      </c>
      <c r="D582" s="8">
        <f>IF(ISNUMBER(Data!AL738),Data!AL738/1000,"n/a")</f>
        <v>124.68272070175436</v>
      </c>
      <c r="E582" s="1">
        <f>Data!E738</f>
        <v>13.12280701754386</v>
      </c>
      <c r="F582" s="28">
        <f>Data!J738/100</f>
        <v>2.1367109832587716E-2</v>
      </c>
      <c r="G582" s="28">
        <f>IF(ISNUMBER(Data!S738),Data!S738/100,"n/a")</f>
        <v>0.11742872193754442</v>
      </c>
      <c r="H582" s="28">
        <f>IF(ISNUMBER(Data!T738),Data!T738/100,"n/a")</f>
        <v>0.15140352894574793</v>
      </c>
      <c r="I582" s="28">
        <f>IF(ISNUMBER(Data!U738),Data!U738/100,"n/a")</f>
        <v>0.13802161312283909</v>
      </c>
      <c r="J582" s="28">
        <f>IF(ISNUMBER(Data!V738),Data!V738/100,"n/a")</f>
        <v>0.16644433356428884</v>
      </c>
      <c r="K582" s="9">
        <f>IF(ISNUMBER(Data!Z738),Data!Z738/100,"n/a")</f>
        <v>0.47230376974979643</v>
      </c>
      <c r="L582" s="10">
        <f>Data!AA738</f>
        <v>24.621055707283897</v>
      </c>
      <c r="M582" s="10">
        <f>Data!AF738</f>
        <v>9.0585185185185182</v>
      </c>
      <c r="N582" s="28">
        <f>IF(ISNUMBER(Data!AG738),Data!AG738/100,"n/a")</f>
        <v>0.24476428571428574</v>
      </c>
      <c r="O582" s="28">
        <f>IF(ISNUMBER(Data!AJ738),Data!AJ738/100,"n/a")</f>
        <v>0.16591071428571427</v>
      </c>
      <c r="P582" s="9">
        <f>IF(ISNUMBER(Data!AK738),Data!AK738/100,"n/a")</f>
        <v>0.10222264150943394</v>
      </c>
      <c r="Q582" s="8">
        <f>Data!AN738</f>
        <v>0.98961851851851812</v>
      </c>
      <c r="R582" s="8">
        <f>Data!AP738</f>
        <v>16.001610708886247</v>
      </c>
      <c r="S582" s="8"/>
      <c r="T582" s="8"/>
      <c r="U582" s="8"/>
      <c r="V582" s="1">
        <f t="shared" si="18"/>
        <v>9</v>
      </c>
      <c r="W582" s="1">
        <f t="shared" si="19"/>
        <v>0</v>
      </c>
    </row>
    <row r="583" spans="1:23" hidden="1" x14ac:dyDescent="0.2">
      <c r="A583" s="7" t="str">
        <f>Data!A124</f>
        <v>Capital City Bank Group, Inc.</v>
      </c>
      <c r="B583" s="7" t="str">
        <f>Data!B124</f>
        <v>CCBG</v>
      </c>
      <c r="C583" s="7" t="str">
        <f>Data!C124</f>
        <v>Financials</v>
      </c>
      <c r="D583" s="8">
        <f>IF(ISNUMBER(Data!AL124),Data!AL124/1000,"n/a")</f>
        <v>0.59194000000000002</v>
      </c>
      <c r="E583" s="1">
        <f>Data!E124</f>
        <v>9</v>
      </c>
      <c r="F583" s="28">
        <f>Data!J124/100</f>
        <v>1.9198193111236592E-2</v>
      </c>
      <c r="G583" s="28">
        <f>IF(ISNUMBER(Data!S124),Data!S124/100,"n/a")</f>
        <v>8.7719298245614072E-2</v>
      </c>
      <c r="H583" s="28">
        <f>IF(ISNUMBER(Data!T124),Data!T124/100,"n/a")</f>
        <v>0.24665773805966151</v>
      </c>
      <c r="I583" s="28">
        <f>IF(ISNUMBER(Data!U124),Data!U124/100,"n/a")</f>
        <v>0.29535424783841924</v>
      </c>
      <c r="J583" s="28">
        <f>IF(ISNUMBER(Data!V124),Data!V124/100,"n/a")</f>
        <v>7.5293556739927769E-2</v>
      </c>
      <c r="K583" s="9">
        <f>IF(ISNUMBER(Data!Z124),Data!Z124/100,"n/a")</f>
        <v>0.3300970873786408</v>
      </c>
      <c r="L583" s="10">
        <f>Data!AA124</f>
        <v>17.194174757281555</v>
      </c>
      <c r="M583" s="10">
        <f>Data!AF124</f>
        <v>1.56</v>
      </c>
      <c r="N583" s="28">
        <f>IF(ISNUMBER(Data!AG124),Data!AG124/100,"n/a")</f>
        <v>8.5000000000000006E-2</v>
      </c>
      <c r="O583" s="28">
        <f>IF(ISNUMBER(Data!AJ124),Data!AJ124/100,"n/a")</f>
        <v>0.23499999999999999</v>
      </c>
      <c r="P583" s="9">
        <f>IF(ISNUMBER(Data!AK124),Data!AK124/100,"n/a")</f>
        <v>0.06</v>
      </c>
      <c r="Q583" s="8">
        <f>Data!AN124</f>
        <v>0.14000000000000001</v>
      </c>
      <c r="R583" s="8">
        <f>Data!AP124</f>
        <v>31.455244094965586</v>
      </c>
      <c r="S583" s="8"/>
      <c r="T583" s="8"/>
      <c r="U583" s="8"/>
      <c r="V583" s="1">
        <f t="shared" si="18"/>
        <v>9</v>
      </c>
      <c r="W583" s="1">
        <f t="shared" si="19"/>
        <v>0</v>
      </c>
    </row>
    <row r="584" spans="1:23" hidden="1" x14ac:dyDescent="0.2">
      <c r="A584" s="7" t="str">
        <f>Data!A256</f>
        <v>Farmers National Banc Corp.</v>
      </c>
      <c r="B584" s="7" t="str">
        <f>Data!B256</f>
        <v>FMNB</v>
      </c>
      <c r="C584" s="7" t="str">
        <f>Data!C256</f>
        <v>Financials</v>
      </c>
      <c r="D584" s="8">
        <f>IF(ISNUMBER(Data!AL256),Data!AL256/1000,"n/a")</f>
        <v>0.45663999999999999</v>
      </c>
      <c r="E584" s="1">
        <f>Data!E256</f>
        <v>7</v>
      </c>
      <c r="F584" s="28">
        <f>Data!J256/100</f>
        <v>4.6579330422125184E-2</v>
      </c>
      <c r="G584" s="28">
        <f>IF(ISNUMBER(Data!S256),Data!S256/100,"n/a")</f>
        <v>6.8181818181818121E-2</v>
      </c>
      <c r="H584" s="28">
        <f>IF(ISNUMBER(Data!T256),Data!T256/100,"n/a")</f>
        <v>0.16142775708728507</v>
      </c>
      <c r="I584" s="28">
        <f>IF(ISNUMBER(Data!U256),Data!U256/100,"n/a")</f>
        <v>0.24049659079353458</v>
      </c>
      <c r="J584" s="28">
        <f>IF(ISNUMBER(Data!V256),Data!V256/100,"n/a")</f>
        <v>0.14628249734011223</v>
      </c>
      <c r="K584" s="9">
        <f>IF(ISNUMBER(Data!Z256),Data!Z256/100,"n/a")</f>
        <v>0.40764331210191079</v>
      </c>
      <c r="L584" s="10">
        <f>Data!AA256</f>
        <v>8.7515923566878975</v>
      </c>
      <c r="M584" s="10">
        <f>Data!AF256</f>
        <v>1.45</v>
      </c>
      <c r="N584" s="28">
        <f>IF(ISNUMBER(Data!AG256),Data!AG256/100,"n/a")</f>
        <v>0.13600000000000001</v>
      </c>
      <c r="O584" s="28">
        <f>IF(ISNUMBER(Data!AJ256),Data!AJ256/100,"n/a")</f>
        <v>0.18600000000000003</v>
      </c>
      <c r="P584" s="9">
        <f>IF(ISNUMBER(Data!AK256),Data!AK256/100,"n/a")</f>
        <v>0.18</v>
      </c>
      <c r="Q584" s="8">
        <f>Data!AN256</f>
        <v>0.27</v>
      </c>
      <c r="R584" s="8">
        <f>Data!AP256</f>
        <v>28.707592121565977</v>
      </c>
      <c r="S584" s="8"/>
      <c r="T584" s="8"/>
      <c r="U584" s="8"/>
      <c r="V584" s="1">
        <f t="shared" si="18"/>
        <v>10</v>
      </c>
      <c r="W584" s="1">
        <f t="shared" si="19"/>
        <v>0</v>
      </c>
    </row>
    <row r="585" spans="1:23" hidden="1" x14ac:dyDescent="0.2">
      <c r="A585" s="7" t="str">
        <f>Data!A148</f>
        <v>CNA Financial Corporation</v>
      </c>
      <c r="B585" s="7" t="str">
        <f>Data!B148</f>
        <v>CNA</v>
      </c>
      <c r="C585" s="7" t="str">
        <f>Data!C148</f>
        <v>Financials</v>
      </c>
      <c r="D585" s="8">
        <f>IF(ISNUMBER(Data!AL148),Data!AL148/1000,"n/a")</f>
        <v>11.16</v>
      </c>
      <c r="E585" s="1">
        <f>Data!E148</f>
        <v>6</v>
      </c>
      <c r="F585" s="28">
        <f>Data!J148/100</f>
        <v>3.8369304556354913E-2</v>
      </c>
      <c r="G585" s="28">
        <f>IF(ISNUMBER(Data!S148),Data!S148/100,"n/a")</f>
        <v>2.7027027027026973E-2</v>
      </c>
      <c r="H585" s="28">
        <f>IF(ISNUMBER(Data!T148),Data!T148/100,"n/a")</f>
        <v>5.3497263573956566E-2</v>
      </c>
      <c r="I585" s="28">
        <f>IF(ISNUMBER(Data!U148),Data!U148/100,"n/a")</f>
        <v>8.7348394571074905E-2</v>
      </c>
      <c r="J585" s="28">
        <f>IF(ISNUMBER(Data!V148),Data!V148/100,"n/a")</f>
        <v>0.14282138804355626</v>
      </c>
      <c r="K585" s="9">
        <f>IF(ISNUMBER(Data!Z148),Data!Z148/100,"n/a")</f>
        <v>0.41994750656167978</v>
      </c>
      <c r="L585" s="10">
        <f>Data!AA148</f>
        <v>10.94488188976378</v>
      </c>
      <c r="M585" s="10">
        <f>Data!AF148</f>
        <v>1.2</v>
      </c>
      <c r="N585" s="28">
        <f>IF(ISNUMBER(Data!AG148),Data!AG148/100,"n/a")</f>
        <v>9.0999999999999998E-2</v>
      </c>
      <c r="O585" s="28">
        <f>IF(ISNUMBER(Data!AJ148),Data!AJ148/100,"n/a")</f>
        <v>6.8000000000000005E-2</v>
      </c>
      <c r="P585" s="9">
        <f>IF(ISNUMBER(Data!AK148),Data!AK148/100,"n/a")</f>
        <v>0.05</v>
      </c>
      <c r="Q585" s="8">
        <f>Data!AN148</f>
        <v>0.28999999999999998</v>
      </c>
      <c r="R585" s="8">
        <f>Data!AP148</f>
        <v>12.571769912742981</v>
      </c>
      <c r="S585" s="8"/>
      <c r="T585" s="8"/>
      <c r="U585" s="8"/>
      <c r="V585" s="1">
        <f t="shared" si="18"/>
        <v>10</v>
      </c>
      <c r="W585" s="1">
        <f t="shared" si="19"/>
        <v>0</v>
      </c>
    </row>
    <row r="586" spans="1:23" hidden="1" x14ac:dyDescent="0.2">
      <c r="A586" s="7" t="str">
        <f>Data!A149</f>
        <v>Canadian National Railway Company</v>
      </c>
      <c r="B586" s="7" t="str">
        <f>Data!B149</f>
        <v>CNI</v>
      </c>
      <c r="C586" s="7" t="str">
        <f>Data!C149</f>
        <v>Industrials</v>
      </c>
      <c r="D586" s="8">
        <f>IF(ISNUMBER(Data!AL149),Data!AL149/1000,"n/a")</f>
        <v>80.25</v>
      </c>
      <c r="E586" s="1">
        <f>Data!E149</f>
        <v>27</v>
      </c>
      <c r="F586" s="28">
        <f>Data!J149/100</f>
        <v>1.9577845322526172E-2</v>
      </c>
      <c r="G586" s="28">
        <f>IF(ISNUMBER(Data!S149),Data!S149/100,"n/a")</f>
        <v>0.1441299790356394</v>
      </c>
      <c r="H586" s="28">
        <f>IF(ISNUMBER(Data!T149),Data!T149/100,"n/a")</f>
        <v>0.12199185717706618</v>
      </c>
      <c r="I586" s="28">
        <f>IF(ISNUMBER(Data!U149),Data!U149/100,"n/a")</f>
        <v>0.11564756158064293</v>
      </c>
      <c r="J586" s="28">
        <f>IF(ISNUMBER(Data!V149),Data!V149/100,"n/a")</f>
        <v>0.11585085741010026</v>
      </c>
      <c r="K586" s="9">
        <f>IF(ISNUMBER(Data!Z149),Data!Z149/100,"n/a")</f>
        <v>0.44592307692307692</v>
      </c>
      <c r="L586" s="10">
        <f>Data!AA149</f>
        <v>22.776923076923076</v>
      </c>
      <c r="M586" s="10">
        <f>Data!AF149</f>
        <v>5.01</v>
      </c>
      <c r="N586" s="28">
        <f>IF(ISNUMBER(Data!AG149),Data!AG149/100,"n/a")</f>
        <v>0.222</v>
      </c>
      <c r="O586" s="28">
        <f>IF(ISNUMBER(Data!AJ149),Data!AJ149/100,"n/a")</f>
        <v>8.1000000000000003E-2</v>
      </c>
      <c r="P586" s="9">
        <f>IF(ISNUMBER(Data!AK149),Data!AK149/100,"n/a")</f>
        <v>0.16089999999999999</v>
      </c>
      <c r="Q586" s="8">
        <f>Data!AN149</f>
        <v>0.7</v>
      </c>
      <c r="R586" s="8">
        <f>Data!AP149</f>
        <v>13.522540690316911</v>
      </c>
      <c r="S586" s="8"/>
      <c r="T586" s="8"/>
      <c r="U586" s="8"/>
      <c r="V586" s="1">
        <f t="shared" si="18"/>
        <v>10</v>
      </c>
      <c r="W586" s="1">
        <f t="shared" si="19"/>
        <v>0</v>
      </c>
    </row>
    <row r="587" spans="1:23" hidden="1" x14ac:dyDescent="0.2">
      <c r="A587" s="7" t="str">
        <f>Data!A122</f>
        <v>Cabot Corporation</v>
      </c>
      <c r="B587" s="7" t="str">
        <f>Data!B122</f>
        <v>CBT</v>
      </c>
      <c r="C587" s="7" t="str">
        <f>Data!C122</f>
        <v>Materials</v>
      </c>
      <c r="D587" s="8">
        <f>IF(ISNUMBER(Data!AL122),Data!AL122/1000,"n/a")</f>
        <v>4.08</v>
      </c>
      <c r="E587" s="1">
        <f>Data!E122</f>
        <v>10</v>
      </c>
      <c r="F587" s="28">
        <f>Data!J122/100</f>
        <v>2.0141535111594989E-2</v>
      </c>
      <c r="G587" s="28">
        <f>IF(ISNUMBER(Data!S122),Data!S122/100,"n/a")</f>
        <v>1.4285714285714235E-2</v>
      </c>
      <c r="H587" s="28">
        <f>IF(ISNUMBER(Data!T122),Data!T122/100,"n/a")</f>
        <v>2.855126874788394E-2</v>
      </c>
      <c r="I587" s="28">
        <f>IF(ISNUMBER(Data!U122),Data!U122/100,"n/a")</f>
        <v>4.8610167384929737E-2</v>
      </c>
      <c r="J587" s="28">
        <f>IF(ISNUMBER(Data!V122),Data!V122/100,"n/a")</f>
        <v>7.0275502023475767E-2</v>
      </c>
      <c r="K587" s="9">
        <f>IF(ISNUMBER(Data!Z122),Data!Z122/100,"n/a")</f>
        <v>0.59919028340080971</v>
      </c>
      <c r="L587" s="10">
        <f>Data!AA122</f>
        <v>29.748987854251013</v>
      </c>
      <c r="M587" s="10">
        <f>Data!AF122</f>
        <v>4.58</v>
      </c>
      <c r="N587" s="28">
        <f>IF(ISNUMBER(Data!AG122),Data!AG122/100,"n/a")</f>
        <v>0.16</v>
      </c>
      <c r="O587" s="28">
        <f>IF(ISNUMBER(Data!AJ122),Data!AJ122/100,"n/a")</f>
        <v>0.13300000000000001</v>
      </c>
      <c r="P587" s="9">
        <f>IF(ISNUMBER(Data!AK122),Data!AK122/100,"n/a")</f>
        <v>0.1618</v>
      </c>
      <c r="Q587" s="8">
        <f>Data!AN122</f>
        <v>1.58</v>
      </c>
      <c r="R587" s="8">
        <f>Data!AP122</f>
        <v>6.8751702496524727</v>
      </c>
      <c r="S587" s="8"/>
      <c r="T587" s="8"/>
      <c r="U587" s="8"/>
      <c r="V587" s="1">
        <f t="shared" si="18"/>
        <v>6</v>
      </c>
      <c r="W587" s="1">
        <f t="shared" si="19"/>
        <v>0</v>
      </c>
    </row>
    <row r="588" spans="1:23" hidden="1" x14ac:dyDescent="0.2">
      <c r="A588" s="7" t="str">
        <f>Data!A145</f>
        <v>CME Group Inc.</v>
      </c>
      <c r="B588" s="7" t="str">
        <f>Data!B145</f>
        <v>CME</v>
      </c>
      <c r="C588" s="7" t="str">
        <f>Data!C145</f>
        <v>Financials</v>
      </c>
      <c r="D588" s="8">
        <f>IF(ISNUMBER(Data!AL145),Data!AL145/1000,"n/a")</f>
        <v>62.09</v>
      </c>
      <c r="E588" s="1">
        <f>Data!E145</f>
        <v>12</v>
      </c>
      <c r="F588" s="28">
        <f>Data!J145/100</f>
        <v>2.3081361800346215E-2</v>
      </c>
      <c r="G588" s="28">
        <f>IF(ISNUMBER(Data!S145),Data!S145/100,"n/a")</f>
        <v>5.8823529411764719E-2</v>
      </c>
      <c r="H588" s="28">
        <f>IF(ISNUMBER(Data!T145),Data!T145/100,"n/a")</f>
        <v>8.7380373002892142E-2</v>
      </c>
      <c r="I588" s="28">
        <f>IF(ISNUMBER(Data!U145),Data!U145/100,"n/a")</f>
        <v>8.4471771197698539E-2</v>
      </c>
      <c r="J588" s="28">
        <f>IF(ISNUMBER(Data!V145),Data!V145/100,"n/a")</f>
        <v>0.12385025332346844</v>
      </c>
      <c r="K588" s="9">
        <f>IF(ISNUMBER(Data!Z145),Data!Z145/100,"n/a")</f>
        <v>0.54570259208731242</v>
      </c>
      <c r="L588" s="10">
        <f>Data!AA145</f>
        <v>23.642564802182811</v>
      </c>
      <c r="M588" s="10">
        <f>Data!AF145</f>
        <v>2.2400000000000002</v>
      </c>
      <c r="N588" s="28">
        <f>IF(ISNUMBER(Data!AG145),Data!AG145/100,"n/a")</f>
        <v>9.9000000000000005E-2</v>
      </c>
      <c r="O588" s="28">
        <f>IF(ISNUMBER(Data!AJ145),Data!AJ145/100,"n/a")</f>
        <v>0.1</v>
      </c>
      <c r="P588" s="9">
        <f>IF(ISNUMBER(Data!AK145),Data!AK145/100,"n/a")</f>
        <v>7.85E-2</v>
      </c>
      <c r="Q588" s="8">
        <f>Data!AN145</f>
        <v>0.13</v>
      </c>
      <c r="R588" s="8">
        <f>Data!AP145</f>
        <v>10.755313299804476</v>
      </c>
      <c r="S588" s="8"/>
      <c r="T588" s="8"/>
      <c r="U588" s="8"/>
      <c r="V588" s="1">
        <f t="shared" si="18"/>
        <v>10</v>
      </c>
      <c r="W588" s="1">
        <f t="shared" si="19"/>
        <v>0</v>
      </c>
    </row>
    <row r="589" spans="1:23" hidden="1" x14ac:dyDescent="0.2">
      <c r="A589" s="7" t="str">
        <f>Data!A156</f>
        <v>Chesapeake Utilities Corporation</v>
      </c>
      <c r="B589" s="7" t="str">
        <f>Data!B156</f>
        <v>CPK</v>
      </c>
      <c r="C589" s="7" t="str">
        <f>Data!C156</f>
        <v>Utilities</v>
      </c>
      <c r="D589" s="8">
        <f>IF(ISNUMBER(Data!AL156),Data!AL156/1000,"n/a")</f>
        <v>2.2000000000000002</v>
      </c>
      <c r="E589" s="1">
        <f>Data!E156</f>
        <v>19</v>
      </c>
      <c r="F589" s="28">
        <f>Data!J156/100</f>
        <v>1.7205338478855123E-2</v>
      </c>
      <c r="G589" s="28">
        <f>IF(ISNUMBER(Data!S156),Data!S156/100,"n/a")</f>
        <v>8.8757396449704165E-2</v>
      </c>
      <c r="H589" s="28">
        <f>IF(ISNUMBER(Data!T156),Data!T156/100,"n/a")</f>
        <v>9.7996631054325878E-2</v>
      </c>
      <c r="I589" s="28">
        <f>IF(ISNUMBER(Data!U156),Data!U156/100,"n/a")</f>
        <v>9.1993100857572951E-2</v>
      </c>
      <c r="J589" s="28">
        <f>IF(ISNUMBER(Data!V156),Data!V156/100,"n/a")</f>
        <v>7.4131694050160624E-2</v>
      </c>
      <c r="K589" s="9">
        <f>IF(ISNUMBER(Data!Z156),Data!Z156/100,"n/a")</f>
        <v>0.42544731610337971</v>
      </c>
      <c r="L589" s="10">
        <f>Data!AA156</f>
        <v>24.727634194831012</v>
      </c>
      <c r="M589" s="10">
        <f>Data!AF156</f>
        <v>2.74</v>
      </c>
      <c r="N589" s="28">
        <f>IF(ISNUMBER(Data!AG156),Data!AG156/100,"n/a")</f>
        <v>0.113</v>
      </c>
      <c r="O589" s="28">
        <f>IF(ISNUMBER(Data!AJ156),Data!AJ156/100,"n/a")</f>
        <v>0.106</v>
      </c>
      <c r="P589" s="9">
        <f>IF(ISNUMBER(Data!AK156),Data!AK156/100,"n/a")</f>
        <v>7.0000000000000007E-2</v>
      </c>
      <c r="Q589" s="8">
        <f>Data!AN156</f>
        <v>0.91</v>
      </c>
      <c r="R589" s="8">
        <f>Data!AP156</f>
        <v>10.919843933642808</v>
      </c>
      <c r="S589" s="8"/>
      <c r="T589" s="8"/>
      <c r="U589" s="8"/>
      <c r="V589" s="1">
        <f t="shared" si="18"/>
        <v>8</v>
      </c>
      <c r="W589" s="1">
        <f t="shared" si="19"/>
        <v>0</v>
      </c>
    </row>
    <row r="590" spans="1:23" hidden="1" x14ac:dyDescent="0.2">
      <c r="A590" s="7" t="str">
        <f>Data!A136</f>
        <v>Churchill Downs Incorporated</v>
      </c>
      <c r="B590" s="7" t="str">
        <f>Data!B136</f>
        <v>CHDN</v>
      </c>
      <c r="C590" s="7" t="str">
        <f>Data!C136</f>
        <v>Consumer Discretionary</v>
      </c>
      <c r="D590" s="8">
        <f>IF(ISNUMBER(Data!AL136),Data!AL136/1000,"n/a")</f>
        <v>7.4</v>
      </c>
      <c r="E590" s="1">
        <f>Data!E136</f>
        <v>12</v>
      </c>
      <c r="F590" s="28">
        <f>Data!J136/100</f>
        <v>3.4341782502044153E-3</v>
      </c>
      <c r="G590" s="28">
        <f>IF(ISNUMBER(Data!S136),Data!S136/100,"n/a")</f>
        <v>7.2347266881028993E-2</v>
      </c>
      <c r="H590" s="28">
        <f>IF(ISNUMBER(Data!T136),Data!T136/100,"n/a")</f>
        <v>7.0746084004187582E-2</v>
      </c>
      <c r="I590" s="28">
        <f>IF(ISNUMBER(Data!U136),Data!U136/100,"n/a")</f>
        <v>8.6762468260703329E-2</v>
      </c>
      <c r="J590" s="28">
        <f>IF(ISNUMBER(Data!V136),Data!V136/100,"n/a")</f>
        <v>0.12800125756378677</v>
      </c>
      <c r="K590" s="9">
        <f>IF(ISNUMBER(Data!Z136),Data!Z136/100,"n/a")</f>
        <v>5.7441673370876911E-2</v>
      </c>
      <c r="L590" s="10">
        <f>Data!AA136</f>
        <v>16.726468222043444</v>
      </c>
      <c r="M590" s="10">
        <f>Data!AF136</f>
        <v>12.54</v>
      </c>
      <c r="N590" s="28">
        <f>IF(ISNUMBER(Data!AG136),Data!AG136/100,"n/a")</f>
        <v>1.0469999999999999</v>
      </c>
      <c r="O590" s="28">
        <f>IF(ISNUMBER(Data!AJ136),Data!AJ136/100,"n/a")</f>
        <v>0.26900000000000002</v>
      </c>
      <c r="P590" s="9">
        <f>IF(ISNUMBER(Data!AK136),Data!AK136/100,"n/a")</f>
        <v>0.26700000000000002</v>
      </c>
      <c r="Q590" s="8">
        <f>Data!AN136</f>
        <v>5.19</v>
      </c>
      <c r="R590" s="8">
        <f>Data!AP136</f>
        <v>9.0196646510907748</v>
      </c>
      <c r="S590" s="8"/>
      <c r="T590" s="8"/>
      <c r="U590" s="8"/>
      <c r="V590" s="1">
        <f t="shared" si="18"/>
        <v>9</v>
      </c>
      <c r="W590" s="1">
        <f t="shared" si="19"/>
        <v>0</v>
      </c>
    </row>
    <row r="591" spans="1:23" hidden="1" x14ac:dyDescent="0.2">
      <c r="A591" s="7" t="str">
        <f>Data!A131</f>
        <v>Cullen/Frost Bankers, Inc.</v>
      </c>
      <c r="B591" s="7" t="str">
        <f>Data!B131</f>
        <v>CFR</v>
      </c>
      <c r="C591" s="7" t="str">
        <f>Data!C131</f>
        <v>Financials</v>
      </c>
      <c r="D591" s="8">
        <f>IF(ISNUMBER(Data!AL131),Data!AL131/1000,"n/a")</f>
        <v>9.5</v>
      </c>
      <c r="E591" s="1">
        <f>Data!E131</f>
        <v>29</v>
      </c>
      <c r="F591" s="28">
        <f>Data!J131/100</f>
        <v>2.2444372782973235E-2</v>
      </c>
      <c r="G591" s="28">
        <f>IF(ISNUMBER(Data!S131),Data!S131/100,"n/a")</f>
        <v>3.1578947368420929E-2</v>
      </c>
      <c r="H591" s="28">
        <f>IF(ISNUMBER(Data!T131),Data!T131/100,"n/a")</f>
        <v>4.4501837059028659E-2</v>
      </c>
      <c r="I591" s="28">
        <f>IF(ISNUMBER(Data!U131),Data!U131/100,"n/a")</f>
        <v>6.4588508860836225E-2</v>
      </c>
      <c r="J591" s="28">
        <f>IF(ISNUMBER(Data!V131),Data!V131/100,"n/a")</f>
        <v>4.8551157657231281E-2</v>
      </c>
      <c r="K591" s="9">
        <f>IF(ISNUMBER(Data!Z131),Data!Z131/100,"n/a")</f>
        <v>0.53703703703703698</v>
      </c>
      <c r="L591" s="10">
        <f>Data!AA131</f>
        <v>23.927469135802468</v>
      </c>
      <c r="M591" s="10">
        <f>Data!AF131</f>
        <v>3.73</v>
      </c>
      <c r="N591" s="28">
        <f>IF(ISNUMBER(Data!AG131),Data!AG131/100,"n/a")</f>
        <v>0.13800000000000001</v>
      </c>
      <c r="O591" s="28">
        <f>IF(ISNUMBER(Data!AJ131),Data!AJ131/100,"n/a")</f>
        <v>7.4999999999999997E-2</v>
      </c>
      <c r="P591" s="9">
        <f>IF(ISNUMBER(Data!AK131),Data!AK131/100,"n/a")</f>
        <v>0.1002</v>
      </c>
      <c r="Q591" s="8">
        <f>Data!AN131</f>
        <v>0.08</v>
      </c>
      <c r="R591" s="8">
        <f>Data!AP131</f>
        <v>8.7032881643809468</v>
      </c>
      <c r="S591" s="8"/>
      <c r="T591" s="8"/>
      <c r="U591" s="8"/>
      <c r="V591" s="1">
        <f t="shared" si="18"/>
        <v>8</v>
      </c>
      <c r="W591" s="1">
        <f t="shared" si="19"/>
        <v>0</v>
      </c>
    </row>
    <row r="592" spans="1:23" hidden="1" x14ac:dyDescent="0.2">
      <c r="A592" s="7" t="str">
        <f>Data!A155</f>
        <v>Central Pacific Financial Corp.</v>
      </c>
      <c r="B592" s="7" t="str">
        <f>Data!B155</f>
        <v>CPF</v>
      </c>
      <c r="C592" s="7" t="str">
        <f>Data!C155</f>
        <v>Financials</v>
      </c>
      <c r="D592" s="8">
        <f>IF(ISNUMBER(Data!AL155),Data!AL155/1000,"n/a")</f>
        <v>0.53564000000000001</v>
      </c>
      <c r="E592" s="1">
        <f>Data!E155</f>
        <v>10</v>
      </c>
      <c r="F592" s="28">
        <f>Data!J155/100</f>
        <v>5.0682261208577002E-2</v>
      </c>
      <c r="G592" s="28">
        <f>IF(ISNUMBER(Data!S155),Data!S155/100,"n/a")</f>
        <v>4.3478260869565188E-2</v>
      </c>
      <c r="H592" s="28">
        <f>IF(ISNUMBER(Data!T155),Data!T155/100,"n/a")</f>
        <v>5.3947861260881913E-2</v>
      </c>
      <c r="I592" s="28">
        <f>IF(ISNUMBER(Data!U155),Data!U155/100,"n/a")</f>
        <v>9.8560543306117854E-2</v>
      </c>
      <c r="J592" s="28" t="str">
        <f>IF(ISNUMBER(Data!V155),Data!V155/100,"n/a")</f>
        <v>n/a</v>
      </c>
      <c r="K592" s="9">
        <f>IF(ISNUMBER(Data!Z155),Data!Z155/100,"n/a")</f>
        <v>0.37956204379562036</v>
      </c>
      <c r="L592" s="10">
        <f>Data!AA155</f>
        <v>7.4890510948905105</v>
      </c>
      <c r="M592" s="10">
        <f>Data!AF155</f>
        <v>1.24</v>
      </c>
      <c r="N592" s="28">
        <f>IF(ISNUMBER(Data!AG155),Data!AG155/100,"n/a")</f>
        <v>0.157</v>
      </c>
      <c r="O592" s="28">
        <f>IF(ISNUMBER(Data!AJ155),Data!AJ155/100,"n/a")</f>
        <v>0.13400000000000001</v>
      </c>
      <c r="P592" s="9">
        <f>IF(ISNUMBER(Data!AK155),Data!AK155/100,"n/a")</f>
        <v>0.08</v>
      </c>
      <c r="Q592" s="8">
        <f>Data!AN155</f>
        <v>0.24</v>
      </c>
      <c r="R592" s="8">
        <f>Data!AP155</f>
        <v>14.924280451469485</v>
      </c>
      <c r="S592" s="8"/>
      <c r="T592" s="8"/>
      <c r="U592" s="8"/>
      <c r="V592" s="1">
        <f t="shared" si="18"/>
        <v>8</v>
      </c>
      <c r="W592" s="1">
        <f t="shared" si="19"/>
        <v>0</v>
      </c>
    </row>
    <row r="593" spans="1:23" hidden="1" x14ac:dyDescent="0.2">
      <c r="A593" s="7" t="str">
        <f>Data!A153</f>
        <v>ConocoPhillips</v>
      </c>
      <c r="B593" s="7" t="str">
        <f>Data!B153</f>
        <v>COP</v>
      </c>
      <c r="C593" s="7" t="str">
        <f>Data!C153</f>
        <v>Energy</v>
      </c>
      <c r="D593" s="8">
        <f>IF(ISNUMBER(Data!AL153),Data!AL153/1000,"n/a")</f>
        <v>161.22</v>
      </c>
      <c r="E593" s="1">
        <f>Data!E153</f>
        <v>5</v>
      </c>
      <c r="F593" s="28">
        <f>Data!J153/100</f>
        <v>1.4592751209453565E-2</v>
      </c>
      <c r="G593" s="28">
        <f>IF(ISNUMBER(Data!S153),Data!S153/100,"n/a")</f>
        <v>3.5502958579881616E-2</v>
      </c>
      <c r="H593" s="28">
        <f>IF(ISNUMBER(Data!T153),Data!T153/100,"n/a")</f>
        <v>0.14690299404451745</v>
      </c>
      <c r="I593" s="28">
        <f>IF(ISNUMBER(Data!U153),Data!U153/100,"n/a")</f>
        <v>0.11842691472014465</v>
      </c>
      <c r="J593" s="28">
        <f>IF(ISNUMBER(Data!V153),Data!V153/100,"n/a")</f>
        <v>-4.0282504090828564E-2</v>
      </c>
      <c r="K593" s="9">
        <f>IF(ISNUMBER(Data!Z153),Data!Z153/100,"n/a")</f>
        <v>0.1515650741350906</v>
      </c>
      <c r="L593" s="10">
        <f>Data!AA153</f>
        <v>10.386326194398682</v>
      </c>
      <c r="M593" s="10">
        <f>Data!AF153</f>
        <v>3.27</v>
      </c>
      <c r="N593" s="28">
        <f>IF(ISNUMBER(Data!AG153),Data!AG153/100,"n/a")</f>
        <v>0.33700000000000002</v>
      </c>
      <c r="O593" s="28">
        <f>IF(ISNUMBER(Data!AJ153),Data!AJ153/100,"n/a")</f>
        <v>0.32600000000000001</v>
      </c>
      <c r="P593" s="9">
        <f>IF(ISNUMBER(Data!AK153),Data!AK153/100,"n/a")</f>
        <v>0.2671</v>
      </c>
      <c r="Q593" s="8">
        <f>Data!AN153</f>
        <v>0.34</v>
      </c>
      <c r="R593" s="8">
        <f>Data!AP153</f>
        <v>13.301966592959822</v>
      </c>
      <c r="S593" s="8"/>
      <c r="T593" s="8"/>
      <c r="U593" s="8"/>
      <c r="V593" s="1">
        <f t="shared" si="18"/>
        <v>8</v>
      </c>
      <c r="W593" s="1">
        <f t="shared" si="19"/>
        <v>0</v>
      </c>
    </row>
    <row r="594" spans="1:23" hidden="1" x14ac:dyDescent="0.2">
      <c r="A594" s="7" t="str">
        <f>Data!A152</f>
        <v>ChoiceOne Financial Services, Inc.</v>
      </c>
      <c r="B594" s="7" t="str">
        <f>Data!B152</f>
        <v>COFS</v>
      </c>
      <c r="C594" s="7" t="str">
        <f>Data!C152</f>
        <v>Financials</v>
      </c>
      <c r="D594" s="8">
        <f>IF(ISNUMBER(Data!AL152),Data!AL152/1000,"n/a")</f>
        <v>0.17085</v>
      </c>
      <c r="E594" s="1">
        <f>Data!E152</f>
        <v>10</v>
      </c>
      <c r="F594" s="28">
        <f>Data!J152/100</f>
        <v>4.5207956600361671E-2</v>
      </c>
      <c r="G594" s="28">
        <f>IF(ISNUMBER(Data!S152),Data!S152/100,"n/a")</f>
        <v>0.14634146341463405</v>
      </c>
      <c r="H594" s="28">
        <f>IF(ISNUMBER(Data!T152),Data!T152/100,"n/a")</f>
        <v>9.7317192359250182E-2</v>
      </c>
      <c r="I594" s="28">
        <f>IF(ISNUMBER(Data!U152),Data!U152/100,"n/a")</f>
        <v>8.7926380417096883E-2</v>
      </c>
      <c r="J594" s="28">
        <f>IF(ISNUMBER(Data!V152),Data!V152/100,"n/a")</f>
        <v>8.0006878362590475E-2</v>
      </c>
      <c r="K594" s="9">
        <f>IF(ISNUMBER(Data!Z152),Data!Z152/100,"n/a")</f>
        <v>0.34246575342465752</v>
      </c>
      <c r="L594" s="10">
        <f>Data!AA152</f>
        <v>7.5753424657534252</v>
      </c>
      <c r="M594" s="10">
        <f>Data!AF152</f>
        <v>1.0900000000000001</v>
      </c>
      <c r="N594" s="28">
        <f>IF(ISNUMBER(Data!AG152),Data!AG152/100,"n/a")</f>
        <v>0.11509999999999999</v>
      </c>
      <c r="O594" s="28" t="str">
        <f>IF(ISNUMBER(Data!AJ152),Data!AJ152/100,"n/a")</f>
        <v>n/a</v>
      </c>
      <c r="P594" s="9" t="str">
        <f>IF(ISNUMBER(Data!AK152),Data!AK152/100,"n/a")</f>
        <v>n/a</v>
      </c>
      <c r="Q594" s="8" t="str">
        <f>Data!AN152</f>
        <v>n/a</v>
      </c>
      <c r="R594" s="8">
        <f>Data!AP152</f>
        <v>13.313433701745854</v>
      </c>
      <c r="S594" s="8"/>
      <c r="T594" s="8"/>
      <c r="U594" s="8"/>
      <c r="V594" s="1">
        <f t="shared" si="18"/>
        <v>7</v>
      </c>
      <c r="W594" s="1">
        <f t="shared" si="19"/>
        <v>0</v>
      </c>
    </row>
    <row r="595" spans="1:23" hidden="1" x14ac:dyDescent="0.2">
      <c r="A595" s="7" t="str">
        <f>Data!A150</f>
        <v>CNO Financial Group, Inc.</v>
      </c>
      <c r="B595" s="7" t="str">
        <f>Data!B150</f>
        <v>CNO</v>
      </c>
      <c r="C595" s="7" t="str">
        <f>Data!C150</f>
        <v>Financials</v>
      </c>
      <c r="D595" s="8">
        <f>IF(ISNUMBER(Data!AL150),Data!AL150/1000,"n/a")</f>
        <v>2.39</v>
      </c>
      <c r="E595" s="1">
        <f>Data!E150</f>
        <v>11</v>
      </c>
      <c r="F595" s="28">
        <f>Data!J150/100</f>
        <v>2.5385312783318226E-2</v>
      </c>
      <c r="G595" s="28">
        <f>IF(ISNUMBER(Data!S150),Data!S150/100,"n/a")</f>
        <v>8.5106382978723527E-2</v>
      </c>
      <c r="H595" s="28">
        <f>IF(ISNUMBER(Data!T150),Data!T150/100,"n/a")</f>
        <v>9.3541299792876842E-2</v>
      </c>
      <c r="I595" s="28">
        <f>IF(ISNUMBER(Data!U150),Data!U150/100,"n/a")</f>
        <v>0.10469324008713388</v>
      </c>
      <c r="J595" s="28" t="str">
        <f>IF(ISNUMBER(Data!V150),Data!V150/100,"n/a")</f>
        <v>n/a</v>
      </c>
      <c r="K595" s="9">
        <f>IF(ISNUMBER(Data!Z150),Data!Z150/100,"n/a")</f>
        <v>0.14775725593667546</v>
      </c>
      <c r="L595" s="10">
        <f>Data!AA150</f>
        <v>5.8205804749340366</v>
      </c>
      <c r="M595" s="10">
        <f>Data!AF150</f>
        <v>1.1499999999999999</v>
      </c>
      <c r="N595" s="28">
        <f>IF(ISNUMBER(Data!AG150),Data!AG150/100,"n/a")</f>
        <v>0.113</v>
      </c>
      <c r="O595" s="28">
        <f>IF(ISNUMBER(Data!AJ150),Data!AJ150/100,"n/a")</f>
        <v>0.109</v>
      </c>
      <c r="P595" s="9">
        <f>IF(ISNUMBER(Data!AK150),Data!AK150/100,"n/a")</f>
        <v>0.1</v>
      </c>
      <c r="Q595" s="8">
        <f>Data!AN150</f>
        <v>1.76</v>
      </c>
      <c r="R595" s="8">
        <f>Data!AP150</f>
        <v>13.00785528704521</v>
      </c>
      <c r="S595" s="8"/>
      <c r="T595" s="8"/>
      <c r="U595" s="8"/>
      <c r="V595" s="1">
        <f t="shared" si="18"/>
        <v>9</v>
      </c>
      <c r="W595" s="1">
        <f t="shared" si="19"/>
        <v>0</v>
      </c>
    </row>
    <row r="596" spans="1:23" hidden="1" x14ac:dyDescent="0.2">
      <c r="A596" s="7" t="str">
        <f>Data!A130</f>
        <v>C&amp;F Financial Corporation</v>
      </c>
      <c r="B596" s="7" t="str">
        <f>Data!B130</f>
        <v>CFFI</v>
      </c>
      <c r="C596" s="7" t="str">
        <f>Data!C130</f>
        <v>Financials</v>
      </c>
      <c r="D596" s="8">
        <f>IF(ISNUMBER(Data!AL130),Data!AL130/1000,"n/a")</f>
        <v>0.20252999999999999</v>
      </c>
      <c r="E596" s="1">
        <f>Data!E130</f>
        <v>11</v>
      </c>
      <c r="F596" s="28">
        <f>Data!J130/100</f>
        <v>2.9702970297029702E-2</v>
      </c>
      <c r="G596" s="28">
        <f>IF(ISNUMBER(Data!S130),Data!S130/100,"n/a")</f>
        <v>2.6315789473684292E-2</v>
      </c>
      <c r="H596" s="28">
        <f>IF(ISNUMBER(Data!T130),Data!T130/100,"n/a")</f>
        <v>4.1714007510293971E-2</v>
      </c>
      <c r="I596" s="28">
        <f>IF(ISNUMBER(Data!U130),Data!U130/100,"n/a")</f>
        <v>4.0358274630921898E-2</v>
      </c>
      <c r="J596" s="28">
        <f>IF(ISNUMBER(Data!V130),Data!V130/100,"n/a")</f>
        <v>4.5472129682976536E-2</v>
      </c>
      <c r="K596" s="9">
        <f>IF(ISNUMBER(Data!Z130),Data!Z130/100,"n/a")</f>
        <v>0.22919508867667124</v>
      </c>
      <c r="L596" s="10">
        <f>Data!AA130</f>
        <v>7.7162346521145979</v>
      </c>
      <c r="M596" s="10">
        <f>Data!AF130</f>
        <v>1.04</v>
      </c>
      <c r="N596" s="28">
        <f>IF(ISNUMBER(Data!AG130),Data!AG130/100,"n/a")</f>
        <v>0.13400000000000001</v>
      </c>
      <c r="O596" s="28">
        <f>IF(ISNUMBER(Data!AJ130),Data!AJ130/100,"n/a")</f>
        <v>0.154</v>
      </c>
      <c r="P596" s="9" t="str">
        <f>IF(ISNUMBER(Data!AK130),Data!AK130/100,"n/a")</f>
        <v>n/a</v>
      </c>
      <c r="Q596" s="8">
        <f>Data!AN130</f>
        <v>0.28000000000000003</v>
      </c>
      <c r="R596" s="8">
        <f>Data!AP130</f>
        <v>7.00612449279516</v>
      </c>
      <c r="S596" s="8"/>
      <c r="T596" s="8"/>
      <c r="U596" s="8"/>
      <c r="V596" s="1">
        <f t="shared" si="18"/>
        <v>5</v>
      </c>
      <c r="W596" s="1">
        <f t="shared" si="19"/>
        <v>0</v>
      </c>
    </row>
    <row r="597" spans="1:23" hidden="1" x14ac:dyDescent="0.2">
      <c r="A597" s="7" t="str">
        <f>Data!A144</f>
        <v>Comcast Corporation</v>
      </c>
      <c r="B597" s="7" t="str">
        <f>Data!B144</f>
        <v>CMCSA</v>
      </c>
      <c r="C597" s="7" t="str">
        <f>Data!C144</f>
        <v>Communication Services</v>
      </c>
      <c r="D597" s="8">
        <f>IF(ISNUMBER(Data!AL144),Data!AL144/1000,"n/a")</f>
        <v>141.09</v>
      </c>
      <c r="E597" s="1">
        <f>Data!E144</f>
        <v>15</v>
      </c>
      <c r="F597" s="28">
        <f>Data!J144/100</f>
        <v>3.4026465028355393E-2</v>
      </c>
      <c r="G597" s="28">
        <f>IF(ISNUMBER(Data!S144),Data!S144/100,"n/a")</f>
        <v>8.8888888888888781E-2</v>
      </c>
      <c r="H597" s="28">
        <f>IF(ISNUMBER(Data!T144),Data!T144/100,"n/a")</f>
        <v>0.10441176906353157</v>
      </c>
      <c r="I597" s="28">
        <f>IF(ISNUMBER(Data!U144),Data!U144/100,"n/a")</f>
        <v>0.12763752949200247</v>
      </c>
      <c r="J597" s="28">
        <f>IF(ISNUMBER(Data!V144),Data!V144/100,"n/a")</f>
        <v>0.16312662159614066</v>
      </c>
      <c r="K597" s="9">
        <f>IF(ISNUMBER(Data!Z144),Data!Z144/100,"n/a")</f>
        <v>0.93913043478260894</v>
      </c>
      <c r="L597" s="10">
        <f>Data!AA144</f>
        <v>27.6</v>
      </c>
      <c r="M597" s="10">
        <f>Data!AF144</f>
        <v>1.74</v>
      </c>
      <c r="N597" s="28">
        <f>IF(ISNUMBER(Data!AG144),Data!AG144/100,"n/a")</f>
        <v>0.06</v>
      </c>
      <c r="O597" s="28">
        <f>IF(ISNUMBER(Data!AJ144),Data!AJ144/100,"n/a")</f>
        <v>0.113</v>
      </c>
      <c r="P597" s="9">
        <f>IF(ISNUMBER(Data!AK144),Data!AK144/100,"n/a")</f>
        <v>9.0200000000000002E-2</v>
      </c>
      <c r="Q597" s="8">
        <f>Data!AN144</f>
        <v>1.22</v>
      </c>
      <c r="R597" s="8">
        <f>Data!AP144</f>
        <v>16.166399452035783</v>
      </c>
      <c r="S597" s="8"/>
      <c r="T597" s="8"/>
      <c r="U597" s="8"/>
      <c r="V597" s="1">
        <f t="shared" si="18"/>
        <v>8</v>
      </c>
      <c r="W597" s="1">
        <f t="shared" si="19"/>
        <v>0</v>
      </c>
    </row>
    <row r="598" spans="1:23" hidden="1" x14ac:dyDescent="0.2">
      <c r="A598" s="7" t="str">
        <f>Data!A137</f>
        <v>Chemed Corporation</v>
      </c>
      <c r="B598" s="7" t="str">
        <f>Data!B137</f>
        <v>CHE</v>
      </c>
      <c r="C598" s="7" t="str">
        <f>Data!C137</f>
        <v>Health Care</v>
      </c>
      <c r="D598" s="8">
        <f>IF(ISNUMBER(Data!AL137),Data!AL137/1000,"n/a")</f>
        <v>6.86</v>
      </c>
      <c r="E598" s="1">
        <f>Data!E137</f>
        <v>14</v>
      </c>
      <c r="F598" s="28">
        <f>Data!J137/100</f>
        <v>3.255724291558678E-3</v>
      </c>
      <c r="G598" s="28">
        <f>IF(ISNUMBER(Data!S137),Data!S137/100,"n/a")</f>
        <v>6.0606060606060552E-2</v>
      </c>
      <c r="H598" s="28">
        <f>IF(ISNUMBER(Data!T137),Data!T137/100,"n/a")</f>
        <v>6.469042607881903E-2</v>
      </c>
      <c r="I598" s="28">
        <f>IF(ISNUMBER(Data!U137),Data!U137/100,"n/a")</f>
        <v>6.9610375725068785E-2</v>
      </c>
      <c r="J598" s="28">
        <f>IF(ISNUMBER(Data!V137),Data!V137/100,"n/a")</f>
        <v>8.842291989017026E-2</v>
      </c>
      <c r="K598" s="9">
        <f>IF(ISNUMBER(Data!Z137),Data!Z137/100,"n/a")</f>
        <v>8.4538375973303659E-2</v>
      </c>
      <c r="L598" s="10">
        <f>Data!AA137</f>
        <v>25.966073414905448</v>
      </c>
      <c r="M598" s="10">
        <f>Data!AF137</f>
        <v>10.07</v>
      </c>
      <c r="N598" s="28">
        <f>IF(ISNUMBER(Data!AG137),Data!AG137/100,"n/a")</f>
        <v>0.40300000000000002</v>
      </c>
      <c r="O598" s="28">
        <f>IF(ISNUMBER(Data!AJ137),Data!AJ137/100,"n/a")</f>
        <v>0.21099999999999997</v>
      </c>
      <c r="P598" s="9">
        <f>IF(ISNUMBER(Data!AK137),Data!AK137/100,"n/a")</f>
        <v>7.0999999999999994E-2</v>
      </c>
      <c r="Q598" s="8">
        <f>Data!AN137</f>
        <v>0.19</v>
      </c>
      <c r="R598" s="8">
        <f>Data!AP137</f>
        <v>7.286610001662746</v>
      </c>
      <c r="S598" s="8"/>
      <c r="T598" s="8"/>
      <c r="U598" s="8"/>
      <c r="V598" s="1">
        <f t="shared" si="18"/>
        <v>9</v>
      </c>
      <c r="W598" s="1">
        <f t="shared" si="19"/>
        <v>0</v>
      </c>
    </row>
    <row r="599" spans="1:23" hidden="1" x14ac:dyDescent="0.2">
      <c r="A599" s="7" t="str">
        <f>Data!A182</f>
        <v>Donegal Group Inc. B</v>
      </c>
      <c r="B599" s="7" t="str">
        <f>Data!B182</f>
        <v>DGICB</v>
      </c>
      <c r="C599" s="7" t="str">
        <f>Data!C182</f>
        <v>Financials</v>
      </c>
      <c r="D599" s="8" t="str">
        <f>IF(ISNUMBER(Data!AL182),Data!AL182/1000,"n/a")</f>
        <v>n/a</v>
      </c>
      <c r="E599" s="1">
        <f>Data!E182</f>
        <v>20</v>
      </c>
      <c r="F599" s="28">
        <f>Data!J182/100</f>
        <v>3.664596273291925E-2</v>
      </c>
      <c r="G599" s="28">
        <f>IF(ISNUMBER(Data!S182),Data!S182/100,"n/a")</f>
        <v>6.6666666666666652E-2</v>
      </c>
      <c r="H599" s="28">
        <f>IF(ISNUMBER(Data!T182),Data!T182/100,"n/a")</f>
        <v>4.0235443705991525E-2</v>
      </c>
      <c r="I599" s="28">
        <f>IF(ISNUMBER(Data!U182),Data!U182/100,"n/a")</f>
        <v>3.2387958052728871E-2</v>
      </c>
      <c r="J599" s="28">
        <f>IF(ISNUMBER(Data!V182),Data!V182/100,"n/a")</f>
        <v>2.7968743567221566E-2</v>
      </c>
      <c r="K599" s="9" t="str">
        <f>IF(ISNUMBER(Data!Z182),Data!Z182/100,"n/a")</f>
        <v>n/a</v>
      </c>
      <c r="L599" s="10" t="str">
        <f>Data!AA182</f>
        <v>n/a</v>
      </c>
      <c r="M599" s="10" t="str">
        <f>Data!AF182</f>
        <v>n/a</v>
      </c>
      <c r="N599" s="28" t="str">
        <f>IF(ISNUMBER(Data!AG182),Data!AG182/100,"n/a")</f>
        <v>n/a</v>
      </c>
      <c r="O599" s="28" t="str">
        <f>IF(ISNUMBER(Data!AJ182),Data!AJ182/100,"n/a")</f>
        <v>n/a</v>
      </c>
      <c r="P599" s="9" t="str">
        <f>IF(ISNUMBER(Data!AK182),Data!AK182/100,"n/a")</f>
        <v>n/a</v>
      </c>
      <c r="Q599" s="8" t="str">
        <f>Data!AN182</f>
        <v>n/a</v>
      </c>
      <c r="R599" s="8">
        <f>Data!AP182</f>
        <v>6.9033920785648117</v>
      </c>
      <c r="S599" s="8"/>
      <c r="T599" s="8"/>
      <c r="U599" s="8"/>
      <c r="V599" s="1">
        <f t="shared" si="18"/>
        <v>3</v>
      </c>
      <c r="W599" s="1">
        <f t="shared" si="19"/>
        <v>0</v>
      </c>
    </row>
    <row r="600" spans="1:23" hidden="1" x14ac:dyDescent="0.2">
      <c r="A600" s="7" t="str">
        <f>Data!A166</f>
        <v>CSX Corporation</v>
      </c>
      <c r="B600" s="7" t="str">
        <f>Data!B166</f>
        <v>CSX</v>
      </c>
      <c r="C600" s="7" t="str">
        <f>Data!C166</f>
        <v>Industrials</v>
      </c>
      <c r="D600" s="8">
        <f>IF(ISNUMBER(Data!AL166),Data!AL166/1000,"n/a")</f>
        <v>60.57</v>
      </c>
      <c r="E600" s="1">
        <f>Data!E166</f>
        <v>18</v>
      </c>
      <c r="F600" s="28">
        <f>Data!J166/100</f>
        <v>1.3764624913971098E-2</v>
      </c>
      <c r="G600" s="28">
        <f>IF(ISNUMBER(Data!S166),Data!S166/100,"n/a")</f>
        <v>7.6538461538461444E-2</v>
      </c>
      <c r="H600" s="28">
        <f>IF(ISNUMBER(Data!T166),Data!T166/100,"n/a")</f>
        <v>8.3577734590282393E-2</v>
      </c>
      <c r="I600" s="28">
        <f>IF(ISNUMBER(Data!U166),Data!U166/100,"n/a")</f>
        <v>9.2310425243724126E-2</v>
      </c>
      <c r="J600" s="28">
        <f>IF(ISNUMBER(Data!V166),Data!V166/100,"n/a")</f>
        <v>9.6244962048151597E-2</v>
      </c>
      <c r="K600" s="9">
        <f>IF(ISNUMBER(Data!Z166),Data!Z166/100,"n/a")</f>
        <v>0.21276595744680854</v>
      </c>
      <c r="L600" s="10">
        <f>Data!AA166</f>
        <v>15.457446808510639</v>
      </c>
      <c r="M600" s="10">
        <f>Data!AF166</f>
        <v>4.8099999999999996</v>
      </c>
      <c r="N600" s="28">
        <f>IF(ISNUMBER(Data!AG166),Data!AG166/100,"n/a")</f>
        <v>0.31</v>
      </c>
      <c r="O600" s="28">
        <f>IF(ISNUMBER(Data!AJ166),Data!AJ166/100,"n/a")</f>
        <v>0.22699999999999998</v>
      </c>
      <c r="P600" s="9">
        <f>IF(ISNUMBER(Data!AK166),Data!AK166/100,"n/a")</f>
        <v>0.11269999999999999</v>
      </c>
      <c r="Q600" s="8">
        <f>Data!AN166</f>
        <v>1.4</v>
      </c>
      <c r="R600" s="8">
        <f>Data!AP166</f>
        <v>10.607505015769522</v>
      </c>
      <c r="S600" s="8"/>
      <c r="T600" s="8"/>
      <c r="U600" s="8"/>
      <c r="V600" s="1">
        <f t="shared" si="18"/>
        <v>9</v>
      </c>
      <c r="W600" s="1">
        <f t="shared" si="19"/>
        <v>0</v>
      </c>
    </row>
    <row r="601" spans="1:23" hidden="1" x14ac:dyDescent="0.2">
      <c r="A601" s="7" t="str">
        <f>Data!A172</f>
        <v>CubeSmart</v>
      </c>
      <c r="B601" s="7" t="str">
        <f>Data!B172</f>
        <v>CUBE</v>
      </c>
      <c r="C601" s="7" t="str">
        <f>Data!C172</f>
        <v>Real Estate</v>
      </c>
      <c r="D601" s="8">
        <f>IF(ISNUMBER(Data!AL172),Data!AL172/1000,"n/a")</f>
        <v>8.84</v>
      </c>
      <c r="E601" s="1">
        <f>Data!E172</f>
        <v>12</v>
      </c>
      <c r="F601" s="28">
        <f>Data!J172/100</f>
        <v>4.1079531884404108E-2</v>
      </c>
      <c r="G601" s="28">
        <f>IF(ISNUMBER(Data!S172),Data!S172/100,"n/a")</f>
        <v>3.0303030303030276E-2</v>
      </c>
      <c r="H601" s="28">
        <f>IF(ISNUMBER(Data!T172),Data!T172/100,"n/a")</f>
        <v>4.2603601458844453E-2</v>
      </c>
      <c r="I601" s="28">
        <f>IF(ISNUMBER(Data!U172),Data!U172/100,"n/a")</f>
        <v>0.10116379654429863</v>
      </c>
      <c r="J601" s="28">
        <f>IF(ISNUMBER(Data!V172),Data!V172/100,"n/a")</f>
        <v>0.17121894235865187</v>
      </c>
      <c r="K601" s="9">
        <f>IF(ISNUMBER(Data!Z172),Data!Z172/100,"n/a")</f>
        <v>1.5087719298245614</v>
      </c>
      <c r="L601" s="10">
        <f>Data!AA172</f>
        <v>36.728070175438596</v>
      </c>
      <c r="M601" s="10">
        <f>Data!AF172</f>
        <v>3.34</v>
      </c>
      <c r="N601" s="28">
        <f>IF(ISNUMBER(Data!AG172),Data!AG172/100,"n/a")</f>
        <v>8.4000000000000005E-2</v>
      </c>
      <c r="O601" s="28">
        <f>IF(ISNUMBER(Data!AJ172),Data!AJ172/100,"n/a")</f>
        <v>0.19600000000000001</v>
      </c>
      <c r="P601" s="9">
        <f>IF(ISNUMBER(Data!AK172),Data!AK172/100,"n/a")</f>
        <v>0.06</v>
      </c>
      <c r="Q601" s="8">
        <f>Data!AN172</f>
        <v>0</v>
      </c>
      <c r="R601" s="8">
        <f>Data!AP172</f>
        <v>14.224332842870275</v>
      </c>
      <c r="S601" s="8"/>
      <c r="T601" s="8"/>
      <c r="U601" s="8"/>
      <c r="V601" s="1">
        <f t="shared" si="18"/>
        <v>7</v>
      </c>
      <c r="W601" s="1">
        <f t="shared" si="19"/>
        <v>0</v>
      </c>
    </row>
    <row r="602" spans="1:23" hidden="1" x14ac:dyDescent="0.2">
      <c r="A602" s="7" t="str">
        <f>Data!A143</f>
        <v>Canadian Imperial Bank of Commerce</v>
      </c>
      <c r="B602" s="7" t="str">
        <f>Data!B143</f>
        <v>CM</v>
      </c>
      <c r="C602" s="7" t="str">
        <f>Data!C143</f>
        <v>Financials</v>
      </c>
      <c r="D602" s="8">
        <f>IF(ISNUMBER(Data!AL143),Data!AL143/1000,"n/a")</f>
        <v>40.72</v>
      </c>
      <c r="E602" s="1">
        <f>Data!E143</f>
        <v>7</v>
      </c>
      <c r="F602" s="28">
        <f>Data!J143/100</f>
        <v>5.7159216031711084E-2</v>
      </c>
      <c r="G602" s="28">
        <f>IF(ISNUMBER(Data!S143),Data!S143/100,"n/a")</f>
        <v>8.0599310280548023E-2</v>
      </c>
      <c r="H602" s="28">
        <f>IF(ISNUMBER(Data!T143),Data!T143/100,"n/a")</f>
        <v>4.1511975331302908E-2</v>
      </c>
      <c r="I602" s="28">
        <f>IF(ISNUMBER(Data!U143),Data!U143/100,"n/a")</f>
        <v>5.3653196116097313E-2</v>
      </c>
      <c r="J602" s="28">
        <f>IF(ISNUMBER(Data!V143),Data!V143/100,"n/a")</f>
        <v>2.8417359427913125E-2</v>
      </c>
      <c r="K602" s="9">
        <f>IF(ISNUMBER(Data!Z143),Data!Z143/100,"n/a")</f>
        <v>0.50596491228070184</v>
      </c>
      <c r="L602" s="10">
        <f>Data!AA143</f>
        <v>8.8518518518518512</v>
      </c>
      <c r="M602" s="10">
        <f>Data!AF143</f>
        <v>1.25</v>
      </c>
      <c r="N602" s="28">
        <f>IF(ISNUMBER(Data!AG143),Data!AG143/100,"n/a")</f>
        <v>0.14699999999999999</v>
      </c>
      <c r="O602" s="28">
        <f>IF(ISNUMBER(Data!AJ143),Data!AJ143/100,"n/a")</f>
        <v>5.4000000000000006E-2</v>
      </c>
      <c r="P602" s="9">
        <f>IF(ISNUMBER(Data!AK143),Data!AK143/100,"n/a")</f>
        <v>4.2000000000000003E-2</v>
      </c>
      <c r="Q602" s="8">
        <f>Data!AN143</f>
        <v>0.14000000000000001</v>
      </c>
      <c r="R602" s="8">
        <f>Data!AP143</f>
        <v>11.081241214780839</v>
      </c>
      <c r="S602" s="8"/>
      <c r="T602" s="8"/>
      <c r="U602" s="8"/>
      <c r="V602" s="1">
        <f t="shared" si="18"/>
        <v>9</v>
      </c>
      <c r="W602" s="1">
        <f t="shared" si="19"/>
        <v>0</v>
      </c>
    </row>
    <row r="603" spans="1:23" hidden="1" x14ac:dyDescent="0.2">
      <c r="A603" s="7" t="str">
        <f>Data!A140</f>
        <v>Civista Bancshares, Inc.</v>
      </c>
      <c r="B603" s="7" t="str">
        <f>Data!B140</f>
        <v>CIVB</v>
      </c>
      <c r="C603" s="7" t="str">
        <f>Data!C140</f>
        <v>Financials</v>
      </c>
      <c r="D603" s="8">
        <f>IF(ISNUMBER(Data!AL140),Data!AL140/1000,"n/a")</f>
        <v>0.34764</v>
      </c>
      <c r="E603" s="1">
        <f>Data!E140</f>
        <v>11</v>
      </c>
      <c r="F603" s="28">
        <f>Data!J140/100</f>
        <v>2.3628691983122362E-2</v>
      </c>
      <c r="G603" s="28">
        <f>IF(ISNUMBER(Data!S140),Data!S140/100,"n/a")</f>
        <v>0.18181818181818188</v>
      </c>
      <c r="H603" s="28">
        <f>IF(ISNUMBER(Data!T140),Data!T140/100,"n/a")</f>
        <v>0.17566734386037886</v>
      </c>
      <c r="I603" s="28">
        <f>IF(ISNUMBER(Data!U140),Data!U140/100,"n/a")</f>
        <v>0.18772564182493778</v>
      </c>
      <c r="J603" s="28">
        <f>IF(ISNUMBER(Data!V140),Data!V140/100,"n/a")</f>
        <v>0.33011199172252814</v>
      </c>
      <c r="K603" s="9">
        <f>IF(ISNUMBER(Data!Z140),Data!Z140/100,"n/a")</f>
        <v>0.22764227642276424</v>
      </c>
      <c r="L603" s="10">
        <f>Data!AA140</f>
        <v>9.6341463414634152</v>
      </c>
      <c r="M603" s="10">
        <f>Data!AF140</f>
        <v>1.1299999999999999</v>
      </c>
      <c r="N603" s="28">
        <f>IF(ISNUMBER(Data!AG140),Data!AG140/100,"n/a")</f>
        <v>0.114</v>
      </c>
      <c r="O603" s="28">
        <f>IF(ISNUMBER(Data!AJ140),Data!AJ140/100,"n/a")</f>
        <v>0.10800000000000001</v>
      </c>
      <c r="P603" s="9">
        <f>IF(ISNUMBER(Data!AK140),Data!AK140/100,"n/a")</f>
        <v>0.08</v>
      </c>
      <c r="Q603" s="8">
        <f>Data!AN140</f>
        <v>0.34</v>
      </c>
      <c r="R603" s="8">
        <f>Data!AP140</f>
        <v>21.135433380806013</v>
      </c>
      <c r="S603" s="8"/>
      <c r="T603" s="8"/>
      <c r="U603" s="8"/>
      <c r="V603" s="1">
        <f t="shared" si="18"/>
        <v>10</v>
      </c>
      <c r="W603" s="1">
        <f t="shared" si="19"/>
        <v>0</v>
      </c>
    </row>
    <row r="604" spans="1:23" hidden="1" x14ac:dyDescent="0.2">
      <c r="A604" s="7" t="str">
        <f>Data!A139</f>
        <v>Cincinnati Financial Corporation</v>
      </c>
      <c r="B604" s="7" t="str">
        <f>Data!B139</f>
        <v>CINF</v>
      </c>
      <c r="C604" s="7" t="str">
        <f>Data!C139</f>
        <v>Financials</v>
      </c>
      <c r="D604" s="8">
        <f>IF(ISNUMBER(Data!AL139),Data!AL139/1000,"n/a")</f>
        <v>15.73</v>
      </c>
      <c r="E604" s="1">
        <f>Data!E139</f>
        <v>62</v>
      </c>
      <c r="F604" s="28">
        <f>Data!J139/100</f>
        <v>2.6713124274099883E-2</v>
      </c>
      <c r="G604" s="28">
        <f>IF(ISNUMBER(Data!S139),Data!S139/100,"n/a")</f>
        <v>5.508474576271194E-2</v>
      </c>
      <c r="H604" s="28">
        <f>IF(ISNUMBER(Data!T139),Data!T139/100,"n/a")</f>
        <v>6.011021750829304E-2</v>
      </c>
      <c r="I604" s="28">
        <f>IF(ISNUMBER(Data!U139),Data!U139/100,"n/a")</f>
        <v>5.5575129527085432E-2</v>
      </c>
      <c r="J604" s="28">
        <f>IF(ISNUMBER(Data!V139),Data!V139/100,"n/a")</f>
        <v>4.5057366483393535E-2</v>
      </c>
      <c r="K604" s="9">
        <f>IF(ISNUMBER(Data!Z139),Data!Z139/100,"n/a")</f>
        <v>0.85448916408668718</v>
      </c>
      <c r="L604" s="10">
        <f>Data!AA139</f>
        <v>31.987616099071204</v>
      </c>
      <c r="M604" s="10">
        <f>Data!AF139</f>
        <v>1.55</v>
      </c>
      <c r="N604" s="28">
        <f>IF(ISNUMBER(Data!AG139),Data!AG139/100,"n/a")</f>
        <v>4.5999999999999999E-2</v>
      </c>
      <c r="O604" s="28">
        <f>IF(ISNUMBER(Data!AJ139),Data!AJ139/100,"n/a")</f>
        <v>0.38500000000000001</v>
      </c>
      <c r="P604" s="9">
        <f>IF(ISNUMBER(Data!AK139),Data!AK139/100,"n/a")</f>
        <v>-1.3000000000000001E-2</v>
      </c>
      <c r="Q604" s="8">
        <f>Data!AN139</f>
        <v>0.08</v>
      </c>
      <c r="R604" s="8">
        <f>Data!AP139</f>
        <v>8.2288253801185309</v>
      </c>
      <c r="S604" s="8"/>
      <c r="T604" s="8"/>
      <c r="U604" s="8"/>
      <c r="V604" s="1">
        <f t="shared" si="18"/>
        <v>8</v>
      </c>
      <c r="W604" s="1">
        <f t="shared" si="19"/>
        <v>0</v>
      </c>
    </row>
    <row r="605" spans="1:23" hidden="1" x14ac:dyDescent="0.2">
      <c r="A605" s="7" t="str">
        <f>Data!A121</f>
        <v>Commerce Bancshares, Inc.</v>
      </c>
      <c r="B605" s="7" t="str">
        <f>Data!B121</f>
        <v>CBSH</v>
      </c>
      <c r="C605" s="7" t="str">
        <f>Data!C121</f>
        <v>Financials</v>
      </c>
      <c r="D605" s="8">
        <f>IF(ISNUMBER(Data!AL121),Data!AL121/1000,"n/a")</f>
        <v>8.2100000000000009</v>
      </c>
      <c r="E605" s="1">
        <f>Data!E121</f>
        <v>54</v>
      </c>
      <c r="F605" s="28">
        <f>Data!J121/100</f>
        <v>1.4963297571993224E-2</v>
      </c>
      <c r="G605" s="28">
        <f>IF(ISNUMBER(Data!S121),Data!S121/100,"n/a")</f>
        <v>2.0833333333333259E-2</v>
      </c>
      <c r="H605" s="28">
        <f>IF(ISNUMBER(Data!T121),Data!T121/100,"n/a")</f>
        <v>7.1881267668000737E-2</v>
      </c>
      <c r="I605" s="28">
        <f>IF(ISNUMBER(Data!U121),Data!U121/100,"n/a")</f>
        <v>7.2360471980141838E-2</v>
      </c>
      <c r="J605" s="28">
        <f>IF(ISNUMBER(Data!V121),Data!V121/100,"n/a")</f>
        <v>6.2666370795684712E-2</v>
      </c>
      <c r="K605" s="9">
        <f>IF(ISNUMBER(Data!Z121),Data!Z121/100,"n/a")</f>
        <v>0.25118483412322279</v>
      </c>
      <c r="L605" s="10">
        <f>Data!AA121</f>
        <v>16.786729857819907</v>
      </c>
      <c r="M605" s="10">
        <f>Data!AF121</f>
        <v>3.18</v>
      </c>
      <c r="N605" s="28">
        <f>IF(ISNUMBER(Data!AG121),Data!AG121/100,"n/a")</f>
        <v>0.16400000000000003</v>
      </c>
      <c r="O605" s="28">
        <f>IF(ISNUMBER(Data!AJ121),Data!AJ121/100,"n/a")</f>
        <v>0.161</v>
      </c>
      <c r="P605" s="9" t="str">
        <f>IF(ISNUMBER(Data!AK121),Data!AK121/100,"n/a")</f>
        <v>n/a</v>
      </c>
      <c r="Q605" s="8">
        <f>Data!AN121</f>
        <v>0</v>
      </c>
      <c r="R605" s="8">
        <f>Data!AP121</f>
        <v>8.7323769552135069</v>
      </c>
      <c r="S605" s="8"/>
      <c r="T605" s="8"/>
      <c r="U605" s="8"/>
      <c r="V605" s="1">
        <f t="shared" si="18"/>
        <v>9</v>
      </c>
      <c r="W605" s="1">
        <f t="shared" si="19"/>
        <v>0</v>
      </c>
    </row>
    <row r="606" spans="1:23" hidden="1" x14ac:dyDescent="0.2">
      <c r="A606" s="7" t="str">
        <f>Data!A157</f>
        <v>Chesapeake Financial Shares, Inc.</v>
      </c>
      <c r="B606" s="7" t="str">
        <f>Data!B157</f>
        <v>CPKF</v>
      </c>
      <c r="C606" s="7" t="str">
        <f>Data!C157</f>
        <v>Financials</v>
      </c>
      <c r="D606" s="8" t="str">
        <f>IF(ISNUMBER(Data!AL157),Data!AL157/1000,"n/a")</f>
        <v>n/a</v>
      </c>
      <c r="E606" s="1">
        <f>Data!E157</f>
        <v>31</v>
      </c>
      <c r="F606" s="28">
        <f>Data!J157/100</f>
        <v>2.7586206896551727E-2</v>
      </c>
      <c r="G606" s="28">
        <f>IF(ISNUMBER(Data!S157),Data!S157/100,"n/a")</f>
        <v>6.0000000000000053E-2</v>
      </c>
      <c r="H606" s="28">
        <f>IF(ISNUMBER(Data!T157),Data!T157/100,"n/a")</f>
        <v>4.9618496735670092E-2</v>
      </c>
      <c r="I606" s="28">
        <f>IF(ISNUMBER(Data!U157),Data!U157/100,"n/a")</f>
        <v>5.3542857446598369E-2</v>
      </c>
      <c r="J606" s="28">
        <f>IF(ISNUMBER(Data!V157),Data!V157/100,"n/a")</f>
        <v>6.7864765756001422E-2</v>
      </c>
      <c r="K606" s="9" t="str">
        <f>IF(ISNUMBER(Data!Z157),Data!Z157/100,"n/a")</f>
        <v>n/a</v>
      </c>
      <c r="L606" s="10" t="str">
        <f>Data!AA157</f>
        <v>n/a</v>
      </c>
      <c r="M606" s="10" t="str">
        <f>Data!AF157</f>
        <v>n/a</v>
      </c>
      <c r="N606" s="28" t="str">
        <f>IF(ISNUMBER(Data!AG157),Data!AG157/100,"n/a")</f>
        <v>n/a</v>
      </c>
      <c r="O606" s="28" t="str">
        <f>IF(ISNUMBER(Data!AJ157),Data!AJ157/100,"n/a")</f>
        <v>n/a</v>
      </c>
      <c r="P606" s="9" t="str">
        <f>IF(ISNUMBER(Data!AK157),Data!AK157/100,"n/a")</f>
        <v>n/a</v>
      </c>
      <c r="Q606" s="8" t="str">
        <f>Data!AN157</f>
        <v>n/a</v>
      </c>
      <c r="R606" s="8">
        <f>Data!AP157</f>
        <v>8.1129064343150095</v>
      </c>
      <c r="S606" s="8"/>
      <c r="T606" s="8"/>
      <c r="U606" s="8"/>
      <c r="V606" s="1">
        <f t="shared" si="18"/>
        <v>5</v>
      </c>
      <c r="W606" s="1">
        <f t="shared" si="19"/>
        <v>0</v>
      </c>
    </row>
    <row r="607" spans="1:23" hidden="1" x14ac:dyDescent="0.2">
      <c r="A607" s="7" t="str">
        <f>Data!A179</f>
        <v>Discover Financial Services</v>
      </c>
      <c r="B607" s="7" t="str">
        <f>Data!B179</f>
        <v>DFS</v>
      </c>
      <c r="C607" s="7" t="str">
        <f>Data!C179</f>
        <v>Financials</v>
      </c>
      <c r="D607" s="8">
        <f>IF(ISNUMBER(Data!AL179),Data!AL179/1000,"n/a")</f>
        <v>28.07</v>
      </c>
      <c r="E607" s="1">
        <f>Data!E179</f>
        <v>12</v>
      </c>
      <c r="F607" s="28">
        <f>Data!J179/100</f>
        <v>2.2975301550832855E-2</v>
      </c>
      <c r="G607" s="28">
        <f>IF(ISNUMBER(Data!S179),Data!S179/100,"n/a")</f>
        <v>6.8181818181818121E-2</v>
      </c>
      <c r="H607" s="28">
        <f>IF(ISNUMBER(Data!T179),Data!T179/100,"n/a")</f>
        <v>7.8174021668855564E-2</v>
      </c>
      <c r="I607" s="28">
        <f>IF(ISNUMBER(Data!U179),Data!U179/100,"n/a")</f>
        <v>0.10138706578336464</v>
      </c>
      <c r="J607" s="28">
        <f>IF(ISNUMBER(Data!V179),Data!V179/100,"n/a")</f>
        <v>0.25115980974759688</v>
      </c>
      <c r="K607" s="9">
        <f>IF(ISNUMBER(Data!Z179),Data!Z179/100,"n/a")</f>
        <v>0.15614834092387769</v>
      </c>
      <c r="L607" s="10">
        <f>Data!AA179</f>
        <v>6.7963565387117759</v>
      </c>
      <c r="M607" s="10">
        <f>Data!AF179</f>
        <v>2.1800000000000002</v>
      </c>
      <c r="N607" s="28">
        <f>IF(ISNUMBER(Data!AG179),Data!AG179/100,"n/a")</f>
        <v>0.34300000000000003</v>
      </c>
      <c r="O607" s="28">
        <f>IF(ISNUMBER(Data!AJ179),Data!AJ179/100,"n/a")</f>
        <v>0.254</v>
      </c>
      <c r="P607" s="9" t="str">
        <f>IF(ISNUMBER(Data!AK179),Data!AK179/100,"n/a")</f>
        <v>n/a</v>
      </c>
      <c r="Q607" s="8">
        <f>Data!AN179</f>
        <v>1.53</v>
      </c>
      <c r="R607" s="8">
        <f>Data!AP179</f>
        <v>12.436236733419749</v>
      </c>
      <c r="S607" s="8"/>
      <c r="T607" s="8"/>
      <c r="U607" s="8"/>
      <c r="V607" s="1">
        <f t="shared" si="18"/>
        <v>9</v>
      </c>
      <c r="W607" s="1">
        <f t="shared" si="19"/>
        <v>0</v>
      </c>
    </row>
    <row r="608" spans="1:23" hidden="1" x14ac:dyDescent="0.2">
      <c r="A608" s="7" t="str">
        <f>Data!A161</f>
        <v>Cisco Systems, Inc.</v>
      </c>
      <c r="B608" s="7" t="str">
        <f>Data!B161</f>
        <v>CSCO</v>
      </c>
      <c r="C608" s="7" t="str">
        <f>Data!C161</f>
        <v>Information Technology</v>
      </c>
      <c r="D608" s="8">
        <f>IF(ISNUMBER(Data!AL161),Data!AL161/1000,"n/a")</f>
        <v>182.39</v>
      </c>
      <c r="E608" s="1">
        <f>Data!E161</f>
        <v>12</v>
      </c>
      <c r="F608" s="28">
        <f>Data!J161/100</f>
        <v>3.345806735637244E-2</v>
      </c>
      <c r="G608" s="28">
        <f>IF(ISNUMBER(Data!S161),Data!S161/100,"n/a")</f>
        <v>2.7972027972027913E-2</v>
      </c>
      <c r="H608" s="28">
        <f>IF(ISNUMBER(Data!T161),Data!T161/100,"n/a")</f>
        <v>4.721484103000706E-2</v>
      </c>
      <c r="I608" s="28">
        <f>IF(ISNUMBER(Data!U161),Data!U161/100,"n/a")</f>
        <v>8.2272013176834621E-2</v>
      </c>
      <c r="J608" s="28">
        <f>IF(ISNUMBER(Data!V161),Data!V161/100,"n/a")</f>
        <v>0.23368556430535126</v>
      </c>
      <c r="K608" s="9">
        <f>IF(ISNUMBER(Data!Z161),Data!Z161/100,"n/a")</f>
        <v>0.53900709219858156</v>
      </c>
      <c r="L608" s="10">
        <f>Data!AA161</f>
        <v>16.109929078014186</v>
      </c>
      <c r="M608" s="10">
        <f>Data!AF161</f>
        <v>4.74</v>
      </c>
      <c r="N608" s="28">
        <f>IF(ISNUMBER(Data!AG161),Data!AG161/100,"n/a")</f>
        <v>0.29099999999999998</v>
      </c>
      <c r="O608" s="28">
        <f>IF(ISNUMBER(Data!AJ161),Data!AJ161/100,"n/a")</f>
        <v>8.2000000000000017E-2</v>
      </c>
      <c r="P608" s="9">
        <f>IF(ISNUMBER(Data!AK161),Data!AK161/100,"n/a")</f>
        <v>6.6900000000000001E-2</v>
      </c>
      <c r="Q608" s="8">
        <f>Data!AN161</f>
        <v>0.24</v>
      </c>
      <c r="R608" s="8">
        <f>Data!AP161</f>
        <v>11.573008053320706</v>
      </c>
      <c r="S608" s="8"/>
      <c r="T608" s="8"/>
      <c r="U608" s="8"/>
      <c r="V608" s="1">
        <f t="shared" si="18"/>
        <v>9</v>
      </c>
      <c r="W608" s="1">
        <f t="shared" si="19"/>
        <v>0</v>
      </c>
    </row>
    <row r="609" spans="1:23" hidden="1" x14ac:dyDescent="0.2">
      <c r="A609" s="7" t="str">
        <f>Data!A162</f>
        <v>CSG Systems International, Inc.</v>
      </c>
      <c r="B609" s="7" t="str">
        <f>Data!B162</f>
        <v>CSGS</v>
      </c>
      <c r="C609" s="7" t="str">
        <f>Data!C162</f>
        <v>Information Technology</v>
      </c>
      <c r="D609" s="8">
        <f>IF(ISNUMBER(Data!AL162),Data!AL162/1000,"n/a")</f>
        <v>2.04</v>
      </c>
      <c r="E609" s="1">
        <f>Data!E162</f>
        <v>10</v>
      </c>
      <c r="F609" s="28">
        <f>Data!J162/100</f>
        <v>1.6390907685170868E-2</v>
      </c>
      <c r="G609" s="28">
        <f>IF(ISNUMBER(Data!S162),Data!S162/100,"n/a")</f>
        <v>6.3829787234042534E-2</v>
      </c>
      <c r="H609" s="28">
        <f>IF(ISNUMBER(Data!T162),Data!T162/100,"n/a")</f>
        <v>5.983983294832651E-2</v>
      </c>
      <c r="I609" s="28">
        <f>IF(ISNUMBER(Data!U162),Data!U162/100,"n/a")</f>
        <v>6.2071258063262968E-2</v>
      </c>
      <c r="J609" s="28" t="str">
        <f>IF(ISNUMBER(Data!V162),Data!V162/100,"n/a")</f>
        <v>n/a</v>
      </c>
      <c r="K609" s="9">
        <f>IF(ISNUMBER(Data!Z162),Data!Z162/100,"n/a")</f>
        <v>0.75177304964539016</v>
      </c>
      <c r="L609" s="10">
        <f>Data!AA162</f>
        <v>45.865248226950357</v>
      </c>
      <c r="M609" s="10">
        <f>Data!AF162</f>
        <v>5.4</v>
      </c>
      <c r="N609" s="28">
        <f>IF(ISNUMBER(Data!AG162),Data!AG162/100,"n/a")</f>
        <v>0.10800000000000001</v>
      </c>
      <c r="O609" s="28">
        <f>IF(ISNUMBER(Data!AJ162),Data!AJ162/100,"n/a")</f>
        <v>3.5000000000000003E-2</v>
      </c>
      <c r="P609" s="9">
        <f>IF(ISNUMBER(Data!AK162),Data!AK162/100,"n/a")</f>
        <v>-0.05</v>
      </c>
      <c r="Q609" s="8">
        <f>Data!AN162</f>
        <v>1.02</v>
      </c>
      <c r="R609" s="8">
        <f>Data!AP162</f>
        <v>7.8462165748433836</v>
      </c>
      <c r="S609" s="8"/>
      <c r="T609" s="8"/>
      <c r="U609" s="8"/>
      <c r="V609" s="1">
        <f t="shared" si="18"/>
        <v>5</v>
      </c>
      <c r="W609" s="1">
        <f t="shared" si="19"/>
        <v>0</v>
      </c>
    </row>
    <row r="610" spans="1:23" hidden="1" x14ac:dyDescent="0.2">
      <c r="A610" s="7" t="str">
        <f>Data!A164</f>
        <v>Computer Services, Inc.</v>
      </c>
      <c r="B610" s="7" t="str">
        <f>Data!B164</f>
        <v>CSVI</v>
      </c>
      <c r="C610" s="7" t="str">
        <f>Data!C164</f>
        <v>Information Technology</v>
      </c>
      <c r="D610" s="8">
        <f>IF(ISNUMBER(Data!AL164),Data!AL164/1000,"n/a")</f>
        <v>1.59</v>
      </c>
      <c r="E610" s="1">
        <f>Data!E164</f>
        <v>51</v>
      </c>
      <c r="F610" s="28">
        <f>Data!J164/100</f>
        <v>2.0086580086580087E-2</v>
      </c>
      <c r="G610" s="28">
        <f>IF(ISNUMBER(Data!S164),Data!S164/100,"n/a")</f>
        <v>0.13043478260869557</v>
      </c>
      <c r="H610" s="28">
        <f>IF(ISNUMBER(Data!T164),Data!T164/100,"n/a")</f>
        <v>0.15785145445537974</v>
      </c>
      <c r="I610" s="28">
        <f>IF(ISNUMBER(Data!U164),Data!U164/100,"n/a")</f>
        <v>0.14433055410624829</v>
      </c>
      <c r="J610" s="28">
        <f>IF(ISNUMBER(Data!V164),Data!V164/100,"n/a")</f>
        <v>0.16037014855324272</v>
      </c>
      <c r="K610" s="9">
        <f>IF(ISNUMBER(Data!Z164),Data!Z164/100,"n/a")</f>
        <v>0.52968036529680362</v>
      </c>
      <c r="L610" s="10">
        <f>Data!AA164</f>
        <v>26.36986301369863</v>
      </c>
      <c r="M610" s="10">
        <f>Data!AF164</f>
        <v>5.67</v>
      </c>
      <c r="N610" s="28">
        <f>IF(ISNUMBER(Data!AG164),Data!AG164/100,"n/a")</f>
        <v>0.2288</v>
      </c>
      <c r="O610" s="28" t="str">
        <f>IF(ISNUMBER(Data!AJ164),Data!AJ164/100,"n/a")</f>
        <v>n/a</v>
      </c>
      <c r="P610" s="9" t="str">
        <f>IF(ISNUMBER(Data!AK164),Data!AK164/100,"n/a")</f>
        <v>n/a</v>
      </c>
      <c r="Q610" s="8">
        <f>Data!AN164</f>
        <v>1.9400000000000001E-2</v>
      </c>
      <c r="R610" s="8">
        <f>Data!AP164</f>
        <v>16.441713419282838</v>
      </c>
      <c r="S610" s="8"/>
      <c r="T610" s="8"/>
      <c r="U610" s="8"/>
      <c r="V610" s="1">
        <f t="shared" si="18"/>
        <v>8</v>
      </c>
      <c r="W610" s="1">
        <f t="shared" si="19"/>
        <v>0</v>
      </c>
    </row>
    <row r="611" spans="1:23" hidden="1" x14ac:dyDescent="0.2">
      <c r="A611" s="7" t="str">
        <f>Data!A141</f>
        <v>Colgate-Palmolive Company</v>
      </c>
      <c r="B611" s="7" t="str">
        <f>Data!B141</f>
        <v>CL</v>
      </c>
      <c r="C611" s="7" t="str">
        <f>Data!C141</f>
        <v>Consumer Staples</v>
      </c>
      <c r="D611" s="8">
        <f>IF(ISNUMBER(Data!AL141),Data!AL141/1000,"n/a")</f>
        <v>61.08</v>
      </c>
      <c r="E611" s="1">
        <f>Data!E141</f>
        <v>59</v>
      </c>
      <c r="F611" s="28">
        <f>Data!J141/100</f>
        <v>2.5460455037919823E-2</v>
      </c>
      <c r="G611" s="28">
        <f>IF(ISNUMBER(Data!S141),Data!S141/100,"n/a")</f>
        <v>2.2857142857142909E-2</v>
      </c>
      <c r="H611" s="28">
        <f>IF(ISNUMBER(Data!T141),Data!T141/100,"n/a")</f>
        <v>2.5451160663553463E-2</v>
      </c>
      <c r="I611" s="28">
        <f>IF(ISNUMBER(Data!U141),Data!U141/100,"n/a")</f>
        <v>2.921063823550818E-2</v>
      </c>
      <c r="J611" s="28">
        <f>IF(ISNUMBER(Data!V141),Data!V141/100,"n/a")</f>
        <v>4.6612017063164535E-2</v>
      </c>
      <c r="K611" s="9">
        <f>IF(ISNUMBER(Data!Z141),Data!Z141/100,"n/a")</f>
        <v>0.81385281385281383</v>
      </c>
      <c r="L611" s="10">
        <f>Data!AA141</f>
        <v>31.965367965367967</v>
      </c>
      <c r="M611" s="10">
        <f>Data!AF141</f>
        <v>100.86</v>
      </c>
      <c r="N611" s="28">
        <f>IF(ISNUMBER(Data!AG141),Data!AG141/100,"n/a")</f>
        <v>4.484</v>
      </c>
      <c r="O611" s="28">
        <f>IF(ISNUMBER(Data!AJ141),Data!AJ141/100,"n/a")</f>
        <v>-1.2E-2</v>
      </c>
      <c r="P611" s="9">
        <f>IF(ISNUMBER(Data!AK141),Data!AK141/100,"n/a")</f>
        <v>2.7099999999999999E-2</v>
      </c>
      <c r="Q611" s="8">
        <f>Data!AN141</f>
        <v>13.26</v>
      </c>
      <c r="R611" s="8">
        <f>Data!AP141</f>
        <v>5.4671093273428006</v>
      </c>
      <c r="S611" s="8"/>
      <c r="T611" s="8"/>
      <c r="U611" s="8"/>
      <c r="V611" s="1">
        <f t="shared" si="18"/>
        <v>4</v>
      </c>
      <c r="W611" s="1">
        <f t="shared" si="19"/>
        <v>0</v>
      </c>
    </row>
    <row r="612" spans="1:23" hidden="1" x14ac:dyDescent="0.2">
      <c r="A612" s="7" t="str">
        <f>Data!A733</f>
        <v>Consumer Staples</v>
      </c>
      <c r="B612" s="7">
        <f>Data!B733</f>
        <v>38</v>
      </c>
      <c r="C612" s="7">
        <f>Data!C733</f>
        <v>0</v>
      </c>
      <c r="D612" s="8">
        <f>IF(ISNUMBER(Data!AL733),Data!AL733/1000,"n/a")</f>
        <v>60.682201842105265</v>
      </c>
      <c r="E612" s="1">
        <f>Data!E733</f>
        <v>31.289473684210527</v>
      </c>
      <c r="F612" s="28">
        <f>Data!J733/100</f>
        <v>2.7144696186554917E-2</v>
      </c>
      <c r="G612" s="28">
        <f>IF(ISNUMBER(Data!S733),Data!S733/100,"n/a")</f>
        <v>5.2991239500887605E-2</v>
      </c>
      <c r="H612" s="28">
        <f>IF(ISNUMBER(Data!T733),Data!T733/100,"n/a")</f>
        <v>7.0604387842952393E-2</v>
      </c>
      <c r="I612" s="28">
        <f>IF(ISNUMBER(Data!U733),Data!U733/100,"n/a")</f>
        <v>8.3141531891242709E-2</v>
      </c>
      <c r="J612" s="28">
        <f>IF(ISNUMBER(Data!V733),Data!V733/100,"n/a")</f>
        <v>9.1211140414444308E-2</v>
      </c>
      <c r="K612" s="9">
        <f>IF(ISNUMBER(Data!Z733),Data!Z733/100,"n/a")</f>
        <v>0.69289821736024992</v>
      </c>
      <c r="L612" s="10">
        <f>Data!AA733</f>
        <v>26.690829229034296</v>
      </c>
      <c r="M612" s="10">
        <f>Data!AF733</f>
        <v>12.63361111111111</v>
      </c>
      <c r="N612" s="28">
        <f>IF(ISNUMBER(Data!AG733),Data!AG733/100,"n/a")</f>
        <v>0.39584210526315777</v>
      </c>
      <c r="O612" s="28">
        <f>IF(ISNUMBER(Data!AJ733),Data!AJ733/100,"n/a")</f>
        <v>5.1236842105263143E-2</v>
      </c>
      <c r="P612" s="9">
        <f>IF(ISNUMBER(Data!AK733),Data!AK733/100,"n/a")</f>
        <v>8.511470588235294E-2</v>
      </c>
      <c r="Q612" s="8">
        <f>Data!AN733</f>
        <v>2.0613888888888896</v>
      </c>
      <c r="R612" s="8">
        <f>Data!AP733</f>
        <v>11.122876675657274</v>
      </c>
      <c r="S612" s="8"/>
      <c r="T612" s="8"/>
      <c r="U612" s="8"/>
      <c r="V612" s="1">
        <f t="shared" si="18"/>
        <v>9</v>
      </c>
      <c r="W612" s="1">
        <f t="shared" si="19"/>
        <v>0</v>
      </c>
    </row>
    <row r="613" spans="1:23" hidden="1" x14ac:dyDescent="0.2">
      <c r="A613" s="7" t="str">
        <f>Data!A735</f>
        <v>Financials</v>
      </c>
      <c r="B613" s="7">
        <f>Data!B735</f>
        <v>264</v>
      </c>
      <c r="C613" s="7">
        <f>Data!C735</f>
        <v>0</v>
      </c>
      <c r="D613" s="8">
        <f>IF(ISNUMBER(Data!AL735),Data!AL735/1000,"n/a")</f>
        <v>14.670215063291138</v>
      </c>
      <c r="E613" s="1">
        <f>Data!E735</f>
        <v>14.329545454545455</v>
      </c>
      <c r="F613" s="28">
        <f>Data!J735/100</f>
        <v>2.9836600469183589E-2</v>
      </c>
      <c r="G613" s="28">
        <f>IF(ISNUMBER(Data!S735),Data!S735/100,"n/a")</f>
        <v>9.2299194520055555E-2</v>
      </c>
      <c r="H613" s="28">
        <f>IF(ISNUMBER(Data!T735),Data!T735/100,"n/a")</f>
        <v>0.11394679552611306</v>
      </c>
      <c r="I613" s="28">
        <f>IF(ISNUMBER(Data!U735),Data!U735/100,"n/a")</f>
        <v>0.12104150128039752</v>
      </c>
      <c r="J613" s="28">
        <f>IF(ISNUMBER(Data!V735),Data!V735/100,"n/a")</f>
        <v>0.11144666725972657</v>
      </c>
      <c r="K613" s="9">
        <f>IF(ISNUMBER(Data!Z735),Data!Z735/100,"n/a")</f>
        <v>0.40801863949625505</v>
      </c>
      <c r="L613" s="10">
        <f>Data!AA735</f>
        <v>15.282912713808891</v>
      </c>
      <c r="M613" s="10">
        <f>Data!AF735</f>
        <v>2.4016949152542382</v>
      </c>
      <c r="N613" s="28">
        <f>IF(ISNUMBER(Data!AG735),Data!AG735/100,"n/a")</f>
        <v>0.14261466666666658</v>
      </c>
      <c r="O613" s="28">
        <f>IF(ISNUMBER(Data!AJ735),Data!AJ735/100,"n/a")</f>
        <v>0.17135940170940173</v>
      </c>
      <c r="P613" s="9">
        <f>IF(ISNUMBER(Data!AK735),Data!AK735/100,"n/a")</f>
        <v>7.6928491620111727E-2</v>
      </c>
      <c r="Q613" s="8">
        <f>Data!AN735</f>
        <v>0.76422413793103439</v>
      </c>
      <c r="R613" s="8">
        <f>Data!AP735</f>
        <v>15.115857910353375</v>
      </c>
      <c r="S613" s="8"/>
      <c r="T613" s="8"/>
      <c r="U613" s="8"/>
      <c r="V613" s="1">
        <f t="shared" si="18"/>
        <v>10</v>
      </c>
      <c r="W613" s="1">
        <f t="shared" si="19"/>
        <v>0</v>
      </c>
    </row>
    <row r="614" spans="1:23" hidden="1" x14ac:dyDescent="0.2">
      <c r="A614" s="7" t="str">
        <f>Data!A160</f>
        <v>CRA International, Inc.</v>
      </c>
      <c r="B614" s="7" t="str">
        <f>Data!B160</f>
        <v>CRAI</v>
      </c>
      <c r="C614" s="7" t="str">
        <f>Data!C160</f>
        <v>Industrials</v>
      </c>
      <c r="D614" s="8">
        <f>IF(ISNUMBER(Data!AL160),Data!AL160/1000,"n/a")</f>
        <v>0.70541999999999994</v>
      </c>
      <c r="E614" s="1">
        <f>Data!E160</f>
        <v>6</v>
      </c>
      <c r="F614" s="28">
        <f>Data!J160/100</f>
        <v>1.2069301148530271E-2</v>
      </c>
      <c r="G614" s="28">
        <f>IF(ISNUMBER(Data!S160),Data!S160/100,"n/a")</f>
        <v>0.14736842105263182</v>
      </c>
      <c r="H614" s="28">
        <f>IF(ISNUMBER(Data!T160),Data!T160/100,"n/a")</f>
        <v>0.15360213129419065</v>
      </c>
      <c r="I614" s="28">
        <f>IF(ISNUMBER(Data!U160),Data!U160/100,"n/a")</f>
        <v>0.50750823233461517</v>
      </c>
      <c r="J614" s="28" t="str">
        <f>IF(ISNUMBER(Data!V160),Data!V160/100,"n/a")</f>
        <v>n/a</v>
      </c>
      <c r="K614" s="9">
        <f>IF(ISNUMBER(Data!Z160),Data!Z160/100,"n/a")</f>
        <v>0.21869488536155202</v>
      </c>
      <c r="L614" s="10">
        <f>Data!AA160</f>
        <v>18.119929453262785</v>
      </c>
      <c r="M614" s="10">
        <f>Data!AF160</f>
        <v>3.74</v>
      </c>
      <c r="N614" s="28">
        <f>IF(ISNUMBER(Data!AG160),Data!AG160/100,"n/a")</f>
        <v>0.20800000000000002</v>
      </c>
      <c r="O614" s="28">
        <f>IF(ISNUMBER(Data!AJ160),Data!AJ160/100,"n/a")</f>
        <v>0.29599999999999999</v>
      </c>
      <c r="P614" s="9">
        <f>IF(ISNUMBER(Data!AK160),Data!AK160/100,"n/a")</f>
        <v>0.15</v>
      </c>
      <c r="Q614" s="8">
        <f>Data!AN160</f>
        <v>0.35</v>
      </c>
      <c r="R614" s="8">
        <f>Data!AP160</f>
        <v>51.957753348314547</v>
      </c>
      <c r="S614" s="8"/>
      <c r="T614" s="8"/>
      <c r="U614" s="8"/>
      <c r="V614" s="1">
        <f t="shared" si="18"/>
        <v>8</v>
      </c>
      <c r="W614" s="1">
        <f t="shared" si="19"/>
        <v>0</v>
      </c>
    </row>
    <row r="615" spans="1:23" hidden="1" x14ac:dyDescent="0.2">
      <c r="A615" s="7" t="str">
        <f>Data!A133</f>
        <v>City Holding Company</v>
      </c>
      <c r="B615" s="7" t="str">
        <f>Data!B133</f>
        <v>CHCO</v>
      </c>
      <c r="C615" s="7" t="str">
        <f>Data!C133</f>
        <v>Financials</v>
      </c>
      <c r="D615" s="8">
        <f>IF(ISNUMBER(Data!AL133),Data!AL133/1000,"n/a")</f>
        <v>1.47</v>
      </c>
      <c r="E615" s="1">
        <f>Data!E133</f>
        <v>10</v>
      </c>
      <c r="F615" s="28">
        <f>Data!J133/100</f>
        <v>2.5780862667327719E-2</v>
      </c>
      <c r="G615" s="28">
        <f>IF(ISNUMBER(Data!S133),Data!S133/100,"n/a")</f>
        <v>1.7543859649122862E-2</v>
      </c>
      <c r="H615" s="28">
        <f>IF(ISNUMBER(Data!T133),Data!T133/100,"n/a")</f>
        <v>6.6968355618288955E-2</v>
      </c>
      <c r="I615" s="28">
        <f>IF(ISNUMBER(Data!U133),Data!U133/100,"n/a")</f>
        <v>6.2914605914482502E-2</v>
      </c>
      <c r="J615" s="28">
        <f>IF(ISNUMBER(Data!V133),Data!V133/100,"n/a")</f>
        <v>5.4860202419646509E-2</v>
      </c>
      <c r="K615" s="9">
        <f>IF(ISNUMBER(Data!Z133),Data!Z133/100,"n/a")</f>
        <v>0.41204437400950877</v>
      </c>
      <c r="L615" s="10">
        <f>Data!AA133</f>
        <v>15.982567353407291</v>
      </c>
      <c r="M615" s="10">
        <f>Data!AF133</f>
        <v>2.5499999999999998</v>
      </c>
      <c r="N615" s="28" t="str">
        <f>IF(ISNUMBER(Data!AG133),Data!AG133/100,"n/a")</f>
        <v>n/a</v>
      </c>
      <c r="O615" s="28">
        <f>IF(ISNUMBER(Data!AJ133),Data!AJ133/100,"n/a")</f>
        <v>0.10400000000000001</v>
      </c>
      <c r="P615" s="9">
        <f>IF(ISNUMBER(Data!AK133),Data!AK133/100,"n/a")</f>
        <v>0.08</v>
      </c>
      <c r="Q615" s="8">
        <f>Data!AN133</f>
        <v>0</v>
      </c>
      <c r="R615" s="8">
        <f>Data!AP133</f>
        <v>8.8695468581810211</v>
      </c>
      <c r="S615" s="8"/>
      <c r="T615" s="8"/>
      <c r="U615" s="8"/>
      <c r="V615" s="1">
        <f t="shared" si="18"/>
        <v>9</v>
      </c>
      <c r="W615" s="1">
        <f t="shared" si="19"/>
        <v>0</v>
      </c>
    </row>
    <row r="616" spans="1:23" hidden="1" x14ac:dyDescent="0.2">
      <c r="A616" s="7" t="str">
        <f>Data!A132</f>
        <v>Cognex Corporation</v>
      </c>
      <c r="B616" s="7" t="str">
        <f>Data!B132</f>
        <v>CGNX</v>
      </c>
      <c r="C616" s="7" t="str">
        <f>Data!C132</f>
        <v>Information Technology</v>
      </c>
      <c r="D616" s="8">
        <f>IF(ISNUMBER(Data!AL132),Data!AL132/1000,"n/a")</f>
        <v>7.93</v>
      </c>
      <c r="E616" s="1">
        <f>Data!E132</f>
        <v>7</v>
      </c>
      <c r="F616" s="28">
        <f>Data!J132/100</f>
        <v>5.6240536448193823E-3</v>
      </c>
      <c r="G616" s="28">
        <f>IF(ISNUMBER(Data!S132),Data!S132/100,"n/a")</f>
        <v>8.8888888888888781E-2</v>
      </c>
      <c r="H616" s="28">
        <f>IF(ISNUMBER(Data!T132),Data!T132/100,"n/a")</f>
        <v>9.8157887721507672E-2</v>
      </c>
      <c r="I616" s="28">
        <f>IF(ISNUMBER(Data!U132),Data!U132/100,"n/a")</f>
        <v>0.1068144305771952</v>
      </c>
      <c r="J616" s="28">
        <f>IF(ISNUMBER(Data!V132),Data!V132/100,"n/a")</f>
        <v>0.10533101812280421</v>
      </c>
      <c r="K616" s="9">
        <f>IF(ISNUMBER(Data!Z132),Data!Z132/100,"n/a")</f>
        <v>0.17931034482758623</v>
      </c>
      <c r="L616" s="10">
        <f>Data!AA132</f>
        <v>31.882758620689653</v>
      </c>
      <c r="M616" s="10">
        <f>Data!AF132</f>
        <v>5.88</v>
      </c>
      <c r="N616" s="28">
        <f>IF(ISNUMBER(Data!AG132),Data!AG132/100,"n/a")</f>
        <v>0.182</v>
      </c>
      <c r="O616" s="28">
        <f>IF(ISNUMBER(Data!AJ132),Data!AJ132/100,"n/a")</f>
        <v>0.13500000000000001</v>
      </c>
      <c r="P616" s="9">
        <f>IF(ISNUMBER(Data!AK132),Data!AK132/100,"n/a")</f>
        <v>0.15</v>
      </c>
      <c r="Q616" s="8">
        <f>Data!AN132</f>
        <v>0</v>
      </c>
      <c r="R616" s="8">
        <f>Data!AP132</f>
        <v>11.243848422201458</v>
      </c>
      <c r="S616" s="8"/>
      <c r="T616" s="8"/>
      <c r="U616" s="8"/>
      <c r="V616" s="1">
        <f t="shared" si="18"/>
        <v>9</v>
      </c>
      <c r="W616" s="1">
        <f t="shared" si="19"/>
        <v>0</v>
      </c>
    </row>
    <row r="617" spans="1:23" hidden="1" x14ac:dyDescent="0.2">
      <c r="A617" s="7" t="str">
        <f>Data!A128</f>
        <v>CDW Corporation</v>
      </c>
      <c r="B617" s="7" t="str">
        <f>Data!B128</f>
        <v>CDW</v>
      </c>
      <c r="C617" s="7" t="str">
        <f>Data!C128</f>
        <v>Information Technology</v>
      </c>
      <c r="D617" s="8">
        <f>IF(ISNUMBER(Data!AL128),Data!AL128/1000,"n/a")</f>
        <v>22.78</v>
      </c>
      <c r="E617" s="1">
        <f>Data!E128</f>
        <v>9</v>
      </c>
      <c r="F617" s="28">
        <f>Data!J128/100</f>
        <v>1.157340431687981E-2</v>
      </c>
      <c r="G617" s="28">
        <f>IF(ISNUMBER(Data!S128),Data!S128/100,"n/a")</f>
        <v>0.10389610389610393</v>
      </c>
      <c r="H617" s="28">
        <f>IF(ISNUMBER(Data!T128),Data!T128/100,"n/a")</f>
        <v>0.22490496840755411</v>
      </c>
      <c r="I617" s="28">
        <f>IF(ISNUMBER(Data!U128),Data!U128/100,"n/a")</f>
        <v>0.28644232635716826</v>
      </c>
      <c r="J617" s="28" t="str">
        <f>IF(ISNUMBER(Data!V128),Data!V128/100,"n/a")</f>
        <v>n/a</v>
      </c>
      <c r="K617" s="9">
        <f>IF(ISNUMBER(Data!Z128),Data!Z128/100,"n/a")</f>
        <v>0.27210884353741499</v>
      </c>
      <c r="L617" s="10">
        <f>Data!AA128</f>
        <v>23.51156462585034</v>
      </c>
      <c r="M617" s="10">
        <f>Data!AF128</f>
        <v>21.13</v>
      </c>
      <c r="N617" s="28">
        <f>IF(ISNUMBER(Data!AG128),Data!AG128/100,"n/a")</f>
        <v>1.1419999999999999</v>
      </c>
      <c r="O617" s="28">
        <f>IF(ISNUMBER(Data!AJ128),Data!AJ128/100,"n/a")</f>
        <v>0.22400000000000003</v>
      </c>
      <c r="P617" s="9">
        <f>IF(ISNUMBER(Data!AK128),Data!AK128/100,"n/a")</f>
        <v>0.1439</v>
      </c>
      <c r="Q617" s="8">
        <f>Data!AN128</f>
        <v>5.95</v>
      </c>
      <c r="R617" s="8">
        <f>Data!AP128</f>
        <v>29.801573067404806</v>
      </c>
      <c r="S617" s="8"/>
      <c r="T617" s="8"/>
      <c r="U617" s="8"/>
      <c r="V617" s="1">
        <f t="shared" si="18"/>
        <v>7</v>
      </c>
      <c r="W617" s="1">
        <f t="shared" si="19"/>
        <v>0</v>
      </c>
    </row>
    <row r="618" spans="1:23" hidden="1" x14ac:dyDescent="0.2">
      <c r="A618" s="7" t="str">
        <f>Data!A123</f>
        <v>Community Bank System, Inc.</v>
      </c>
      <c r="B618" s="7" t="str">
        <f>Data!B123</f>
        <v>CBU</v>
      </c>
      <c r="C618" s="7" t="str">
        <f>Data!C123</f>
        <v>Financials</v>
      </c>
      <c r="D618" s="8">
        <f>IF(ISNUMBER(Data!AL123),Data!AL123/1000,"n/a")</f>
        <v>3.27</v>
      </c>
      <c r="E618" s="1">
        <f>Data!E123</f>
        <v>31</v>
      </c>
      <c r="F618" s="28">
        <f>Data!J123/100</f>
        <v>2.8191574563511134E-2</v>
      </c>
      <c r="G618" s="28">
        <f>IF(ISNUMBER(Data!S123),Data!S123/100,"n/a")</f>
        <v>2.4242424242424176E-2</v>
      </c>
      <c r="H618" s="28">
        <f>IF(ISNUMBER(Data!T123),Data!T123/100,"n/a")</f>
        <v>6.4762849072449669E-2</v>
      </c>
      <c r="I618" s="28">
        <f>IF(ISNUMBER(Data!U123),Data!U123/100,"n/a")</f>
        <v>6.2173197333575514E-2</v>
      </c>
      <c r="J618" s="28">
        <f>IF(ISNUMBER(Data!V123),Data!V123/100,"n/a")</f>
        <v>5.387395206178347E-2</v>
      </c>
      <c r="K618" s="9">
        <f>IF(ISNUMBER(Data!Z123),Data!Z123/100,"n/a")</f>
        <v>0.53495440729483279</v>
      </c>
      <c r="L618" s="10">
        <f>Data!AA123</f>
        <v>18.975683890577507</v>
      </c>
      <c r="M618" s="10">
        <f>Data!AF123</f>
        <v>2.0099999999999998</v>
      </c>
      <c r="N618" s="28" t="str">
        <f>IF(ISNUMBER(Data!AG123),Data!AG123/100,"n/a")</f>
        <v>n/a</v>
      </c>
      <c r="O618" s="28">
        <f>IF(ISNUMBER(Data!AJ123),Data!AJ123/100,"n/a")</f>
        <v>8.4000000000000005E-2</v>
      </c>
      <c r="P618" s="9">
        <f>IF(ISNUMBER(Data!AK123),Data!AK123/100,"n/a")</f>
        <v>0.08</v>
      </c>
      <c r="Q618" s="8">
        <f>Data!AN123</f>
        <v>0</v>
      </c>
      <c r="R618" s="8">
        <f>Data!AP123</f>
        <v>9.0364771897086644</v>
      </c>
      <c r="S618" s="8"/>
      <c r="T618" s="8"/>
      <c r="U618" s="8"/>
      <c r="V618" s="1">
        <f t="shared" si="18"/>
        <v>11</v>
      </c>
      <c r="W618" s="1">
        <f t="shared" si="19"/>
        <v>0</v>
      </c>
    </row>
    <row r="619" spans="1:23" hidden="1" x14ac:dyDescent="0.2">
      <c r="A619" s="7" t="str">
        <f>Data!A119</f>
        <v>Colony Bankcorp, Inc.</v>
      </c>
      <c r="B619" s="7" t="str">
        <f>Data!B119</f>
        <v>CBAN</v>
      </c>
      <c r="C619" s="7" t="str">
        <f>Data!C119</f>
        <v>Financials</v>
      </c>
      <c r="D619" s="8">
        <f>IF(ISNUMBER(Data!AL119),Data!AL119/1000,"n/a")</f>
        <v>0.24133000000000002</v>
      </c>
      <c r="E619" s="1">
        <f>Data!E119</f>
        <v>6</v>
      </c>
      <c r="F619" s="28">
        <f>Data!J119/100</f>
        <v>3.1159420289855067E-2</v>
      </c>
      <c r="G619" s="28">
        <f>IF(ISNUMBER(Data!S119),Data!S119/100,"n/a")</f>
        <v>2.4999999999999911E-2</v>
      </c>
      <c r="H619" s="28">
        <f>IF(ISNUMBER(Data!T119),Data!T119/100,"n/a")</f>
        <v>0.27033409277248088</v>
      </c>
      <c r="I619" s="28" t="str">
        <f>IF(ISNUMBER(Data!U119),Data!U119/100,"n/a")</f>
        <v>n/a</v>
      </c>
      <c r="J619" s="28" t="str">
        <f>IF(ISNUMBER(Data!V119),Data!V119/100,"n/a")</f>
        <v>n/a</v>
      </c>
      <c r="K619" s="9">
        <f>IF(ISNUMBER(Data!Z119),Data!Z119/100,"n/a")</f>
        <v>0.38053097345132747</v>
      </c>
      <c r="L619" s="10">
        <f>Data!AA119</f>
        <v>12.212389380530976</v>
      </c>
      <c r="M619" s="10">
        <f>Data!AF119</f>
        <v>1.03</v>
      </c>
      <c r="N619" s="28">
        <f>IF(ISNUMBER(Data!AG119),Data!AG119/100,"n/a")</f>
        <v>8.3000000000000004E-2</v>
      </c>
      <c r="O619" s="28">
        <f>IF(ISNUMBER(Data!AJ119),Data!AJ119/100,"n/a")</f>
        <v>0.14499999999999999</v>
      </c>
      <c r="P619" s="9">
        <f>IF(ISNUMBER(Data!AK119),Data!AK119/100,"n/a")</f>
        <v>7.0000000000000007E-2</v>
      </c>
      <c r="Q619" s="8">
        <f>Data!AN119</f>
        <v>0.27</v>
      </c>
      <c r="R619" s="8" t="str">
        <f>Data!AP119</f>
        <v>n/a</v>
      </c>
      <c r="S619" s="8"/>
      <c r="T619" s="8"/>
      <c r="U619" s="8"/>
      <c r="V619" s="1">
        <f t="shared" si="18"/>
        <v>7</v>
      </c>
      <c r="W619" s="1">
        <f t="shared" si="19"/>
        <v>0</v>
      </c>
    </row>
    <row r="620" spans="1:23" hidden="1" x14ac:dyDescent="0.2">
      <c r="A620" s="7" t="str">
        <f>Data!A117</f>
        <v>Cambridge Bancorp</v>
      </c>
      <c r="B620" s="7" t="str">
        <f>Data!B117</f>
        <v>CATC</v>
      </c>
      <c r="C620" s="7" t="str">
        <f>Data!C117</f>
        <v>Financials</v>
      </c>
      <c r="D620" s="8">
        <f>IF(ISNUMBER(Data!AL117),Data!AL117/1000,"n/a")</f>
        <v>0.66947999999999996</v>
      </c>
      <c r="E620" s="1">
        <f>Data!E117</f>
        <v>24</v>
      </c>
      <c r="F620" s="28">
        <f>Data!J117/100</f>
        <v>2.914058053500285E-2</v>
      </c>
      <c r="G620" s="28">
        <f>IF(ISNUMBER(Data!S117),Data!S117/100,"n/a")</f>
        <v>0.12264150943396214</v>
      </c>
      <c r="H620" s="28">
        <f>IF(ISNUMBER(Data!T117),Data!T117/100,"n/a")</f>
        <v>6.6858844342181811E-2</v>
      </c>
      <c r="I620" s="28">
        <f>IF(ISNUMBER(Data!U117),Data!U117/100,"n/a")</f>
        <v>5.2814425168131063E-2</v>
      </c>
      <c r="J620" s="28">
        <f>IF(ISNUMBER(Data!V117),Data!V117/100,"n/a")</f>
        <v>5.3001188263978039E-2</v>
      </c>
      <c r="K620" s="9">
        <f>IF(ISNUMBER(Data!Z117),Data!Z117/100,"n/a")</f>
        <v>0.32862644415917847</v>
      </c>
      <c r="L620" s="10">
        <f>Data!AA117</f>
        <v>11.277278562259307</v>
      </c>
      <c r="M620" s="10">
        <f>Data!AF117</f>
        <v>1.39</v>
      </c>
      <c r="N620" s="28">
        <f>IF(ISNUMBER(Data!AG117),Data!AG117/100,"n/a")</f>
        <v>0.12300000000000001</v>
      </c>
      <c r="O620" s="28">
        <f>IF(ISNUMBER(Data!AJ117),Data!AJ117/100,"n/a")</f>
        <v>0.13100000000000001</v>
      </c>
      <c r="P620" s="9" t="str">
        <f>IF(ISNUMBER(Data!AK117),Data!AK117/100,"n/a")</f>
        <v>n/a</v>
      </c>
      <c r="Q620" s="8">
        <f>Data!AN117</f>
        <v>0</v>
      </c>
      <c r="R620" s="8">
        <f>Data!AP117</f>
        <v>8.1955005703133921</v>
      </c>
      <c r="S620" s="8"/>
      <c r="T620" s="8"/>
      <c r="U620" s="8"/>
      <c r="V620" s="1">
        <f t="shared" si="18"/>
        <v>10</v>
      </c>
      <c r="W620" s="1">
        <f t="shared" si="19"/>
        <v>0</v>
      </c>
    </row>
    <row r="621" spans="1:23" hidden="1" x14ac:dyDescent="0.2">
      <c r="A621" s="7" t="str">
        <f>Data!A118</f>
        <v>Chubb Limited</v>
      </c>
      <c r="B621" s="7" t="str">
        <f>Data!B118</f>
        <v>CB</v>
      </c>
      <c r="C621" s="7" t="str">
        <f>Data!C118</f>
        <v>Financials</v>
      </c>
      <c r="D621" s="8">
        <f>IF(ISNUMBER(Data!AL118),Data!AL118/1000,"n/a")</f>
        <v>86.67</v>
      </c>
      <c r="E621" s="1">
        <f>Data!E118</f>
        <v>29</v>
      </c>
      <c r="F621" s="28">
        <f>Data!J118/100</f>
        <v>1.5449764996044488E-2</v>
      </c>
      <c r="G621" s="28">
        <f>IF(ISNUMBER(Data!S118),Data!S118/100,"n/a")</f>
        <v>3.2679738562091609E-2</v>
      </c>
      <c r="H621" s="28">
        <f>IF(ISNUMBER(Data!T118),Data!T118/100,"n/a")</f>
        <v>3.141046035603412E-2</v>
      </c>
      <c r="I621" s="28">
        <f>IF(ISNUMBER(Data!U118),Data!U118/100,"n/a")</f>
        <v>3.044219892825617E-2</v>
      </c>
      <c r="J621" s="28">
        <f>IF(ISNUMBER(Data!V118),Data!V118/100,"n/a")</f>
        <v>8.7964732345867672E-2</v>
      </c>
      <c r="K621" s="9">
        <f>IF(ISNUMBER(Data!Z118),Data!Z118/100,"n/a")</f>
        <v>0.23168178646196791</v>
      </c>
      <c r="L621" s="10">
        <f>Data!AA118</f>
        <v>14.995812979762734</v>
      </c>
      <c r="M621" s="10">
        <f>Data!AF118</f>
        <v>1.75</v>
      </c>
      <c r="N621" s="28">
        <f>IF(ISNUMBER(Data!AG118),Data!AG118/100,"n/a")</f>
        <v>0.14399999999999999</v>
      </c>
      <c r="O621" s="28">
        <f>IF(ISNUMBER(Data!AJ118),Data!AJ118/100,"n/a")</f>
        <v>0.16800000000000001</v>
      </c>
      <c r="P621" s="9">
        <f>IF(ISNUMBER(Data!AK118),Data!AK118/100,"n/a")</f>
        <v>0.16200000000000001</v>
      </c>
      <c r="Q621" s="8">
        <f>Data!AN118</f>
        <v>0.31</v>
      </c>
      <c r="R621" s="8">
        <f>Data!AP118</f>
        <v>4.5891963924300656</v>
      </c>
      <c r="S621" s="8"/>
      <c r="T621" s="8"/>
      <c r="U621" s="8"/>
      <c r="V621" s="1">
        <f t="shared" si="18"/>
        <v>8</v>
      </c>
      <c r="W621" s="1">
        <f t="shared" si="19"/>
        <v>0</v>
      </c>
    </row>
    <row r="622" spans="1:23" hidden="1" x14ac:dyDescent="0.2">
      <c r="A622" s="7" t="str">
        <f>Data!A168</f>
        <v>Community Trust Bancorp, Inc.</v>
      </c>
      <c r="B622" s="7" t="str">
        <f>Data!B168</f>
        <v>CTBI</v>
      </c>
      <c r="C622" s="7" t="str">
        <f>Data!C168</f>
        <v>Financials</v>
      </c>
      <c r="D622" s="8">
        <f>IF(ISNUMBER(Data!AL168),Data!AL168/1000,"n/a")</f>
        <v>0.83087</v>
      </c>
      <c r="E622" s="1">
        <f>Data!E168</f>
        <v>42</v>
      </c>
      <c r="F622" s="28">
        <f>Data!J168/100</f>
        <v>3.7217170649185873E-2</v>
      </c>
      <c r="G622" s="28">
        <f>IF(ISNUMBER(Data!S168),Data!S168/100,"n/a")</f>
        <v>1.9672131147540961E-2</v>
      </c>
      <c r="H622" s="28">
        <f>IF(ISNUMBER(Data!T168),Data!T168/100,"n/a")</f>
        <v>4.8251618490393167E-2</v>
      </c>
      <c r="I622" s="28">
        <f>IF(ISNUMBER(Data!U168),Data!U168/100,"n/a")</f>
        <v>4.4633805728554021E-2</v>
      </c>
      <c r="J622" s="28">
        <f>IF(ISNUMBER(Data!V168),Data!V168/100,"n/a")</f>
        <v>3.3526928674343814E-2</v>
      </c>
      <c r="K622" s="9">
        <f>IF(ISNUMBER(Data!Z168),Data!Z168/100,"n/a")</f>
        <v>0.39909297052154197</v>
      </c>
      <c r="L622" s="10">
        <f>Data!AA168</f>
        <v>10.723356009070294</v>
      </c>
      <c r="M622" s="10">
        <f>Data!AF168</f>
        <v>1.34</v>
      </c>
      <c r="N622" s="28">
        <f>IF(ISNUMBER(Data!AG168),Data!AG168/100,"n/a")</f>
        <v>0.126</v>
      </c>
      <c r="O622" s="28">
        <f>IF(ISNUMBER(Data!AJ168),Data!AJ168/100,"n/a")</f>
        <v>0.129</v>
      </c>
      <c r="P622" s="9">
        <f>IF(ISNUMBER(Data!AK168),Data!AK168/100,"n/a")</f>
        <v>0.05</v>
      </c>
      <c r="Q622" s="8">
        <f>Data!AN168</f>
        <v>0.09</v>
      </c>
      <c r="R622" s="8">
        <f>Data!AP168</f>
        <v>8.185097637773989</v>
      </c>
      <c r="S622" s="8"/>
      <c r="T622" s="8"/>
      <c r="U622" s="8"/>
      <c r="V622" s="1">
        <f t="shared" si="18"/>
        <v>7</v>
      </c>
      <c r="W622" s="1">
        <f t="shared" si="19"/>
        <v>0</v>
      </c>
    </row>
    <row r="623" spans="1:23" hidden="1" x14ac:dyDescent="0.2">
      <c r="A623" s="7" t="str">
        <f>Data!A176</f>
        <v>Citizens Financial Services, Inc.</v>
      </c>
      <c r="B623" s="7" t="str">
        <f>Data!B176</f>
        <v>CZFS</v>
      </c>
      <c r="C623" s="7" t="str">
        <f>Data!C176</f>
        <v>Financials</v>
      </c>
      <c r="D623" s="8" t="str">
        <f>IF(ISNUMBER(Data!AL176),Data!AL176/1000,"n/a")</f>
        <v>n/a</v>
      </c>
      <c r="E623" s="1">
        <f>Data!E176</f>
        <v>24</v>
      </c>
      <c r="F623" s="28">
        <f>Data!J176/100</f>
        <v>2.7996500437445324E-2</v>
      </c>
      <c r="G623" s="28">
        <f>IF(ISNUMBER(Data!S176),Data!S176/100,"n/a")</f>
        <v>2.1857923497267784E-2</v>
      </c>
      <c r="H623" s="28">
        <f>IF(ISNUMBER(Data!T176),Data!T176/100,"n/a")</f>
        <v>2.2353730292836715E-2</v>
      </c>
      <c r="I623" s="28">
        <f>IF(ISNUMBER(Data!U176),Data!U176/100,"n/a")</f>
        <v>2.3384900558402144E-2</v>
      </c>
      <c r="J623" s="28">
        <f>IF(ISNUMBER(Data!V176),Data!V176/100,"n/a")</f>
        <v>6.4644565110025143E-2</v>
      </c>
      <c r="K623" s="9" t="str">
        <f>IF(ISNUMBER(Data!Z176),Data!Z176/100,"n/a")</f>
        <v>n/a</v>
      </c>
      <c r="L623" s="10" t="str">
        <f>Data!AA176</f>
        <v>n/a</v>
      </c>
      <c r="M623" s="10" t="str">
        <f>Data!AF176</f>
        <v>n/a</v>
      </c>
      <c r="N623" s="28" t="str">
        <f>IF(ISNUMBER(Data!AG176),Data!AG176/100,"n/a")</f>
        <v>n/a</v>
      </c>
      <c r="O623" s="28" t="str">
        <f>IF(ISNUMBER(Data!AJ176),Data!AJ176/100,"n/a")</f>
        <v>n/a</v>
      </c>
      <c r="P623" s="9" t="str">
        <f>IF(ISNUMBER(Data!AK176),Data!AK176/100,"n/a")</f>
        <v>n/a</v>
      </c>
      <c r="Q623" s="8" t="str">
        <f>Data!AN176</f>
        <v>n/a</v>
      </c>
      <c r="R623" s="8">
        <f>Data!AP176</f>
        <v>5.1381400995847466</v>
      </c>
      <c r="S623" s="8"/>
      <c r="T623" s="8"/>
      <c r="U623" s="8"/>
      <c r="V623" s="1">
        <f t="shared" si="18"/>
        <v>3</v>
      </c>
      <c r="W623" s="1">
        <f t="shared" si="19"/>
        <v>0</v>
      </c>
    </row>
    <row r="624" spans="1:23" hidden="1" x14ac:dyDescent="0.2">
      <c r="A624" s="7" t="str">
        <f>Data!A116</f>
        <v>Caterpillar Inc.</v>
      </c>
      <c r="B624" s="7" t="str">
        <f>Data!B116</f>
        <v>CAT</v>
      </c>
      <c r="C624" s="7" t="str">
        <f>Data!C116</f>
        <v>Industrials</v>
      </c>
      <c r="D624" s="8">
        <f>IF(ISNUMBER(Data!AL116),Data!AL116/1000,"n/a")</f>
        <v>111.99</v>
      </c>
      <c r="E624" s="1">
        <f>Data!E116</f>
        <v>29</v>
      </c>
      <c r="F624" s="28">
        <f>Data!J116/100</f>
        <v>2.2174997690104406E-2</v>
      </c>
      <c r="G624" s="28">
        <f>IF(ISNUMBER(Data!S116),Data!S116/100,"n/a")</f>
        <v>3.8834951456310662E-2</v>
      </c>
      <c r="H624" s="28">
        <f>IF(ISNUMBER(Data!T116),Data!T116/100,"n/a")</f>
        <v>9.2756273464356762E-2</v>
      </c>
      <c r="I624" s="28">
        <f>IF(ISNUMBER(Data!U116),Data!U116/100,"n/a")</f>
        <v>6.8018094191804268E-2</v>
      </c>
      <c r="J624" s="28">
        <f>IF(ISNUMBER(Data!V116),Data!V116/100,"n/a")</f>
        <v>9.0478547687389513E-2</v>
      </c>
      <c r="K624" s="9">
        <f>IF(ISNUMBER(Data!Z116),Data!Z116/100,"n/a")</f>
        <v>0.35062089116143169</v>
      </c>
      <c r="L624" s="10">
        <f>Data!AA116</f>
        <v>15.811541271000731</v>
      </c>
      <c r="M624" s="10">
        <f>Data!AF116</f>
        <v>7.41</v>
      </c>
      <c r="N624" s="28">
        <f>IF(ISNUMBER(Data!AG116),Data!AG116/100,"n/a")</f>
        <v>0.39399999999999996</v>
      </c>
      <c r="O624" s="28">
        <f>IF(ISNUMBER(Data!AJ116),Data!AJ116/100,"n/a")</f>
        <v>1.5349999999999999</v>
      </c>
      <c r="P624" s="9">
        <f>IF(ISNUMBER(Data!AK116),Data!AK116/100,"n/a")</f>
        <v>0.12909999999999999</v>
      </c>
      <c r="Q624" s="8">
        <f>Data!AN116</f>
        <v>2.35</v>
      </c>
      <c r="R624" s="8">
        <f>Data!AP116</f>
        <v>9.0193091881908671</v>
      </c>
      <c r="S624" s="8"/>
      <c r="T624" s="8"/>
      <c r="U624" s="8"/>
      <c r="V624" s="1">
        <f t="shared" si="18"/>
        <v>10</v>
      </c>
      <c r="W624" s="1">
        <f t="shared" si="19"/>
        <v>0</v>
      </c>
    </row>
    <row r="625" spans="1:23" hidden="1" x14ac:dyDescent="0.2">
      <c r="A625" s="7" t="str">
        <f>Data!A170</f>
        <v>Coterra Energy Inc.</v>
      </c>
      <c r="B625" s="7" t="str">
        <f>Data!B170</f>
        <v>CTRA</v>
      </c>
      <c r="C625" s="7" t="str">
        <f>Data!C170</f>
        <v>Energy</v>
      </c>
      <c r="D625" s="8">
        <f>IF(ISNUMBER(Data!AL170),Data!AL170/1000,"n/a")</f>
        <v>23.98</v>
      </c>
      <c r="E625" s="1">
        <f>Data!E170</f>
        <v>6</v>
      </c>
      <c r="F625" s="28">
        <f>Data!J170/100</f>
        <v>1.9274012206874396E-2</v>
      </c>
      <c r="G625" s="28">
        <f>IF(ISNUMBER(Data!S170),Data!S170/100,"n/a")</f>
        <v>0.11250000000000003</v>
      </c>
      <c r="H625" s="28">
        <f>IF(ISNUMBER(Data!T170),Data!T170/100,"n/a")</f>
        <v>0.21191827410603792</v>
      </c>
      <c r="I625" s="28">
        <f>IF(ISNUMBER(Data!U170),Data!U170/100,"n/a")</f>
        <v>0.40946405528565366</v>
      </c>
      <c r="J625" s="28">
        <f>IF(ISNUMBER(Data!V170),Data!V170/100,"n/a")</f>
        <v>0.30955539968035395</v>
      </c>
      <c r="K625" s="9">
        <f>IF(ISNUMBER(Data!Z170),Data!Z170/100,"n/a")</f>
        <v>0.16806722689075632</v>
      </c>
      <c r="L625" s="10">
        <f>Data!AA170</f>
        <v>8.7198879551820738</v>
      </c>
      <c r="M625" s="10">
        <f>Data!AF170</f>
        <v>1.98</v>
      </c>
      <c r="N625" s="28">
        <f>IF(ISNUMBER(Data!AG170),Data!AG170/100,"n/a")</f>
        <v>0.29899999999999999</v>
      </c>
      <c r="O625" s="28">
        <f>IF(ISNUMBER(Data!AJ170),Data!AJ170/100,"n/a")</f>
        <v>0.35199999999999998</v>
      </c>
      <c r="P625" s="9">
        <f>IF(ISNUMBER(Data!AK170),Data!AK170/100,"n/a")</f>
        <v>9.6100000000000019E-2</v>
      </c>
      <c r="Q625" s="8">
        <f>Data!AN170</f>
        <v>0.26</v>
      </c>
      <c r="R625" s="8">
        <f>Data!AP170</f>
        <v>42.873806749252807</v>
      </c>
      <c r="S625" s="8"/>
      <c r="T625" s="8"/>
      <c r="U625" s="8"/>
      <c r="V625" s="1">
        <f t="shared" si="18"/>
        <v>10</v>
      </c>
      <c r="W625" s="1">
        <f t="shared" si="19"/>
        <v>0</v>
      </c>
    </row>
    <row r="626" spans="1:23" hidden="1" x14ac:dyDescent="0.2">
      <c r="A626" s="7" t="str">
        <f>Data!A127</f>
        <v>Cogent Communications Holdings, Inc.</v>
      </c>
      <c r="B626" s="7" t="str">
        <f>Data!B127</f>
        <v>CCOI</v>
      </c>
      <c r="C626" s="7" t="str">
        <f>Data!C127</f>
        <v>Communication Services</v>
      </c>
      <c r="D626" s="8">
        <f>IF(ISNUMBER(Data!AL127),Data!AL127/1000,"n/a")</f>
        <v>2.5</v>
      </c>
      <c r="E626" s="1">
        <f>Data!E127</f>
        <v>11</v>
      </c>
      <c r="F626" s="28">
        <f>Data!J127/100</f>
        <v>6.8939249666730151E-2</v>
      </c>
      <c r="G626" s="28">
        <f>IF(ISNUMBER(Data!S127),Data!S127/100,"n/a")</f>
        <v>0.14234234234234244</v>
      </c>
      <c r="H626" s="28">
        <f>IF(ISNUMBER(Data!T127),Data!T127/100,"n/a")</f>
        <v>0.14351307247645062</v>
      </c>
      <c r="I626" s="28">
        <f>IF(ISNUMBER(Data!U127),Data!U127/100,"n/a")</f>
        <v>0.15988908876389307</v>
      </c>
      <c r="J626" s="28" t="str">
        <f>IF(ISNUMBER(Data!V127),Data!V127/100,"n/a")</f>
        <v>n/a</v>
      </c>
      <c r="K626" s="9">
        <f>IF(ISNUMBER(Data!Z127),Data!Z127/100,"n/a")</f>
        <v>3.8510638297872344</v>
      </c>
      <c r="L626" s="10">
        <f>Data!AA127</f>
        <v>55.861702127659576</v>
      </c>
      <c r="M626" s="10" t="str">
        <f>Data!AF127</f>
        <v>n/a</v>
      </c>
      <c r="N626" s="28">
        <f>IF(ISNUMBER(Data!AG127),Data!AG127/100,"n/a")</f>
        <v>-0.11200000000000002</v>
      </c>
      <c r="O626" s="28">
        <f>IF(ISNUMBER(Data!AJ127),Data!AJ127/100,"n/a")</f>
        <v>0.255</v>
      </c>
      <c r="P626" s="9">
        <f>IF(ISNUMBER(Data!AK127),Data!AK127/100,"n/a")</f>
        <v>-4.7999999999999996E-3</v>
      </c>
      <c r="Q626" s="8" t="str">
        <f>Data!AN127</f>
        <v>n/a</v>
      </c>
      <c r="R626" s="8">
        <f>Data!AP127</f>
        <v>22.882833843062322</v>
      </c>
      <c r="S626" s="8"/>
      <c r="T626" s="8"/>
      <c r="U626" s="8"/>
      <c r="V626" s="1">
        <f t="shared" si="18"/>
        <v>6</v>
      </c>
      <c r="W626" s="1">
        <f t="shared" si="19"/>
        <v>0</v>
      </c>
    </row>
    <row r="627" spans="1:23" hidden="1" x14ac:dyDescent="0.2">
      <c r="A627" s="7" t="str">
        <f>Data!A219</f>
        <v>Evans Bancorp, Inc.</v>
      </c>
      <c r="B627" s="7" t="str">
        <f>Data!B219</f>
        <v>EVBN</v>
      </c>
      <c r="C627" s="7" t="str">
        <f>Data!C219</f>
        <v>Financials</v>
      </c>
      <c r="D627" s="8">
        <f>IF(ISNUMBER(Data!AL219),Data!AL219/1000,"n/a")</f>
        <v>0.20130000000000001</v>
      </c>
      <c r="E627" s="1">
        <f>Data!E219</f>
        <v>11</v>
      </c>
      <c r="F627" s="28">
        <f>Data!J219/100</f>
        <v>3.5184167124793844E-2</v>
      </c>
      <c r="G627" s="28">
        <f>IF(ISNUMBER(Data!S219),Data!S219/100,"n/a")</f>
        <v>3.4482758620689724E-2</v>
      </c>
      <c r="H627" s="28">
        <f>IF(ISNUMBER(Data!T219),Data!T219/100,"n/a")</f>
        <v>9.2608243623279338E-2</v>
      </c>
      <c r="I627" s="28">
        <f>IF(ISNUMBER(Data!U219),Data!U219/100,"n/a")</f>
        <v>9.5654257747853855E-2</v>
      </c>
      <c r="J627" s="28">
        <f>IF(ISNUMBER(Data!V219),Data!V219/100,"n/a")</f>
        <v>0.11612317403390439</v>
      </c>
      <c r="K627" s="9">
        <f>IF(ISNUMBER(Data!Z219),Data!Z219/100,"n/a")</f>
        <v>0.31920199501246888</v>
      </c>
      <c r="L627" s="10">
        <f>Data!AA219</f>
        <v>9.072319201995013</v>
      </c>
      <c r="M627" s="10">
        <f>Data!AF219</f>
        <v>1.25</v>
      </c>
      <c r="N627" s="28">
        <f>IF(ISNUMBER(Data!AG219),Data!AG219/100,"n/a")</f>
        <v>0.13800000000000001</v>
      </c>
      <c r="O627" s="28">
        <f>IF(ISNUMBER(Data!AJ219),Data!AJ219/100,"n/a")</f>
        <v>0.182</v>
      </c>
      <c r="P627" s="9" t="str">
        <f>IF(ISNUMBER(Data!AK219),Data!AK219/100,"n/a")</f>
        <v>n/a</v>
      </c>
      <c r="Q627" s="8">
        <f>Data!AN219</f>
        <v>0.19</v>
      </c>
      <c r="R627" s="8">
        <f>Data!AP219</f>
        <v>13.08384248726477</v>
      </c>
      <c r="S627" s="8"/>
      <c r="T627" s="8"/>
      <c r="U627" s="8"/>
      <c r="V627" s="1">
        <f t="shared" si="18"/>
        <v>8</v>
      </c>
      <c r="W627" s="1">
        <f t="shared" si="19"/>
        <v>0</v>
      </c>
    </row>
    <row r="628" spans="1:23" hidden="1" x14ac:dyDescent="0.2">
      <c r="A628" s="7" t="str">
        <f>Data!A147</f>
        <v>CMS Energy Corporation</v>
      </c>
      <c r="B628" s="7" t="str">
        <f>Data!B147</f>
        <v>CMS</v>
      </c>
      <c r="C628" s="7" t="str">
        <f>Data!C147</f>
        <v>Utilities</v>
      </c>
      <c r="D628" s="8">
        <f>IF(ISNUMBER(Data!AL147),Data!AL147/1000,"n/a")</f>
        <v>16.420000000000002</v>
      </c>
      <c r="E628" s="1">
        <f>Data!E147</f>
        <v>16</v>
      </c>
      <c r="F628" s="28">
        <f>Data!J147/100</f>
        <v>3.2252410166520598E-2</v>
      </c>
      <c r="G628" s="28">
        <f>IF(ISNUMBER(Data!S147),Data!S147/100,"n/a")</f>
        <v>6.7484662576687171E-2</v>
      </c>
      <c r="H628" s="28">
        <f>IF(ISNUMBER(Data!T147),Data!T147/100,"n/a")</f>
        <v>6.8087945480211243E-2</v>
      </c>
      <c r="I628" s="28">
        <f>IF(ISNUMBER(Data!U147),Data!U147/100,"n/a")</f>
        <v>7.0102830066264943E-2</v>
      </c>
      <c r="J628" s="28">
        <f>IF(ISNUMBER(Data!V147),Data!V147/100,"n/a")</f>
        <v>7.5541063708897793E-2</v>
      </c>
      <c r="K628" s="9">
        <f>IF(ISNUMBER(Data!Z147),Data!Z147/100,"n/a")</f>
        <v>0.73895582329317266</v>
      </c>
      <c r="L628" s="10">
        <f>Data!AA147</f>
        <v>22.911646586345377</v>
      </c>
      <c r="M628" s="10">
        <f>Data!AF147</f>
        <v>2.5099999999999998</v>
      </c>
      <c r="N628" s="28">
        <f>IF(ISNUMBER(Data!AG147),Data!AG147/100,"n/a")</f>
        <v>0.19699999999999998</v>
      </c>
      <c r="O628" s="28">
        <f>IF(ISNUMBER(Data!AJ147),Data!AJ147/100,"n/a")</f>
        <v>0.04</v>
      </c>
      <c r="P628" s="9">
        <f>IF(ISNUMBER(Data!AK147),Data!AK147/100,"n/a")</f>
        <v>8.77E-2</v>
      </c>
      <c r="Q628" s="8">
        <f>Data!AN147</f>
        <v>2.06</v>
      </c>
      <c r="R628" s="8">
        <f>Data!AP147</f>
        <v>10.235524023278554</v>
      </c>
      <c r="S628" s="8"/>
      <c r="T628" s="8"/>
      <c r="U628" s="8"/>
      <c r="V628" s="1">
        <f t="shared" si="18"/>
        <v>8</v>
      </c>
      <c r="W628" s="1">
        <f t="shared" si="19"/>
        <v>0</v>
      </c>
    </row>
    <row r="629" spans="1:23" hidden="1" x14ac:dyDescent="0.2">
      <c r="A629" s="7" t="str">
        <f>Data!A163</f>
        <v>Carlisle Companies Incorporated</v>
      </c>
      <c r="B629" s="7" t="str">
        <f>Data!B163</f>
        <v>CSL</v>
      </c>
      <c r="C629" s="7" t="str">
        <f>Data!C163</f>
        <v>Industrials</v>
      </c>
      <c r="D629" s="8">
        <f>IF(ISNUMBER(Data!AL163),Data!AL163/1000,"n/a")</f>
        <v>14.64</v>
      </c>
      <c r="E629" s="1">
        <f>Data!E163</f>
        <v>46</v>
      </c>
      <c r="F629" s="28">
        <f>Data!J163/100</f>
        <v>1.2562814070351758E-2</v>
      </c>
      <c r="G629" s="28">
        <f>IF(ISNUMBER(Data!S163),Data!S163/100,"n/a")</f>
        <v>3.9024390243902474E-2</v>
      </c>
      <c r="H629" s="28">
        <f>IF(ISNUMBER(Data!T163),Data!T163/100,"n/a")</f>
        <v>0.11417384909773066</v>
      </c>
      <c r="I629" s="28">
        <f>IF(ISNUMBER(Data!U163),Data!U163/100,"n/a")</f>
        <v>0.10379202068900086</v>
      </c>
      <c r="J629" s="28">
        <f>IF(ISNUMBER(Data!V163),Data!V163/100,"n/a")</f>
        <v>0.11770747738947861</v>
      </c>
      <c r="K629" s="9">
        <f>IF(ISNUMBER(Data!Z163),Data!Z163/100,"n/a")</f>
        <v>0.29910269192422734</v>
      </c>
      <c r="L629" s="10">
        <f>Data!AA163</f>
        <v>23.808574277168496</v>
      </c>
      <c r="M629" s="10">
        <f>Data!AF163</f>
        <v>4.3099999999999996</v>
      </c>
      <c r="N629" s="28">
        <f>IF(ISNUMBER(Data!AG163),Data!AG163/100,"n/a")</f>
        <v>0.21</v>
      </c>
      <c r="O629" s="28">
        <f>IF(ISNUMBER(Data!AJ163),Data!AJ163/100,"n/a")</f>
        <v>0.156</v>
      </c>
      <c r="P629" s="9">
        <f>IF(ISNUMBER(Data!AK163),Data!AK163/100,"n/a")</f>
        <v>0.15</v>
      </c>
      <c r="Q629" s="8">
        <f>Data!AN163</f>
        <v>1.02</v>
      </c>
      <c r="R629" s="8">
        <f>Data!AP163</f>
        <v>11.63548347593526</v>
      </c>
      <c r="S629" s="8"/>
      <c r="T629" s="8"/>
      <c r="U629" s="8"/>
      <c r="V629" s="1">
        <f t="shared" si="18"/>
        <v>8</v>
      </c>
      <c r="W629" s="1">
        <f t="shared" si="19"/>
        <v>0</v>
      </c>
    </row>
    <row r="630" spans="1:23" hidden="1" x14ac:dyDescent="0.2">
      <c r="A630" s="7" t="str">
        <f>Data!A114</f>
        <v>Cass Information Systems, Inc.</v>
      </c>
      <c r="B630" s="7" t="str">
        <f>Data!B114</f>
        <v>CASS</v>
      </c>
      <c r="C630" s="7" t="str">
        <f>Data!C114</f>
        <v>Information Technology</v>
      </c>
      <c r="D630" s="8">
        <f>IF(ISNUMBER(Data!AL114),Data!AL114/1000,"n/a")</f>
        <v>0.57492999999999994</v>
      </c>
      <c r="E630" s="1">
        <f>Data!E114</f>
        <v>21</v>
      </c>
      <c r="F630" s="28">
        <f>Data!J114/100</f>
        <v>2.7115474520804112E-2</v>
      </c>
      <c r="G630" s="28">
        <f>IF(ISNUMBER(Data!S114),Data!S114/100,"n/a")</f>
        <v>9.2592592592593004E-3</v>
      </c>
      <c r="H630" s="28">
        <f>IF(ISNUMBER(Data!T114),Data!T114/100,"n/a")</f>
        <v>8.6431937830855787E-2</v>
      </c>
      <c r="I630" s="28">
        <f>IF(ISNUMBER(Data!U114),Data!U114/100,"n/a")</f>
        <v>0.10083463349843381</v>
      </c>
      <c r="J630" s="28">
        <f>IF(ISNUMBER(Data!V114),Data!V114/100,"n/a")</f>
        <v>0.10069247289345483</v>
      </c>
      <c r="K630" s="9">
        <f>IF(ISNUMBER(Data!Z114),Data!Z114/100,"n/a")</f>
        <v>0.48132780082987542</v>
      </c>
      <c r="L630" s="10">
        <f>Data!AA114</f>
        <v>17.751037344398341</v>
      </c>
      <c r="M630" s="10">
        <f>Data!AF114</f>
        <v>2.85</v>
      </c>
      <c r="N630" s="28">
        <f>IF(ISNUMBER(Data!AG114),Data!AG114/100,"n/a")</f>
        <v>0.13</v>
      </c>
      <c r="O630" s="28">
        <f>IF(ISNUMBER(Data!AJ114),Data!AJ114/100,"n/a")</f>
        <v>4.1000000000000009E-2</v>
      </c>
      <c r="P630" s="9" t="str">
        <f>IF(ISNUMBER(Data!AK114),Data!AK114/100,"n/a")</f>
        <v>n/a</v>
      </c>
      <c r="Q630" s="8">
        <f>Data!AN114</f>
        <v>2.85</v>
      </c>
      <c r="R630" s="8">
        <f>Data!AP114</f>
        <v>12.795010801923793</v>
      </c>
      <c r="S630" s="8"/>
      <c r="T630" s="8"/>
      <c r="U630" s="8"/>
      <c r="V630" s="1">
        <f t="shared" si="18"/>
        <v>8</v>
      </c>
      <c r="W630" s="1">
        <f t="shared" si="19"/>
        <v>0</v>
      </c>
    </row>
    <row r="631" spans="1:23" hidden="1" x14ac:dyDescent="0.2">
      <c r="A631" s="7" t="str">
        <f>Data!A120</f>
        <v>Cboe Global Markets, Inc.</v>
      </c>
      <c r="B631" s="7" t="str">
        <f>Data!B120</f>
        <v>CBOE</v>
      </c>
      <c r="C631" s="7" t="str">
        <f>Data!C120</f>
        <v>Financials</v>
      </c>
      <c r="D631" s="8">
        <f>IF(ISNUMBER(Data!AL120),Data!AL120/1000,"n/a")</f>
        <v>13.15</v>
      </c>
      <c r="E631" s="1">
        <f>Data!E120</f>
        <v>13</v>
      </c>
      <c r="F631" s="28">
        <f>Data!J120/100</f>
        <v>1.6064257028112448E-2</v>
      </c>
      <c r="G631" s="28">
        <f>IF(ISNUMBER(Data!S120),Data!S120/100,"n/a")</f>
        <v>0.15384615384615374</v>
      </c>
      <c r="H631" s="28">
        <f>IF(ISNUMBER(Data!T120),Data!T120/100,"n/a")</f>
        <v>0.15772347264219455</v>
      </c>
      <c r="I631" s="28">
        <f>IF(ISNUMBER(Data!U120),Data!U120/100,"n/a")</f>
        <v>0.13396657763302722</v>
      </c>
      <c r="J631" s="28">
        <f>IF(ISNUMBER(Data!V120),Data!V120/100,"n/a")</f>
        <v>0.15128271105738422</v>
      </c>
      <c r="K631" s="9">
        <f>IF(ISNUMBER(Data!Z120),Data!Z120/100,"n/a")</f>
        <v>1.0256410256410258</v>
      </c>
      <c r="L631" s="10">
        <f>Data!AA120</f>
        <v>63.846153846153847</v>
      </c>
      <c r="M631" s="10">
        <f>Data!AF120</f>
        <v>4.09</v>
      </c>
      <c r="N631" s="28">
        <f>IF(ISNUMBER(Data!AG120),Data!AG120/100,"n/a")</f>
        <v>0.06</v>
      </c>
      <c r="O631" s="28">
        <f>IF(ISNUMBER(Data!AJ120),Data!AJ120/100,"n/a")</f>
        <v>0.16699999999999998</v>
      </c>
      <c r="P631" s="9">
        <f>IF(ISNUMBER(Data!AK120),Data!AK120/100,"n/a")</f>
        <v>4.2199999999999994E-2</v>
      </c>
      <c r="Q631" s="8">
        <f>Data!AN120</f>
        <v>0</v>
      </c>
      <c r="R631" s="8">
        <f>Data!AP120</f>
        <v>15.003083466113967</v>
      </c>
      <c r="S631" s="8"/>
      <c r="T631" s="8"/>
      <c r="U631" s="8"/>
      <c r="V631" s="1">
        <f t="shared" si="18"/>
        <v>8</v>
      </c>
      <c r="W631" s="1">
        <f t="shared" si="19"/>
        <v>0</v>
      </c>
    </row>
    <row r="632" spans="1:23" hidden="1" x14ac:dyDescent="0.2">
      <c r="A632" s="7" t="str">
        <f>Data!A666</f>
        <v>UMB Financial Corporation</v>
      </c>
      <c r="B632" s="7" t="str">
        <f>Data!B666</f>
        <v>UMBF</v>
      </c>
      <c r="C632" s="7" t="str">
        <f>Data!C666</f>
        <v>Financials</v>
      </c>
      <c r="D632" s="8">
        <f>IF(ISNUMBER(Data!AL666),Data!AL666/1000,"n/a")</f>
        <v>3.75</v>
      </c>
      <c r="E632" s="1">
        <f>Data!E666</f>
        <v>30</v>
      </c>
      <c r="F632" s="28">
        <f>Data!J666/100</f>
        <v>1.8264840182648401E-2</v>
      </c>
      <c r="G632" s="28">
        <f>IF(ISNUMBER(Data!S666),Data!S666/100,"n/a")</f>
        <v>7.258064516129048E-2</v>
      </c>
      <c r="H632" s="28">
        <f>IF(ISNUMBER(Data!T666),Data!T666/100,"n/a")</f>
        <v>5.1192010553945844E-2</v>
      </c>
      <c r="I632" s="28">
        <f>IF(ISNUMBER(Data!U666),Data!U666/100,"n/a")</f>
        <v>6.2980048262344379E-2</v>
      </c>
      <c r="J632" s="28">
        <f>IF(ISNUMBER(Data!V666),Data!V666/100,"n/a")</f>
        <v>5.4813559178531701E-2</v>
      </c>
      <c r="K632" s="9">
        <f>IF(ISNUMBER(Data!Z666),Data!Z666/100,"n/a")</f>
        <v>0.18073721759809749</v>
      </c>
      <c r="L632" s="10">
        <f>Data!AA666</f>
        <v>9.8953626634958383</v>
      </c>
      <c r="M632" s="10">
        <f>Data!AF666</f>
        <v>1.54</v>
      </c>
      <c r="N632" s="28">
        <f>IF(ISNUMBER(Data!AG666),Data!AG666/100,"n/a")</f>
        <v>0.14799999999999999</v>
      </c>
      <c r="O632" s="28">
        <f>IF(ISNUMBER(Data!AJ666),Data!AJ666/100,"n/a")</f>
        <v>0.184</v>
      </c>
      <c r="P632" s="9" t="str">
        <f>IF(ISNUMBER(Data!AK666),Data!AK666/100,"n/a")</f>
        <v>n/a</v>
      </c>
      <c r="Q632" s="8">
        <f>Data!AN666</f>
        <v>0.15</v>
      </c>
      <c r="R632" s="8">
        <f>Data!AP666</f>
        <v>8.1244888444992789</v>
      </c>
      <c r="S632" s="8"/>
      <c r="T632" s="8"/>
      <c r="U632" s="8"/>
      <c r="V632" s="1">
        <f t="shared" si="18"/>
        <v>10</v>
      </c>
      <c r="W632" s="1">
        <f t="shared" si="19"/>
        <v>0</v>
      </c>
    </row>
    <row r="633" spans="1:23" hidden="1" x14ac:dyDescent="0.2">
      <c r="A633" s="7" t="str">
        <f>Data!A181</f>
        <v>Donegal Group Inc. A</v>
      </c>
      <c r="B633" s="7" t="str">
        <f>Data!B181</f>
        <v>DGICA</v>
      </c>
      <c r="C633" s="7" t="str">
        <f>Data!C181</f>
        <v>Financials</v>
      </c>
      <c r="D633" s="8">
        <f>IF(ISNUMBER(Data!AL181),Data!AL181/1000,"n/a")</f>
        <v>0.47927999999999998</v>
      </c>
      <c r="E633" s="1">
        <f>Data!E181</f>
        <v>20</v>
      </c>
      <c r="F633" s="28">
        <f>Data!J181/100</f>
        <v>4.5081967213114756E-2</v>
      </c>
      <c r="G633" s="28">
        <f>IF(ISNUMBER(Data!S181),Data!S181/100,"n/a")</f>
        <v>5.8823529411764719E-2</v>
      </c>
      <c r="H633" s="28">
        <f>IF(ISNUMBER(Data!T181),Data!T181/100,"n/a")</f>
        <v>3.5439895963785828E-2</v>
      </c>
      <c r="I633" s="28">
        <f>IF(ISNUMBER(Data!U181),Data!U181/100,"n/a")</f>
        <v>2.8469188070353812E-2</v>
      </c>
      <c r="J633" s="28">
        <f>IF(ISNUMBER(Data!V181),Data!V181/100,"n/a")</f>
        <v>2.864304490630798E-2</v>
      </c>
      <c r="K633" s="9">
        <f>IF(ISNUMBER(Data!Z181),Data!Z181/100,"n/a")</f>
        <v>6</v>
      </c>
      <c r="L633" s="10">
        <f>Data!AA181</f>
        <v>133.09090909090909</v>
      </c>
      <c r="M633" s="10">
        <f>Data!AF181</f>
        <v>0.91</v>
      </c>
      <c r="N633" s="28">
        <f>IF(ISNUMBER(Data!AG181),Data!AG181/100,"n/a")</f>
        <v>5.2999999999999999E-2</v>
      </c>
      <c r="O633" s="28">
        <f>IF(ISNUMBER(Data!AJ181),Data!AJ181/100,"n/a")</f>
        <v>-6.5000000000000002E-2</v>
      </c>
      <c r="P633" s="9">
        <f>IF(ISNUMBER(Data!AK181),Data!AK181/100,"n/a")</f>
        <v>0.1</v>
      </c>
      <c r="Q633" s="8">
        <f>Data!AN181</f>
        <v>7.0000000000000007E-2</v>
      </c>
      <c r="R633" s="8">
        <f>Data!AP181</f>
        <v>7.3551155283468566</v>
      </c>
      <c r="S633" s="8"/>
      <c r="T633" s="8"/>
      <c r="U633" s="8"/>
      <c r="V633" s="1">
        <f t="shared" si="18"/>
        <v>5</v>
      </c>
      <c r="W633" s="1">
        <f t="shared" si="19"/>
        <v>0</v>
      </c>
    </row>
    <row r="634" spans="1:23" hidden="1" x14ac:dyDescent="0.2">
      <c r="A634" s="7" t="str">
        <f>Data!A115</f>
        <v>Casey's General Stores, Inc.</v>
      </c>
      <c r="B634" s="7" t="str">
        <f>Data!B115</f>
        <v>CASY</v>
      </c>
      <c r="C634" s="7" t="str">
        <f>Data!C115</f>
        <v>Consumer Staples</v>
      </c>
      <c r="D634" s="8">
        <f>IF(ISNUMBER(Data!AL115),Data!AL115/1000,"n/a")</f>
        <v>8.48</v>
      </c>
      <c r="E634" s="1">
        <f>Data!E115</f>
        <v>22</v>
      </c>
      <c r="F634" s="28">
        <f>Data!J115/100</f>
        <v>6.5317347771904942E-3</v>
      </c>
      <c r="G634" s="28">
        <f>IF(ISNUMBER(Data!S115),Data!S115/100,"n/a")</f>
        <v>7.03125E-2</v>
      </c>
      <c r="H634" s="28">
        <f>IF(ISNUMBER(Data!T115),Data!T115/100,"n/a")</f>
        <v>7.5910041128383288E-2</v>
      </c>
      <c r="I634" s="28">
        <f>IF(ISNUMBER(Data!U115),Data!U115/100,"n/a")</f>
        <v>8.2895497423370865E-2</v>
      </c>
      <c r="J634" s="28">
        <f>IF(ISNUMBER(Data!V115),Data!V115/100,"n/a")</f>
        <v>9.165289579363245E-2</v>
      </c>
      <c r="K634" s="9">
        <f>IF(ISNUMBER(Data!Z115),Data!Z115/100,"n/a")</f>
        <v>0.15215215215215214</v>
      </c>
      <c r="L634" s="10">
        <f>Data!AA115</f>
        <v>23.294294294294296</v>
      </c>
      <c r="M634" s="10">
        <f>Data!AF115</f>
        <v>3.62</v>
      </c>
      <c r="N634" s="28">
        <f>IF(ISNUMBER(Data!AG115),Data!AG115/100,"n/a")</f>
        <v>0.16699999999999998</v>
      </c>
      <c r="O634" s="28">
        <f>IF(ISNUMBER(Data!AJ115),Data!AJ115/100,"n/a")</f>
        <v>0.152</v>
      </c>
      <c r="P634" s="9">
        <f>IF(ISNUMBER(Data!AK115),Data!AK115/100,"n/a")</f>
        <v>6.7100000000000007E-2</v>
      </c>
      <c r="Q634" s="8">
        <f>Data!AN115</f>
        <v>0.7</v>
      </c>
      <c r="R634" s="8">
        <f>Data!AP115</f>
        <v>8.942723220056136</v>
      </c>
      <c r="S634" s="8"/>
      <c r="T634" s="8"/>
      <c r="U634" s="8"/>
      <c r="V634" s="1">
        <f t="shared" si="18"/>
        <v>10</v>
      </c>
      <c r="W634" s="1">
        <f t="shared" si="19"/>
        <v>0</v>
      </c>
    </row>
    <row r="635" spans="1:23" hidden="1" x14ac:dyDescent="0.2">
      <c r="A635" s="7" t="str">
        <f>Data!A125</f>
        <v>CCFNB Bancorp, Inc.</v>
      </c>
      <c r="B635" s="7" t="str">
        <f>Data!B125</f>
        <v>CCFN</v>
      </c>
      <c r="C635" s="7" t="str">
        <f>Data!C125</f>
        <v>Financials</v>
      </c>
      <c r="D635" s="8" t="str">
        <f>IF(ISNUMBER(Data!AL125),Data!AL125/1000,"n/a")</f>
        <v>n/a</v>
      </c>
      <c r="E635" s="1">
        <f>Data!E125</f>
        <v>25</v>
      </c>
      <c r="F635" s="28">
        <f>Data!J125/100</f>
        <v>3.8181818181818178E-2</v>
      </c>
      <c r="G635" s="28">
        <f>IF(ISNUMBER(Data!S125),Data!S125/100,"n/a")</f>
        <v>2.5157232704402288E-2</v>
      </c>
      <c r="H635" s="28">
        <f>IF(ISNUMBER(Data!T125),Data!T125/100,"n/a")</f>
        <v>2.5817772505764225E-2</v>
      </c>
      <c r="I635" s="28">
        <f>IF(ISNUMBER(Data!U125),Data!U125/100,"n/a")</f>
        <v>2.5810501320566281E-2</v>
      </c>
      <c r="J635" s="28">
        <f>IF(ISNUMBER(Data!V125),Data!V125/100,"n/a")</f>
        <v>2.7724220986734105E-2</v>
      </c>
      <c r="K635" s="9" t="str">
        <f>IF(ISNUMBER(Data!Z125),Data!Z125/100,"n/a")</f>
        <v>n/a</v>
      </c>
      <c r="L635" s="10" t="str">
        <f>Data!AA125</f>
        <v>n/a</v>
      </c>
      <c r="M635" s="10" t="str">
        <f>Data!AF125</f>
        <v>n/a</v>
      </c>
      <c r="N635" s="28" t="str">
        <f>IF(ISNUMBER(Data!AG125),Data!AG125/100,"n/a")</f>
        <v>n/a</v>
      </c>
      <c r="O635" s="28" t="str">
        <f>IF(ISNUMBER(Data!AJ125),Data!AJ125/100,"n/a")</f>
        <v>n/a</v>
      </c>
      <c r="P635" s="9" t="str">
        <f>IF(ISNUMBER(Data!AK125),Data!AK125/100,"n/a")</f>
        <v>n/a</v>
      </c>
      <c r="Q635" s="8" t="str">
        <f>Data!AN125</f>
        <v>n/a</v>
      </c>
      <c r="R635" s="8">
        <f>Data!AP125</f>
        <v>6.3992319502384465</v>
      </c>
      <c r="S635" s="8"/>
      <c r="T635" s="8"/>
      <c r="U635" s="8"/>
      <c r="V635" s="1">
        <f t="shared" si="18"/>
        <v>2</v>
      </c>
      <c r="W635" s="1">
        <f t="shared" si="19"/>
        <v>0</v>
      </c>
    </row>
    <row r="636" spans="1:23" hidden="1" x14ac:dyDescent="0.2">
      <c r="A636" s="7" t="str">
        <f>Data!A113</f>
        <v>Cardinal Health, Inc.</v>
      </c>
      <c r="B636" s="7" t="str">
        <f>Data!B113</f>
        <v>CAH</v>
      </c>
      <c r="C636" s="7" t="str">
        <f>Data!C113</f>
        <v>Health Care</v>
      </c>
      <c r="D636" s="8">
        <f>IF(ISNUMBER(Data!AL113),Data!AL113/1000,"n/a")</f>
        <v>19.739999999999998</v>
      </c>
      <c r="E636" s="1">
        <f>Data!E113</f>
        <v>26</v>
      </c>
      <c r="F636" s="28">
        <f>Data!J113/100</f>
        <v>2.6123847167325426E-2</v>
      </c>
      <c r="G636" s="28">
        <f>IF(ISNUMBER(Data!S113),Data!S113/100,"n/a")</f>
        <v>1.0031023784901727E-2</v>
      </c>
      <c r="H636" s="28">
        <f>IF(ISNUMBER(Data!T113),Data!T113/100,"n/a")</f>
        <v>1.3567748900666476E-2</v>
      </c>
      <c r="I636" s="28">
        <f>IF(ISNUMBER(Data!U113),Data!U113/100,"n/a")</f>
        <v>3.1623846457122129E-2</v>
      </c>
      <c r="J636" s="28">
        <f>IF(ISNUMBER(Data!V113),Data!V113/100,"n/a")</f>
        <v>9.0680963440568529E-2</v>
      </c>
      <c r="K636" s="9" t="str">
        <f>IF(ISNUMBER(Data!Z113),Data!Z113/100,"n/a")</f>
        <v>n/a</v>
      </c>
      <c r="L636" s="10" t="str">
        <f>Data!AA113</f>
        <v>n/a</v>
      </c>
      <c r="M636" s="10" t="str">
        <f>Data!AF113</f>
        <v>n/a</v>
      </c>
      <c r="N636" s="28">
        <f>IF(ISNUMBER(Data!AG113),Data!AG113/100,"n/a")</f>
        <v>-3.7890000000000001</v>
      </c>
      <c r="O636" s="28">
        <f>IF(ISNUMBER(Data!AJ113),Data!AJ113/100,"n/a")</f>
        <v>-0.23100000000000001</v>
      </c>
      <c r="P636" s="9">
        <f>IF(ISNUMBER(Data!AK113),Data!AK113/100,"n/a")</f>
        <v>0.1</v>
      </c>
      <c r="Q636" s="8" t="str">
        <f>Data!AN113</f>
        <v>n/a</v>
      </c>
      <c r="R636" s="8">
        <f>Data!AP113</f>
        <v>5.774769362444756</v>
      </c>
      <c r="S636" s="8"/>
      <c r="T636" s="8"/>
      <c r="U636" s="8"/>
      <c r="V636" s="1">
        <f t="shared" si="18"/>
        <v>5</v>
      </c>
      <c r="W636" s="1">
        <f t="shared" si="19"/>
        <v>0</v>
      </c>
    </row>
    <row r="637" spans="1:23" hidden="1" x14ac:dyDescent="0.2">
      <c r="A637" s="7" t="str">
        <f>Data!A134</f>
        <v>Community Healthcare Trust Incorporated</v>
      </c>
      <c r="B637" s="7" t="str">
        <f>Data!B134</f>
        <v>CHCT</v>
      </c>
      <c r="C637" s="7" t="str">
        <f>Data!C134</f>
        <v>Real Estate</v>
      </c>
      <c r="D637" s="8">
        <f>IF(ISNUMBER(Data!AL134),Data!AL134/1000,"n/a")</f>
        <v>0.83857999999999999</v>
      </c>
      <c r="E637" s="1">
        <f>Data!E134</f>
        <v>8</v>
      </c>
      <c r="F637" s="28">
        <f>Data!J134/100</f>
        <v>5.1445086705202314E-2</v>
      </c>
      <c r="G637" s="28">
        <f>IF(ISNUMBER(Data!S134),Data!S134/100,"n/a")</f>
        <v>2.3738872403560762E-2</v>
      </c>
      <c r="H637" s="28">
        <f>IF(ISNUMBER(Data!T134),Data!T134/100,"n/a")</f>
        <v>2.4325586145465206E-2</v>
      </c>
      <c r="I637" s="28">
        <f>IF(ISNUMBER(Data!U134),Data!U134/100,"n/a")</f>
        <v>2.4952764470199895E-2</v>
      </c>
      <c r="J637" s="28" t="str">
        <f>IF(ISNUMBER(Data!V134),Data!V134/100,"n/a")</f>
        <v>n/a</v>
      </c>
      <c r="K637" s="9">
        <f>IF(ISNUMBER(Data!Z134),Data!Z134/100,"n/a")</f>
        <v>2.0941176470588236</v>
      </c>
      <c r="L637" s="10">
        <f>Data!AA134</f>
        <v>40.705882352941181</v>
      </c>
      <c r="M637" s="10">
        <f>Data!AF134</f>
        <v>1.71</v>
      </c>
      <c r="N637" s="28">
        <f>IF(ISNUMBER(Data!AG134),Data!AG134/100,"n/a")</f>
        <v>4.2999999999999997E-2</v>
      </c>
      <c r="O637" s="28">
        <f>IF(ISNUMBER(Data!AJ134),Data!AJ134/100,"n/a")</f>
        <v>0.29299999999999998</v>
      </c>
      <c r="P637" s="9" t="str">
        <f>IF(ISNUMBER(Data!AK134),Data!AK134/100,"n/a")</f>
        <v>n/a</v>
      </c>
      <c r="Q637" s="8">
        <f>Data!AN134</f>
        <v>0.62</v>
      </c>
      <c r="R637" s="8">
        <f>Data!AP134</f>
        <v>7.6397851175402209</v>
      </c>
      <c r="S637" s="8"/>
      <c r="T637" s="8"/>
      <c r="U637" s="8"/>
      <c r="V637" s="1">
        <f t="shared" si="18"/>
        <v>3</v>
      </c>
      <c r="W637" s="1">
        <f t="shared" si="19"/>
        <v>0</v>
      </c>
    </row>
    <row r="638" spans="1:23" hidden="1" x14ac:dyDescent="0.2">
      <c r="A638" s="7" t="str">
        <f>Data!A142</f>
        <v>The Clorox Company</v>
      </c>
      <c r="B638" s="7" t="str">
        <f>Data!B142</f>
        <v>CLX</v>
      </c>
      <c r="C638" s="7" t="str">
        <f>Data!C142</f>
        <v>Consumer Staples</v>
      </c>
      <c r="D638" s="8">
        <f>IF(ISNUMBER(Data!AL142),Data!AL142/1000,"n/a")</f>
        <v>17.649999999999999</v>
      </c>
      <c r="E638" s="1">
        <f>Data!E142</f>
        <v>45</v>
      </c>
      <c r="F638" s="28">
        <f>Data!J142/100</f>
        <v>3.2319912352780061E-2</v>
      </c>
      <c r="G638" s="28">
        <f>IF(ISNUMBER(Data!S142),Data!S142/100,"n/a")</f>
        <v>4.6082949308755783E-2</v>
      </c>
      <c r="H638" s="28">
        <f>IF(ISNUMBER(Data!T142),Data!T142/100,"n/a")</f>
        <v>6.8655284433581709E-2</v>
      </c>
      <c r="I638" s="28">
        <f>IF(ISNUMBER(Data!U142),Data!U142/100,"n/a")</f>
        <v>7.6527779014981867E-2</v>
      </c>
      <c r="J638" s="28">
        <f>IF(ISNUMBER(Data!V142),Data!V142/100,"n/a")</f>
        <v>7.0367223269633961E-2</v>
      </c>
      <c r="K638" s="9">
        <f>IF(ISNUMBER(Data!Z142),Data!Z142/100,"n/a")</f>
        <v>1.2654155495978552</v>
      </c>
      <c r="L638" s="10">
        <f>Data!AA142</f>
        <v>39.152815013404826</v>
      </c>
      <c r="M638" s="10">
        <f>Data!AF142</f>
        <v>32.85</v>
      </c>
      <c r="N638" s="28">
        <f>IF(ISNUMBER(Data!AG142),Data!AG142/100,"n/a")</f>
        <v>1.129</v>
      </c>
      <c r="O638" s="28">
        <f>IF(ISNUMBER(Data!AJ142),Data!AJ142/100,"n/a")</f>
        <v>-6.9000000000000006E-2</v>
      </c>
      <c r="P638" s="9">
        <f>IF(ISNUMBER(Data!AK142),Data!AK142/100,"n/a")</f>
        <v>0.12709999999999999</v>
      </c>
      <c r="Q638" s="8">
        <f>Data!AN142</f>
        <v>4.88</v>
      </c>
      <c r="R638" s="8">
        <f>Data!AP142</f>
        <v>10.884769136776193</v>
      </c>
      <c r="S638" s="8"/>
      <c r="T638" s="8"/>
      <c r="U638" s="8"/>
      <c r="V638" s="1">
        <f t="shared" si="18"/>
        <v>7</v>
      </c>
      <c r="W638" s="1">
        <f t="shared" si="19"/>
        <v>0</v>
      </c>
    </row>
    <row r="639" spans="1:23" hidden="1" x14ac:dyDescent="0.2">
      <c r="A639" s="7" t="str">
        <f>Data!A112</f>
        <v>Cadence Bank</v>
      </c>
      <c r="B639" s="7" t="str">
        <f>Data!B112</f>
        <v>CADE</v>
      </c>
      <c r="C639" s="7" t="str">
        <f>Data!C112</f>
        <v>Financials</v>
      </c>
      <c r="D639" s="8">
        <f>IF(ISNUMBER(Data!AL112),Data!AL112/1000,"n/a")</f>
        <v>4.9000000000000004</v>
      </c>
      <c r="E639" s="1">
        <f>Data!E112</f>
        <v>9</v>
      </c>
      <c r="F639" s="28">
        <f>Data!J112/100</f>
        <v>3.1826401446654613E-2</v>
      </c>
      <c r="G639" s="28">
        <f>IF(ISNUMBER(Data!S112),Data!S112/100,"n/a")</f>
        <v>4.0540540540540571E-2</v>
      </c>
      <c r="H639" s="28">
        <f>IF(ISNUMBER(Data!T112),Data!T112/100,"n/a")</f>
        <v>9.281396914944097E-2</v>
      </c>
      <c r="I639" s="28">
        <f>IF(ISNUMBER(Data!U112),Data!U112/100,"n/a")</f>
        <v>0.12621254069680465</v>
      </c>
      <c r="J639" s="28">
        <f>IF(ISNUMBER(Data!V112),Data!V112/100,"n/a")</f>
        <v>8.203738981834284E-2</v>
      </c>
      <c r="K639" s="9">
        <f>IF(ISNUMBER(Data!Z112),Data!Z112/100,"n/a")</f>
        <v>0.51162790697674421</v>
      </c>
      <c r="L639" s="10">
        <f>Data!AA112</f>
        <v>16.075581395348838</v>
      </c>
      <c r="M639" s="10">
        <f>Data!AF112</f>
        <v>1.19</v>
      </c>
      <c r="N639" s="28">
        <f>IF(ISNUMBER(Data!AG112),Data!AG112/100,"n/a")</f>
        <v>5.2999999999999999E-2</v>
      </c>
      <c r="O639" s="28">
        <f>IF(ISNUMBER(Data!AJ112),Data!AJ112/100,"n/a")</f>
        <v>1.7999999999999999E-2</v>
      </c>
      <c r="P639" s="9">
        <f>IF(ISNUMBER(Data!AK112),Data!AK112/100,"n/a")</f>
        <v>0.05</v>
      </c>
      <c r="Q639" s="8">
        <f>Data!AN112</f>
        <v>0.11</v>
      </c>
      <c r="R639" s="8">
        <f>Data!AP112</f>
        <v>15.803894214345926</v>
      </c>
      <c r="S639" s="8"/>
      <c r="T639" s="8"/>
      <c r="U639" s="8"/>
      <c r="V639" s="1">
        <f t="shared" si="18"/>
        <v>10</v>
      </c>
      <c r="W639" s="1">
        <f t="shared" si="19"/>
        <v>0</v>
      </c>
    </row>
    <row r="640" spans="1:23" hidden="1" x14ac:dyDescent="0.2">
      <c r="A640" s="7" t="str">
        <f>Data!A83</f>
        <v>Balchem Corporation</v>
      </c>
      <c r="B640" s="7" t="str">
        <f>Data!B83</f>
        <v>BCPC</v>
      </c>
      <c r="C640" s="7" t="str">
        <f>Data!C83</f>
        <v>Materials</v>
      </c>
      <c r="D640" s="8">
        <f>IF(ISNUMBER(Data!AL83),Data!AL83/1000,"n/a")</f>
        <v>4.38</v>
      </c>
      <c r="E640" s="1">
        <f>Data!E83</f>
        <v>13</v>
      </c>
      <c r="F640" s="28">
        <f>Data!J83/100</f>
        <v>4.57796852646638E-3</v>
      </c>
      <c r="G640" s="28">
        <f>IF(ISNUMBER(Data!S83),Data!S83/100,"n/a")</f>
        <v>0.11538461538461518</v>
      </c>
      <c r="H640" s="28">
        <f>IF(ISNUMBER(Data!T83),Data!T83/100,"n/a")</f>
        <v>0.11359233863244601</v>
      </c>
      <c r="I640" s="28">
        <f>IF(ISNUMBER(Data!U83),Data!U83/100,"n/a")</f>
        <v>0.11273004664881793</v>
      </c>
      <c r="J640" s="28">
        <f>IF(ISNUMBER(Data!V83),Data!V83/100,"n/a")</f>
        <v>0.1448106829620508</v>
      </c>
      <c r="K640" s="9">
        <f>IF(ISNUMBER(Data!Z83),Data!Z83/100,"n/a")</f>
        <v>0.19161676646706588</v>
      </c>
      <c r="L640" s="10">
        <f>Data!AA83</f>
        <v>41.856287425149709</v>
      </c>
      <c r="M640" s="10">
        <f>Data!AF83</f>
        <v>4.97</v>
      </c>
      <c r="N640" s="28">
        <f>IF(ISNUMBER(Data!AG83),Data!AG83/100,"n/a")</f>
        <v>0.12300000000000001</v>
      </c>
      <c r="O640" s="28">
        <f>IF(ISNUMBER(Data!AJ83),Data!AJ83/100,"n/a")</f>
        <v>0.109</v>
      </c>
      <c r="P640" s="9">
        <f>IF(ISNUMBER(Data!AK83),Data!AK83/100,"n/a")</f>
        <v>0.24</v>
      </c>
      <c r="Q640" s="8">
        <f>Data!AN83</f>
        <v>0.48</v>
      </c>
      <c r="R640" s="8">
        <f>Data!AP83</f>
        <v>11.73080151752843</v>
      </c>
      <c r="S640" s="8"/>
      <c r="T640" s="8"/>
      <c r="U640" s="8"/>
      <c r="V640" s="1">
        <f t="shared" si="18"/>
        <v>9</v>
      </c>
      <c r="W640" s="1">
        <f t="shared" si="19"/>
        <v>0</v>
      </c>
    </row>
    <row r="641" spans="1:23" hidden="1" x14ac:dyDescent="0.2">
      <c r="A641" s="7" t="str">
        <f>Data!A88</f>
        <v>Bar Harbor Bankshares</v>
      </c>
      <c r="B641" s="7" t="str">
        <f>Data!B88</f>
        <v>BHB</v>
      </c>
      <c r="C641" s="7" t="str">
        <f>Data!C88</f>
        <v>Financials</v>
      </c>
      <c r="D641" s="8">
        <f>IF(ISNUMBER(Data!AL88),Data!AL88/1000,"n/a")</f>
        <v>0.43808999999999998</v>
      </c>
      <c r="E641" s="1">
        <f>Data!E88</f>
        <v>19</v>
      </c>
      <c r="F641" s="28">
        <f>Data!J88/100</f>
        <v>3.4655114961679438E-2</v>
      </c>
      <c r="G641" s="28">
        <f>IF(ISNUMBER(Data!S88),Data!S88/100,"n/a")</f>
        <v>6.8181818181818121E-2</v>
      </c>
      <c r="H641" s="28">
        <f>IF(ISNUMBER(Data!T88),Data!T88/100,"n/a")</f>
        <v>6.1140526388784755E-2</v>
      </c>
      <c r="I641" s="28">
        <f>IF(ISNUMBER(Data!U88),Data!U88/100,"n/a")</f>
        <v>5.2830658025427413E-2</v>
      </c>
      <c r="J641" s="28">
        <f>IF(ISNUMBER(Data!V88),Data!V88/100,"n/a")</f>
        <v>6.8045182038845242E-2</v>
      </c>
      <c r="K641" s="9">
        <f>IF(ISNUMBER(Data!Z88),Data!Z88/100,"n/a")</f>
        <v>0.38518518518518519</v>
      </c>
      <c r="L641" s="10">
        <f>Data!AA88</f>
        <v>11.114814814814814</v>
      </c>
      <c r="M641" s="10">
        <f>Data!AF88</f>
        <v>1.17</v>
      </c>
      <c r="N641" s="28">
        <f>IF(ISNUMBER(Data!AG88),Data!AG88/100,"n/a")</f>
        <v>9.5000000000000001E-2</v>
      </c>
      <c r="O641" s="28">
        <f>IF(ISNUMBER(Data!AJ88),Data!AJ88/100,"n/a")</f>
        <v>9.8000000000000004E-2</v>
      </c>
      <c r="P641" s="9" t="str">
        <f>IF(ISNUMBER(Data!AK88),Data!AK88/100,"n/a")</f>
        <v>n/a</v>
      </c>
      <c r="Q641" s="8">
        <f>Data!AN88</f>
        <v>0.15</v>
      </c>
      <c r="R641" s="8">
        <f>Data!AP88</f>
        <v>8.7485772987106856</v>
      </c>
      <c r="S641" s="8"/>
      <c r="T641" s="8"/>
      <c r="U641" s="8"/>
      <c r="V641" s="1">
        <f t="shared" si="18"/>
        <v>9</v>
      </c>
      <c r="W641" s="1">
        <f t="shared" si="19"/>
        <v>0</v>
      </c>
    </row>
    <row r="642" spans="1:23" hidden="1" x14ac:dyDescent="0.2">
      <c r="A642" s="7" t="str">
        <f>Data!A108</f>
        <v>Bankwell Financial Group, Inc.</v>
      </c>
      <c r="B642" s="7" t="str">
        <f>Data!B108</f>
        <v>BWFG</v>
      </c>
      <c r="C642" s="7" t="str">
        <f>Data!C108</f>
        <v>Financials</v>
      </c>
      <c r="D642" s="8">
        <f>IF(ISNUMBER(Data!AL108),Data!AL108/1000,"n/a")</f>
        <v>0.23255000000000001</v>
      </c>
      <c r="E642" s="1">
        <f>Data!E108</f>
        <v>8</v>
      </c>
      <c r="F642" s="28">
        <f>Data!J108/100</f>
        <v>2.6109660574412535E-2</v>
      </c>
      <c r="G642" s="28">
        <f>IF(ISNUMBER(Data!S108),Data!S108/100,"n/a")</f>
        <v>0.14285714285714279</v>
      </c>
      <c r="H642" s="28">
        <f>IF(ISNUMBER(Data!T108),Data!T108/100,"n/a")</f>
        <v>0.10064241629820891</v>
      </c>
      <c r="I642" s="28">
        <f>IF(ISNUMBER(Data!U108),Data!U108/100,"n/a")</f>
        <v>0.23808784136769123</v>
      </c>
      <c r="J642" s="28" t="str">
        <f>IF(ISNUMBER(Data!V108),Data!V108/100,"n/a")</f>
        <v>n/a</v>
      </c>
      <c r="K642" s="9">
        <f>IF(ISNUMBER(Data!Z108),Data!Z108/100,"n/a")</f>
        <v>0.21680216802168023</v>
      </c>
      <c r="L642" s="10">
        <f>Data!AA108</f>
        <v>8.3035230352303522</v>
      </c>
      <c r="M642" s="10">
        <f>Data!AF108</f>
        <v>1.03</v>
      </c>
      <c r="N642" s="28">
        <f>IF(ISNUMBER(Data!AG108),Data!AG108/100,"n/a")</f>
        <v>0.13700000000000001</v>
      </c>
      <c r="O642" s="28">
        <f>IF(ISNUMBER(Data!AJ108),Data!AJ108/100,"n/a")</f>
        <v>0.158</v>
      </c>
      <c r="P642" s="9" t="str">
        <f>IF(ISNUMBER(Data!AK108),Data!AK108/100,"n/a")</f>
        <v>n/a</v>
      </c>
      <c r="Q642" s="8">
        <f>Data!AN108</f>
        <v>0.15</v>
      </c>
      <c r="R642" s="8">
        <f>Data!AP108</f>
        <v>26.419750194210376</v>
      </c>
      <c r="S642" s="8"/>
      <c r="T642" s="8"/>
      <c r="U642" s="8"/>
      <c r="V642" s="1">
        <f t="shared" si="18"/>
        <v>8</v>
      </c>
      <c r="W642" s="1">
        <f t="shared" si="19"/>
        <v>0</v>
      </c>
    </row>
    <row r="643" spans="1:23" hidden="1" x14ac:dyDescent="0.2">
      <c r="A643" s="7" t="str">
        <f>Data!A107</f>
        <v>Sierra Bancorp</v>
      </c>
      <c r="B643" s="7" t="str">
        <f>Data!B107</f>
        <v>BSRR</v>
      </c>
      <c r="C643" s="7" t="str">
        <f>Data!C107</f>
        <v>Financials</v>
      </c>
      <c r="D643" s="8">
        <f>IF(ISNUMBER(Data!AL107),Data!AL107/1000,"n/a")</f>
        <v>0.32524000000000003</v>
      </c>
      <c r="E643" s="1">
        <f>Data!E107</f>
        <v>10</v>
      </c>
      <c r="F643" s="28">
        <f>Data!J107/100</f>
        <v>4.1723356009070296E-2</v>
      </c>
      <c r="G643" s="28">
        <f>IF(ISNUMBER(Data!S107),Data!S107/100,"n/a")</f>
        <v>7.4999999999999956E-2</v>
      </c>
      <c r="H643" s="28">
        <f>IF(ISNUMBER(Data!T107),Data!T107/100,"n/a")</f>
        <v>0.103501240610526</v>
      </c>
      <c r="I643" s="28">
        <f>IF(ISNUMBER(Data!U107),Data!U107/100,"n/a")</f>
        <v>0.12370274760425982</v>
      </c>
      <c r="J643" s="28">
        <f>IF(ISNUMBER(Data!V107),Data!V107/100,"n/a")</f>
        <v>0.13613181351402259</v>
      </c>
      <c r="K643" s="9">
        <f>IF(ISNUMBER(Data!Z107),Data!Z107/100,"n/a")</f>
        <v>0.38493723849372385</v>
      </c>
      <c r="L643" s="10">
        <f>Data!AA107</f>
        <v>9.2259414225941416</v>
      </c>
      <c r="M643" s="10">
        <f>Data!AF107</f>
        <v>1.1000000000000001</v>
      </c>
      <c r="N643" s="28">
        <f>IF(ISNUMBER(Data!AG107),Data!AG107/100,"n/a")</f>
        <v>0.11600000000000002</v>
      </c>
      <c r="O643" s="28">
        <f>IF(ISNUMBER(Data!AJ107),Data!AJ107/100,"n/a")</f>
        <v>0.16800000000000001</v>
      </c>
      <c r="P643" s="9">
        <f>IF(ISNUMBER(Data!AK107),Data!AK107/100,"n/a")</f>
        <v>0.08</v>
      </c>
      <c r="Q643" s="8">
        <f>Data!AN107</f>
        <v>0.28000000000000003</v>
      </c>
      <c r="R643" s="8">
        <f>Data!AP107</f>
        <v>16.542610361333011</v>
      </c>
      <c r="S643" s="8"/>
      <c r="T643" s="8"/>
      <c r="U643" s="8"/>
      <c r="V643" s="1">
        <f t="shared" si="18"/>
        <v>10</v>
      </c>
      <c r="W643" s="1">
        <f t="shared" si="19"/>
        <v>0</v>
      </c>
    </row>
    <row r="644" spans="1:23" hidden="1" x14ac:dyDescent="0.2">
      <c r="A644" s="7" t="str">
        <f>Data!A87</f>
        <v>Brown-Forman Corporation</v>
      </c>
      <c r="B644" s="7" t="str">
        <f>Data!B87</f>
        <v>BF-B</v>
      </c>
      <c r="C644" s="7" t="str">
        <f>Data!C87</f>
        <v>Consumer Staples</v>
      </c>
      <c r="D644" s="8">
        <f>IF(ISNUMBER(Data!AL87),Data!AL87/1000,"n/a")</f>
        <v>32.01</v>
      </c>
      <c r="E644" s="1">
        <f>Data!E87</f>
        <v>37</v>
      </c>
      <c r="F644" s="28">
        <f>Data!J87/100</f>
        <v>1.1088235294117647E-2</v>
      </c>
      <c r="G644" s="28">
        <f>IF(ISNUMBER(Data!S87),Data!S87/100,"n/a")</f>
        <v>2.9833620195065969E-2</v>
      </c>
      <c r="H644" s="28">
        <f>IF(ISNUMBER(Data!T87),Data!T87/100,"n/a")</f>
        <v>4.3443942006099245E-2</v>
      </c>
      <c r="I644" s="28">
        <f>IF(ISNUMBER(Data!U87),Data!U87/100,"n/a")</f>
        <v>5.7073313473118059E-2</v>
      </c>
      <c r="J644" s="28">
        <f>IF(ISNUMBER(Data!V87),Data!V87/100,"n/a")</f>
        <v>7.4702951580083887E-2</v>
      </c>
      <c r="K644" s="9">
        <f>IF(ISNUMBER(Data!Z87),Data!Z87/100,"n/a")</f>
        <v>0.40537634408602147</v>
      </c>
      <c r="L644" s="10">
        <f>Data!AA87</f>
        <v>36.559139784946233</v>
      </c>
      <c r="M644" s="10">
        <f>Data!AF87</f>
        <v>11.63</v>
      </c>
      <c r="N644" s="28">
        <f>IF(ISNUMBER(Data!AG87),Data!AG87/100,"n/a")</f>
        <v>0.32600000000000001</v>
      </c>
      <c r="O644" s="28">
        <f>IF(ISNUMBER(Data!AJ87),Data!AJ87/100,"n/a")</f>
        <v>4.9000000000000002E-2</v>
      </c>
      <c r="P644" s="9">
        <f>IF(ISNUMBER(Data!AK87),Data!AK87/100,"n/a")</f>
        <v>9.1499999999999998E-2</v>
      </c>
      <c r="Q644" s="8">
        <f>Data!AN87</f>
        <v>0.8</v>
      </c>
      <c r="R644" s="8">
        <f>Data!AP87</f>
        <v>6.8161548767235711</v>
      </c>
      <c r="S644" s="8"/>
      <c r="T644" s="8"/>
      <c r="U644" s="8"/>
      <c r="V644" s="1">
        <f t="shared" si="18"/>
        <v>7</v>
      </c>
      <c r="W644" s="1">
        <f t="shared" si="19"/>
        <v>0</v>
      </c>
    </row>
    <row r="645" spans="1:23" hidden="1" x14ac:dyDescent="0.2">
      <c r="A645" s="7" t="str">
        <f>Data!A90</f>
        <v>The Bank of New York Mellon Corporation</v>
      </c>
      <c r="B645" s="7" t="str">
        <f>Data!B90</f>
        <v>BK</v>
      </c>
      <c r="C645" s="7" t="str">
        <f>Data!C90</f>
        <v>Financials</v>
      </c>
      <c r="D645" s="8">
        <f>IF(ISNUMBER(Data!AL90),Data!AL90/1000,"n/a")</f>
        <v>33.659999999999997</v>
      </c>
      <c r="E645" s="1">
        <f>Data!E90</f>
        <v>12</v>
      </c>
      <c r="F645" s="28">
        <f>Data!J90/100</f>
        <v>3.5146046069817145E-2</v>
      </c>
      <c r="G645" s="28">
        <f>IF(ISNUMBER(Data!S90),Data!S90/100,"n/a")</f>
        <v>4.8387096774193505E-2</v>
      </c>
      <c r="H645" s="28">
        <f>IF(ISNUMBER(Data!T90),Data!T90/100,"n/a")</f>
        <v>7.7217345015941907E-2</v>
      </c>
      <c r="I645" s="28">
        <f>IF(ISNUMBER(Data!U90),Data!U90/100,"n/a")</f>
        <v>0.12543954530480295</v>
      </c>
      <c r="J645" s="28">
        <f>IF(ISNUMBER(Data!V90),Data!V90/100,"n/a")</f>
        <v>0.1047657747561843</v>
      </c>
      <c r="K645" s="9">
        <f>IF(ISNUMBER(Data!Z90),Data!Z90/100,"n/a")</f>
        <v>0.45121951219512196</v>
      </c>
      <c r="L645" s="10">
        <f>Data!AA90</f>
        <v>12.838414634146343</v>
      </c>
      <c r="M645" s="10">
        <f>Data!AF90</f>
        <v>0.95</v>
      </c>
      <c r="N645" s="28">
        <f>IF(ISNUMBER(Data!AG90),Data!AG90/100,"n/a")</f>
        <v>0.09</v>
      </c>
      <c r="O645" s="28">
        <f>IF(ISNUMBER(Data!AJ90),Data!AJ90/100,"n/a")</f>
        <v>5.7000000000000002E-2</v>
      </c>
      <c r="P645" s="9">
        <f>IF(ISNUMBER(Data!AK90),Data!AK90/100,"n/a")</f>
        <v>4.4699999999999997E-2</v>
      </c>
      <c r="Q645" s="8">
        <f>Data!AN90</f>
        <v>0.78</v>
      </c>
      <c r="R645" s="8">
        <f>Data!AP90</f>
        <v>16.058559137462009</v>
      </c>
      <c r="S645" s="8"/>
      <c r="T645" s="8"/>
      <c r="U645" s="8"/>
      <c r="V645" s="1">
        <f t="shared" ref="V645:V708" si="20">IF($D$4="+",IF(D645="n/a",0,IF(D645&gt;=$D$5,1,0)),0)+IF($E$4="+",IF(E645="n/a",0,IF(E645&gt;=$E$5,1,0)),0)+IF($F$4="+",IF(F645="n/a",0,IF(F645&gt;=$F$5,1,0)),0)+IF($G$4="+",IF(G645="n/a",0,IF(G645&gt;=$G$5,1,0)),0)+IF($H$4="+",IF(H645="n/a",0,IF(H645&gt;=$H$5,1,0)),0)+IF($I$4="+",IF(I645="n/a",0,IF(I645&gt;=$I$5,1,0)),0)+IF($J$4="+",IF(J645="n/a",0,IF(J645&gt;=$J$5,1,0)),0)+IF($K$4="+",IF(K645="n/a",0,IF(K645&lt;=$K$5,1,0)),0)+IF($L$4="+",IF(L645="n/a",0,IF(L645&lt;=$L$5,1,0)),0)+IF($M$4="+",IF(M645="n/a",0,IF(M645&lt;=$M$5,1,0)),0)+IF($N$4="+",IF(N645="n/a",0,IF(N645&gt;=$N$5,1,0)),0)+IF($O$4="+",IF(O645="n/a",0,IF(O645&gt;=$O$5,1,0)),0)+IF($P$4="+",IF(P645="n/a",0,IF(P645&gt;=$P$5,1,0)),0)+IF($Q$4="+",IF(Q645="n/a",0,IF(Q645&lt;=$Q$5,1,0)),0)+IF($R$4="+",IF(R645="n/a",0,IF(R645&gt;=$R$5,1,0)),0)+$Y$4</f>
        <v>9</v>
      </c>
      <c r="W645" s="1">
        <f t="shared" ref="W645:W708" si="21">IF(V645&gt;=$V$2,"",0)</f>
        <v>0</v>
      </c>
    </row>
    <row r="646" spans="1:23" hidden="1" x14ac:dyDescent="0.2">
      <c r="A646" s="7" t="str">
        <f>Data!A79</f>
        <v>BancFirst Corporation</v>
      </c>
      <c r="B646" s="7" t="str">
        <f>Data!B79</f>
        <v>BANF</v>
      </c>
      <c r="C646" s="7" t="str">
        <f>Data!C79</f>
        <v>Financials</v>
      </c>
      <c r="D646" s="8">
        <f>IF(ISNUMBER(Data!AL79),Data!AL79/1000,"n/a")</f>
        <v>3.11</v>
      </c>
      <c r="E646" s="1">
        <f>Data!E79</f>
        <v>29</v>
      </c>
      <c r="F646" s="28">
        <f>Data!J79/100</f>
        <v>1.6697975370486329E-2</v>
      </c>
      <c r="G646" s="28">
        <f>IF(ISNUMBER(Data!S79),Data!S79/100,"n/a")</f>
        <v>6.153846153846132E-2</v>
      </c>
      <c r="H646" s="28">
        <f>IF(ISNUMBER(Data!T79),Data!T79/100,"n/a")</f>
        <v>0.14059652983739235</v>
      </c>
      <c r="I646" s="28">
        <f>IF(ISNUMBER(Data!U79),Data!U79/100,"n/a")</f>
        <v>0.13582453393178628</v>
      </c>
      <c r="J646" s="28">
        <f>IF(ISNUMBER(Data!V79),Data!V79/100,"n/a")</f>
        <v>0.10466575521433796</v>
      </c>
      <c r="K646" s="9">
        <f>IF(ISNUMBER(Data!Z79),Data!Z79/100,"n/a")</f>
        <v>0.30651340996168586</v>
      </c>
      <c r="L646" s="10">
        <f>Data!AA79</f>
        <v>18.356321839080458</v>
      </c>
      <c r="M646" s="10">
        <f>Data!AF79</f>
        <v>2.64</v>
      </c>
      <c r="N646" s="28">
        <f>IF(ISNUMBER(Data!AG79),Data!AG79/100,"n/a")</f>
        <v>0.13800000000000001</v>
      </c>
      <c r="O646" s="28">
        <f>IF(ISNUMBER(Data!AJ79),Data!AJ79/100,"n/a")</f>
        <v>0.17800000000000002</v>
      </c>
      <c r="P646" s="9">
        <f>IF(ISNUMBER(Data!AK79),Data!AK79/100,"n/a")</f>
        <v>7.0000000000000007E-2</v>
      </c>
      <c r="Q646" s="8">
        <f>Data!AN79</f>
        <v>7.0000000000000007E-2</v>
      </c>
      <c r="R646" s="8">
        <f>Data!AP79</f>
        <v>15.252250930227261</v>
      </c>
      <c r="S646" s="8"/>
      <c r="T646" s="8"/>
      <c r="U646" s="8"/>
      <c r="V646" s="1">
        <f t="shared" si="20"/>
        <v>11</v>
      </c>
      <c r="W646" s="1">
        <f t="shared" si="21"/>
        <v>0</v>
      </c>
    </row>
    <row r="647" spans="1:23" hidden="1" x14ac:dyDescent="0.2">
      <c r="A647" s="7" t="str">
        <f>Data!A105</f>
        <v>Brookline Bancorp, Inc.</v>
      </c>
      <c r="B647" s="7" t="str">
        <f>Data!B105</f>
        <v>BRKL</v>
      </c>
      <c r="C647" s="7" t="str">
        <f>Data!C105</f>
        <v>Financials</v>
      </c>
      <c r="D647" s="8">
        <f>IF(ISNUMBER(Data!AL105),Data!AL105/1000,"n/a")</f>
        <v>1.01</v>
      </c>
      <c r="E647" s="1">
        <f>Data!E105</f>
        <v>5</v>
      </c>
      <c r="F647" s="28">
        <f>Data!J105/100</f>
        <v>3.9272727272727279E-2</v>
      </c>
      <c r="G647" s="28">
        <f>IF(ISNUMBER(Data!S105),Data!S105/100,"n/a")</f>
        <v>4.3478260869565188E-2</v>
      </c>
      <c r="H647" s="28">
        <f>IF(ISNUMBER(Data!T105),Data!T105/100,"n/a")</f>
        <v>6.7123573594819463E-2</v>
      </c>
      <c r="I647" s="28">
        <f>IF(ISNUMBER(Data!U105),Data!U105/100,"n/a")</f>
        <v>5.9223841048812176E-2</v>
      </c>
      <c r="J647" s="28">
        <f>IF(ISNUMBER(Data!V105),Data!V105/100,"n/a")</f>
        <v>3.5085517211504103E-2</v>
      </c>
      <c r="K647" s="9">
        <f>IF(ISNUMBER(Data!Z105),Data!Z105/100,"n/a")</f>
        <v>0.38571428571428579</v>
      </c>
      <c r="L647" s="10">
        <f>Data!AA105</f>
        <v>9.8214285714285712</v>
      </c>
      <c r="M647" s="10">
        <f>Data!AF105</f>
        <v>1.0900000000000001</v>
      </c>
      <c r="N647" s="28">
        <f>IF(ISNUMBER(Data!AG105),Data!AG105/100,"n/a")</f>
        <v>0.11600000000000002</v>
      </c>
      <c r="O647" s="28">
        <f>IF(ISNUMBER(Data!AJ105),Data!AJ105/100,"n/a")</f>
        <v>0.14699999999999999</v>
      </c>
      <c r="P647" s="9">
        <f>IF(ISNUMBER(Data!AK105),Data!AK105/100,"n/a")</f>
        <v>0.06</v>
      </c>
      <c r="Q647" s="8">
        <f>Data!AN105</f>
        <v>0.18</v>
      </c>
      <c r="R647" s="8">
        <f>Data!AP105</f>
        <v>9.8496568321539453</v>
      </c>
      <c r="S647" s="8"/>
      <c r="T647" s="8"/>
      <c r="U647" s="8"/>
      <c r="V647" s="1">
        <f t="shared" si="20"/>
        <v>8</v>
      </c>
      <c r="W647" s="1">
        <f t="shared" si="21"/>
        <v>0</v>
      </c>
    </row>
    <row r="648" spans="1:23" hidden="1" x14ac:dyDescent="0.2">
      <c r="A648" s="7" t="str">
        <f>Data!A69</f>
        <v>Avnet, Inc.</v>
      </c>
      <c r="B648" s="7" t="str">
        <f>Data!B69</f>
        <v>AVT</v>
      </c>
      <c r="C648" s="7" t="str">
        <f>Data!C69</f>
        <v>Information Technology</v>
      </c>
      <c r="D648" s="8">
        <f>IF(ISNUMBER(Data!AL69),Data!AL69/1000,"n/a")</f>
        <v>3.67</v>
      </c>
      <c r="E648" s="1">
        <f>Data!E69</f>
        <v>10</v>
      </c>
      <c r="F648" s="28">
        <f>Data!J69/100</f>
        <v>2.8862901219208759E-2</v>
      </c>
      <c r="G648" s="28">
        <f>IF(ISNUMBER(Data!S69),Data!S69/100,"n/a")</f>
        <v>8.3333333333333481E-2</v>
      </c>
      <c r="H648" s="28">
        <f>IF(ISNUMBER(Data!T69),Data!T69/100,"n/a")</f>
        <v>5.2726599609396629E-2</v>
      </c>
      <c r="I648" s="28">
        <f>IF(ISNUMBER(Data!U69),Data!U69/100,"n/a")</f>
        <v>6.0001539273940807E-2</v>
      </c>
      <c r="J648" s="28" t="str">
        <f>IF(ISNUMBER(Data!V69),Data!V69/100,"n/a")</f>
        <v>n/a</v>
      </c>
      <c r="K648" s="9">
        <f>IF(ISNUMBER(Data!Z69),Data!Z69/100,"n/a")</f>
        <v>0.14910025706940871</v>
      </c>
      <c r="L648" s="10">
        <f>Data!AA69</f>
        <v>5.1658097686375317</v>
      </c>
      <c r="M648" s="10">
        <f>Data!AF69</f>
        <v>0.94</v>
      </c>
      <c r="N648" s="28">
        <f>IF(ISNUMBER(Data!AG69),Data!AG69/100,"n/a")</f>
        <v>0.184</v>
      </c>
      <c r="O648" s="28">
        <f>IF(ISNUMBER(Data!AJ69),Data!AJ69/100,"n/a")</f>
        <v>0.27600000000000002</v>
      </c>
      <c r="P648" s="9">
        <f>IF(ISNUMBER(Data!AK69),Data!AK69/100,"n/a")</f>
        <v>0.10400000000000001</v>
      </c>
      <c r="Q648" s="8">
        <f>Data!AN69</f>
        <v>0.57999999999999996</v>
      </c>
      <c r="R648" s="8">
        <f>Data!AP69</f>
        <v>8.8864440493149566</v>
      </c>
      <c r="S648" s="8"/>
      <c r="T648" s="8"/>
      <c r="U648" s="8"/>
      <c r="V648" s="1">
        <f t="shared" si="20"/>
        <v>10</v>
      </c>
      <c r="W648" s="1">
        <f t="shared" si="21"/>
        <v>0</v>
      </c>
    </row>
    <row r="649" spans="1:23" hidden="1" x14ac:dyDescent="0.2">
      <c r="A649" s="7" t="str">
        <f>Data!A99</f>
        <v>Bank of Hawaii Corporation</v>
      </c>
      <c r="B649" s="7" t="str">
        <f>Data!B99</f>
        <v>BOH</v>
      </c>
      <c r="C649" s="7" t="str">
        <f>Data!C99</f>
        <v>Financials</v>
      </c>
      <c r="D649" s="8">
        <f>IF(ISNUMBER(Data!AL99),Data!AL99/1000,"n/a")</f>
        <v>2.95</v>
      </c>
      <c r="E649" s="1">
        <f>Data!E99</f>
        <v>6</v>
      </c>
      <c r="F649" s="28">
        <f>Data!J99/100</f>
        <v>3.6866359447004601E-2</v>
      </c>
      <c r="G649" s="28">
        <f>IF(ISNUMBER(Data!S99),Data!S99/100,"n/a")</f>
        <v>2.2388059701492491E-2</v>
      </c>
      <c r="H649" s="28">
        <f>IF(ISNUMBER(Data!T99),Data!T99/100,"n/a")</f>
        <v>5.4010413807842328E-2</v>
      </c>
      <c r="I649" s="28">
        <f>IF(ISNUMBER(Data!U99),Data!U99/100,"n/a")</f>
        <v>7.710428028660643E-2</v>
      </c>
      <c r="J649" s="28">
        <f>IF(ISNUMBER(Data!V99),Data!V99/100,"n/a")</f>
        <v>4.2912339045013903E-2</v>
      </c>
      <c r="K649" s="9">
        <f>IF(ISNUMBER(Data!Z99),Data!Z99/100,"n/a")</f>
        <v>0.50632911392405056</v>
      </c>
      <c r="L649" s="10">
        <f>Data!AA99</f>
        <v>13.734177215189874</v>
      </c>
      <c r="M649" s="10">
        <f>Data!AF99</f>
        <v>2.56</v>
      </c>
      <c r="N649" s="28">
        <f>IF(ISNUMBER(Data!AG99),Data!AG99/100,"n/a")</f>
        <v>0.184</v>
      </c>
      <c r="O649" s="28">
        <f>IF(ISNUMBER(Data!AJ99),Data!AJ99/100,"n/a")</f>
        <v>8.1000000000000003E-2</v>
      </c>
      <c r="P649" s="9">
        <f>IF(ISNUMBER(Data!AK99),Data!AK99/100,"n/a")</f>
        <v>0.09</v>
      </c>
      <c r="Q649" s="8">
        <f>Data!AN99</f>
        <v>0.01</v>
      </c>
      <c r="R649" s="8">
        <f>Data!AP99</f>
        <v>11.397063973361103</v>
      </c>
      <c r="S649" s="8"/>
      <c r="T649" s="8"/>
      <c r="U649" s="8"/>
      <c r="V649" s="1">
        <f t="shared" si="20"/>
        <v>9</v>
      </c>
      <c r="W649" s="1">
        <f t="shared" si="21"/>
        <v>0</v>
      </c>
    </row>
    <row r="650" spans="1:23" hidden="1" x14ac:dyDescent="0.2">
      <c r="A650" s="7" t="str">
        <f>Data!A106</f>
        <v>Brown &amp; Brown, Inc.</v>
      </c>
      <c r="B650" s="7" t="str">
        <f>Data!B106</f>
        <v>BRO</v>
      </c>
      <c r="C650" s="7" t="str">
        <f>Data!C106</f>
        <v>Financials</v>
      </c>
      <c r="D650" s="8">
        <f>IF(ISNUMBER(Data!AL106),Data!AL106/1000,"n/a")</f>
        <v>16.059999999999999</v>
      </c>
      <c r="E650" s="1">
        <f>Data!E106</f>
        <v>29</v>
      </c>
      <c r="F650" s="28">
        <f>Data!J106/100</f>
        <v>7.824459942167036E-3</v>
      </c>
      <c r="G650" s="28">
        <f>IF(ISNUMBER(Data!S106),Data!S106/100,"n/a")</f>
        <v>9.3525179856115206E-2</v>
      </c>
      <c r="H650" s="28">
        <f>IF(ISNUMBER(Data!T106),Data!T106/100,"n/a")</f>
        <v>7.603876929916531E-2</v>
      </c>
      <c r="I650" s="28">
        <f>IF(ISNUMBER(Data!U106),Data!U106/100,"n/a")</f>
        <v>8.6264296308498523E-2</v>
      </c>
      <c r="J650" s="28">
        <f>IF(ISNUMBER(Data!V106),Data!V106/100,"n/a")</f>
        <v>8.8661897462401176E-2</v>
      </c>
      <c r="K650" s="9">
        <f>IF(ISNUMBER(Data!Z106),Data!Z106/100,"n/a")</f>
        <v>0.20814479638009051</v>
      </c>
      <c r="L650" s="10">
        <f>Data!AA106</f>
        <v>26.601809954751133</v>
      </c>
      <c r="M650" s="10">
        <f>Data!AF106</f>
        <v>3.8</v>
      </c>
      <c r="N650" s="28" t="str">
        <f>IF(ISNUMBER(Data!AG106),Data!AG106/100,"n/a")</f>
        <v>n/a</v>
      </c>
      <c r="O650" s="28">
        <f>IF(ISNUMBER(Data!AJ106),Data!AJ106/100,"n/a")</f>
        <v>0.17899999999999999</v>
      </c>
      <c r="P650" s="9">
        <f>IF(ISNUMBER(Data!AK106),Data!AK106/100,"n/a")</f>
        <v>0.13220000000000001</v>
      </c>
      <c r="Q650" s="8">
        <f>Data!AN106</f>
        <v>0.99</v>
      </c>
      <c r="R650" s="8">
        <f>Data!AP106</f>
        <v>9.4088756250665551</v>
      </c>
      <c r="S650" s="8"/>
      <c r="T650" s="8"/>
      <c r="U650" s="8"/>
      <c r="V650" s="1">
        <f t="shared" si="20"/>
        <v>9</v>
      </c>
      <c r="W650" s="1">
        <f t="shared" si="21"/>
        <v>0</v>
      </c>
    </row>
    <row r="651" spans="1:23" hidden="1" x14ac:dyDescent="0.2">
      <c r="A651" s="7" t="str">
        <f>Data!A78</f>
        <v>Brookfield Asset Management Inc.</v>
      </c>
      <c r="B651" s="7" t="str">
        <f>Data!B78</f>
        <v>BAM</v>
      </c>
      <c r="C651" s="7" t="str">
        <f>Data!C78</f>
        <v>Financials</v>
      </c>
      <c r="D651" s="8">
        <f>IF(ISNUMBER(Data!AL78),Data!AL78/1000,"n/a")</f>
        <v>65.31</v>
      </c>
      <c r="E651" s="1">
        <f>Data!E78</f>
        <v>11</v>
      </c>
      <c r="F651" s="28">
        <f>Data!J78/100</f>
        <v>1.4137843978793236E-2</v>
      </c>
      <c r="G651" s="28">
        <f>IF(ISNUMBER(Data!S78),Data!S78/100,"n/a")</f>
        <v>8.3333333333333481E-2</v>
      </c>
      <c r="H651" s="28">
        <f>IF(ISNUMBER(Data!T78),Data!T78/100,"n/a")</f>
        <v>9.1392883061105934E-2</v>
      </c>
      <c r="I651" s="28">
        <f>IF(ISNUMBER(Data!U78),Data!U78/100,"n/a")</f>
        <v>8.4471771197698539E-2</v>
      </c>
      <c r="J651" s="28">
        <f>IF(ISNUMBER(Data!V78),Data!V78/100,"n/a")</f>
        <v>0.10073564448118756</v>
      </c>
      <c r="K651" s="9">
        <f>IF(ISNUMBER(Data!Z78),Data!Z78/100,"n/a")</f>
        <v>0.24454148471615722</v>
      </c>
      <c r="L651" s="10">
        <f>Data!AA78</f>
        <v>17.296943231441048</v>
      </c>
      <c r="M651" s="10">
        <f>Data!AF78</f>
        <v>1.51</v>
      </c>
      <c r="N651" s="28">
        <f>IF(ISNUMBER(Data!AG78),Data!AG78/100,"n/a")</f>
        <v>0.09</v>
      </c>
      <c r="O651" s="28">
        <f>IF(ISNUMBER(Data!AJ78),Data!AJ78/100,"n/a")</f>
        <v>0.183</v>
      </c>
      <c r="P651" s="9">
        <f>IF(ISNUMBER(Data!AK78),Data!AK78/100,"n/a")</f>
        <v>9.4299999999999995E-2</v>
      </c>
      <c r="Q651" s="8">
        <f>Data!AN78</f>
        <v>4.79</v>
      </c>
      <c r="R651" s="8">
        <f>Data!AP78</f>
        <v>9.8609615176491783</v>
      </c>
      <c r="S651" s="8"/>
      <c r="T651" s="8"/>
      <c r="U651" s="8"/>
      <c r="V651" s="1">
        <f t="shared" si="20"/>
        <v>9</v>
      </c>
      <c r="W651" s="1">
        <f t="shared" si="21"/>
        <v>0</v>
      </c>
    </row>
    <row r="652" spans="1:23" hidden="1" x14ac:dyDescent="0.2">
      <c r="A652" s="7" t="str">
        <f>Data!A102</f>
        <v>Popular, Inc.</v>
      </c>
      <c r="B652" s="7" t="str">
        <f>Data!B102</f>
        <v>BPOP</v>
      </c>
      <c r="C652" s="7" t="str">
        <f>Data!C102</f>
        <v>Financials</v>
      </c>
      <c r="D652" s="8">
        <f>IF(ISNUMBER(Data!AL102),Data!AL102/1000,"n/a")</f>
        <v>5.09</v>
      </c>
      <c r="E652" s="1">
        <f>Data!E102</f>
        <v>8</v>
      </c>
      <c r="F652" s="28">
        <f>Data!J102/100</f>
        <v>3.1108597285067877E-2</v>
      </c>
      <c r="G652" s="28">
        <f>IF(ISNUMBER(Data!S102),Data!S102/100,"n/a")</f>
        <v>0.1333333333333333</v>
      </c>
      <c r="H652" s="28">
        <f>IF(ISNUMBER(Data!T102),Data!T102/100,"n/a")</f>
        <v>0.19348319192733698</v>
      </c>
      <c r="I652" s="28">
        <f>IF(ISNUMBER(Data!U102),Data!U102/100,"n/a")</f>
        <v>0.23157122757056103</v>
      </c>
      <c r="J652" s="28" t="str">
        <f>IF(ISNUMBER(Data!V102),Data!V102/100,"n/a")</f>
        <v>n/a</v>
      </c>
      <c r="K652" s="9">
        <f>IF(ISNUMBER(Data!Z102),Data!Z102/100,"n/a")</f>
        <v>0.16011644832605534</v>
      </c>
      <c r="L652" s="10">
        <f>Data!AA102</f>
        <v>5.1470160116448325</v>
      </c>
      <c r="M652" s="10">
        <f>Data!AF102</f>
        <v>1.26</v>
      </c>
      <c r="N652" s="28">
        <f>IF(ISNUMBER(Data!AG102),Data!AG102/100,"n/a")</f>
        <v>0.16900000000000001</v>
      </c>
      <c r="O652" s="28">
        <f>IF(ISNUMBER(Data!AJ102),Data!AJ102/100,"n/a")</f>
        <v>0.41099999999999992</v>
      </c>
      <c r="P652" s="9">
        <f>IF(ISNUMBER(Data!AK102),Data!AK102/100,"n/a")</f>
        <v>0.05</v>
      </c>
      <c r="Q652" s="8">
        <f>Data!AN102</f>
        <v>0.14000000000000001</v>
      </c>
      <c r="R652" s="8">
        <f>Data!AP102</f>
        <v>26.267982485562893</v>
      </c>
      <c r="S652" s="8"/>
      <c r="T652" s="8"/>
      <c r="U652" s="8"/>
      <c r="V652" s="1">
        <f t="shared" si="20"/>
        <v>10</v>
      </c>
      <c r="W652" s="1">
        <f t="shared" si="21"/>
        <v>0</v>
      </c>
    </row>
    <row r="653" spans="1:23" hidden="1" x14ac:dyDescent="0.2">
      <c r="A653" s="7" t="str">
        <f>Data!A95</f>
        <v>Bank of Montreal</v>
      </c>
      <c r="B653" s="7" t="str">
        <f>Data!B95</f>
        <v>BMO</v>
      </c>
      <c r="C653" s="7" t="str">
        <f>Data!C95</f>
        <v>Financials</v>
      </c>
      <c r="D653" s="8">
        <f>IF(ISNUMBER(Data!AL95),Data!AL95/1000,"n/a")</f>
        <v>63.14</v>
      </c>
      <c r="E653" s="1">
        <f>Data!E95</f>
        <v>7</v>
      </c>
      <c r="F653" s="28">
        <f>Data!J95/100</f>
        <v>4.7033014769765423E-2</v>
      </c>
      <c r="G653" s="28">
        <f>IF(ISNUMBER(Data!S95),Data!S95/100,"n/a")</f>
        <v>7.8085802292718665E-2</v>
      </c>
      <c r="H653" s="28">
        <f>IF(ISNUMBER(Data!T95),Data!T95/100,"n/a")</f>
        <v>4.7698296922109806E-2</v>
      </c>
      <c r="I653" s="28">
        <f>IF(ISNUMBER(Data!U95),Data!U95/100,"n/a")</f>
        <v>5.8182773697618595E-2</v>
      </c>
      <c r="J653" s="28">
        <f>IF(ISNUMBER(Data!V95),Data!V95/100,"n/a")</f>
        <v>1.6654506113408907E-2</v>
      </c>
      <c r="K653" s="9">
        <f>IF(ISNUMBER(Data!Z95),Data!Z95/100,"n/a")</f>
        <v>0.35095623987034036</v>
      </c>
      <c r="L653" s="10">
        <f>Data!AA95</f>
        <v>7.4619124797406808</v>
      </c>
      <c r="M653" s="10">
        <f>Data!AF95</f>
        <v>1.34</v>
      </c>
      <c r="N653" s="28">
        <f>IF(ISNUMBER(Data!AG95),Data!AG95/100,"n/a")</f>
        <v>0.18600000000000003</v>
      </c>
      <c r="O653" s="28">
        <f>IF(ISNUMBER(Data!AJ95),Data!AJ95/100,"n/a")</f>
        <v>0.10800000000000001</v>
      </c>
      <c r="P653" s="9">
        <f>IF(ISNUMBER(Data!AK95),Data!AK95/100,"n/a")</f>
        <v>5.5E-2</v>
      </c>
      <c r="Q653" s="8">
        <f>Data!AN95</f>
        <v>2.73</v>
      </c>
      <c r="R653" s="8">
        <f>Data!AP95</f>
        <v>10.521578846738402</v>
      </c>
      <c r="S653" s="8"/>
      <c r="T653" s="8"/>
      <c r="U653" s="8"/>
      <c r="V653" s="1">
        <f t="shared" si="20"/>
        <v>8</v>
      </c>
      <c r="W653" s="1">
        <f t="shared" si="21"/>
        <v>0</v>
      </c>
    </row>
    <row r="654" spans="1:23" hidden="1" x14ac:dyDescent="0.2">
      <c r="A654" s="7" t="str">
        <f>Data!A92</f>
        <v>Bank of Utica</v>
      </c>
      <c r="B654" s="7" t="str">
        <f>Data!B92</f>
        <v>BKUTK</v>
      </c>
      <c r="C654" s="7" t="str">
        <f>Data!C92</f>
        <v>Financials</v>
      </c>
      <c r="D654" s="8" t="str">
        <f>IF(ISNUMBER(Data!AL92),Data!AL92/1000,"n/a")</f>
        <v>n/a</v>
      </c>
      <c r="E654" s="1">
        <f>Data!E92</f>
        <v>22</v>
      </c>
      <c r="F654" s="28">
        <f>Data!J92/100</f>
        <v>4.4080604534005037E-2</v>
      </c>
      <c r="G654" s="28">
        <f>IF(ISNUMBER(Data!S92),Data!S92/100,"n/a")</f>
        <v>6.4516129032258007E-2</v>
      </c>
      <c r="H654" s="28">
        <f>IF(ISNUMBER(Data!T92),Data!T92/100,"n/a")</f>
        <v>4.6422696369909255E-2</v>
      </c>
      <c r="I654" s="28">
        <f>IF(ISNUMBER(Data!U92),Data!U92/100,"n/a")</f>
        <v>5.2094608173952617E-2</v>
      </c>
      <c r="J654" s="28">
        <f>IF(ISNUMBER(Data!V92),Data!V92/100,"n/a")</f>
        <v>6.3676082061075334E-2</v>
      </c>
      <c r="K654" s="9" t="str">
        <f>IF(ISNUMBER(Data!Z92),Data!Z92/100,"n/a")</f>
        <v>n/a</v>
      </c>
      <c r="L654" s="10" t="str">
        <f>Data!AA92</f>
        <v>n/a</v>
      </c>
      <c r="M654" s="10" t="str">
        <f>Data!AF92</f>
        <v>n/a</v>
      </c>
      <c r="N654" s="28" t="str">
        <f>IF(ISNUMBER(Data!AG92),Data!AG92/100,"n/a")</f>
        <v>n/a</v>
      </c>
      <c r="O654" s="28" t="str">
        <f>IF(ISNUMBER(Data!AJ92),Data!AJ92/100,"n/a")</f>
        <v>n/a</v>
      </c>
      <c r="P654" s="9" t="str">
        <f>IF(ISNUMBER(Data!AK92),Data!AK92/100,"n/a")</f>
        <v>n/a</v>
      </c>
      <c r="Q654" s="8" t="str">
        <f>Data!AN92</f>
        <v>n/a</v>
      </c>
      <c r="R654" s="8">
        <f>Data!AP92</f>
        <v>9.6175212707957662</v>
      </c>
      <c r="S654" s="8"/>
      <c r="T654" s="8"/>
      <c r="U654" s="8"/>
      <c r="V654" s="1">
        <f t="shared" si="20"/>
        <v>5</v>
      </c>
      <c r="W654" s="1">
        <f t="shared" si="21"/>
        <v>0</v>
      </c>
    </row>
    <row r="655" spans="1:23" hidden="1" x14ac:dyDescent="0.2">
      <c r="A655" s="7" t="str">
        <f>Data!A82</f>
        <v>Brunswick Corporation</v>
      </c>
      <c r="B655" s="7" t="str">
        <f>Data!B82</f>
        <v>BC</v>
      </c>
      <c r="C655" s="7" t="str">
        <f>Data!C82</f>
        <v>Consumer Discretionary</v>
      </c>
      <c r="D655" s="8">
        <f>IF(ISNUMBER(Data!AL82),Data!AL82/1000,"n/a")</f>
        <v>5.24</v>
      </c>
      <c r="E655" s="1">
        <f>Data!E82</f>
        <v>10</v>
      </c>
      <c r="F655" s="28">
        <f>Data!J82/100</f>
        <v>2.0659402858355738E-2</v>
      </c>
      <c r="G655" s="28">
        <f>IF(ISNUMBER(Data!S82),Data!S82/100,"n/a")</f>
        <v>0.28787878787878785</v>
      </c>
      <c r="H655" s="28">
        <f>IF(ISNUMBER(Data!T82),Data!T82/100,"n/a")</f>
        <v>0.17798165562816481</v>
      </c>
      <c r="I655" s="28">
        <f>IF(ISNUMBER(Data!U82),Data!U82/100,"n/a")</f>
        <v>0.1569830960592169</v>
      </c>
      <c r="J655" s="28">
        <f>IF(ISNUMBER(Data!V82),Data!V82/100,"n/a")</f>
        <v>0.38246459573722213</v>
      </c>
      <c r="K655" s="9">
        <f>IF(ISNUMBER(Data!Z82),Data!Z82/100,"n/a")</f>
        <v>0.17319098457888493</v>
      </c>
      <c r="L655" s="10">
        <f>Data!AA82</f>
        <v>8.3831553973902739</v>
      </c>
      <c r="M655" s="10">
        <f>Data!AF82</f>
        <v>2.72</v>
      </c>
      <c r="N655" s="28">
        <f>IF(ISNUMBER(Data!AG82),Data!AG82/100,"n/a")</f>
        <v>0.309</v>
      </c>
      <c r="O655" s="28">
        <f>IF(ISNUMBER(Data!AJ82),Data!AJ82/100,"n/a")</f>
        <v>0.20599999999999999</v>
      </c>
      <c r="P655" s="9">
        <f>IF(ISNUMBER(Data!AK82),Data!AK82/100,"n/a")</f>
        <v>0.15</v>
      </c>
      <c r="Q655" s="8">
        <f>Data!AN82</f>
        <v>1.25</v>
      </c>
      <c r="R655" s="8">
        <f>Data!AP82</f>
        <v>17.764249891757263</v>
      </c>
      <c r="S655" s="8"/>
      <c r="T655" s="8"/>
      <c r="U655" s="8"/>
      <c r="V655" s="1">
        <f t="shared" si="20"/>
        <v>10</v>
      </c>
      <c r="W655" s="1">
        <f t="shared" si="21"/>
        <v>0</v>
      </c>
    </row>
    <row r="656" spans="1:23" hidden="1" x14ac:dyDescent="0.2">
      <c r="A656" s="7" t="str">
        <f>Data!A85</f>
        <v>Franklin Resources, Inc.</v>
      </c>
      <c r="B656" s="7" t="str">
        <f>Data!B85</f>
        <v>BEN</v>
      </c>
      <c r="C656" s="7" t="str">
        <f>Data!C85</f>
        <v>Financials</v>
      </c>
      <c r="D656" s="8">
        <f>IF(ISNUMBER(Data!AL85),Data!AL85/1000,"n/a")</f>
        <v>11.62</v>
      </c>
      <c r="E656" s="1">
        <f>Data!E85</f>
        <v>42</v>
      </c>
      <c r="F656" s="28">
        <f>Data!J85/100</f>
        <v>4.9466950959488269E-2</v>
      </c>
      <c r="G656" s="28">
        <f>IF(ISNUMBER(Data!S85),Data!S85/100,"n/a")</f>
        <v>3.7037037037036979E-2</v>
      </c>
      <c r="H656" s="28">
        <f>IF(ISNUMBER(Data!T85),Data!T85/100,"n/a")</f>
        <v>6.7767583149812571E-2</v>
      </c>
      <c r="I656" s="28">
        <f>IF(ISNUMBER(Data!U85),Data!U85/100,"n/a")</f>
        <v>9.2388464140373147E-2</v>
      </c>
      <c r="J656" s="28">
        <f>IF(ISNUMBER(Data!V85),Data!V85/100,"n/a")</f>
        <v>0.12884399678677094</v>
      </c>
      <c r="K656" s="9">
        <f>IF(ISNUMBER(Data!Z85),Data!Z85/100,"n/a")</f>
        <v>0.344213649851632</v>
      </c>
      <c r="L656" s="10">
        <f>Data!AA85</f>
        <v>6.9584569732937682</v>
      </c>
      <c r="M656" s="10">
        <f>Data!AF85</f>
        <v>1</v>
      </c>
      <c r="N656" s="28">
        <f>IF(ISNUMBER(Data!AG85),Data!AG85/100,"n/a")</f>
        <v>0.14399999999999999</v>
      </c>
      <c r="O656" s="28">
        <f>IF(ISNUMBER(Data!AJ85),Data!AJ85/100,"n/a")</f>
        <v>0.04</v>
      </c>
      <c r="P656" s="9">
        <f>IF(ISNUMBER(Data!AK85),Data!AK85/100,"n/a")</f>
        <v>-5.4699999999999999E-2</v>
      </c>
      <c r="Q656" s="8">
        <f>Data!AN85</f>
        <v>0.77</v>
      </c>
      <c r="R656" s="8">
        <f>Data!AP85</f>
        <v>14.185541509986141</v>
      </c>
      <c r="S656" s="8"/>
      <c r="T656" s="8"/>
      <c r="U656" s="8"/>
      <c r="V656" s="1">
        <f t="shared" si="20"/>
        <v>9</v>
      </c>
      <c r="W656" s="1">
        <f t="shared" si="21"/>
        <v>0</v>
      </c>
    </row>
    <row r="657" spans="1:23" hidden="1" x14ac:dyDescent="0.2">
      <c r="A657" s="7" t="str">
        <f>Data!A81</f>
        <v>Best Buy Co., Inc.</v>
      </c>
      <c r="B657" s="7" t="str">
        <f>Data!B81</f>
        <v>BBY</v>
      </c>
      <c r="C657" s="7" t="str">
        <f>Data!C81</f>
        <v>Consumer Discretionary</v>
      </c>
      <c r="D657" s="8">
        <f>IF(ISNUMBER(Data!AL81),Data!AL81/1000,"n/a")</f>
        <v>14.82</v>
      </c>
      <c r="E657" s="1">
        <f>Data!E81</f>
        <v>19</v>
      </c>
      <c r="F657" s="28">
        <f>Data!J81/100</f>
        <v>5.1454465721385768E-2</v>
      </c>
      <c r="G657" s="28">
        <f>IF(ISNUMBER(Data!S81),Data!S81/100,"n/a")</f>
        <v>0.23255813953488372</v>
      </c>
      <c r="H657" s="28">
        <f>IF(ISNUMBER(Data!T81),Data!T81/100,"n/a")</f>
        <v>0.13760403275951916</v>
      </c>
      <c r="I657" s="28">
        <f>IF(ISNUMBER(Data!U81),Data!U81/100,"n/a")</f>
        <v>0.18797026472949205</v>
      </c>
      <c r="J657" s="28">
        <f>IF(ISNUMBER(Data!V81),Data!V81/100,"n/a")</f>
        <v>0.1582214504931827</v>
      </c>
      <c r="K657" s="9">
        <f>IF(ISNUMBER(Data!Z81),Data!Z81/100,"n/a")</f>
        <v>0.47121820615796522</v>
      </c>
      <c r="L657" s="10">
        <f>Data!AA81</f>
        <v>9.1579651941097726</v>
      </c>
      <c r="M657" s="10">
        <f>Data!AF81</f>
        <v>5.33</v>
      </c>
      <c r="N657" s="28">
        <f>IF(ISNUMBER(Data!AG81),Data!AG81/100,"n/a")</f>
        <v>0.54700000000000004</v>
      </c>
      <c r="O657" s="28">
        <f>IF(ISNUMBER(Data!AJ81),Data!AJ81/100,"n/a")</f>
        <v>0.21299999999999999</v>
      </c>
      <c r="P657" s="9">
        <f>IF(ISNUMBER(Data!AK81),Data!AK81/100,"n/a")</f>
        <v>0.08</v>
      </c>
      <c r="Q657" s="8">
        <f>Data!AN81</f>
        <v>0.41</v>
      </c>
      <c r="R657" s="8">
        <f>Data!AP81</f>
        <v>23.942473045087784</v>
      </c>
      <c r="S657" s="8"/>
      <c r="T657" s="8"/>
      <c r="U657" s="8"/>
      <c r="V657" s="1">
        <f t="shared" si="20"/>
        <v>11</v>
      </c>
      <c r="W657" s="1">
        <f t="shared" si="21"/>
        <v>0</v>
      </c>
    </row>
    <row r="658" spans="1:23" hidden="1" x14ac:dyDescent="0.2">
      <c r="A658" s="7" t="str">
        <f>Data!A89</f>
        <v>Brookfield Infrastructure Partners L.P.</v>
      </c>
      <c r="B658" s="7" t="str">
        <f>Data!B89</f>
        <v>BIP</v>
      </c>
      <c r="C658" s="7" t="str">
        <f>Data!C89</f>
        <v>Utilities</v>
      </c>
      <c r="D658" s="8">
        <f>IF(ISNUMBER(Data!AL89),Data!AL89/1000,"n/a")</f>
        <v>23.56</v>
      </c>
      <c r="E658" s="1">
        <f>Data!E89</f>
        <v>15</v>
      </c>
      <c r="F658" s="28">
        <f>Data!J89/100</f>
        <v>3.9582188015393066E-2</v>
      </c>
      <c r="G658" s="28">
        <f>IF(ISNUMBER(Data!S89),Data!S89/100,"n/a")</f>
        <v>5.1546391752577581E-2</v>
      </c>
      <c r="H658" s="28">
        <f>IF(ISNUMBER(Data!T89),Data!T89/100,"n/a")</f>
        <v>6.4330733339932555E-2</v>
      </c>
      <c r="I658" s="28">
        <f>IF(ISNUMBER(Data!U89),Data!U89/100,"n/a")</f>
        <v>7.9905546948798589E-2</v>
      </c>
      <c r="J658" s="28">
        <f>IF(ISNUMBER(Data!V89),Data!V89/100,"n/a")</f>
        <v>9.9234874889701383E-2</v>
      </c>
      <c r="K658" s="9">
        <f>IF(ISNUMBER(Data!Z89),Data!Z89/100,"n/a")</f>
        <v>1.6744186046511627</v>
      </c>
      <c r="L658" s="10">
        <f>Data!AA89</f>
        <v>42.302325581395351</v>
      </c>
      <c r="M658" s="10">
        <f>Data!AF89</f>
        <v>2.11</v>
      </c>
      <c r="N658" s="28">
        <f>IF(ISNUMBER(Data!AG89),Data!AG89/100,"n/a")</f>
        <v>4.9000000000000002E-2</v>
      </c>
      <c r="O658" s="28">
        <f>IF(ISNUMBER(Data!AJ89),Data!AJ89/100,"n/a")</f>
        <v>0.129</v>
      </c>
      <c r="P658" s="9" t="str">
        <f>IF(ISNUMBER(Data!AK89),Data!AK89/100,"n/a")</f>
        <v>n/a</v>
      </c>
      <c r="Q658" s="8">
        <f>Data!AN89</f>
        <v>4.29</v>
      </c>
      <c r="R658" s="8">
        <f>Data!AP89</f>
        <v>11.948773496419165</v>
      </c>
      <c r="S658" s="8"/>
      <c r="T658" s="8"/>
      <c r="U658" s="8"/>
      <c r="V658" s="1">
        <f t="shared" si="20"/>
        <v>7</v>
      </c>
      <c r="W658" s="1">
        <f t="shared" si="21"/>
        <v>0</v>
      </c>
    </row>
    <row r="659" spans="1:23" hidden="1" x14ac:dyDescent="0.2">
      <c r="A659" s="7" t="str">
        <f>Data!A111</f>
        <v>Camden National Corporation</v>
      </c>
      <c r="B659" s="7" t="str">
        <f>Data!B111</f>
        <v>CAC</v>
      </c>
      <c r="C659" s="7" t="str">
        <f>Data!C111</f>
        <v>Financials</v>
      </c>
      <c r="D659" s="8">
        <f>IF(ISNUMBER(Data!AL111),Data!AL111/1000,"n/a")</f>
        <v>0.61699999999999999</v>
      </c>
      <c r="E659" s="1">
        <f>Data!E111</f>
        <v>6</v>
      </c>
      <c r="F659" s="28">
        <f>Data!J111/100</f>
        <v>3.6764705882352942E-2</v>
      </c>
      <c r="G659" s="28">
        <f>IF(ISNUMBER(Data!S111),Data!S111/100,"n/a")</f>
        <v>6.8181818181818121E-2</v>
      </c>
      <c r="H659" s="28">
        <f>IF(ISNUMBER(Data!T111),Data!T111/100,"n/a")</f>
        <v>8.6280897659601674E-2</v>
      </c>
      <c r="I659" s="28">
        <f>IF(ISNUMBER(Data!U111),Data!U111/100,"n/a")</f>
        <v>0.1200201219146695</v>
      </c>
      <c r="J659" s="28">
        <f>IF(ISNUMBER(Data!V111),Data!V111/100,"n/a")</f>
        <v>7.7782221547402441E-2</v>
      </c>
      <c r="K659" s="9">
        <f>IF(ISNUMBER(Data!Z111),Data!Z111/100,"n/a")</f>
        <v>0.36281179138321995</v>
      </c>
      <c r="L659" s="10">
        <f>Data!AA111</f>
        <v>9.8684807256235825</v>
      </c>
      <c r="M659" s="10">
        <f>Data!AF111</f>
        <v>1.43</v>
      </c>
      <c r="N659" s="28">
        <f>IF(ISNUMBER(Data!AG111),Data!AG111/100,"n/a")</f>
        <v>0.13100000000000001</v>
      </c>
      <c r="O659" s="28">
        <f>IF(ISNUMBER(Data!AJ111),Data!AJ111/100,"n/a")</f>
        <v>0.12300000000000001</v>
      </c>
      <c r="P659" s="9" t="str">
        <f>IF(ISNUMBER(Data!AK111),Data!AK111/100,"n/a")</f>
        <v>n/a</v>
      </c>
      <c r="Q659" s="8">
        <f>Data!AN111</f>
        <v>0.1</v>
      </c>
      <c r="R659" s="8">
        <f>Data!AP111</f>
        <v>15.678482779702243</v>
      </c>
      <c r="S659" s="8"/>
      <c r="T659" s="8"/>
      <c r="U659" s="8"/>
      <c r="V659" s="1">
        <f t="shared" si="20"/>
        <v>9</v>
      </c>
      <c r="W659" s="1">
        <f t="shared" si="21"/>
        <v>0</v>
      </c>
    </row>
    <row r="660" spans="1:23" hidden="1" x14ac:dyDescent="0.2">
      <c r="A660" s="7" t="str">
        <f>Data!A512</f>
        <v>Premier Financial Corp.</v>
      </c>
      <c r="B660" s="7" t="str">
        <f>Data!B512</f>
        <v>PFC</v>
      </c>
      <c r="C660" s="7" t="str">
        <f>Data!C512</f>
        <v>Financials</v>
      </c>
      <c r="D660" s="8">
        <f>IF(ISNUMBER(Data!AL512),Data!AL512/1000,"n/a")</f>
        <v>1.01</v>
      </c>
      <c r="E660" s="1">
        <f>Data!E512</f>
        <v>12</v>
      </c>
      <c r="F660" s="28">
        <f>Data!J512/100</f>
        <v>4.1594454072790291E-2</v>
      </c>
      <c r="G660" s="28">
        <f>IF(ISNUMBER(Data!S512),Data!S512/100,"n/a")</f>
        <v>0.19318181818181812</v>
      </c>
      <c r="H660" s="28">
        <f>IF(ISNUMBER(Data!T512),Data!T512/100,"n/a")</f>
        <v>0.17942349507913335</v>
      </c>
      <c r="I660" s="28">
        <f>IF(ISNUMBER(Data!U512),Data!U512/100,"n/a")</f>
        <v>0.19000099498846912</v>
      </c>
      <c r="J660" s="28">
        <f>IF(ISNUMBER(Data!V512),Data!V512/100,"n/a")</f>
        <v>0.45319846028226785</v>
      </c>
      <c r="K660" s="9">
        <f>IF(ISNUMBER(Data!Z512),Data!Z512/100,"n/a")</f>
        <v>0.34090909090909088</v>
      </c>
      <c r="L660" s="10">
        <f>Data!AA512</f>
        <v>8.1960227272727284</v>
      </c>
      <c r="M660" s="10">
        <f>Data!AF512</f>
        <v>1.1599999999999999</v>
      </c>
      <c r="N660" s="28" t="str">
        <f>IF(ISNUMBER(Data!AG512),Data!AG512/100,"n/a")</f>
        <v>n/a</v>
      </c>
      <c r="O660" s="28">
        <f>IF(ISNUMBER(Data!AJ512),Data!AJ512/100,"n/a")</f>
        <v>0.16300000000000001</v>
      </c>
      <c r="P660" s="9">
        <f>IF(ISNUMBER(Data!AK512),Data!AK512/100,"n/a")</f>
        <v>0.09</v>
      </c>
      <c r="Q660" s="8">
        <f>Data!AN512</f>
        <v>0.09</v>
      </c>
      <c r="R660" s="8">
        <f>Data!AP512</f>
        <v>23.159544906125941</v>
      </c>
      <c r="S660" s="8"/>
      <c r="T660" s="8"/>
      <c r="U660" s="8"/>
      <c r="V660" s="1">
        <f t="shared" si="20"/>
        <v>10</v>
      </c>
      <c r="W660" s="1">
        <f t="shared" si="21"/>
        <v>0</v>
      </c>
    </row>
    <row r="661" spans="1:23" hidden="1" x14ac:dyDescent="0.2">
      <c r="A661" s="7" t="str">
        <f>Data!A94</f>
        <v>Badger Meter, Inc.</v>
      </c>
      <c r="B661" s="7" t="str">
        <f>Data!B94</f>
        <v>BMI</v>
      </c>
      <c r="C661" s="7" t="str">
        <f>Data!C94</f>
        <v>Information Technology</v>
      </c>
      <c r="D661" s="8">
        <f>IF(ISNUMBER(Data!AL94),Data!AL94/1000,"n/a")</f>
        <v>3.25</v>
      </c>
      <c r="E661" s="1">
        <f>Data!E94</f>
        <v>30</v>
      </c>
      <c r="F661" s="28">
        <f>Data!J94/100</f>
        <v>8.001422475106686E-3</v>
      </c>
      <c r="G661" s="28">
        <f>IF(ISNUMBER(Data!S94),Data!S94/100,"n/a")</f>
        <v>8.5714285714285854E-2</v>
      </c>
      <c r="H661" s="28">
        <f>IF(ISNUMBER(Data!T94),Data!T94/100,"n/a")</f>
        <v>0.10715524489384996</v>
      </c>
      <c r="I661" s="28">
        <f>IF(ISNUMBER(Data!U94),Data!U94/100,"n/a")</f>
        <v>0.12064750186187467</v>
      </c>
      <c r="J661" s="28">
        <f>IF(ISNUMBER(Data!V94),Data!V94/100,"n/a")</f>
        <v>9.7410809684315147E-2</v>
      </c>
      <c r="K661" s="9">
        <f>IF(ISNUMBER(Data!Z94),Data!Z94/100,"n/a")</f>
        <v>0.39823008849557534</v>
      </c>
      <c r="L661" s="10">
        <f>Data!AA94</f>
        <v>49.769911504424783</v>
      </c>
      <c r="M661" s="10">
        <f>Data!AF94</f>
        <v>7.72</v>
      </c>
      <c r="N661" s="28">
        <f>IF(ISNUMBER(Data!AG94),Data!AG94/100,"n/a")</f>
        <v>0.16</v>
      </c>
      <c r="O661" s="28">
        <f>IF(ISNUMBER(Data!AJ94),Data!AJ94/100,"n/a")</f>
        <v>0.13300000000000001</v>
      </c>
      <c r="P661" s="9">
        <f>IF(ISNUMBER(Data!AK94),Data!AK94/100,"n/a")</f>
        <v>0.14899999999999999</v>
      </c>
      <c r="Q661" s="8">
        <f>Data!AN94</f>
        <v>0</v>
      </c>
      <c r="R661" s="8">
        <f>Data!AP94</f>
        <v>12.864892433698136</v>
      </c>
      <c r="S661" s="8"/>
      <c r="T661" s="8"/>
      <c r="U661" s="8"/>
      <c r="V661" s="1">
        <f t="shared" si="20"/>
        <v>10</v>
      </c>
      <c r="W661" s="1">
        <f t="shared" si="21"/>
        <v>0</v>
      </c>
    </row>
    <row r="662" spans="1:23" hidden="1" x14ac:dyDescent="0.2">
      <c r="A662" s="7" t="str">
        <f>Data!A93</f>
        <v>BlackRock, Inc.</v>
      </c>
      <c r="B662" s="7" t="str">
        <f>Data!B93</f>
        <v>BLK</v>
      </c>
      <c r="C662" s="7" t="str">
        <f>Data!C93</f>
        <v>Financials</v>
      </c>
      <c r="D662" s="8">
        <f>IF(ISNUMBER(Data!AL93),Data!AL93/1000,"n/a")</f>
        <v>97.64</v>
      </c>
      <c r="E662" s="1">
        <f>Data!E93</f>
        <v>13</v>
      </c>
      <c r="F662" s="28">
        <f>Data!J93/100</f>
        <v>3.0220928612345373E-2</v>
      </c>
      <c r="G662" s="28">
        <f>IF(ISNUMBER(Data!S93),Data!S93/100,"n/a")</f>
        <v>0.13774104683195598</v>
      </c>
      <c r="H662" s="28">
        <f>IF(ISNUMBER(Data!T93),Data!T93/100,"n/a")</f>
        <v>0.1118218168334848</v>
      </c>
      <c r="I662" s="28">
        <f>IF(ISNUMBER(Data!U93),Data!U93/100,"n/a")</f>
        <v>0.1251823572811348</v>
      </c>
      <c r="J662" s="28">
        <f>IF(ISNUMBER(Data!V93),Data!V93/100,"n/a")</f>
        <v>0.11625838795469502</v>
      </c>
      <c r="K662" s="9">
        <f>IF(ISNUMBER(Data!Z93),Data!Z93/100,"n/a")</f>
        <v>0.537741046831956</v>
      </c>
      <c r="L662" s="10">
        <f>Data!AA93</f>
        <v>17.79366391184573</v>
      </c>
      <c r="M662" s="10">
        <f>Data!AF93</f>
        <v>2.71</v>
      </c>
      <c r="N662" s="28">
        <f>IF(ISNUMBER(Data!AG93),Data!AG93/100,"n/a")</f>
        <v>0.16500000000000001</v>
      </c>
      <c r="O662" s="28">
        <f>IF(ISNUMBER(Data!AJ93),Data!AJ93/100,"n/a")</f>
        <v>0.15</v>
      </c>
      <c r="P662" s="9">
        <f>IF(ISNUMBER(Data!AK93),Data!AK93/100,"n/a")</f>
        <v>-1.0500000000000001E-2</v>
      </c>
      <c r="Q662" s="8">
        <f>Data!AN93</f>
        <v>0</v>
      </c>
      <c r="R662" s="8">
        <f>Data!AP93</f>
        <v>15.540328589348018</v>
      </c>
      <c r="S662" s="8"/>
      <c r="T662" s="8"/>
      <c r="U662" s="8"/>
      <c r="V662" s="1">
        <f t="shared" si="20"/>
        <v>10</v>
      </c>
      <c r="W662" s="1">
        <f t="shared" si="21"/>
        <v>0</v>
      </c>
    </row>
    <row r="663" spans="1:23" hidden="1" x14ac:dyDescent="0.2">
      <c r="A663" s="7" t="str">
        <f>Data!A97</f>
        <v>Bristol-Myers Squibb Company</v>
      </c>
      <c r="B663" s="7" t="str">
        <f>Data!B97</f>
        <v>BMY</v>
      </c>
      <c r="C663" s="7" t="str">
        <f>Data!C97</f>
        <v>Health Care</v>
      </c>
      <c r="D663" s="8">
        <f>IF(ISNUMBER(Data!AL97),Data!AL97/1000,"n/a")</f>
        <v>158.61000000000001</v>
      </c>
      <c r="E663" s="1">
        <f>Data!E97</f>
        <v>13</v>
      </c>
      <c r="F663" s="28">
        <f>Data!J97/100</f>
        <v>2.7881760681554152E-2</v>
      </c>
      <c r="G663" s="28">
        <f>IF(ISNUMBER(Data!S97),Data!S97/100,"n/a")</f>
        <v>8.8888888888888781E-2</v>
      </c>
      <c r="H663" s="28">
        <f>IF(ISNUMBER(Data!T97),Data!T97/100,"n/a")</f>
        <v>6.998748056507953E-2</v>
      </c>
      <c r="I663" s="28">
        <f>IF(ISNUMBER(Data!U97),Data!U97/100,"n/a")</f>
        <v>5.2161718884977448E-2</v>
      </c>
      <c r="J663" s="28">
        <f>IF(ISNUMBER(Data!V97),Data!V97/100,"n/a")</f>
        <v>4.0323033089643134E-2</v>
      </c>
      <c r="K663" s="9">
        <f>IF(ISNUMBER(Data!Z97),Data!Z97/100,"n/a")</f>
        <v>0.70358306188925079</v>
      </c>
      <c r="L663" s="10">
        <f>Data!AA97</f>
        <v>25.234527687296417</v>
      </c>
      <c r="M663" s="10">
        <f>Data!AF97</f>
        <v>5.0199999999999996</v>
      </c>
      <c r="N663" s="28">
        <f>IF(ISNUMBER(Data!AG97),Data!AG97/100,"n/a")</f>
        <v>0.20100000000000001</v>
      </c>
      <c r="O663" s="28">
        <f>IF(ISNUMBER(Data!AJ97),Data!AJ97/100,"n/a")</f>
        <v>3.3000000000000002E-2</v>
      </c>
      <c r="P663" s="9">
        <f>IF(ISNUMBER(Data!AK97),Data!AK97/100,"n/a")</f>
        <v>0.04</v>
      </c>
      <c r="Q663" s="8">
        <f>Data!AN97</f>
        <v>1.2</v>
      </c>
      <c r="R663" s="8">
        <f>Data!AP97</f>
        <v>8.0043479566531595</v>
      </c>
      <c r="S663" s="8"/>
      <c r="T663" s="8"/>
      <c r="U663" s="8"/>
      <c r="V663" s="1">
        <f t="shared" si="20"/>
        <v>7</v>
      </c>
      <c r="W663" s="1">
        <f t="shared" si="21"/>
        <v>0</v>
      </c>
    </row>
    <row r="664" spans="1:23" hidden="1" x14ac:dyDescent="0.2">
      <c r="A664" s="7" t="str">
        <f>Data!A98</f>
        <v>The Bank of Nova Scotia</v>
      </c>
      <c r="B664" s="7" t="str">
        <f>Data!B98</f>
        <v>BNS</v>
      </c>
      <c r="C664" s="7" t="str">
        <f>Data!C98</f>
        <v>Financials</v>
      </c>
      <c r="D664" s="8">
        <f>IF(ISNUMBER(Data!AL98),Data!AL98/1000,"n/a")</f>
        <v>57.8</v>
      </c>
      <c r="E664" s="1">
        <f>Data!E98</f>
        <v>6</v>
      </c>
      <c r="F664" s="28">
        <f>Data!J98/100</f>
        <v>6.6415562913907281E-2</v>
      </c>
      <c r="G664" s="28">
        <f>IF(ISNUMBER(Data!S98),Data!S98/100,"n/a")</f>
        <v>7.3803912766992052E-2</v>
      </c>
      <c r="H664" s="28">
        <f>IF(ISNUMBER(Data!T98),Data!T98/100,"n/a")</f>
        <v>3.9817075764860821E-2</v>
      </c>
      <c r="I664" s="28">
        <f>IF(ISNUMBER(Data!U98),Data!U98/100,"n/a")</f>
        <v>5.7203545703599534E-2</v>
      </c>
      <c r="J664" s="28">
        <f>IF(ISNUMBER(Data!V98),Data!V98/100,"n/a")</f>
        <v>3.3098017292576776E-2</v>
      </c>
      <c r="K664" s="9">
        <f>IF(ISNUMBER(Data!Z98),Data!Z98/100,"n/a")</f>
        <v>0.52097402597402598</v>
      </c>
      <c r="L664" s="10">
        <f>Data!AA98</f>
        <v>7.8441558441558437</v>
      </c>
      <c r="M664" s="10">
        <f>Data!AF98</f>
        <v>1.21</v>
      </c>
      <c r="N664" s="28">
        <f>IF(ISNUMBER(Data!AG98),Data!AG98/100,"n/a")</f>
        <v>0.155</v>
      </c>
      <c r="O664" s="28">
        <f>IF(ISNUMBER(Data!AJ98),Data!AJ98/100,"n/a")</f>
        <v>0.06</v>
      </c>
      <c r="P664" s="9">
        <f>IF(ISNUMBER(Data!AK98),Data!AK98/100,"n/a")</f>
        <v>4.1500000000000002E-2</v>
      </c>
      <c r="Q664" s="8">
        <f>Data!AN98</f>
        <v>0.13</v>
      </c>
      <c r="R664" s="8">
        <f>Data!AP98</f>
        <v>12.361910861750681</v>
      </c>
      <c r="S664" s="8"/>
      <c r="T664" s="8"/>
      <c r="U664" s="8"/>
      <c r="V664" s="1">
        <f t="shared" si="20"/>
        <v>9</v>
      </c>
      <c r="W664" s="1">
        <f t="shared" si="21"/>
        <v>0</v>
      </c>
    </row>
    <row r="665" spans="1:23" hidden="1" x14ac:dyDescent="0.2">
      <c r="A665" s="7" t="str">
        <f>Data!A101</f>
        <v>Bank of Botetourt</v>
      </c>
      <c r="B665" s="7" t="str">
        <f>Data!B101</f>
        <v>BORT</v>
      </c>
      <c r="C665" s="7" t="str">
        <f>Data!C101</f>
        <v>Financials</v>
      </c>
      <c r="D665" s="8" t="str">
        <f>IF(ISNUMBER(Data!AL101),Data!AL101/1000,"n/a")</f>
        <v>n/a</v>
      </c>
      <c r="E665" s="1">
        <f>Data!E101</f>
        <v>10</v>
      </c>
      <c r="F665" s="28">
        <f>Data!J101/100</f>
        <v>2.6763110307414104E-2</v>
      </c>
      <c r="G665" s="28">
        <f>IF(ISNUMBER(Data!S101),Data!S101/100,"n/a")</f>
        <v>2.857142857142847E-2</v>
      </c>
      <c r="H665" s="28">
        <f>IF(ISNUMBER(Data!T101),Data!T101/100,"n/a")</f>
        <v>6.2658569182611146E-2</v>
      </c>
      <c r="I665" s="28">
        <f>IF(ISNUMBER(Data!U101),Data!U101/100,"n/a")</f>
        <v>8.4471771197698539E-2</v>
      </c>
      <c r="J665" s="28">
        <f>IF(ISNUMBER(Data!V101),Data!V101/100,"n/a")</f>
        <v>0.33514136254031301</v>
      </c>
      <c r="K665" s="9" t="str">
        <f>IF(ISNUMBER(Data!Z101),Data!Z101/100,"n/a")</f>
        <v>n/a</v>
      </c>
      <c r="L665" s="10" t="str">
        <f>Data!AA101</f>
        <v>n/a</v>
      </c>
      <c r="M665" s="10" t="str">
        <f>Data!AF101</f>
        <v>n/a</v>
      </c>
      <c r="N665" s="28" t="str">
        <f>IF(ISNUMBER(Data!AG101),Data!AG101/100,"n/a")</f>
        <v>n/a</v>
      </c>
      <c r="O665" s="28" t="str">
        <f>IF(ISNUMBER(Data!AJ101),Data!AJ101/100,"n/a")</f>
        <v>n/a</v>
      </c>
      <c r="P665" s="9" t="str">
        <f>IF(ISNUMBER(Data!AK101),Data!AK101/100,"n/a")</f>
        <v>n/a</v>
      </c>
      <c r="Q665" s="8" t="str">
        <f>Data!AN101</f>
        <v>n/a</v>
      </c>
      <c r="R665" s="8">
        <f>Data!AP101</f>
        <v>11.123488150511264</v>
      </c>
      <c r="S665" s="8"/>
      <c r="T665" s="8"/>
      <c r="U665" s="8"/>
      <c r="V665" s="1">
        <f t="shared" si="20"/>
        <v>4</v>
      </c>
      <c r="W665" s="1">
        <f t="shared" si="21"/>
        <v>0</v>
      </c>
    </row>
    <row r="666" spans="1:23" hidden="1" x14ac:dyDescent="0.2">
      <c r="A666" s="7" t="str">
        <f>Data!A103</f>
        <v>Broadridge Financial Solutions, Inc.</v>
      </c>
      <c r="B666" s="7" t="str">
        <f>Data!B103</f>
        <v>BR</v>
      </c>
      <c r="C666" s="7" t="str">
        <f>Data!C103</f>
        <v>Information Technology</v>
      </c>
      <c r="D666" s="8">
        <f>IF(ISNUMBER(Data!AL103),Data!AL103/1000,"n/a")</f>
        <v>17.059999999999999</v>
      </c>
      <c r="E666" s="1">
        <f>Data!E103</f>
        <v>16</v>
      </c>
      <c r="F666" s="28">
        <f>Data!J103/100</f>
        <v>1.9325603092096494E-2</v>
      </c>
      <c r="G666" s="28">
        <f>IF(ISNUMBER(Data!S103),Data!S103/100,"n/a")</f>
        <v>7.7448747152619735E-2</v>
      </c>
      <c r="H666" s="28">
        <f>IF(ISNUMBER(Data!T103),Data!T103/100,"n/a")</f>
        <v>0.14390867279919939</v>
      </c>
      <c r="I666" s="28">
        <f>IF(ISNUMBER(Data!U103),Data!U103/100,"n/a")</f>
        <v>0.13968598249690589</v>
      </c>
      <c r="J666" s="28">
        <f>IF(ISNUMBER(Data!V103),Data!V103/100,"n/a")</f>
        <v>0.14511770903825227</v>
      </c>
      <c r="K666" s="9">
        <f>IF(ISNUMBER(Data!Z103),Data!Z103/100,"n/a")</f>
        <v>0.63736263736263732</v>
      </c>
      <c r="L666" s="10">
        <f>Data!AA103</f>
        <v>32.980219780219784</v>
      </c>
      <c r="M666" s="10">
        <f>Data!AF103</f>
        <v>9.1</v>
      </c>
      <c r="N666" s="28">
        <f>IF(ISNUMBER(Data!AG103),Data!AG103/100,"n/a")</f>
        <v>0.29799999999999999</v>
      </c>
      <c r="O666" s="28">
        <f>IF(ISNUMBER(Data!AJ103),Data!AJ103/100,"n/a")</f>
        <v>0.11</v>
      </c>
      <c r="P666" s="9">
        <f>IF(ISNUMBER(Data!AK103),Data!AK103/100,"n/a")</f>
        <v>0.11799999999999999</v>
      </c>
      <c r="Q666" s="8">
        <f>Data!AN103</f>
        <v>1.98</v>
      </c>
      <c r="R666" s="8">
        <f>Data!AP103</f>
        <v>15.901158558900239</v>
      </c>
      <c r="S666" s="8"/>
      <c r="T666" s="8"/>
      <c r="U666" s="8"/>
      <c r="V666" s="1">
        <f t="shared" si="20"/>
        <v>7</v>
      </c>
      <c r="W666" s="1">
        <f t="shared" si="21"/>
        <v>0</v>
      </c>
    </row>
    <row r="667" spans="1:23" hidden="1" x14ac:dyDescent="0.2">
      <c r="A667" s="7" t="str">
        <f>Data!A77</f>
        <v>Booz Allen Hamilton Holding Corporation</v>
      </c>
      <c r="B667" s="7" t="str">
        <f>Data!B77</f>
        <v>BAH</v>
      </c>
      <c r="C667" s="7" t="str">
        <f>Data!C77</f>
        <v>Information Technology</v>
      </c>
      <c r="D667" s="8">
        <f>IF(ISNUMBER(Data!AL77),Data!AL77/1000,"n/a")</f>
        <v>13.71</v>
      </c>
      <c r="E667" s="1">
        <f>Data!E77</f>
        <v>11</v>
      </c>
      <c r="F667" s="28">
        <f>Data!J77/100</f>
        <v>1.5801561782269179E-2</v>
      </c>
      <c r="G667" s="28">
        <f>IF(ISNUMBER(Data!S77),Data!S77/100,"n/a")</f>
        <v>0.19354838709677424</v>
      </c>
      <c r="H667" s="28">
        <f>IF(ISNUMBER(Data!T77),Data!T77/100,"n/a")</f>
        <v>0.2487707213199899</v>
      </c>
      <c r="I667" s="28">
        <f>IF(ISNUMBER(Data!U77),Data!U77/100,"n/a")</f>
        <v>0.19790421488235885</v>
      </c>
      <c r="J667" s="28" t="str">
        <f>IF(ISNUMBER(Data!V77),Data!V77/100,"n/a")</f>
        <v>n/a</v>
      </c>
      <c r="K667" s="9">
        <f>IF(ISNUMBER(Data!Z77),Data!Z77/100,"n/a")</f>
        <v>0.45144356955380582</v>
      </c>
      <c r="L667" s="10">
        <f>Data!AA77</f>
        <v>28.569553805774277</v>
      </c>
      <c r="M667" s="10">
        <f>Data!AF77</f>
        <v>13.11</v>
      </c>
      <c r="N667" s="28" t="str">
        <f>IF(ISNUMBER(Data!AG77),Data!AG77/100,"n/a")</f>
        <v>n/a</v>
      </c>
      <c r="O667" s="28">
        <f>IF(ISNUMBER(Data!AJ77),Data!AJ77/100,"n/a")</f>
        <v>0.14899999999999999</v>
      </c>
      <c r="P667" s="9">
        <f>IF(ISNUMBER(Data!AK77),Data!AK77/100,"n/a")</f>
        <v>7.4999999999999997E-2</v>
      </c>
      <c r="Q667" s="8">
        <f>Data!AN77</f>
        <v>2.33</v>
      </c>
      <c r="R667" s="8">
        <f>Data!AP77</f>
        <v>21.370577666462804</v>
      </c>
      <c r="S667" s="8"/>
      <c r="T667" s="8"/>
      <c r="U667" s="8"/>
      <c r="V667" s="1">
        <f t="shared" si="20"/>
        <v>7</v>
      </c>
      <c r="W667" s="1">
        <f t="shared" si="21"/>
        <v>0</v>
      </c>
    </row>
    <row r="668" spans="1:23" hidden="1" x14ac:dyDescent="0.2">
      <c r="A668" s="7" t="str">
        <f>Data!A80</f>
        <v>Baxter International Inc.</v>
      </c>
      <c r="B668" s="7" t="str">
        <f>Data!B80</f>
        <v>BAX</v>
      </c>
      <c r="C668" s="7" t="str">
        <f>Data!C80</f>
        <v>Health Care</v>
      </c>
      <c r="D668" s="8">
        <f>IF(ISNUMBER(Data!AL80),Data!AL80/1000,"n/a")</f>
        <v>27.18</v>
      </c>
      <c r="E668" s="1">
        <f>Data!E80</f>
        <v>6</v>
      </c>
      <c r="F668" s="28">
        <f>Data!J80/100</f>
        <v>2.1343146274149034E-2</v>
      </c>
      <c r="G668" s="28">
        <f>IF(ISNUMBER(Data!S80),Data!S80/100,"n/a")</f>
        <v>0.12903225806451624</v>
      </c>
      <c r="H668" s="28">
        <f>IF(ISNUMBER(Data!T80),Data!T80/100,"n/a")</f>
        <v>0.14471424255333187</v>
      </c>
      <c r="I668" s="28">
        <f>IF(ISNUMBER(Data!U80),Data!U80/100,"n/a")</f>
        <v>0.16465861577965679</v>
      </c>
      <c r="J668" s="28">
        <f>IF(ISNUMBER(Data!V80),Data!V80/100,"n/a")</f>
        <v>-1.6494571450282769E-2</v>
      </c>
      <c r="K668" s="9" t="str">
        <f>IF(ISNUMBER(Data!Z80),Data!Z80/100,"n/a")</f>
        <v>n/a</v>
      </c>
      <c r="L668" s="10" t="str">
        <f>Data!AA80</f>
        <v>n/a</v>
      </c>
      <c r="M668" s="10">
        <f>Data!AF80</f>
        <v>5.01</v>
      </c>
      <c r="N668" s="28">
        <f>IF(ISNUMBER(Data!AG80),Data!AG80/100,"n/a")</f>
        <v>-0.29199999999999998</v>
      </c>
      <c r="O668" s="28">
        <f>IF(ISNUMBER(Data!AJ80),Data!AJ80/100,"n/a")</f>
        <v>-0.22500000000000001</v>
      </c>
      <c r="P668" s="9">
        <f>IF(ISNUMBER(Data!AK80),Data!AK80/100,"n/a")</f>
        <v>5.6099999999999997E-2</v>
      </c>
      <c r="Q668" s="8">
        <f>Data!AN80</f>
        <v>2.97</v>
      </c>
      <c r="R668" s="8">
        <f>Data!AP80</f>
        <v>18.600176205380581</v>
      </c>
      <c r="S668" s="8"/>
      <c r="T668" s="8"/>
      <c r="U668" s="8"/>
      <c r="V668" s="1">
        <f t="shared" si="20"/>
        <v>6</v>
      </c>
      <c r="W668" s="1">
        <f t="shared" si="21"/>
        <v>0</v>
      </c>
    </row>
    <row r="669" spans="1:23" hidden="1" x14ac:dyDescent="0.2">
      <c r="A669" s="7" t="str">
        <f>Data!A84</f>
        <v>Becton, Dickinson and Company</v>
      </c>
      <c r="B669" s="7" t="str">
        <f>Data!B84</f>
        <v>BDX</v>
      </c>
      <c r="C669" s="7" t="str">
        <f>Data!C84</f>
        <v>Health Care</v>
      </c>
      <c r="D669" s="8">
        <f>IF(ISNUMBER(Data!AL84),Data!AL84/1000,"n/a")</f>
        <v>65.930000000000007</v>
      </c>
      <c r="E669" s="1">
        <f>Data!E84</f>
        <v>50</v>
      </c>
      <c r="F669" s="28">
        <f>Data!J84/100</f>
        <v>1.4747637411535364E-2</v>
      </c>
      <c r="G669" s="28">
        <f>IF(ISNUMBER(Data!S84),Data!S84/100,"n/a")</f>
        <v>4.9999999999999822E-2</v>
      </c>
      <c r="H669" s="28">
        <f>IF(ISNUMBER(Data!T84),Data!T84/100,"n/a")</f>
        <v>3.6201249102785216E-2</v>
      </c>
      <c r="I669" s="28">
        <f>IF(ISNUMBER(Data!U84),Data!U84/100,"n/a")</f>
        <v>4.3936295347629883E-2</v>
      </c>
      <c r="J669" s="28">
        <f>IF(ISNUMBER(Data!V84),Data!V84/100,"n/a")</f>
        <v>7.4359288518188515E-2</v>
      </c>
      <c r="K669" s="9">
        <f>IF(ISNUMBER(Data!Z84),Data!Z84/100,"n/a")</f>
        <v>0.65784499054820411</v>
      </c>
      <c r="L669" s="10">
        <f>Data!AA84</f>
        <v>44.606805293005671</v>
      </c>
      <c r="M669" s="10">
        <f>Data!AF84</f>
        <v>2.63</v>
      </c>
      <c r="N669" s="28">
        <f>IF(ISNUMBER(Data!AG84),Data!AG84/100,"n/a")</f>
        <v>8.5000000000000006E-2</v>
      </c>
      <c r="O669" s="28">
        <f>IF(ISNUMBER(Data!AJ84),Data!AJ84/100,"n/a")</f>
        <v>8.7999999999999995E-2</v>
      </c>
      <c r="P669" s="9">
        <f>IF(ISNUMBER(Data!AK84),Data!AK84/100,"n/a")</f>
        <v>4.8000000000000001E-2</v>
      </c>
      <c r="Q669" s="8">
        <f>Data!AN84</f>
        <v>0.64</v>
      </c>
      <c r="R669" s="8">
        <f>Data!AP84</f>
        <v>5.8683932759165245</v>
      </c>
      <c r="S669" s="8"/>
      <c r="T669" s="8"/>
      <c r="U669" s="8"/>
      <c r="V669" s="1">
        <f t="shared" si="20"/>
        <v>6</v>
      </c>
      <c r="W669" s="1">
        <f t="shared" si="21"/>
        <v>0</v>
      </c>
    </row>
    <row r="670" spans="1:23" hidden="1" x14ac:dyDescent="0.2">
      <c r="A670" s="7" t="str">
        <f>Data!A96</f>
        <v>Bank of Marin Bancorp</v>
      </c>
      <c r="B670" s="7" t="str">
        <f>Data!B96</f>
        <v>BMRC</v>
      </c>
      <c r="C670" s="7" t="str">
        <f>Data!C96</f>
        <v>Financials</v>
      </c>
      <c r="D670" s="8">
        <f>IF(ISNUMBER(Data!AL96),Data!AL96/1000,"n/a")</f>
        <v>0.56098999999999999</v>
      </c>
      <c r="E670" s="1">
        <f>Data!E96</f>
        <v>18</v>
      </c>
      <c r="F670" s="28">
        <f>Data!J96/100</f>
        <v>2.7700831024930747E-2</v>
      </c>
      <c r="G670" s="28">
        <f>IF(ISNUMBER(Data!S96),Data!S96/100,"n/a")</f>
        <v>2.1739130434782483E-2</v>
      </c>
      <c r="H670" s="28">
        <f>IF(ISNUMBER(Data!T96),Data!T96/100,"n/a")</f>
        <v>0.13968467749475422</v>
      </c>
      <c r="I670" s="28">
        <f>IF(ISNUMBER(Data!U96),Data!U96/100,"n/a")</f>
        <v>0.13008610609940119</v>
      </c>
      <c r="J670" s="28">
        <f>IF(ISNUMBER(Data!V96),Data!V96/100,"n/a")</f>
        <v>0.11205034523276813</v>
      </c>
      <c r="K670" s="9">
        <f>IF(ISNUMBER(Data!Z96),Data!Z96/100,"n/a")</f>
        <v>0.36764705882352933</v>
      </c>
      <c r="L670" s="10">
        <f>Data!AA96</f>
        <v>13.272058823529411</v>
      </c>
      <c r="M670" s="10">
        <f>Data!AF96</f>
        <v>1.43</v>
      </c>
      <c r="N670" s="28">
        <f>IF(ISNUMBER(Data!AG96),Data!AG96/100,"n/a")</f>
        <v>0.08</v>
      </c>
      <c r="O670" s="28">
        <f>IF(ISNUMBER(Data!AJ96),Data!AJ96/100,"n/a")</f>
        <v>0.04</v>
      </c>
      <c r="P670" s="9">
        <f>IF(ISNUMBER(Data!AK96),Data!AK96/100,"n/a")</f>
        <v>0.1</v>
      </c>
      <c r="Q670" s="8">
        <f>Data!AN96</f>
        <v>0</v>
      </c>
      <c r="R670" s="8">
        <f>Data!AP96</f>
        <v>15.778693712433194</v>
      </c>
      <c r="S670" s="8"/>
      <c r="T670" s="8"/>
      <c r="U670" s="8"/>
      <c r="V670" s="1">
        <f t="shared" si="20"/>
        <v>9</v>
      </c>
      <c r="W670" s="1">
        <f t="shared" si="21"/>
        <v>0</v>
      </c>
    </row>
    <row r="671" spans="1:23" hidden="1" x14ac:dyDescent="0.2">
      <c r="A671" s="7" t="str">
        <f>Data!A75</f>
        <v>Atlantica Sustainable Infrastructure plc</v>
      </c>
      <c r="B671" s="7" t="str">
        <f>Data!B75</f>
        <v>AY</v>
      </c>
      <c r="C671" s="7" t="str">
        <f>Data!C75</f>
        <v>Utilities</v>
      </c>
      <c r="D671" s="8">
        <f>IF(ISNUMBER(Data!AL75),Data!AL75/1000,"n/a")</f>
        <v>3.09</v>
      </c>
      <c r="E671" s="1">
        <f>Data!E75</f>
        <v>6</v>
      </c>
      <c r="F671" s="28">
        <f>Data!J75/100</f>
        <v>6.423673763984121E-2</v>
      </c>
      <c r="G671" s="28">
        <f>IF(ISNUMBER(Data!S75),Data!S75/100,"n/a")</f>
        <v>3.3132530120482118E-2</v>
      </c>
      <c r="H671" s="28">
        <f>IF(ISNUMBER(Data!T75),Data!T75/100,"n/a")</f>
        <v>8.843916663480457E-2</v>
      </c>
      <c r="I671" s="28">
        <f>IF(ISNUMBER(Data!U75),Data!U75/100,"n/a")</f>
        <v>0.30506813067201266</v>
      </c>
      <c r="J671" s="28" t="str">
        <f>IF(ISNUMBER(Data!V75),Data!V75/100,"n/a")</f>
        <v>n/a</v>
      </c>
      <c r="K671" s="9" t="str">
        <f>IF(ISNUMBER(Data!Z75),Data!Z75/100,"n/a")</f>
        <v>n/a</v>
      </c>
      <c r="L671" s="10" t="str">
        <f>Data!AA75</f>
        <v>n/a</v>
      </c>
      <c r="M671" s="10">
        <f>Data!AF75</f>
        <v>1.98</v>
      </c>
      <c r="N671" s="28">
        <f>IF(ISNUMBER(Data!AG75),Data!AG75/100,"n/a")</f>
        <v>-1.2E-2</v>
      </c>
      <c r="O671" s="28">
        <f>IF(ISNUMBER(Data!AJ75),Data!AJ75/100,"n/a")</f>
        <v>-0.41099999999999992</v>
      </c>
      <c r="P671" s="9" t="str">
        <f>IF(ISNUMBER(Data!AK75),Data!AK75/100,"n/a")</f>
        <v>n/a</v>
      </c>
      <c r="Q671" s="8">
        <f>Data!AN75</f>
        <v>3.57</v>
      </c>
      <c r="R671" s="8">
        <f>Data!AP75</f>
        <v>36.930486831185384</v>
      </c>
      <c r="S671" s="8"/>
      <c r="T671" s="8"/>
      <c r="U671" s="8"/>
      <c r="V671" s="1">
        <f t="shared" si="20"/>
        <v>4</v>
      </c>
      <c r="W671" s="1">
        <f t="shared" si="21"/>
        <v>0</v>
      </c>
    </row>
    <row r="672" spans="1:23" hidden="1" x14ac:dyDescent="0.2">
      <c r="A672" s="7" t="str">
        <f>Data!A71</f>
        <v>Armstrong World Industries, Inc.</v>
      </c>
      <c r="B672" s="7" t="str">
        <f>Data!B71</f>
        <v>AWI</v>
      </c>
      <c r="C672" s="7" t="str">
        <f>Data!C71</f>
        <v>Industrials</v>
      </c>
      <c r="D672" s="8">
        <f>IF(ISNUMBER(Data!AL71),Data!AL71/1000,"n/a")</f>
        <v>3.42</v>
      </c>
      <c r="E672" s="1">
        <f>Data!E71</f>
        <v>5</v>
      </c>
      <c r="F672" s="28">
        <f>Data!J71/100</f>
        <v>1.3444488553658863E-2</v>
      </c>
      <c r="G672" s="28">
        <f>IF(ISNUMBER(Data!S71),Data!S71/100,"n/a")</f>
        <v>6.2962962962962887E-2</v>
      </c>
      <c r="H672" s="28">
        <f>IF(ISNUMBER(Data!T71),Data!T71/100,"n/a")</f>
        <v>0.70080699862927665</v>
      </c>
      <c r="I672" s="28" t="str">
        <f>IF(ISNUMBER(Data!U71),Data!U71/100,"n/a")</f>
        <v>n/a</v>
      </c>
      <c r="J672" s="28" t="str">
        <f>IF(ISNUMBER(Data!V71),Data!V71/100,"n/a")</f>
        <v>n/a</v>
      </c>
      <c r="K672" s="9">
        <f>IF(ISNUMBER(Data!Z71),Data!Z71/100,"n/a")</f>
        <v>0.24841075794621031</v>
      </c>
      <c r="L672" s="10">
        <f>Data!AA71</f>
        <v>18.47677261613692</v>
      </c>
      <c r="M672" s="10">
        <f>Data!AF71</f>
        <v>6.67</v>
      </c>
      <c r="N672" s="28">
        <f>IF(ISNUMBER(Data!AG71),Data!AG71/100,"n/a")</f>
        <v>0.37</v>
      </c>
      <c r="O672" s="28">
        <f>IF(ISNUMBER(Data!AJ71),Data!AJ71/100,"n/a")</f>
        <v>0.17100000000000001</v>
      </c>
      <c r="P672" s="9">
        <f>IF(ISNUMBER(Data!AK71),Data!AK71/100,"n/a")</f>
        <v>0.1258</v>
      </c>
      <c r="Q672" s="8">
        <f>Data!AN71</f>
        <v>1.34</v>
      </c>
      <c r="R672" s="8" t="str">
        <f>Data!AP71</f>
        <v>n/a</v>
      </c>
      <c r="S672" s="8"/>
      <c r="T672" s="8"/>
      <c r="U672" s="8"/>
      <c r="V672" s="1">
        <f t="shared" si="20"/>
        <v>7</v>
      </c>
      <c r="W672" s="1">
        <f t="shared" si="21"/>
        <v>0</v>
      </c>
    </row>
    <row r="673" spans="1:23" hidden="1" x14ac:dyDescent="0.2">
      <c r="A673" s="7" t="str">
        <f>Data!A67</f>
        <v>Broadcom Inc.</v>
      </c>
      <c r="B673" s="7" t="str">
        <f>Data!B67</f>
        <v>AVGO</v>
      </c>
      <c r="C673" s="7" t="str">
        <f>Data!C67</f>
        <v>Information Technology</v>
      </c>
      <c r="D673" s="8">
        <f>IF(ISNUMBER(Data!AL67),Data!AL67/1000,"n/a")</f>
        <v>193.31</v>
      </c>
      <c r="E673" s="1">
        <f>Data!E67</f>
        <v>12</v>
      </c>
      <c r="F673" s="28">
        <f>Data!J67/100</f>
        <v>3.4884710286735301E-2</v>
      </c>
      <c r="G673" s="28">
        <f>IF(ISNUMBER(Data!S67),Data!S67/100,"n/a")</f>
        <v>0.11610486891385774</v>
      </c>
      <c r="H673" s="28">
        <f>IF(ISNUMBER(Data!T67),Data!T67/100,"n/a")</f>
        <v>0.23552932870428656</v>
      </c>
      <c r="I673" s="28">
        <f>IF(ISNUMBER(Data!U67),Data!U67/100,"n/a")</f>
        <v>0.48837107103729704</v>
      </c>
      <c r="J673" s="28">
        <f>IF(ISNUMBER(Data!V67),Data!V67/100,"n/a")</f>
        <v>0.43586175411296635</v>
      </c>
      <c r="K673" s="9">
        <f>IF(ISNUMBER(Data!Z67),Data!Z67/100,"n/a")</f>
        <v>0.71428571428571419</v>
      </c>
      <c r="L673" s="10">
        <f>Data!AA67</f>
        <v>20.475609756097562</v>
      </c>
      <c r="M673" s="10">
        <f>Data!AF67</f>
        <v>9.17</v>
      </c>
      <c r="N673" s="28">
        <f>IF(ISNUMBER(Data!AG67),Data!AG67/100,"n/a")</f>
        <v>0.43799999999999994</v>
      </c>
      <c r="O673" s="28">
        <f>IF(ISNUMBER(Data!AJ67),Data!AJ67/100,"n/a")</f>
        <v>0.4</v>
      </c>
      <c r="P673" s="9">
        <f>IF(ISNUMBER(Data!AK67),Data!AK67/100,"n/a")</f>
        <v>0.152</v>
      </c>
      <c r="Q673" s="8">
        <f>Data!AN67</f>
        <v>1.89</v>
      </c>
      <c r="R673" s="8">
        <f>Data!AP67</f>
        <v>52.325578132403237</v>
      </c>
      <c r="S673" s="8"/>
      <c r="T673" s="8"/>
      <c r="U673" s="8"/>
      <c r="V673" s="1">
        <f t="shared" si="20"/>
        <v>8</v>
      </c>
      <c r="W673" s="1">
        <f t="shared" si="21"/>
        <v>0</v>
      </c>
    </row>
    <row r="674" spans="1:23" hidden="1" x14ac:dyDescent="0.2">
      <c r="A674" s="7" t="str">
        <f>Data!A70</f>
        <v>Avery Dennison Corporation</v>
      </c>
      <c r="B674" s="7" t="str">
        <f>Data!B70</f>
        <v>AVY</v>
      </c>
      <c r="C674" s="7" t="str">
        <f>Data!C70</f>
        <v>Materials</v>
      </c>
      <c r="D674" s="8">
        <f>IF(ISNUMBER(Data!AL70),Data!AL70/1000,"n/a")</f>
        <v>13.69</v>
      </c>
      <c r="E674" s="1">
        <f>Data!E70</f>
        <v>12</v>
      </c>
      <c r="F674" s="28">
        <f>Data!J70/100</f>
        <v>1.7693895606015923E-2</v>
      </c>
      <c r="G674" s="28">
        <f>IF(ISNUMBER(Data!S70),Data!S70/100,"n/a")</f>
        <v>0.12711864406779672</v>
      </c>
      <c r="H674" s="28">
        <f>IF(ISNUMBER(Data!T70),Data!T70/100,"n/a")</f>
        <v>9.789766072415329E-2</v>
      </c>
      <c r="I674" s="28">
        <f>IF(ISNUMBER(Data!U70),Data!U70/100,"n/a")</f>
        <v>0.10701200546136302</v>
      </c>
      <c r="J674" s="28">
        <f>IF(ISNUMBER(Data!V70),Data!V70/100,"n/a")</f>
        <v>0.10277817813286007</v>
      </c>
      <c r="K674" s="9">
        <f>IF(ISNUMBER(Data!Z70),Data!Z70/100,"n/a")</f>
        <v>0.30333670374115268</v>
      </c>
      <c r="L674" s="10">
        <f>Data!AA70</f>
        <v>17.143579373104146</v>
      </c>
      <c r="M674" s="10">
        <f>Data!AF70</f>
        <v>7.24</v>
      </c>
      <c r="N674" s="28">
        <f>IF(ISNUMBER(Data!AG70),Data!AG70/100,"n/a")</f>
        <v>0.38400000000000001</v>
      </c>
      <c r="O674" s="28">
        <f>IF(ISNUMBER(Data!AJ70),Data!AJ70/100,"n/a")</f>
        <v>0.20100000000000001</v>
      </c>
      <c r="P674" s="9">
        <f>IF(ISNUMBER(Data!AK70),Data!AK70/100,"n/a")</f>
        <v>7.2700000000000001E-2</v>
      </c>
      <c r="Q674" s="8">
        <f>Data!AN70</f>
        <v>1.67</v>
      </c>
      <c r="R674" s="8">
        <f>Data!AP70</f>
        <v>12.470590106737895</v>
      </c>
      <c r="S674" s="8"/>
      <c r="T674" s="8"/>
      <c r="U674" s="8"/>
      <c r="V674" s="1">
        <f t="shared" si="20"/>
        <v>9</v>
      </c>
      <c r="W674" s="1">
        <f t="shared" si="21"/>
        <v>0</v>
      </c>
    </row>
    <row r="675" spans="1:23" hidden="1" x14ac:dyDescent="0.2">
      <c r="A675" s="7" t="str">
        <f>Data!A72</f>
        <v>American Water Works Company, Inc.</v>
      </c>
      <c r="B675" s="7" t="str">
        <f>Data!B72</f>
        <v>AWK</v>
      </c>
      <c r="C675" s="7" t="str">
        <f>Data!C72</f>
        <v>Utilities</v>
      </c>
      <c r="D675" s="8">
        <f>IF(ISNUMBER(Data!AL72),Data!AL72/1000,"n/a")</f>
        <v>25.82</v>
      </c>
      <c r="E675" s="1">
        <f>Data!E72</f>
        <v>15</v>
      </c>
      <c r="F675" s="28">
        <f>Data!J72/100</f>
        <v>1.8026696023118207E-2</v>
      </c>
      <c r="G675" s="28">
        <f>IF(ISNUMBER(Data!S72),Data!S72/100,"n/a")</f>
        <v>7.1590909090909038E-2</v>
      </c>
      <c r="H675" s="28">
        <f>IF(ISNUMBER(Data!T72),Data!T72/100,"n/a")</f>
        <v>9.8189363484307624E-2</v>
      </c>
      <c r="I675" s="28">
        <f>IF(ISNUMBER(Data!U72),Data!U72/100,"n/a")</f>
        <v>9.9823044922414214E-2</v>
      </c>
      <c r="J675" s="28">
        <f>IF(ISNUMBER(Data!V72),Data!V72/100,"n/a")</f>
        <v>0.10108518477816286</v>
      </c>
      <c r="K675" s="9">
        <f>IF(ISNUMBER(Data!Z72),Data!Z72/100,"n/a")</f>
        <v>0.36694677871148462</v>
      </c>
      <c r="L675" s="10">
        <f>Data!AA72</f>
        <v>20.35574229691877</v>
      </c>
      <c r="M675" s="10">
        <f>Data!AF72</f>
        <v>3.51</v>
      </c>
      <c r="N675" s="28">
        <f>IF(ISNUMBER(Data!AG72),Data!AG72/100,"n/a")</f>
        <v>0.17800000000000002</v>
      </c>
      <c r="O675" s="28">
        <f>IF(ISNUMBER(Data!AJ72),Data!AJ72/100,"n/a")</f>
        <v>0.21600000000000003</v>
      </c>
      <c r="P675" s="9">
        <f>IF(ISNUMBER(Data!AK72),Data!AK72/100,"n/a")</f>
        <v>8.3000000000000004E-2</v>
      </c>
      <c r="Q675" s="8">
        <f>Data!AN72</f>
        <v>1.54</v>
      </c>
      <c r="R675" s="8">
        <f>Data!AP72</f>
        <v>11.784974094553242</v>
      </c>
      <c r="S675" s="8"/>
      <c r="T675" s="8"/>
      <c r="U675" s="8"/>
      <c r="V675" s="1">
        <f t="shared" si="20"/>
        <v>8</v>
      </c>
      <c r="W675" s="1">
        <f t="shared" si="21"/>
        <v>0</v>
      </c>
    </row>
    <row r="676" spans="1:23" hidden="1" x14ac:dyDescent="0.2">
      <c r="A676" s="7" t="str">
        <f>Data!A732</f>
        <v>Consumer Discretionary</v>
      </c>
      <c r="B676" s="7">
        <f>Data!B732</f>
        <v>42</v>
      </c>
      <c r="C676" s="7">
        <f>Data!C732</f>
        <v>0</v>
      </c>
      <c r="D676" s="8">
        <f>IF(ISNUMBER(Data!AL732),Data!AL732/1000,"n/a")</f>
        <v>32.75653619047619</v>
      </c>
      <c r="E676" s="1">
        <f>Data!E732</f>
        <v>17.142857142857142</v>
      </c>
      <c r="F676" s="28">
        <f>Data!J732/100</f>
        <v>2.4831365808907289E-2</v>
      </c>
      <c r="G676" s="28">
        <f>IF(ISNUMBER(Data!S732),Data!S732/100,"n/a")</f>
        <v>0.14044042578265883</v>
      </c>
      <c r="H676" s="28">
        <f>IF(ISNUMBER(Data!T732),Data!T732/100,"n/a")</f>
        <v>0.11819007863759126</v>
      </c>
      <c r="I676" s="28">
        <f>IF(ISNUMBER(Data!U732),Data!U732/100,"n/a")</f>
        <v>0.13016274903530295</v>
      </c>
      <c r="J676" s="28">
        <f>IF(ISNUMBER(Data!V732),Data!V732/100,"n/a")</f>
        <v>0.13129063484126374</v>
      </c>
      <c r="K676" s="9">
        <f>IF(ISNUMBER(Data!Z732),Data!Z732/100,"n/a")</f>
        <v>0.50809611793457532</v>
      </c>
      <c r="L676" s="10">
        <f>Data!AA732</f>
        <v>20.806780027222683</v>
      </c>
      <c r="M676" s="10">
        <f>Data!AF732</f>
        <v>41.001666666666651</v>
      </c>
      <c r="N676" s="28">
        <f>IF(ISNUMBER(Data!AG732),Data!AG732/100,"n/a")</f>
        <v>0.1967435897435898</v>
      </c>
      <c r="O676" s="28">
        <f>IF(ISNUMBER(Data!AJ732),Data!AJ732/100,"n/a")</f>
        <v>0.21616666666666665</v>
      </c>
      <c r="P676" s="9">
        <f>IF(ISNUMBER(Data!AK732),Data!AK732/100,"n/a")</f>
        <v>0.10836749999999999</v>
      </c>
      <c r="Q676" s="8">
        <f>Data!AN732</f>
        <v>5.7994444444444451</v>
      </c>
      <c r="R676" s="8">
        <f>Data!AP732</f>
        <v>15.547056529296302</v>
      </c>
      <c r="S676" s="8"/>
      <c r="T676" s="8"/>
      <c r="U676" s="8"/>
      <c r="V676" s="1">
        <f t="shared" si="20"/>
        <v>9</v>
      </c>
      <c r="W676" s="1">
        <f t="shared" si="21"/>
        <v>0</v>
      </c>
    </row>
    <row r="677" spans="1:23" hidden="1" x14ac:dyDescent="0.2">
      <c r="A677" s="7" t="str">
        <f>Data!A737</f>
        <v>Industrials</v>
      </c>
      <c r="B677" s="7">
        <f>Data!B737</f>
        <v>107</v>
      </c>
      <c r="C677" s="7">
        <f>Data!C737</f>
        <v>0</v>
      </c>
      <c r="D677" s="8">
        <f>IF(ISNUMBER(Data!AL737),Data!AL737/1000,"n/a")</f>
        <v>20.233295233644856</v>
      </c>
      <c r="E677" s="1">
        <f>Data!E737</f>
        <v>20.130841121495326</v>
      </c>
      <c r="F677" s="28">
        <f>Data!J737/100</f>
        <v>1.8392781530720336E-2</v>
      </c>
      <c r="G677" s="28">
        <f>IF(ISNUMBER(Data!S737),Data!S737/100,"n/a")</f>
        <v>9.8024116635094277E-2</v>
      </c>
      <c r="H677" s="28">
        <f>IF(ISNUMBER(Data!T737),Data!T737/100,"n/a")</f>
        <v>0.10703189125323144</v>
      </c>
      <c r="I677" s="28">
        <f>IF(ISNUMBER(Data!U737),Data!U737/100,"n/a")</f>
        <v>0.1099123584898873</v>
      </c>
      <c r="J677" s="28">
        <f>IF(ISNUMBER(Data!V737),Data!V737/100,"n/a")</f>
        <v>0.10923009839155284</v>
      </c>
      <c r="K677" s="9">
        <f>IF(ISNUMBER(Data!Z737),Data!Z737/100,"n/a")</f>
        <v>0.3802821718953841</v>
      </c>
      <c r="L677" s="10">
        <f>Data!AA737</f>
        <v>22.186812859824936</v>
      </c>
      <c r="M677" s="10">
        <f>Data!AF737</f>
        <v>5.9490476190476187</v>
      </c>
      <c r="N677" s="28">
        <f>IF(ISNUMBER(Data!AG737),Data!AG737/100,"n/a")</f>
        <v>0.24265686274509818</v>
      </c>
      <c r="O677" s="28">
        <f>IF(ISNUMBER(Data!AJ737),Data!AJ737/100,"n/a")</f>
        <v>0.15389719626168225</v>
      </c>
      <c r="P677" s="9">
        <f>IF(ISNUMBER(Data!AK737),Data!AK737/100,"n/a")</f>
        <v>0.11261941747572816</v>
      </c>
      <c r="Q677" s="8">
        <f>Data!AN737</f>
        <v>0.93390476190476179</v>
      </c>
      <c r="R677" s="8">
        <f>Data!AP737</f>
        <v>12.854330617742932</v>
      </c>
      <c r="S677" s="8"/>
      <c r="T677" s="8"/>
      <c r="U677" s="8"/>
      <c r="V677" s="1">
        <f t="shared" si="20"/>
        <v>9</v>
      </c>
      <c r="W677" s="1">
        <f t="shared" si="21"/>
        <v>0</v>
      </c>
    </row>
    <row r="678" spans="1:23" hidden="1" x14ac:dyDescent="0.2">
      <c r="A678" s="7" t="str">
        <f>Data!A68</f>
        <v>Avient Corporation</v>
      </c>
      <c r="B678" s="7" t="str">
        <f>Data!B68</f>
        <v>AVNT</v>
      </c>
      <c r="C678" s="7" t="str">
        <f>Data!C68</f>
        <v>Materials</v>
      </c>
      <c r="D678" s="8">
        <f>IF(ISNUMBER(Data!AL68),Data!AL68/1000,"n/a")</f>
        <v>3.11</v>
      </c>
      <c r="E678" s="1">
        <f>Data!E68</f>
        <v>13</v>
      </c>
      <c r="F678" s="28">
        <f>Data!J68/100</f>
        <v>2.8703972165845172E-2</v>
      </c>
      <c r="G678" s="28">
        <f>IF(ISNUMBER(Data!S68),Data!S68/100,"n/a")</f>
        <v>4.9382716049382713E-2</v>
      </c>
      <c r="H678" s="28">
        <f>IF(ISNUMBER(Data!T68),Data!T68/100,"n/a")</f>
        <v>6.6858844342181811E-2</v>
      </c>
      <c r="I678" s="28">
        <f>IF(ISNUMBER(Data!U68),Data!U68/100,"n/a")</f>
        <v>0.12107724519592476</v>
      </c>
      <c r="J678" s="28">
        <f>IF(ISNUMBER(Data!V68),Data!V68/100,"n/a")</f>
        <v>0.21625256161025461</v>
      </c>
      <c r="K678" s="9">
        <f>IF(ISNUMBER(Data!Z68),Data!Z68/100,"n/a")</f>
        <v>0.36263736263736263</v>
      </c>
      <c r="L678" s="10">
        <f>Data!AA68</f>
        <v>12.633699633699635</v>
      </c>
      <c r="M678" s="10">
        <f>Data!AF68</f>
        <v>1.75</v>
      </c>
      <c r="N678" s="28">
        <f>IF(ISNUMBER(Data!AG68),Data!AG68/100,"n/a")</f>
        <v>0.14000000000000001</v>
      </c>
      <c r="O678" s="28">
        <f>IF(ISNUMBER(Data!AJ68),Data!AJ68/100,"n/a")</f>
        <v>0.05</v>
      </c>
      <c r="P678" s="9">
        <f>IF(ISNUMBER(Data!AK68),Data!AK68/100,"n/a")</f>
        <v>0.10800000000000001</v>
      </c>
      <c r="Q678" s="8">
        <f>Data!AN68</f>
        <v>1.03</v>
      </c>
      <c r="R678" s="8">
        <f>Data!AP68</f>
        <v>14.978121736176995</v>
      </c>
      <c r="S678" s="8"/>
      <c r="T678" s="8"/>
      <c r="U678" s="8"/>
      <c r="V678" s="1">
        <f t="shared" si="20"/>
        <v>9</v>
      </c>
      <c r="W678" s="1">
        <f t="shared" si="21"/>
        <v>0</v>
      </c>
    </row>
    <row r="679" spans="1:23" hidden="1" x14ac:dyDescent="0.2">
      <c r="A679" s="7" t="str">
        <f>Data!A18</f>
        <v>Automatic Data Processing, Inc.</v>
      </c>
      <c r="B679" s="7" t="str">
        <f>Data!B18</f>
        <v>ADP</v>
      </c>
      <c r="C679" s="7" t="str">
        <f>Data!C18</f>
        <v>Information Technology</v>
      </c>
      <c r="D679" s="8">
        <f>IF(ISNUMBER(Data!AL18),Data!AL18/1000,"n/a")</f>
        <v>97.56</v>
      </c>
      <c r="E679" s="1">
        <f>Data!E18</f>
        <v>46</v>
      </c>
      <c r="F679" s="28">
        <f>Data!J18/100</f>
        <v>1.7211419114604883E-2</v>
      </c>
      <c r="G679" s="28">
        <f>IF(ISNUMBER(Data!S18),Data!S18/100,"n/a")</f>
        <v>2.19780219780219E-2</v>
      </c>
      <c r="H679" s="28">
        <f>IF(ISNUMBER(Data!T18),Data!T18/100,"n/a")</f>
        <v>0.12110512440831279</v>
      </c>
      <c r="I679" s="28">
        <f>IF(ISNUMBER(Data!U18),Data!U18/100,"n/a")</f>
        <v>0.11902919127544953</v>
      </c>
      <c r="J679" s="28">
        <f>IF(ISNUMBER(Data!V18),Data!V18/100,"n/a")</f>
        <v>0.11451721807144999</v>
      </c>
      <c r="K679" s="9">
        <f>IF(ISNUMBER(Data!Z18),Data!Z18/100,"n/a")</f>
        <v>0.57617728531855961</v>
      </c>
      <c r="L679" s="10">
        <f>Data!AA18</f>
        <v>33.476454293628805</v>
      </c>
      <c r="M679" s="10">
        <f>Data!AF18</f>
        <v>31.27</v>
      </c>
      <c r="N679" s="28">
        <f>IF(ISNUMBER(Data!AG18),Data!AG18/100,"n/a")</f>
        <v>0.64200000000000002</v>
      </c>
      <c r="O679" s="28">
        <f>IF(ISNUMBER(Data!AJ18),Data!AJ18/100,"n/a")</f>
        <v>0.12</v>
      </c>
      <c r="P679" s="9">
        <f>IF(ISNUMBER(Data!AK18),Data!AK18/100,"n/a")</f>
        <v>0.14580000000000001</v>
      </c>
      <c r="Q679" s="8">
        <f>Data!AN18</f>
        <v>0.93</v>
      </c>
      <c r="R679" s="8">
        <f>Data!AP18</f>
        <v>13.624061039005442</v>
      </c>
      <c r="S679" s="8"/>
      <c r="T679" s="8"/>
      <c r="U679" s="8"/>
      <c r="V679" s="1">
        <f t="shared" si="20"/>
        <v>8</v>
      </c>
      <c r="W679" s="1">
        <f t="shared" si="21"/>
        <v>0</v>
      </c>
    </row>
    <row r="680" spans="1:23" hidden="1" x14ac:dyDescent="0.2">
      <c r="A680" s="7" t="str">
        <f>Data!A66</f>
        <v>Avista Corporation</v>
      </c>
      <c r="B680" s="7" t="str">
        <f>Data!B66</f>
        <v>AVA</v>
      </c>
      <c r="C680" s="7" t="str">
        <f>Data!C66</f>
        <v>Utilities</v>
      </c>
      <c r="D680" s="8">
        <f>IF(ISNUMBER(Data!AL66),Data!AL66/1000,"n/a")</f>
        <v>2.95</v>
      </c>
      <c r="E680" s="1">
        <f>Data!E66</f>
        <v>20</v>
      </c>
      <c r="F680" s="28">
        <f>Data!J66/100</f>
        <v>4.2895442359249331E-2</v>
      </c>
      <c r="G680" s="28">
        <f>IF(ISNUMBER(Data!S66),Data!S66/100,"n/a")</f>
        <v>4.3209876543209846E-2</v>
      </c>
      <c r="H680" s="28">
        <f>IF(ISNUMBER(Data!T66),Data!T66/100,"n/a")</f>
        <v>4.2877934743826618E-2</v>
      </c>
      <c r="I680" s="28">
        <f>IF(ISNUMBER(Data!U66),Data!U66/100,"n/a")</f>
        <v>4.2877331431939059E-2</v>
      </c>
      <c r="J680" s="28">
        <f>IF(ISNUMBER(Data!V66),Data!V66/100,"n/a")</f>
        <v>4.3877175878083818E-2</v>
      </c>
      <c r="K680" s="9">
        <f>IF(ISNUMBER(Data!Z66),Data!Z66/100,"n/a")</f>
        <v>0.85024154589371992</v>
      </c>
      <c r="L680" s="10">
        <f>Data!AA66</f>
        <v>19.821256038647345</v>
      </c>
      <c r="M680" s="10">
        <f>Data!AF66</f>
        <v>1.33</v>
      </c>
      <c r="N680" s="28">
        <f>IF(ISNUMBER(Data!AG66),Data!AG66/100,"n/a")</f>
        <v>6.8000000000000005E-2</v>
      </c>
      <c r="O680" s="28">
        <f>IF(ISNUMBER(Data!AJ66),Data!AJ66/100,"n/a")</f>
        <v>-4.0000000000000001E-3</v>
      </c>
      <c r="P680" s="9">
        <f>IF(ISNUMBER(Data!AK66),Data!AK66/100,"n/a")</f>
        <v>5.4000000000000006E-2</v>
      </c>
      <c r="Q680" s="8">
        <f>Data!AN66</f>
        <v>1.1399999999999999</v>
      </c>
      <c r="R680" s="8">
        <f>Data!AP66</f>
        <v>8.5772773791188399</v>
      </c>
      <c r="S680" s="8"/>
      <c r="T680" s="8"/>
      <c r="U680" s="8"/>
      <c r="V680" s="1">
        <f t="shared" si="20"/>
        <v>4</v>
      </c>
      <c r="W680" s="1">
        <f t="shared" si="21"/>
        <v>0</v>
      </c>
    </row>
    <row r="681" spans="1:23" hidden="1" x14ac:dyDescent="0.2">
      <c r="A681" s="7" t="str">
        <f>Data!A63</f>
        <v>Activision Blizzard, Inc.</v>
      </c>
      <c r="B681" s="7" t="str">
        <f>Data!B63</f>
        <v>ATVI</v>
      </c>
      <c r="C681" s="7" t="str">
        <f>Data!C63</f>
        <v>Communication Services</v>
      </c>
      <c r="D681" s="8">
        <f>IF(ISNUMBER(Data!AL63),Data!AL63/1000,"n/a")</f>
        <v>56.72</v>
      </c>
      <c r="E681" s="1">
        <f>Data!E63</f>
        <v>12</v>
      </c>
      <c r="F681" s="28">
        <f>Data!J63/100</f>
        <v>6.4560439560439557E-3</v>
      </c>
      <c r="G681" s="28">
        <f>IF(ISNUMBER(Data!S63),Data!S63/100,"n/a")</f>
        <v>0.14634146341463405</v>
      </c>
      <c r="H681" s="28">
        <f>IF(ISNUMBER(Data!T63),Data!T63/100,"n/a")</f>
        <v>0.11396867943116451</v>
      </c>
      <c r="I681" s="28">
        <f>IF(ISNUMBER(Data!U63),Data!U63/100,"n/a")</f>
        <v>0.12570579552275096</v>
      </c>
      <c r="J681" s="28">
        <f>IF(ISNUMBER(Data!V63),Data!V63/100,"n/a")</f>
        <v>0.11035382087883905</v>
      </c>
      <c r="K681" s="9">
        <f>IF(ISNUMBER(Data!Z63),Data!Z63/100,"n/a")</f>
        <v>0.19665271966527198</v>
      </c>
      <c r="L681" s="10">
        <f>Data!AA63</f>
        <v>30.460251046025103</v>
      </c>
      <c r="M681" s="10">
        <f>Data!AF63</f>
        <v>3.12</v>
      </c>
      <c r="N681" s="28">
        <f>IF(ISNUMBER(Data!AG63),Data!AG63/100,"n/a")</f>
        <v>0.106</v>
      </c>
      <c r="O681" s="28">
        <f>IF(ISNUMBER(Data!AJ63),Data!AJ63/100,"n/a")</f>
        <v>0.22</v>
      </c>
      <c r="P681" s="9">
        <f>IF(ISNUMBER(Data!AK63),Data!AK63/100,"n/a")</f>
        <v>0.13919999999999999</v>
      </c>
      <c r="Q681" s="8">
        <f>Data!AN63</f>
        <v>0.2</v>
      </c>
      <c r="R681" s="8">
        <f>Data!AP63</f>
        <v>13.216183947879491</v>
      </c>
      <c r="S681" s="8"/>
      <c r="T681" s="8"/>
      <c r="U681" s="8"/>
      <c r="V681" s="1">
        <f t="shared" si="20"/>
        <v>9</v>
      </c>
      <c r="W681" s="1">
        <f t="shared" si="21"/>
        <v>0</v>
      </c>
    </row>
    <row r="682" spans="1:23" hidden="1" x14ac:dyDescent="0.2">
      <c r="A682" s="7" t="str">
        <f>Data!A61</f>
        <v>AptarGroup, Inc.</v>
      </c>
      <c r="B682" s="7" t="str">
        <f>Data!B61</f>
        <v>ATR</v>
      </c>
      <c r="C682" s="7" t="str">
        <f>Data!C61</f>
        <v>Materials</v>
      </c>
      <c r="D682" s="8">
        <f>IF(ISNUMBER(Data!AL61),Data!AL61/1000,"n/a")</f>
        <v>6.47</v>
      </c>
      <c r="E682" s="1">
        <f>Data!E61</f>
        <v>28</v>
      </c>
      <c r="F682" s="28">
        <f>Data!J61/100</f>
        <v>1.5330307614725163E-2</v>
      </c>
      <c r="G682" s="28">
        <f>IF(ISNUMBER(Data!S61),Data!S61/100,"n/a")</f>
        <v>4.1666666666666741E-2</v>
      </c>
      <c r="H682" s="28">
        <f>IF(ISNUMBER(Data!T61),Data!T61/100,"n/a")</f>
        <v>4.3532011211615762E-2</v>
      </c>
      <c r="I682" s="28">
        <f>IF(ISNUMBER(Data!U61),Data!U61/100,"n/a")</f>
        <v>4.2188521668051759E-2</v>
      </c>
      <c r="J682" s="28">
        <f>IF(ISNUMBER(Data!V61),Data!V61/100,"n/a")</f>
        <v>6.4878668033606202E-2</v>
      </c>
      <c r="K682" s="9">
        <f>IF(ISNUMBER(Data!Z61),Data!Z61/100,"n/a")</f>
        <v>0.42816901408450714</v>
      </c>
      <c r="L682" s="10">
        <f>Data!AA61</f>
        <v>27.929577464788736</v>
      </c>
      <c r="M682" s="10">
        <f>Data!AF61</f>
        <v>3.42</v>
      </c>
      <c r="N682" s="28">
        <f>IF(ISNUMBER(Data!AG61),Data!AG61/100,"n/a")</f>
        <v>0.113</v>
      </c>
      <c r="O682" s="28">
        <f>IF(ISNUMBER(Data!AJ61),Data!AJ61/100,"n/a")</f>
        <v>2.6000000000000002E-2</v>
      </c>
      <c r="P682" s="9">
        <f>IF(ISNUMBER(Data!AK61),Data!AK61/100,"n/a")</f>
        <v>6.7900000000000002E-2</v>
      </c>
      <c r="Q682" s="8">
        <f>Data!AN61</f>
        <v>0.69</v>
      </c>
      <c r="R682" s="8">
        <f>Data!AP61</f>
        <v>5.7518829282776922</v>
      </c>
      <c r="S682" s="8"/>
      <c r="T682" s="8"/>
      <c r="U682" s="8"/>
      <c r="V682" s="1">
        <f t="shared" si="20"/>
        <v>7</v>
      </c>
      <c r="W682" s="1">
        <f t="shared" si="21"/>
        <v>0</v>
      </c>
    </row>
    <row r="683" spans="1:23" hidden="1" x14ac:dyDescent="0.2">
      <c r="A683" s="7" t="str">
        <f>Data!A76</f>
        <v>Bank of America Corporation</v>
      </c>
      <c r="B683" s="7" t="str">
        <f>Data!B76</f>
        <v>BAC</v>
      </c>
      <c r="C683" s="7" t="str">
        <f>Data!C76</f>
        <v>Financials</v>
      </c>
      <c r="D683" s="8">
        <f>IF(ISNUMBER(Data!AL76),Data!AL76/1000,"n/a")</f>
        <v>287.83999999999997</v>
      </c>
      <c r="E683" s="1">
        <f>Data!E76</f>
        <v>9</v>
      </c>
      <c r="F683" s="28">
        <f>Data!J76/100</f>
        <v>2.4417314095449501E-2</v>
      </c>
      <c r="G683" s="28">
        <f>IF(ISNUMBER(Data!S76),Data!S76/100,"n/a")</f>
        <v>8.3333333333333481E-2</v>
      </c>
      <c r="H683" s="28">
        <f>IF(ISNUMBER(Data!T76),Data!T76/100,"n/a")</f>
        <v>0.13040381433805548</v>
      </c>
      <c r="I683" s="28">
        <f>IF(ISNUMBER(Data!U76),Data!U76/100,"n/a")</f>
        <v>0.25554105646137248</v>
      </c>
      <c r="J683" s="28">
        <f>IF(ISNUMBER(Data!V76),Data!V76/100,"n/a")</f>
        <v>0.34587108001452571</v>
      </c>
      <c r="K683" s="9">
        <f>IF(ISNUMBER(Data!Z76),Data!Z76/100,"n/a")</f>
        <v>0.27848101265822783</v>
      </c>
      <c r="L683" s="10">
        <f>Data!AA76</f>
        <v>11.405063291139239</v>
      </c>
      <c r="M683" s="10">
        <f>Data!AF76</f>
        <v>1.22</v>
      </c>
      <c r="N683" s="28">
        <f>IF(ISNUMBER(Data!AG76),Data!AG76/100,"n/a")</f>
        <v>0.122</v>
      </c>
      <c r="O683" s="28">
        <f>IF(ISNUMBER(Data!AJ76),Data!AJ76/100,"n/a")</f>
        <v>0.191</v>
      </c>
      <c r="P683" s="9">
        <f>IF(ISNUMBER(Data!AK76),Data!AK76/100,"n/a")</f>
        <v>5.9299999999999999E-2</v>
      </c>
      <c r="Q683" s="8">
        <f>Data!AN76</f>
        <v>2.11</v>
      </c>
      <c r="R683" s="8">
        <f>Data!AP76</f>
        <v>27.995837055682198</v>
      </c>
      <c r="S683" s="8"/>
      <c r="T683" s="8"/>
      <c r="U683" s="8"/>
      <c r="V683" s="1">
        <f t="shared" si="20"/>
        <v>10</v>
      </c>
      <c r="W683" s="1">
        <f t="shared" si="21"/>
        <v>0</v>
      </c>
    </row>
    <row r="684" spans="1:23" hidden="1" x14ac:dyDescent="0.2">
      <c r="A684" s="7" t="str">
        <f>Data!A65</f>
        <v>Auburn National Bancorporation, Inc.</v>
      </c>
      <c r="B684" s="7" t="str">
        <f>Data!B65</f>
        <v>AUBN</v>
      </c>
      <c r="C684" s="7" t="str">
        <f>Data!C65</f>
        <v>Financials</v>
      </c>
      <c r="D684" s="8">
        <f>IF(ISNUMBER(Data!AL65),Data!AL65/1000,"n/a")</f>
        <v>8.4239999999999995E-2</v>
      </c>
      <c r="E684" s="1">
        <f>Data!E65</f>
        <v>21</v>
      </c>
      <c r="F684" s="28">
        <f>Data!J65/100</f>
        <v>4.5106382978723408E-2</v>
      </c>
      <c r="G684" s="28">
        <f>IF(ISNUMBER(Data!S65),Data!S65/100,"n/a")</f>
        <v>1.9607843137254832E-2</v>
      </c>
      <c r="H684" s="28">
        <f>IF(ISNUMBER(Data!T65),Data!T65/100,"n/a")</f>
        <v>2.7040024624839898E-2</v>
      </c>
      <c r="I684" s="28">
        <f>IF(ISNUMBER(Data!U65),Data!U65/100,"n/a")</f>
        <v>2.9338379413359039E-2</v>
      </c>
      <c r="J684" s="28">
        <f>IF(ISNUMBER(Data!V65),Data!V65/100,"n/a")</f>
        <v>2.6583631304232025E-2</v>
      </c>
      <c r="K684" s="9">
        <f>IF(ISNUMBER(Data!Z65),Data!Z65/100,"n/a")</f>
        <v>0.47963800904977377</v>
      </c>
      <c r="L684" s="10">
        <f>Data!AA65</f>
        <v>10.633484162895927</v>
      </c>
      <c r="M684" s="10">
        <f>Data!AF65</f>
        <v>1.1100000000000001</v>
      </c>
      <c r="N684" s="28">
        <f>IF(ISNUMBER(Data!AG65),Data!AG65/100,"n/a")</f>
        <v>8.6999999999999994E-2</v>
      </c>
      <c r="O684" s="28">
        <f>IF(ISNUMBER(Data!AJ65),Data!AJ65/100,"n/a")</f>
        <v>3.0000000000000001E-3</v>
      </c>
      <c r="P684" s="9" t="str">
        <f>IF(ISNUMBER(Data!AK65),Data!AK65/100,"n/a")</f>
        <v>n/a</v>
      </c>
      <c r="Q684" s="8">
        <f>Data!AN65</f>
        <v>0</v>
      </c>
      <c r="R684" s="8">
        <f>Data!AP65</f>
        <v>7.4444762392082451</v>
      </c>
      <c r="S684" s="8"/>
      <c r="T684" s="8"/>
      <c r="U684" s="8"/>
      <c r="V684" s="1">
        <f t="shared" si="20"/>
        <v>6</v>
      </c>
      <c r="W684" s="1">
        <f t="shared" si="21"/>
        <v>0</v>
      </c>
    </row>
    <row r="685" spans="1:23" hidden="1" x14ac:dyDescent="0.2">
      <c r="A685" s="7" t="str">
        <f>Data!A28</f>
        <v>Assured Guaranty Ltd.</v>
      </c>
      <c r="B685" s="7" t="str">
        <f>Data!B28</f>
        <v>AGO</v>
      </c>
      <c r="C685" s="7" t="str">
        <f>Data!C28</f>
        <v>Financials</v>
      </c>
      <c r="D685" s="8">
        <f>IF(ISNUMBER(Data!AL28),Data!AL28/1000,"n/a")</f>
        <v>3.53</v>
      </c>
      <c r="E685" s="1">
        <f>Data!E28</f>
        <v>11</v>
      </c>
      <c r="F685" s="28">
        <f>Data!J28/100</f>
        <v>1.6894745734076701E-2</v>
      </c>
      <c r="G685" s="28">
        <f>IF(ISNUMBER(Data!S28),Data!S28/100,"n/a")</f>
        <v>9.9999999999999853E-2</v>
      </c>
      <c r="H685" s="28">
        <f>IF(ISNUMBER(Data!T28),Data!T28/100,"n/a")</f>
        <v>0.11199004528465784</v>
      </c>
      <c r="I685" s="28">
        <f>IF(ISNUMBER(Data!U28),Data!U28/100,"n/a")</f>
        <v>0.1109534595426207</v>
      </c>
      <c r="J685" s="28">
        <f>IF(ISNUMBER(Data!V28),Data!V28/100,"n/a")</f>
        <v>0.17198220273309572</v>
      </c>
      <c r="K685" s="9">
        <f>IF(ISNUMBER(Data!Z28),Data!Z28/100,"n/a")</f>
        <v>0.23696682464454977</v>
      </c>
      <c r="L685" s="10">
        <f>Data!AA28</f>
        <v>14.0260663507109</v>
      </c>
      <c r="M685" s="10">
        <f>Data!AF28</f>
        <v>0.71</v>
      </c>
      <c r="N685" s="28">
        <f>IF(ISNUMBER(Data!AG28),Data!AG28/100,"n/a")</f>
        <v>5.0999999999999997E-2</v>
      </c>
      <c r="O685" s="28">
        <f>IF(ISNUMBER(Data!AJ28),Data!AJ28/100,"n/a")</f>
        <v>-4.3999999999999997E-2</v>
      </c>
      <c r="P685" s="9">
        <f>IF(ISNUMBER(Data!AK28),Data!AK28/100,"n/a")</f>
        <v>0.03</v>
      </c>
      <c r="Q685" s="8">
        <f>Data!AN28</f>
        <v>0.32</v>
      </c>
      <c r="R685" s="8">
        <f>Data!AP28</f>
        <v>12.784820527669741</v>
      </c>
      <c r="S685" s="8"/>
      <c r="T685" s="8"/>
      <c r="U685" s="8"/>
      <c r="V685" s="1">
        <f t="shared" si="20"/>
        <v>9</v>
      </c>
      <c r="W685" s="1">
        <f t="shared" si="21"/>
        <v>0</v>
      </c>
    </row>
    <row r="686" spans="1:23" hidden="1" x14ac:dyDescent="0.2">
      <c r="A686" s="7" t="str">
        <f>Data!A31</f>
        <v>Assurant, Inc.</v>
      </c>
      <c r="B686" s="7" t="str">
        <f>Data!B31</f>
        <v>AIZ</v>
      </c>
      <c r="C686" s="7" t="str">
        <f>Data!C31</f>
        <v>Financials</v>
      </c>
      <c r="D686" s="8">
        <f>IF(ISNUMBER(Data!AL31),Data!AL31/1000,"n/a")</f>
        <v>7.03</v>
      </c>
      <c r="E686" s="1">
        <f>Data!E31</f>
        <v>18</v>
      </c>
      <c r="F686" s="28">
        <f>Data!J31/100</f>
        <v>2.0020609450905346E-2</v>
      </c>
      <c r="G686" s="28">
        <f>IF(ISNUMBER(Data!S31),Data!S31/100,"n/a")</f>
        <v>4.3137254901960853E-2</v>
      </c>
      <c r="H686" s="28">
        <f>IF(ISNUMBER(Data!T31),Data!T31/100,"n/a")</f>
        <v>5.2726599609396629E-2</v>
      </c>
      <c r="I686" s="28">
        <f>IF(ISNUMBER(Data!U31),Data!U31/100,"n/a")</f>
        <v>5.5545891648484114E-2</v>
      </c>
      <c r="J686" s="28">
        <f>IF(ISNUMBER(Data!V31),Data!V31/100,"n/a")</f>
        <v>0.14282138804355626</v>
      </c>
      <c r="K686" s="9">
        <f>IF(ISNUMBER(Data!Z31),Data!Z31/100,"n/a")</f>
        <v>0.32342449464922718</v>
      </c>
      <c r="L686" s="10">
        <f>Data!AA31</f>
        <v>16.154577883472058</v>
      </c>
      <c r="M686" s="10">
        <f>Data!AF31</f>
        <v>1.65</v>
      </c>
      <c r="N686" s="28">
        <f>IF(ISNUMBER(Data!AG31),Data!AG31/100,"n/a")</f>
        <v>0.23300000000000001</v>
      </c>
      <c r="O686" s="28">
        <f>IF(ISNUMBER(Data!AJ31),Data!AJ31/100,"n/a")</f>
        <v>2.1000000000000001E-2</v>
      </c>
      <c r="P686" s="9">
        <f>IF(ISNUMBER(Data!AK31),Data!AK31/100,"n/a")</f>
        <v>0.17399999999999999</v>
      </c>
      <c r="Q686" s="8">
        <f>Data!AN31</f>
        <v>0.48</v>
      </c>
      <c r="R686" s="8">
        <f>Data!AP31</f>
        <v>7.5566501099389463</v>
      </c>
      <c r="S686" s="8"/>
      <c r="T686" s="8"/>
      <c r="U686" s="8"/>
      <c r="V686" s="1">
        <f t="shared" si="20"/>
        <v>10</v>
      </c>
      <c r="W686" s="1">
        <f t="shared" si="21"/>
        <v>0</v>
      </c>
    </row>
    <row r="687" spans="1:23" hidden="1" x14ac:dyDescent="0.2">
      <c r="A687" s="7" t="str">
        <f>Data!A58</f>
        <v>Ashland Global Holdings Inc.</v>
      </c>
      <c r="B687" s="7" t="str">
        <f>Data!B58</f>
        <v>ASH</v>
      </c>
      <c r="C687" s="7" t="str">
        <f>Data!C58</f>
        <v>Materials</v>
      </c>
      <c r="D687" s="8">
        <f>IF(ISNUMBER(Data!AL58),Data!AL58/1000,"n/a")</f>
        <v>5.57</v>
      </c>
      <c r="E687" s="1">
        <f>Data!E58</f>
        <v>13</v>
      </c>
      <c r="F687" s="28">
        <f>Data!J58/100</f>
        <v>1.2771635531833778E-2</v>
      </c>
      <c r="G687" s="28">
        <f>IF(ISNUMBER(Data!S58),Data!S58/100,"n/a")</f>
        <v>6.8181818181818121E-2</v>
      </c>
      <c r="H687" s="28">
        <f>IF(ISNUMBER(Data!T58),Data!T58/100,"n/a")</f>
        <v>6.4170176581826111E-2</v>
      </c>
      <c r="I687" s="28">
        <f>IF(ISNUMBER(Data!U58),Data!U58/100,"n/a")</f>
        <v>9.010547493481337E-2</v>
      </c>
      <c r="J687" s="28">
        <f>IF(ISNUMBER(Data!V58),Data!V58/100,"n/a")</f>
        <v>0.13530599011949529</v>
      </c>
      <c r="K687" s="9">
        <f>IF(ISNUMBER(Data!Z58),Data!Z58/100,"n/a")</f>
        <v>0.72432432432432436</v>
      </c>
      <c r="L687" s="10">
        <f>Data!AA58</f>
        <v>56.713513513513512</v>
      </c>
      <c r="M687" s="10">
        <f>Data!AF58</f>
        <v>1.75</v>
      </c>
      <c r="N687" s="28">
        <f>IF(ISNUMBER(Data!AG58),Data!AG58/100,"n/a")</f>
        <v>0.30099999999999999</v>
      </c>
      <c r="O687" s="28">
        <f>IF(ISNUMBER(Data!AJ58),Data!AJ58/100,"n/a")</f>
        <v>0.21299999999999999</v>
      </c>
      <c r="P687" s="9">
        <f>IF(ISNUMBER(Data!AK58),Data!AK58/100,"n/a")</f>
        <v>0.15359999999999999</v>
      </c>
      <c r="Q687" s="8">
        <f>Data!AN58</f>
        <v>0.4</v>
      </c>
      <c r="R687" s="8">
        <f>Data!AP58</f>
        <v>10.287711046664715</v>
      </c>
      <c r="S687" s="8"/>
      <c r="T687" s="8"/>
      <c r="U687" s="8"/>
      <c r="V687" s="1">
        <f t="shared" si="20"/>
        <v>8</v>
      </c>
      <c r="W687" s="1">
        <f t="shared" si="21"/>
        <v>0</v>
      </c>
    </row>
    <row r="688" spans="1:23" hidden="1" x14ac:dyDescent="0.2">
      <c r="A688" s="7" t="str">
        <f>Data!A59</f>
        <v>Ames National Corporation</v>
      </c>
      <c r="B688" s="7" t="str">
        <f>Data!B59</f>
        <v>ATLO</v>
      </c>
      <c r="C688" s="7" t="str">
        <f>Data!C59</f>
        <v>Financials</v>
      </c>
      <c r="D688" s="8">
        <f>IF(ISNUMBER(Data!AL59),Data!AL59/1000,"n/a")</f>
        <v>0.20093</v>
      </c>
      <c r="E688" s="1">
        <f>Data!E59</f>
        <v>12</v>
      </c>
      <c r="F688" s="28">
        <f>Data!J59/100</f>
        <v>4.8824593128390596E-2</v>
      </c>
      <c r="G688" s="28">
        <f>IF(ISNUMBER(Data!S59),Data!S59/100,"n/a")</f>
        <v>4.0404040404040442E-2</v>
      </c>
      <c r="H688" s="28">
        <f>IF(ISNUMBER(Data!T59),Data!T59/100,"n/a")</f>
        <v>4.2154106425138949E-2</v>
      </c>
      <c r="I688" s="28">
        <f>IF(ISNUMBER(Data!U59),Data!U59/100,"n/a")</f>
        <v>4.4123394129335969E-2</v>
      </c>
      <c r="J688" s="28">
        <f>IF(ISNUMBER(Data!V59),Data!V59/100,"n/a")</f>
        <v>7.4946183300194091E-2</v>
      </c>
      <c r="K688" s="9">
        <f>IF(ISNUMBER(Data!Z59),Data!Z59/100,"n/a")</f>
        <v>0.48430493273542602</v>
      </c>
      <c r="L688" s="10">
        <f>Data!AA59</f>
        <v>9.9192825112107634</v>
      </c>
      <c r="M688" s="10">
        <f>Data!AF59</f>
        <v>1.29</v>
      </c>
      <c r="N688" s="28">
        <f>IF(ISNUMBER(Data!AG59),Data!AG59/100,"n/a")</f>
        <v>0.122</v>
      </c>
      <c r="O688" s="28">
        <f>IF(ISNUMBER(Data!AJ59),Data!AJ59/100,"n/a")</f>
        <v>9.1999999999999998E-2</v>
      </c>
      <c r="P688" s="9" t="str">
        <f>IF(ISNUMBER(Data!AK59),Data!AK59/100,"n/a")</f>
        <v>n/a</v>
      </c>
      <c r="Q688" s="8">
        <f>Data!AN59</f>
        <v>0</v>
      </c>
      <c r="R688" s="8">
        <f>Data!AP59</f>
        <v>9.2947987257726563</v>
      </c>
      <c r="S688" s="8"/>
      <c r="T688" s="8"/>
      <c r="U688" s="8"/>
      <c r="V688" s="1">
        <f t="shared" si="20"/>
        <v>6</v>
      </c>
      <c r="W688" s="1">
        <f t="shared" si="21"/>
        <v>0</v>
      </c>
    </row>
    <row r="689" spans="1:23" hidden="1" x14ac:dyDescent="0.2">
      <c r="A689" s="7" t="str">
        <f>Data!A32</f>
        <v>Arthur J. Gallagher &amp; Co.</v>
      </c>
      <c r="B689" s="7" t="str">
        <f>Data!B32</f>
        <v>AJG</v>
      </c>
      <c r="C689" s="7" t="str">
        <f>Data!C32</f>
        <v>Financials</v>
      </c>
      <c r="D689" s="8">
        <f>IF(ISNUMBER(Data!AL32),Data!AL32/1000,"n/a")</f>
        <v>37.340000000000003</v>
      </c>
      <c r="E689" s="1">
        <f>Data!E32</f>
        <v>12</v>
      </c>
      <c r="F689" s="28">
        <f>Data!J32/100</f>
        <v>1.0904425914047465E-2</v>
      </c>
      <c r="G689" s="28">
        <f>IF(ISNUMBER(Data!S32),Data!S32/100,"n/a")</f>
        <v>6.6666666666666652E-2</v>
      </c>
      <c r="H689" s="28">
        <f>IF(ISNUMBER(Data!T32),Data!T32/100,"n/a")</f>
        <v>5.3947861260881913E-2</v>
      </c>
      <c r="I689" s="28">
        <f>IF(ISNUMBER(Data!U32),Data!U32/100,"n/a")</f>
        <v>4.7831688302757414E-2</v>
      </c>
      <c r="J689" s="28">
        <f>IF(ISNUMBER(Data!V32),Data!V32/100,"n/a")</f>
        <v>3.818017112287686E-2</v>
      </c>
      <c r="K689" s="9">
        <f>IF(ISNUMBER(Data!Z32),Data!Z32/100,"n/a")</f>
        <v>0.52307692307692311</v>
      </c>
      <c r="L689" s="10">
        <f>Data!AA32</f>
        <v>47.969230769230776</v>
      </c>
      <c r="M689" s="10">
        <f>Data!AF32</f>
        <v>4.5</v>
      </c>
      <c r="N689" s="28">
        <f>IF(ISNUMBER(Data!AG32),Data!AG32/100,"n/a")</f>
        <v>0.111</v>
      </c>
      <c r="O689" s="28">
        <f>IF(ISNUMBER(Data!AJ32),Data!AJ32/100,"n/a")</f>
        <v>0.14499999999999999</v>
      </c>
      <c r="P689" s="9">
        <f>IF(ISNUMBER(Data!AK32),Data!AK32/100,"n/a")</f>
        <v>0.10199999999999999</v>
      </c>
      <c r="Q689" s="8">
        <f>Data!AN32</f>
        <v>0.73</v>
      </c>
      <c r="R689" s="8">
        <f>Data!AP32</f>
        <v>5.8736114216804882</v>
      </c>
      <c r="S689" s="8"/>
      <c r="T689" s="8"/>
      <c r="U689" s="8"/>
      <c r="V689" s="1">
        <f t="shared" si="20"/>
        <v>6</v>
      </c>
      <c r="W689" s="1">
        <f t="shared" si="21"/>
        <v>0</v>
      </c>
    </row>
    <row r="690" spans="1:23" hidden="1" x14ac:dyDescent="0.2">
      <c r="A690" s="7" t="str">
        <f>Data!A57</f>
        <v>Associated Banc-Corp</v>
      </c>
      <c r="B690" s="7" t="str">
        <f>Data!B57</f>
        <v>ASB</v>
      </c>
      <c r="C690" s="7" t="str">
        <f>Data!C57</f>
        <v>Financials</v>
      </c>
      <c r="D690" s="8">
        <f>IF(ISNUMBER(Data!AL57),Data!AL57/1000,"n/a")</f>
        <v>3.57</v>
      </c>
      <c r="E690" s="1">
        <f>Data!E57</f>
        <v>11</v>
      </c>
      <c r="F690" s="28">
        <f>Data!J57/100</f>
        <v>3.4496919917864473E-2</v>
      </c>
      <c r="G690" s="28">
        <f>IF(ISNUMBER(Data!S57),Data!S57/100,"n/a")</f>
        <v>5.555555555555558E-2</v>
      </c>
      <c r="H690" s="28">
        <f>IF(ISNUMBER(Data!T57),Data!T57/100,"n/a")</f>
        <v>7.0222229910164247E-2</v>
      </c>
      <c r="I690" s="28">
        <f>IF(ISNUMBER(Data!U57),Data!U57/100,"n/a")</f>
        <v>0.11050422629436894</v>
      </c>
      <c r="J690" s="28">
        <f>IF(ISNUMBER(Data!V57),Data!V57/100,"n/a")</f>
        <v>0.34237965096210488</v>
      </c>
      <c r="K690" s="9">
        <f>IF(ISNUMBER(Data!Z57),Data!Z57/100,"n/a")</f>
        <v>0.40579710144927539</v>
      </c>
      <c r="L690" s="10">
        <f>Data!AA57</f>
        <v>11.763285024154591</v>
      </c>
      <c r="M690" s="10">
        <f>Data!AF57</f>
        <v>0.97</v>
      </c>
      <c r="N690" s="28">
        <f>IF(ISNUMBER(Data!AG57),Data!AG57/100,"n/a")</f>
        <v>8.5000000000000006E-2</v>
      </c>
      <c r="O690" s="28">
        <f>IF(ISNUMBER(Data!AJ57),Data!AJ57/100,"n/a")</f>
        <v>0.11600000000000002</v>
      </c>
      <c r="P690" s="9">
        <f>IF(ISNUMBER(Data!AK57),Data!AK57/100,"n/a")</f>
        <v>0.08</v>
      </c>
      <c r="Q690" s="8">
        <f>Data!AN57</f>
        <v>0</v>
      </c>
      <c r="R690" s="8">
        <f>Data!AP57</f>
        <v>14.500114621223343</v>
      </c>
      <c r="S690" s="8"/>
      <c r="T690" s="8"/>
      <c r="U690" s="8"/>
      <c r="V690" s="1">
        <f t="shared" si="20"/>
        <v>11</v>
      </c>
      <c r="W690" s="1">
        <f t="shared" si="21"/>
        <v>0</v>
      </c>
    </row>
    <row r="691" spans="1:23" hidden="1" x14ac:dyDescent="0.2">
      <c r="A691" s="7" t="str">
        <f>Data!A56</f>
        <v>Artesian Resources Corporation</v>
      </c>
      <c r="B691" s="7" t="str">
        <f>Data!B56</f>
        <v>ARTNA</v>
      </c>
      <c r="C691" s="7" t="str">
        <f>Data!C56</f>
        <v>Utilities</v>
      </c>
      <c r="D691" s="8">
        <f>IF(ISNUMBER(Data!AL56),Data!AL56/1000,"n/a")</f>
        <v>0.49373</v>
      </c>
      <c r="E691" s="1">
        <f>Data!E56</f>
        <v>30</v>
      </c>
      <c r="F691" s="28">
        <f>Data!J56/100</f>
        <v>2.0879877582249424E-2</v>
      </c>
      <c r="G691" s="28">
        <f>IF(ISNUMBER(Data!S56),Data!S56/100,"n/a")</f>
        <v>4.0461278457103012E-2</v>
      </c>
      <c r="H691" s="28">
        <f>IF(ISNUMBER(Data!T56),Data!T56/100,"n/a")</f>
        <v>3.1037067136208796E-2</v>
      </c>
      <c r="I691" s="28">
        <f>IF(ISNUMBER(Data!U56),Data!U56/100,"n/a")</f>
        <v>3.0710266691390764E-2</v>
      </c>
      <c r="J691" s="28">
        <f>IF(ISNUMBER(Data!V56),Data!V56/100,"n/a")</f>
        <v>3.2190325675818254E-2</v>
      </c>
      <c r="K691" s="9">
        <f>IF(ISNUMBER(Data!Z56),Data!Z56/100,"n/a")</f>
        <v>0.58374331550802128</v>
      </c>
      <c r="L691" s="10">
        <f>Data!AA56</f>
        <v>27.957219251336898</v>
      </c>
      <c r="M691" s="10">
        <f>Data!AF56</f>
        <v>2.8</v>
      </c>
      <c r="N691" s="28">
        <f>IF(ISNUMBER(Data!AG56),Data!AG56/100,"n/a")</f>
        <v>9.9000000000000005E-2</v>
      </c>
      <c r="O691" s="28">
        <f>IF(ISNUMBER(Data!AJ56),Data!AJ56/100,"n/a")</f>
        <v>4.8000000000000001E-2</v>
      </c>
      <c r="P691" s="9">
        <f>IF(ISNUMBER(Data!AK56),Data!AK56/100,"n/a")</f>
        <v>0.04</v>
      </c>
      <c r="Q691" s="8">
        <f>Data!AN56</f>
        <v>1.03</v>
      </c>
      <c r="R691" s="8">
        <f>Data!AP56</f>
        <v>5.1590144273640188</v>
      </c>
      <c r="S691" s="8"/>
      <c r="T691" s="8"/>
      <c r="U691" s="8"/>
      <c r="V691" s="1">
        <f t="shared" si="20"/>
        <v>5</v>
      </c>
      <c r="W691" s="1">
        <f t="shared" si="21"/>
        <v>0</v>
      </c>
    </row>
    <row r="692" spans="1:23" hidden="1" x14ac:dyDescent="0.2">
      <c r="A692" s="7" t="str">
        <f>Data!A17</f>
        <v>Archer-Daniels-Midland Company</v>
      </c>
      <c r="B692" s="7" t="str">
        <f>Data!B17</f>
        <v>ADM</v>
      </c>
      <c r="C692" s="7" t="str">
        <f>Data!C17</f>
        <v>Consumer Staples</v>
      </c>
      <c r="D692" s="8">
        <f>IF(ISNUMBER(Data!AL17),Data!AL17/1000,"n/a")</f>
        <v>51.71</v>
      </c>
      <c r="E692" s="1">
        <f>Data!E17</f>
        <v>47</v>
      </c>
      <c r="F692" s="28">
        <f>Data!J17/100</f>
        <v>1.6498247061249742E-2</v>
      </c>
      <c r="G692" s="28">
        <f>IF(ISNUMBER(Data!S17),Data!S17/100,"n/a")</f>
        <v>2.7777777777777901E-2</v>
      </c>
      <c r="H692" s="28">
        <f>IF(ISNUMBER(Data!T17),Data!T17/100,"n/a")</f>
        <v>3.3678870711322473E-2</v>
      </c>
      <c r="I692" s="28">
        <f>IF(ISNUMBER(Data!U17),Data!U17/100,"n/a")</f>
        <v>4.2836189040638795E-2</v>
      </c>
      <c r="J692" s="28">
        <f>IF(ISNUMBER(Data!V17),Data!V17/100,"n/a")</f>
        <v>8.493080754641591E-2</v>
      </c>
      <c r="K692" s="9">
        <f>IF(ISNUMBER(Data!Z17),Data!Z17/100,"n/a")</f>
        <v>0.22068965517241382</v>
      </c>
      <c r="L692" s="10">
        <f>Data!AA17</f>
        <v>13.376551724137931</v>
      </c>
      <c r="M692" s="10">
        <f>Data!AF17</f>
        <v>2.2200000000000002</v>
      </c>
      <c r="N692" s="28">
        <f>IF(ISNUMBER(Data!AG17),Data!AG17/100,"n/a")</f>
        <v>0.17399999999999999</v>
      </c>
      <c r="O692" s="28">
        <f>IF(ISNUMBER(Data!AJ17),Data!AJ17/100,"n/a")</f>
        <v>0.17199999999999999</v>
      </c>
      <c r="P692" s="9">
        <f>IF(ISNUMBER(Data!AK17),Data!AK17/100,"n/a")</f>
        <v>8.900000000000001E-2</v>
      </c>
      <c r="Q692" s="8">
        <f>Data!AN17</f>
        <v>0.36</v>
      </c>
      <c r="R692" s="8">
        <f>Data!AP17</f>
        <v>5.9334436101888537</v>
      </c>
      <c r="S692" s="8"/>
      <c r="T692" s="8"/>
      <c r="U692" s="8"/>
      <c r="V692" s="1">
        <f t="shared" si="20"/>
        <v>8</v>
      </c>
      <c r="W692" s="1">
        <f t="shared" si="21"/>
        <v>0</v>
      </c>
    </row>
    <row r="693" spans="1:23" hidden="1" x14ac:dyDescent="0.2">
      <c r="A693" s="7" t="str">
        <f>Data!A12</f>
        <v>Arbor Realty Trust, Inc.</v>
      </c>
      <c r="B693" s="7" t="str">
        <f>Data!B12</f>
        <v>ABR</v>
      </c>
      <c r="C693" s="7" t="str">
        <f>Data!C12</f>
        <v>Financials</v>
      </c>
      <c r="D693" s="8">
        <f>IF(ISNUMBER(Data!AL12),Data!AL12/1000,"n/a")</f>
        <v>2.29</v>
      </c>
      <c r="E693" s="1">
        <f>Data!E12</f>
        <v>11</v>
      </c>
      <c r="F693" s="28">
        <f>Data!J12/100</f>
        <v>0.11328976034858389</v>
      </c>
      <c r="G693" s="28">
        <f>IF(ISNUMBER(Data!S12),Data!S12/100,"n/a")</f>
        <v>0.12195121951219502</v>
      </c>
      <c r="H693" s="28">
        <f>IF(ISNUMBER(Data!T12),Data!T12/100,"n/a")</f>
        <v>0.12085905216063499</v>
      </c>
      <c r="I693" s="28">
        <f>IF(ISNUMBER(Data!U12),Data!U12/100,"n/a")</f>
        <v>0.17353887132154822</v>
      </c>
      <c r="J693" s="28" t="str">
        <f>IF(ISNUMBER(Data!V12),Data!V12/100,"n/a")</f>
        <v>n/a</v>
      </c>
      <c r="K693" s="9">
        <f>IF(ISNUMBER(Data!Z12),Data!Z12/100,"n/a")</f>
        <v>0.8666666666666667</v>
      </c>
      <c r="L693" s="10">
        <f>Data!AA12</f>
        <v>7.6499999999999995</v>
      </c>
      <c r="M693" s="10">
        <f>Data!AF12</f>
        <v>1.05</v>
      </c>
      <c r="N693" s="28">
        <f>IF(ISNUMBER(Data!AG12),Data!AG12/100,"n/a")</f>
        <v>0.16300000000000001</v>
      </c>
      <c r="O693" s="28">
        <f>IF(ISNUMBER(Data!AJ12),Data!AJ12/100,"n/a")</f>
        <v>0.2</v>
      </c>
      <c r="P693" s="9">
        <f>IF(ISNUMBER(Data!AK12),Data!AK12/100,"n/a")</f>
        <v>0.08</v>
      </c>
      <c r="Q693" s="8">
        <f>Data!AN12</f>
        <v>6.67</v>
      </c>
      <c r="R693" s="8">
        <f>Data!AP12</f>
        <v>28.68286316701321</v>
      </c>
      <c r="S693" s="8"/>
      <c r="T693" s="8"/>
      <c r="U693" s="8"/>
      <c r="V693" s="1">
        <f t="shared" si="20"/>
        <v>8</v>
      </c>
      <c r="W693" s="1">
        <f t="shared" si="21"/>
        <v>0</v>
      </c>
    </row>
    <row r="694" spans="1:23" hidden="1" x14ac:dyDescent="0.2">
      <c r="A694" s="7" t="str">
        <f>Data!A62</f>
        <v>Atrion Corporation</v>
      </c>
      <c r="B694" s="7" t="str">
        <f>Data!B62</f>
        <v>ATRI</v>
      </c>
      <c r="C694" s="7" t="str">
        <f>Data!C62</f>
        <v>Health Care</v>
      </c>
      <c r="D694" s="8">
        <f>IF(ISNUMBER(Data!AL62),Data!AL62/1000,"n/a")</f>
        <v>1.1399999999999999</v>
      </c>
      <c r="E694" s="1">
        <f>Data!E62</f>
        <v>20</v>
      </c>
      <c r="F694" s="28">
        <f>Data!J62/100</f>
        <v>1.4325931602005631E-2</v>
      </c>
      <c r="G694" s="28">
        <f>IF(ISNUMBER(Data!S62),Data!S62/100,"n/a")</f>
        <v>0.12121212121212131</v>
      </c>
      <c r="H694" s="28">
        <f>IF(ISNUMBER(Data!T62),Data!T62/100,"n/a")</f>
        <v>0.1321062322933404</v>
      </c>
      <c r="I694" s="28">
        <f>IF(ISNUMBER(Data!U62),Data!U62/100,"n/a")</f>
        <v>0.13666744731549407</v>
      </c>
      <c r="J694" s="28">
        <f>IF(ISNUMBER(Data!V62),Data!V62/100,"n/a")</f>
        <v>0.15057791382950647</v>
      </c>
      <c r="K694" s="9">
        <f>IF(ISNUMBER(Data!Z62),Data!Z62/100,"n/a")</f>
        <v>0.45263157894736833</v>
      </c>
      <c r="L694" s="10">
        <f>Data!AA62</f>
        <v>31.595263157894735</v>
      </c>
      <c r="M694" s="10">
        <f>Data!AF62</f>
        <v>4.38</v>
      </c>
      <c r="N694" s="28">
        <f>IF(ISNUMBER(Data!AG62),Data!AG62/100,"n/a")</f>
        <v>0.14000000000000001</v>
      </c>
      <c r="O694" s="28">
        <f>IF(ISNUMBER(Data!AJ62),Data!AJ62/100,"n/a")</f>
        <v>4.1000000000000009E-2</v>
      </c>
      <c r="P694" s="9" t="str">
        <f>IF(ISNUMBER(Data!AK62),Data!AK62/100,"n/a")</f>
        <v>n/a</v>
      </c>
      <c r="Q694" s="8">
        <f>Data!AN62</f>
        <v>0</v>
      </c>
      <c r="R694" s="8">
        <f>Data!AP62</f>
        <v>15.09933789174997</v>
      </c>
      <c r="S694" s="8"/>
      <c r="T694" s="8"/>
      <c r="U694" s="8"/>
      <c r="V694" s="1">
        <f t="shared" si="20"/>
        <v>8</v>
      </c>
      <c r="W694" s="1">
        <f t="shared" si="21"/>
        <v>0</v>
      </c>
    </row>
    <row r="695" spans="1:23" hidden="1" x14ac:dyDescent="0.2">
      <c r="A695" s="7" t="str">
        <f>Data!A41</f>
        <v>Applied Materials, Inc.</v>
      </c>
      <c r="B695" s="7" t="str">
        <f>Data!B41</f>
        <v>AMAT</v>
      </c>
      <c r="C695" s="7" t="str">
        <f>Data!C41</f>
        <v>Information Technology</v>
      </c>
      <c r="D695" s="8">
        <f>IF(ISNUMBER(Data!AL41),Data!AL41/1000,"n/a")</f>
        <v>74.45</v>
      </c>
      <c r="E695" s="1">
        <f>Data!E41</f>
        <v>5</v>
      </c>
      <c r="F695" s="28">
        <f>Data!J41/100</f>
        <v>1.1779363461320646E-2</v>
      </c>
      <c r="G695" s="28">
        <f>IF(ISNUMBER(Data!S41),Data!S41/100,"n/a")</f>
        <v>8.0459770114942555E-2</v>
      </c>
      <c r="H695" s="28">
        <f>IF(ISNUMBER(Data!T41),Data!T41/100,"n/a")</f>
        <v>0.10325677865290107</v>
      </c>
      <c r="I695" s="28">
        <f>IF(ISNUMBER(Data!U41),Data!U41/100,"n/a")</f>
        <v>0.18635201558641534</v>
      </c>
      <c r="J695" s="28">
        <f>IF(ISNUMBER(Data!V41),Data!V41/100,"n/a")</f>
        <v>0.11731753862740391</v>
      </c>
      <c r="K695" s="9">
        <f>IF(ISNUMBER(Data!Z41),Data!Z41/100,"n/a")</f>
        <v>0.13922356091030791</v>
      </c>
      <c r="L695" s="10">
        <f>Data!AA41</f>
        <v>11.819277108433736</v>
      </c>
      <c r="M695" s="10">
        <f>Data!AF41</f>
        <v>6.42</v>
      </c>
      <c r="N695" s="28">
        <f>IF(ISNUMBER(Data!AG41),Data!AG41/100,"n/a")</f>
        <v>0.55600000000000005</v>
      </c>
      <c r="O695" s="28">
        <f>IF(ISNUMBER(Data!AJ41),Data!AJ41/100,"n/a")</f>
        <v>0.33</v>
      </c>
      <c r="P695" s="9">
        <f>IF(ISNUMBER(Data!AK41),Data!AK41/100,"n/a")</f>
        <v>0.12389999999999998</v>
      </c>
      <c r="Q695" s="8">
        <f>Data!AN41</f>
        <v>0.45</v>
      </c>
      <c r="R695" s="8">
        <f>Data!AP41</f>
        <v>19.813137904773598</v>
      </c>
      <c r="S695" s="8"/>
      <c r="T695" s="8"/>
      <c r="U695" s="8"/>
      <c r="V695" s="1">
        <f t="shared" si="20"/>
        <v>10</v>
      </c>
      <c r="W695" s="1">
        <f t="shared" si="21"/>
        <v>0</v>
      </c>
    </row>
    <row r="696" spans="1:23" hidden="1" x14ac:dyDescent="0.2">
      <c r="A696" s="7" t="str">
        <f>Data!A30</f>
        <v>Applied Industrial Technologies, Inc.</v>
      </c>
      <c r="B696" s="7" t="str">
        <f>Data!B30</f>
        <v>AIT</v>
      </c>
      <c r="C696" s="7" t="str">
        <f>Data!C30</f>
        <v>Industrials</v>
      </c>
      <c r="D696" s="8">
        <f>IF(ISNUMBER(Data!AL30),Data!AL30/1000,"n/a")</f>
        <v>4.67</v>
      </c>
      <c r="E696" s="1">
        <f>Data!E30</f>
        <v>13</v>
      </c>
      <c r="F696" s="28">
        <f>Data!J30/100</f>
        <v>1.0934233799646247E-2</v>
      </c>
      <c r="G696" s="28">
        <f>IF(ISNUMBER(Data!S30),Data!S30/100,"n/a")</f>
        <v>3.125E-2</v>
      </c>
      <c r="H696" s="28">
        <f>IF(ISNUMBER(Data!T30),Data!T30/100,"n/a")</f>
        <v>3.228011545636722E-2</v>
      </c>
      <c r="I696" s="28">
        <f>IF(ISNUMBER(Data!U30),Data!U30/100,"n/a")</f>
        <v>3.3406482938779236E-2</v>
      </c>
      <c r="J696" s="28">
        <f>IF(ISNUMBER(Data!V30),Data!V30/100,"n/a")</f>
        <v>5.9581144079755566E-2</v>
      </c>
      <c r="K696" s="9">
        <f>IF(ISNUMBER(Data!Z30),Data!Z30/100,"n/a")</f>
        <v>0.18915159944367177</v>
      </c>
      <c r="L696" s="10">
        <f>Data!AA30</f>
        <v>17.299026425591098</v>
      </c>
      <c r="M696" s="10">
        <f>Data!AF30</f>
        <v>3.99</v>
      </c>
      <c r="N696" s="28">
        <f>IF(ISNUMBER(Data!AG30),Data!AG30/100,"n/a")</f>
        <v>0.251</v>
      </c>
      <c r="O696" s="28">
        <f>IF(ISNUMBER(Data!AJ30),Data!AJ30/100,"n/a")</f>
        <v>0.14099999999999999</v>
      </c>
      <c r="P696" s="9">
        <f>IF(ISNUMBER(Data!AK30),Data!AK30/100,"n/a")</f>
        <v>0.12</v>
      </c>
      <c r="Q696" s="8">
        <f>Data!AN30</f>
        <v>0.53</v>
      </c>
      <c r="R696" s="8">
        <f>Data!AP30</f>
        <v>4.4340716738425483</v>
      </c>
      <c r="S696" s="8"/>
      <c r="T696" s="8"/>
      <c r="U696" s="8"/>
      <c r="V696" s="1">
        <f t="shared" si="20"/>
        <v>7</v>
      </c>
      <c r="W696" s="1">
        <f t="shared" si="21"/>
        <v>0</v>
      </c>
    </row>
    <row r="697" spans="1:23" hidden="1" x14ac:dyDescent="0.2">
      <c r="A697" s="7" t="str">
        <f>Data!A8</f>
        <v>Apple Inc.</v>
      </c>
      <c r="B697" s="7" t="str">
        <f>Data!B8</f>
        <v>AAPL</v>
      </c>
      <c r="C697" s="7" t="str">
        <f>Data!C8</f>
        <v>Information Technology</v>
      </c>
      <c r="D697" s="8">
        <f>IF(ISNUMBER(Data!AL8),Data!AL8/1000,"n/a")</f>
        <v>2327.0500000000002</v>
      </c>
      <c r="E697" s="1">
        <f>Data!E8</f>
        <v>11</v>
      </c>
      <c r="F697" s="28">
        <f>Data!J8/100</f>
        <v>5.9997391417764443E-3</v>
      </c>
      <c r="G697" s="28">
        <f>IF(ISNUMBER(Data!S8),Data!S8/100,"n/a")</f>
        <v>7.120743034055721E-2</v>
      </c>
      <c r="H697" s="28">
        <f>IF(ISNUMBER(Data!T8),Data!T8/100,"n/a")</f>
        <v>7.0555031172336191E-2</v>
      </c>
      <c r="I697" s="28">
        <f>IF(ISNUMBER(Data!U8),Data!U8/100,"n/a")</f>
        <v>9.1828049088792163E-2</v>
      </c>
      <c r="J697" s="28" t="str">
        <f>IF(ISNUMBER(Data!V8),Data!V8/100,"n/a")</f>
        <v>n/a</v>
      </c>
      <c r="K697" s="9">
        <f>IF(ISNUMBER(Data!Z8),Data!Z8/100,"n/a")</f>
        <v>0.15081967213114755</v>
      </c>
      <c r="L697" s="10">
        <f>Data!AA8</f>
        <v>25.137704918032789</v>
      </c>
      <c r="M697" s="10">
        <f>Data!AF8</f>
        <v>49.28</v>
      </c>
      <c r="N697" s="28">
        <f>IF(ISNUMBER(Data!AG8),Data!AG8/100,"n/a")</f>
        <v>1.609</v>
      </c>
      <c r="O697" s="28">
        <f>IF(ISNUMBER(Data!AJ8),Data!AJ8/100,"n/a")</f>
        <v>0.21600000000000003</v>
      </c>
      <c r="P697" s="9">
        <f>IF(ISNUMBER(Data!AK8),Data!AK8/100,"n/a")</f>
        <v>8.8900000000000007E-2</v>
      </c>
      <c r="Q697" s="8">
        <f>Data!AN8</f>
        <v>2.37</v>
      </c>
      <c r="R697" s="8">
        <f>Data!AP8</f>
        <v>9.7827788230568604</v>
      </c>
      <c r="S697" s="8"/>
      <c r="T697" s="8"/>
      <c r="U697" s="8"/>
      <c r="V697" s="1">
        <f t="shared" si="20"/>
        <v>7</v>
      </c>
      <c r="W697" s="1">
        <f t="shared" si="21"/>
        <v>0</v>
      </c>
    </row>
    <row r="698" spans="1:23" hidden="1" x14ac:dyDescent="0.2">
      <c r="A698" s="7" t="str">
        <f>Data!A52</f>
        <v>Apogee Enterprises, Inc.</v>
      </c>
      <c r="B698" s="7" t="str">
        <f>Data!B52</f>
        <v>APOG</v>
      </c>
      <c r="C698" s="7" t="str">
        <f>Data!C52</f>
        <v>Industrials</v>
      </c>
      <c r="D698" s="8">
        <f>IF(ISNUMBER(Data!AL52),Data!AL52/1000,"n/a")</f>
        <v>0.98660999999999999</v>
      </c>
      <c r="E698" s="1">
        <f>Data!E52</f>
        <v>11</v>
      </c>
      <c r="F698" s="28">
        <f>Data!J52/100</f>
        <v>1.9180470793374017E-2</v>
      </c>
      <c r="G698" s="28">
        <f>IF(ISNUMBER(Data!S52),Data!S52/100,"n/a")</f>
        <v>6.6666666666666652E-2</v>
      </c>
      <c r="H698" s="28">
        <f>IF(ISNUMBER(Data!T52),Data!T52/100,"n/a")</f>
        <v>8.2887014419613644E-2</v>
      </c>
      <c r="I698" s="28">
        <f>IF(ISNUMBER(Data!U52),Data!U52/100,"n/a")</f>
        <v>9.8560543306117854E-2</v>
      </c>
      <c r="J698" s="28">
        <f>IF(ISNUMBER(Data!V52),Data!V52/100,"n/a")</f>
        <v>9.3924221934163624E-2</v>
      </c>
      <c r="K698" s="9">
        <f>IF(ISNUMBER(Data!Z52),Data!Z52/100,"n/a")</f>
        <v>0.35918367346938773</v>
      </c>
      <c r="L698" s="10">
        <f>Data!AA52</f>
        <v>18.726530612244897</v>
      </c>
      <c r="M698" s="10">
        <f>Data!AF52</f>
        <v>2.82</v>
      </c>
      <c r="N698" s="28">
        <f>IF(ISNUMBER(Data!AG52),Data!AG52/100,"n/a")</f>
        <v>0.14199999999999999</v>
      </c>
      <c r="O698" s="28">
        <f>IF(ISNUMBER(Data!AJ52),Data!AJ52/100,"n/a")</f>
        <v>-0.45899999999999996</v>
      </c>
      <c r="P698" s="9">
        <f>IF(ISNUMBER(Data!AK52),Data!AK52/100,"n/a")</f>
        <v>0.15</v>
      </c>
      <c r="Q698" s="8">
        <f>Data!AN52</f>
        <v>0.7</v>
      </c>
      <c r="R698" s="8">
        <f>Data!AP52</f>
        <v>11.774101409949187</v>
      </c>
      <c r="S698" s="8"/>
      <c r="T698" s="8"/>
      <c r="U698" s="8"/>
      <c r="V698" s="1">
        <f t="shared" si="20"/>
        <v>8</v>
      </c>
      <c r="W698" s="1">
        <f t="shared" si="21"/>
        <v>0</v>
      </c>
    </row>
    <row r="699" spans="1:23" hidden="1" x14ac:dyDescent="0.2">
      <c r="A699" s="7" t="str">
        <f>Data!A53</f>
        <v>Algonquin Power &amp; Utilities Corp.</v>
      </c>
      <c r="B699" s="7" t="str">
        <f>Data!B53</f>
        <v>AQN</v>
      </c>
      <c r="C699" s="7" t="str">
        <f>Data!C53</f>
        <v>Utilities</v>
      </c>
      <c r="D699" s="8">
        <f>IF(ISNUMBER(Data!AL53),Data!AL53/1000,"n/a")</f>
        <v>9.9600000000000009</v>
      </c>
      <c r="E699" s="1">
        <f>Data!E53</f>
        <v>14</v>
      </c>
      <c r="F699" s="28">
        <f>Data!J53/100</f>
        <v>6.53887884267631E-2</v>
      </c>
      <c r="G699" s="28">
        <f>IF(ISNUMBER(Data!S53),Data!S53/100,"n/a")</f>
        <v>9.9966227625802193E-2</v>
      </c>
      <c r="H699" s="28">
        <f>IF(ISNUMBER(Data!T53),Data!T53/100,"n/a")</f>
        <v>0.10000484089820061</v>
      </c>
      <c r="I699" s="28">
        <f>IF(ISNUMBER(Data!U53),Data!U53/100,"n/a")</f>
        <v>0.10003707209300838</v>
      </c>
      <c r="J699" s="28">
        <f>IF(ISNUMBER(Data!V53),Data!V53/100,"n/a")</f>
        <v>9.5941403147564497E-2</v>
      </c>
      <c r="K699" s="9">
        <f>IF(ISNUMBER(Data!Z53),Data!Z53/100,"n/a")</f>
        <v>1.8079999999999998</v>
      </c>
      <c r="L699" s="10">
        <f>Data!AA53</f>
        <v>27.65</v>
      </c>
      <c r="M699" s="10">
        <f>Data!AF53</f>
        <v>1.01</v>
      </c>
      <c r="N699" s="28">
        <f>IF(ISNUMBER(Data!AG53),Data!AG53/100,"n/a")</f>
        <v>3.5999999999999997E-2</v>
      </c>
      <c r="O699" s="28">
        <f>IF(ISNUMBER(Data!AJ53),Data!AJ53/100,"n/a")</f>
        <v>-1.4999999999999999E-2</v>
      </c>
      <c r="P699" s="9">
        <f>IF(ISNUMBER(Data!AK53),Data!AK53/100,"n/a")</f>
        <v>7.85E-2</v>
      </c>
      <c r="Q699" s="8">
        <f>Data!AN53</f>
        <v>1.37</v>
      </c>
      <c r="R699" s="8">
        <f>Data!AP53</f>
        <v>16.542586051977146</v>
      </c>
      <c r="S699" s="8"/>
      <c r="T699" s="8"/>
      <c r="U699" s="8"/>
      <c r="V699" s="1">
        <f t="shared" si="20"/>
        <v>7</v>
      </c>
      <c r="W699" s="1">
        <f t="shared" si="21"/>
        <v>0</v>
      </c>
    </row>
    <row r="700" spans="1:23" hidden="1" x14ac:dyDescent="0.2">
      <c r="A700" s="7" t="str">
        <f>Data!A29</f>
        <v>Apartment Income REIT Corp.</v>
      </c>
      <c r="B700" s="7" t="str">
        <f>Data!B29</f>
        <v>AIRC</v>
      </c>
      <c r="C700" s="7" t="str">
        <f>Data!C29</f>
        <v>Real Estate</v>
      </c>
      <c r="D700" s="8">
        <f>IF(ISNUMBER(Data!AL29),Data!AL29/1000,"n/a")</f>
        <v>5.76</v>
      </c>
      <c r="E700" s="1">
        <f>Data!E29</f>
        <v>12</v>
      </c>
      <c r="F700" s="28">
        <f>Data!J29/100</f>
        <v>4.6838407494145209E-2</v>
      </c>
      <c r="G700" s="28">
        <f>IF(ISNUMBER(Data!S29),Data!S29/100,"n/a")</f>
        <v>6.0975609756097615E-2</v>
      </c>
      <c r="H700" s="28">
        <f>IF(ISNUMBER(Data!T29),Data!T29/100,"n/a")</f>
        <v>4.6088802698113662E-2</v>
      </c>
      <c r="I700" s="28">
        <f>IF(ISNUMBER(Data!U29),Data!U29/100,"n/a")</f>
        <v>5.6805496536407318E-2</v>
      </c>
      <c r="J700" s="28">
        <f>IF(ISNUMBER(Data!V29),Data!V29/100,"n/a")</f>
        <v>0.13744603485364815</v>
      </c>
      <c r="K700" s="9">
        <f>IF(ISNUMBER(Data!Z29),Data!Z29/100,"n/a")</f>
        <v>0.29605263157894735</v>
      </c>
      <c r="L700" s="10">
        <f>Data!AA29</f>
        <v>6.3207236842105265</v>
      </c>
      <c r="M700" s="10">
        <f>Data!AF29</f>
        <v>2.79</v>
      </c>
      <c r="N700" s="28">
        <f>IF(ISNUMBER(Data!AG29),Data!AG29/100,"n/a")</f>
        <v>0.504</v>
      </c>
      <c r="O700" s="28" t="str">
        <f>IF(ISNUMBER(Data!AJ29),Data!AJ29/100,"n/a")</f>
        <v>n/a</v>
      </c>
      <c r="P700" s="9" t="str">
        <f>IF(ISNUMBER(Data!AK29),Data!AK29/100,"n/a")</f>
        <v>n/a</v>
      </c>
      <c r="Q700" s="8">
        <f>Data!AN29</f>
        <v>1.58</v>
      </c>
      <c r="R700" s="8">
        <f>Data!AP29</f>
        <v>10.364390403055253</v>
      </c>
      <c r="S700" s="8"/>
      <c r="T700" s="8"/>
      <c r="U700" s="8"/>
      <c r="V700" s="1">
        <f t="shared" si="20"/>
        <v>7</v>
      </c>
      <c r="W700" s="1">
        <f t="shared" si="21"/>
        <v>0</v>
      </c>
    </row>
    <row r="701" spans="1:23" x14ac:dyDescent="0.2">
      <c r="A701" s="7" t="str">
        <f>Data!A48</f>
        <v>A. O. Smith Corporation</v>
      </c>
      <c r="B701" s="7" t="str">
        <f>Data!B48</f>
        <v>AOS</v>
      </c>
      <c r="C701" s="7" t="str">
        <f>Data!C48</f>
        <v>Industrials</v>
      </c>
      <c r="D701" s="8">
        <f>IF(ISNUMBER(Data!AL48),Data!AL48/1000,"n/a")</f>
        <v>8.02</v>
      </c>
      <c r="E701" s="1">
        <f>Data!E48</f>
        <v>29</v>
      </c>
      <c r="F701" s="28">
        <f>Data!J48/100</f>
        <v>2.1905805038335158E-2</v>
      </c>
      <c r="G701" s="28">
        <f>IF(ISNUMBER(Data!S48),Data!S48/100,"n/a")</f>
        <v>8.163265306122458E-2</v>
      </c>
      <c r="H701" s="28">
        <f>IF(ISNUMBER(Data!T48),Data!T48/100,"n/a")</f>
        <v>0.11728531583684119</v>
      </c>
      <c r="I701" s="28">
        <f>IF(ISNUMBER(Data!U48),Data!U48/100,"n/a")</f>
        <v>0.17169054553092658</v>
      </c>
      <c r="J701" s="28">
        <f>IF(ISNUMBER(Data!V48),Data!V48/100,"n/a")</f>
        <v>0.21596608107359838</v>
      </c>
      <c r="K701" s="9">
        <f>IF(ISNUMBER(Data!Z48),Data!Z48/100,"n/a")</f>
        <v>0.38216560509554137</v>
      </c>
      <c r="L701" s="10">
        <f>Data!AA48</f>
        <v>17.445859872611464</v>
      </c>
      <c r="M701" s="10">
        <f>Data!AF48</f>
        <v>4.72</v>
      </c>
      <c r="N701" s="28">
        <f>IF(ISNUMBER(Data!AG48),Data!AG48/100,"n/a")</f>
        <v>0.27800000000000002</v>
      </c>
      <c r="O701" s="28">
        <f>IF(ISNUMBER(Data!AJ48),Data!AJ48/100,"n/a")</f>
        <v>0.10299999999999999</v>
      </c>
      <c r="P701" s="9">
        <f>IF(ISNUMBER(Data!AK48),Data!AK48/100,"n/a")</f>
        <v>0.08</v>
      </c>
      <c r="Q701" s="8">
        <f>Data!AN48</f>
        <v>0.17</v>
      </c>
      <c r="R701" s="8">
        <f>Data!AP48</f>
        <v>19.359635056926173</v>
      </c>
      <c r="S701" s="8"/>
      <c r="T701" s="8"/>
      <c r="U701" s="8"/>
      <c r="V701" s="1">
        <f t="shared" si="20"/>
        <v>12</v>
      </c>
      <c r="W701" s="1" t="str">
        <f t="shared" si="21"/>
        <v/>
      </c>
    </row>
    <row r="702" spans="1:23" hidden="1" x14ac:dyDescent="0.2">
      <c r="A702" s="7" t="str">
        <f>Data!A47</f>
        <v>Aon plc</v>
      </c>
      <c r="B702" s="7" t="str">
        <f>Data!B47</f>
        <v>AON</v>
      </c>
      <c r="C702" s="7" t="str">
        <f>Data!C47</f>
        <v>Financials</v>
      </c>
      <c r="D702" s="8">
        <f>IF(ISNUMBER(Data!AL47),Data!AL47/1000,"n/a")</f>
        <v>59.55</v>
      </c>
      <c r="E702" s="1">
        <f>Data!E47</f>
        <v>11</v>
      </c>
      <c r="F702" s="28">
        <f>Data!J47/100</f>
        <v>7.9576539131052618E-3</v>
      </c>
      <c r="G702" s="28">
        <f>IF(ISNUMBER(Data!S47),Data!S47/100,"n/a")</f>
        <v>0.1179775280898876</v>
      </c>
      <c r="H702" s="28">
        <f>IF(ISNUMBER(Data!T47),Data!T47/100,"n/a")</f>
        <v>8.4533136905078354E-2</v>
      </c>
      <c r="I702" s="28">
        <f>IF(ISNUMBER(Data!U47),Data!U47/100,"n/a")</f>
        <v>9.0567806576892451E-2</v>
      </c>
      <c r="J702" s="28">
        <f>IF(ISNUMBER(Data!V47),Data!V47/100,"n/a")</f>
        <v>0.12737962759808741</v>
      </c>
      <c r="K702" s="9">
        <f>IF(ISNUMBER(Data!Z47),Data!Z47/100,"n/a")</f>
        <v>0.32137733142037306</v>
      </c>
      <c r="L702" s="10">
        <f>Data!AA47</f>
        <v>40.385939741750363</v>
      </c>
      <c r="M702" s="10">
        <f>Data!AF47</f>
        <v>90.09</v>
      </c>
      <c r="N702" s="28">
        <f>IF(ISNUMBER(Data!AG47),Data!AG47/100,"n/a")</f>
        <v>1.0640000000000001</v>
      </c>
      <c r="O702" s="28">
        <f>IF(ISNUMBER(Data!AJ47),Data!AJ47/100,"n/a")</f>
        <v>4.2000000000000003E-2</v>
      </c>
      <c r="P702" s="9">
        <f>IF(ISNUMBER(Data!AK47),Data!AK47/100,"n/a")</f>
        <v>0.10800000000000001</v>
      </c>
      <c r="Q702" s="8">
        <f>Data!AN47</f>
        <v>15.27</v>
      </c>
      <c r="R702" s="8">
        <f>Data!AP47</f>
        <v>9.8525460489997716</v>
      </c>
      <c r="S702" s="8"/>
      <c r="T702" s="8"/>
      <c r="U702" s="8"/>
      <c r="V702" s="1">
        <f t="shared" si="20"/>
        <v>8</v>
      </c>
      <c r="W702" s="1">
        <f t="shared" si="21"/>
        <v>0</v>
      </c>
    </row>
    <row r="703" spans="1:23" hidden="1" x14ac:dyDescent="0.2">
      <c r="A703" s="7" t="str">
        <f>Data!A595</f>
        <v>Synovus Financial Corp.</v>
      </c>
      <c r="B703" s="7" t="str">
        <f>Data!B595</f>
        <v>SNV</v>
      </c>
      <c r="C703" s="7" t="str">
        <f>Data!C595</f>
        <v>Financials</v>
      </c>
      <c r="D703" s="8">
        <f>IF(ISNUMBER(Data!AL595),Data!AL595/1000,"n/a")</f>
        <v>6.64</v>
      </c>
      <c r="E703" s="1">
        <f>Data!E595</f>
        <v>9</v>
      </c>
      <c r="F703" s="28">
        <f>Data!J595/100</f>
        <v>3.4127979924717694E-2</v>
      </c>
      <c r="G703" s="28">
        <f>IF(ISNUMBER(Data!S595),Data!S595/100,"n/a")</f>
        <v>2.3255813953488413E-2</v>
      </c>
      <c r="H703" s="28">
        <f>IF(ISNUMBER(Data!T595),Data!T595/100,"n/a")</f>
        <v>0.13617128057248995</v>
      </c>
      <c r="I703" s="28">
        <f>IF(ISNUMBER(Data!U595),Data!U595/100,"n/a")</f>
        <v>0.22423992536427462</v>
      </c>
      <c r="J703" s="28">
        <f>IF(ISNUMBER(Data!V595),Data!V595/100,"n/a")</f>
        <v>0.41857203450708069</v>
      </c>
      <c r="K703" s="9">
        <f>IF(ISNUMBER(Data!Z595),Data!Z595/100,"n/a")</f>
        <v>0.27698574338085541</v>
      </c>
      <c r="L703" s="10">
        <f>Data!AA595</f>
        <v>8.1160896130346227</v>
      </c>
      <c r="M703" s="10">
        <f>Data!AF595</f>
        <v>1.44</v>
      </c>
      <c r="N703" s="28">
        <f>IF(ISNUMBER(Data!AG595),Data!AG595/100,"n/a")</f>
        <v>0.16</v>
      </c>
      <c r="O703" s="28">
        <f>IF(ISNUMBER(Data!AJ595),Data!AJ595/100,"n/a")</f>
        <v>0.21</v>
      </c>
      <c r="P703" s="9">
        <f>IF(ISNUMBER(Data!AK595),Data!AK595/100,"n/a")</f>
        <v>0.08</v>
      </c>
      <c r="Q703" s="8">
        <f>Data!AN595</f>
        <v>0.45</v>
      </c>
      <c r="R703" s="8">
        <f>Data!AP595</f>
        <v>25.836790528899233</v>
      </c>
      <c r="S703" s="8"/>
      <c r="T703" s="8"/>
      <c r="U703" s="8"/>
      <c r="V703" s="1">
        <f t="shared" si="20"/>
        <v>10</v>
      </c>
      <c r="W703" s="1">
        <f t="shared" si="21"/>
        <v>0</v>
      </c>
    </row>
    <row r="704" spans="1:23" hidden="1" x14ac:dyDescent="0.2">
      <c r="A704" s="7" t="str">
        <f>Data!A51</f>
        <v>Apollo Bancorp, Inc.</v>
      </c>
      <c r="B704" s="7" t="str">
        <f>Data!B51</f>
        <v>APLO</v>
      </c>
      <c r="C704" s="7" t="str">
        <f>Data!C51</f>
        <v>Financials</v>
      </c>
      <c r="D704" s="8" t="str">
        <f>IF(ISNUMBER(Data!AL51),Data!AL51/1000,"n/a")</f>
        <v>n/a</v>
      </c>
      <c r="E704" s="1">
        <f>Data!E51</f>
        <v>11</v>
      </c>
      <c r="F704" s="28">
        <f>Data!J51/100</f>
        <v>4.3200000000000002E-2</v>
      </c>
      <c r="G704" s="28">
        <f>IF(ISNUMBER(Data!S51),Data!S51/100,"n/a")</f>
        <v>1.9230769230769162E-2</v>
      </c>
      <c r="H704" s="28">
        <f>IF(ISNUMBER(Data!T51),Data!T51/100,"n/a")</f>
        <v>1.9612822422216292E-2</v>
      </c>
      <c r="I704" s="28">
        <f>IF(ISNUMBER(Data!U51),Data!U51/100,"n/a")</f>
        <v>1.8956655630059771E-2</v>
      </c>
      <c r="J704" s="28">
        <f>IF(ISNUMBER(Data!V51),Data!V51/100,"n/a")</f>
        <v>3.3830230410936135E-2</v>
      </c>
      <c r="K704" s="9" t="str">
        <f>IF(ISNUMBER(Data!Z51),Data!Z51/100,"n/a")</f>
        <v>n/a</v>
      </c>
      <c r="L704" s="10" t="str">
        <f>Data!AA51</f>
        <v>n/a</v>
      </c>
      <c r="M704" s="10" t="str">
        <f>Data!AF51</f>
        <v>n/a</v>
      </c>
      <c r="N704" s="28" t="str">
        <f>IF(ISNUMBER(Data!AG51),Data!AG51/100,"n/a")</f>
        <v>n/a</v>
      </c>
      <c r="O704" s="28" t="str">
        <f>IF(ISNUMBER(Data!AJ51),Data!AJ51/100,"n/a")</f>
        <v>n/a</v>
      </c>
      <c r="P704" s="9" t="str">
        <f>IF(ISNUMBER(Data!AK51),Data!AK51/100,"n/a")</f>
        <v>n/a</v>
      </c>
      <c r="Q704" s="8" t="str">
        <f>Data!AN51</f>
        <v>n/a</v>
      </c>
      <c r="R704" s="8">
        <f>Data!AP51</f>
        <v>6.2156655630059774</v>
      </c>
      <c r="S704" s="8"/>
      <c r="T704" s="8"/>
      <c r="U704" s="8"/>
      <c r="V704" s="1">
        <f t="shared" si="20"/>
        <v>1</v>
      </c>
      <c r="W704" s="1">
        <f t="shared" si="21"/>
        <v>0</v>
      </c>
    </row>
    <row r="705" spans="1:23" hidden="1" x14ac:dyDescent="0.2">
      <c r="A705" s="7" t="str">
        <f>Data!A42</f>
        <v>Amgen Inc.</v>
      </c>
      <c r="B705" s="7" t="str">
        <f>Data!B42</f>
        <v>AMGN</v>
      </c>
      <c r="C705" s="7" t="str">
        <f>Data!C42</f>
        <v>Health Care</v>
      </c>
      <c r="D705" s="8">
        <f>IF(ISNUMBER(Data!AL42),Data!AL42/1000,"n/a")</f>
        <v>142.94999999999999</v>
      </c>
      <c r="E705" s="1">
        <f>Data!E42</f>
        <v>12</v>
      </c>
      <c r="F705" s="28">
        <f>Data!J42/100</f>
        <v>2.870353245792491E-2</v>
      </c>
      <c r="G705" s="28">
        <f>IF(ISNUMBER(Data!S42),Data!S42/100,"n/a")</f>
        <v>9.9999999999999853E-2</v>
      </c>
      <c r="H705" s="28">
        <f>IF(ISNUMBER(Data!T42),Data!T42/100,"n/a")</f>
        <v>0.10064241629820891</v>
      </c>
      <c r="I705" s="28">
        <f>IF(ISNUMBER(Data!U42),Data!U42/100,"n/a")</f>
        <v>0.11970220528043152</v>
      </c>
      <c r="J705" s="28">
        <f>IF(ISNUMBER(Data!V42),Data!V42/100,"n/a")</f>
        <v>0.28806702779585414</v>
      </c>
      <c r="K705" s="9">
        <f>IF(ISNUMBER(Data!Z42),Data!Z42/100,"n/a")</f>
        <v>0.65762711864406787</v>
      </c>
      <c r="L705" s="10">
        <f>Data!AA42</f>
        <v>22.911016949152543</v>
      </c>
      <c r="M705" s="10">
        <f>Data!AF42</f>
        <v>60.58</v>
      </c>
      <c r="N705" s="28">
        <f>IF(ISNUMBER(Data!AG42),Data!AG42/100,"n/a")</f>
        <v>1.4409999999999998</v>
      </c>
      <c r="O705" s="28">
        <f>IF(ISNUMBER(Data!AJ42),Data!AJ42/100,"n/a")</f>
        <v>1E-3</v>
      </c>
      <c r="P705" s="9">
        <f>IF(ISNUMBER(Data!AK42),Data!AK42/100,"n/a")</f>
        <v>7.6700000000000004E-2</v>
      </c>
      <c r="Q705" s="8">
        <f>Data!AN42</f>
        <v>15.1</v>
      </c>
      <c r="R705" s="8">
        <f>Data!AP42</f>
        <v>14.840573773835644</v>
      </c>
      <c r="S705" s="8"/>
      <c r="T705" s="8"/>
      <c r="U705" s="8"/>
      <c r="V705" s="1">
        <f t="shared" si="20"/>
        <v>8</v>
      </c>
      <c r="W705" s="1">
        <f t="shared" si="21"/>
        <v>0</v>
      </c>
    </row>
    <row r="706" spans="1:23" hidden="1" x14ac:dyDescent="0.2">
      <c r="A706" s="7" t="str">
        <f>Data!A60</f>
        <v>Atmos Energy Corporation</v>
      </c>
      <c r="B706" s="7" t="str">
        <f>Data!B60</f>
        <v>ATO</v>
      </c>
      <c r="C706" s="7" t="str">
        <f>Data!C60</f>
        <v>Utilities</v>
      </c>
      <c r="D706" s="8">
        <f>IF(ISNUMBER(Data!AL60),Data!AL60/1000,"n/a")</f>
        <v>14.65</v>
      </c>
      <c r="E706" s="1">
        <f>Data!E60</f>
        <v>38</v>
      </c>
      <c r="F706" s="28">
        <f>Data!J60/100</f>
        <v>2.5527921163772879E-2</v>
      </c>
      <c r="G706" s="28">
        <f>IF(ISNUMBER(Data!S60),Data!S60/100,"n/a")</f>
        <v>8.7234042553191463E-2</v>
      </c>
      <c r="H706" s="28">
        <f>IF(ISNUMBER(Data!T60),Data!T60/100,"n/a")</f>
        <v>8.8700873585653373E-2</v>
      </c>
      <c r="I706" s="28">
        <f>IF(ISNUMBER(Data!U60),Data!U60/100,"n/a")</f>
        <v>8.3624857418314283E-2</v>
      </c>
      <c r="J706" s="28">
        <f>IF(ISNUMBER(Data!V60),Data!V60/100,"n/a")</f>
        <v>6.469649731678806E-2</v>
      </c>
      <c r="K706" s="9">
        <f>IF(ISNUMBER(Data!Z60),Data!Z60/100,"n/a")</f>
        <v>0.50184501845018459</v>
      </c>
      <c r="L706" s="10">
        <f>Data!AA60</f>
        <v>19.658671586715865</v>
      </c>
      <c r="M706" s="10">
        <f>Data!AF60</f>
        <v>1.62</v>
      </c>
      <c r="N706" s="28">
        <f>IF(ISNUMBER(Data!AG60),Data!AG60/100,"n/a")</f>
        <v>0.11</v>
      </c>
      <c r="O706" s="28">
        <f>IF(ISNUMBER(Data!AJ60),Data!AJ60/100,"n/a")</f>
        <v>0.09</v>
      </c>
      <c r="P706" s="9">
        <f>IF(ISNUMBER(Data!AK60),Data!AK60/100,"n/a")</f>
        <v>8.2600000000000021E-2</v>
      </c>
      <c r="Q706" s="8">
        <f>Data!AN60</f>
        <v>0.86</v>
      </c>
      <c r="R706" s="8">
        <f>Data!AP60</f>
        <v>10.915277858208716</v>
      </c>
      <c r="S706" s="8"/>
      <c r="T706" s="8"/>
      <c r="U706" s="8"/>
      <c r="V706" s="1">
        <f t="shared" si="20"/>
        <v>10</v>
      </c>
      <c r="W706" s="1">
        <f t="shared" si="21"/>
        <v>0</v>
      </c>
    </row>
    <row r="707" spans="1:23" hidden="1" x14ac:dyDescent="0.2">
      <c r="A707" s="7" t="str">
        <f>Data!A10</f>
        <v>AmerisourceBergen Corporation</v>
      </c>
      <c r="B707" s="7" t="str">
        <f>Data!B10</f>
        <v>ABC</v>
      </c>
      <c r="C707" s="7" t="str">
        <f>Data!C10</f>
        <v>Health Care</v>
      </c>
      <c r="D707" s="8">
        <f>IF(ISNUMBER(Data!AL10),Data!AL10/1000,"n/a")</f>
        <v>32.31</v>
      </c>
      <c r="E707" s="1">
        <f>Data!E10</f>
        <v>17</v>
      </c>
      <c r="F707" s="28">
        <f>Data!J10/100</f>
        <v>1.1703345630326932E-2</v>
      </c>
      <c r="G707" s="28">
        <f>IF(ISNUMBER(Data!S10),Data!S10/100,"n/a")</f>
        <v>4.705882352941182E-2</v>
      </c>
      <c r="H707" s="28">
        <f>IF(ISNUMBER(Data!T10),Data!T10/100,"n/a")</f>
        <v>4.9461297617438449E-2</v>
      </c>
      <c r="I707" s="28">
        <f>IF(ISNUMBER(Data!U10),Data!U10/100,"n/a")</f>
        <v>5.1463123250755638E-2</v>
      </c>
      <c r="J707" s="28">
        <f>IF(ISNUMBER(Data!V10),Data!V10/100,"n/a")</f>
        <v>0.14489647191899913</v>
      </c>
      <c r="K707" s="9">
        <f>IF(ISNUMBER(Data!Z10),Data!Z10/100,"n/a")</f>
        <v>0.21125143513203212</v>
      </c>
      <c r="L707" s="10">
        <f>Data!AA10</f>
        <v>18.05051664753157</v>
      </c>
      <c r="M707" s="10">
        <f>Data!AF10</f>
        <v>148.88999999999999</v>
      </c>
      <c r="N707" s="28">
        <f>IF(ISNUMBER(Data!AG10),Data!AG10/100,"n/a")</f>
        <v>5.944</v>
      </c>
      <c r="O707" s="28">
        <f>IF(ISNUMBER(Data!AJ10),Data!AJ10/100,"n/a")</f>
        <v>3.2000000000000001E-2</v>
      </c>
      <c r="P707" s="9">
        <f>IF(ISNUMBER(Data!AK10),Data!AK10/100,"n/a")</f>
        <v>9.98E-2</v>
      </c>
      <c r="Q707" s="8">
        <f>Data!AN10</f>
        <v>27.02</v>
      </c>
      <c r="R707" s="8">
        <f>Data!AP10</f>
        <v>6.3166468881082567</v>
      </c>
      <c r="S707" s="8"/>
      <c r="T707" s="8"/>
      <c r="U707" s="8"/>
      <c r="V707" s="1">
        <f t="shared" si="20"/>
        <v>7</v>
      </c>
      <c r="W707" s="1">
        <f t="shared" si="21"/>
        <v>0</v>
      </c>
    </row>
    <row r="708" spans="1:23" hidden="1" x14ac:dyDescent="0.2">
      <c r="A708" s="7" t="str">
        <f>Data!A45</f>
        <v>AMERISAFE, Inc.</v>
      </c>
      <c r="B708" s="7" t="str">
        <f>Data!B45</f>
        <v>AMSF</v>
      </c>
      <c r="C708" s="7" t="str">
        <f>Data!C45</f>
        <v>Financials</v>
      </c>
      <c r="D708" s="8">
        <f>IF(ISNUMBER(Data!AL45),Data!AL45/1000,"n/a")</f>
        <v>1.1100000000000001</v>
      </c>
      <c r="E708" s="1">
        <f>Data!E45</f>
        <v>10</v>
      </c>
      <c r="F708" s="28">
        <f>Data!J45/100</f>
        <v>2.122924156822462E-2</v>
      </c>
      <c r="G708" s="28">
        <f>IF(ISNUMBER(Data!S45),Data!S45/100,"n/a")</f>
        <v>7.4074074074073959E-2</v>
      </c>
      <c r="H708" s="28">
        <f>IF(ISNUMBER(Data!T45),Data!T45/100,"n/a")</f>
        <v>9.645742373189424E-2</v>
      </c>
      <c r="I708" s="28">
        <f>IF(ISNUMBER(Data!U45),Data!U45/100,"n/a")</f>
        <v>0.10008210113886594</v>
      </c>
      <c r="J708" s="28" t="str">
        <f>IF(ISNUMBER(Data!V45),Data!V45/100,"n/a")</f>
        <v>n/a</v>
      </c>
      <c r="K708" s="9">
        <f>IF(ISNUMBER(Data!Z45),Data!Z45/100,"n/a")</f>
        <v>0.6262626262626263</v>
      </c>
      <c r="L708" s="10">
        <f>Data!AA45</f>
        <v>29.5</v>
      </c>
      <c r="M708" s="10">
        <f>Data!AF45</f>
        <v>2.94</v>
      </c>
      <c r="N708" s="28">
        <f>IF(ISNUMBER(Data!AG45),Data!AG45/100,"n/a")</f>
        <v>0.154</v>
      </c>
      <c r="O708" s="28">
        <f>IF(ISNUMBER(Data!AJ45),Data!AJ45/100,"n/a")</f>
        <v>-3.5000000000000003E-2</v>
      </c>
      <c r="P708" s="9">
        <f>IF(ISNUMBER(Data!AK45),Data!AK45/100,"n/a")</f>
        <v>0.1</v>
      </c>
      <c r="Q708" s="8">
        <f>Data!AN45</f>
        <v>0</v>
      </c>
      <c r="R708" s="8">
        <f>Data!AP45</f>
        <v>12.131134270709056</v>
      </c>
      <c r="S708" s="8"/>
      <c r="T708" s="8"/>
      <c r="U708" s="8"/>
      <c r="V708" s="1">
        <f t="shared" si="20"/>
        <v>6</v>
      </c>
      <c r="W708" s="1">
        <f t="shared" si="21"/>
        <v>0</v>
      </c>
    </row>
    <row r="709" spans="1:23" hidden="1" x14ac:dyDescent="0.2">
      <c r="A709" s="7" t="str">
        <f>Data!A44</f>
        <v>Ameriprise Financial, Inc.</v>
      </c>
      <c r="B709" s="7" t="str">
        <f>Data!B44</f>
        <v>AMP</v>
      </c>
      <c r="C709" s="7" t="str">
        <f>Data!C44</f>
        <v>Financials</v>
      </c>
      <c r="D709" s="8">
        <f>IF(ISNUMBER(Data!AL44),Data!AL44/1000,"n/a")</f>
        <v>32.450000000000003</v>
      </c>
      <c r="E709" s="1">
        <f>Data!E44</f>
        <v>18</v>
      </c>
      <c r="F709" s="28">
        <f>Data!J44/100</f>
        <v>1.6174948240165632E-2</v>
      </c>
      <c r="G709" s="28">
        <f>IF(ISNUMBER(Data!S44),Data!S44/100,"n/a")</f>
        <v>8.312958435207829E-2</v>
      </c>
      <c r="H709" s="28">
        <f>IF(ISNUMBER(Data!T44),Data!T44/100,"n/a")</f>
        <v>7.8639549876716064E-2</v>
      </c>
      <c r="I709" s="28">
        <f>IF(ISNUMBER(Data!U44),Data!U44/100,"n/a")</f>
        <v>8.6936505202045419E-2</v>
      </c>
      <c r="J709" s="28">
        <f>IF(ISNUMBER(Data!V44),Data!V44/100,"n/a")</f>
        <v>0.17676148965474159</v>
      </c>
      <c r="K709" s="9">
        <f>IF(ISNUMBER(Data!Z44),Data!Z44/100,"n/a")</f>
        <v>0.20833333333333337</v>
      </c>
      <c r="L709" s="10">
        <f>Data!AA44</f>
        <v>12.88</v>
      </c>
      <c r="M709" s="10">
        <f>Data!AF44</f>
        <v>8.14</v>
      </c>
      <c r="N709" s="28">
        <f>IF(ISNUMBER(Data!AG44),Data!AG44/100,"n/a")</f>
        <v>0.59599999999999997</v>
      </c>
      <c r="O709" s="28">
        <f>IF(ISNUMBER(Data!AJ44),Data!AJ44/100,"n/a")</f>
        <v>0.24099999999999999</v>
      </c>
      <c r="P709" s="9">
        <f>IF(ISNUMBER(Data!AK44),Data!AK44/100,"n/a")</f>
        <v>0.1066</v>
      </c>
      <c r="Q709" s="8">
        <f>Data!AN44</f>
        <v>6.84</v>
      </c>
      <c r="R709" s="8">
        <f>Data!AP44</f>
        <v>10.311145344221107</v>
      </c>
      <c r="S709" s="8"/>
      <c r="T709" s="8"/>
      <c r="U709" s="8"/>
      <c r="V709" s="1">
        <f t="shared" ref="V709:V743" si="22">IF($D$4="+",IF(D709="n/a",0,IF(D709&gt;=$D$5,1,0)),0)+IF($E$4="+",IF(E709="n/a",0,IF(E709&gt;=$E$5,1,0)),0)+IF($F$4="+",IF(F709="n/a",0,IF(F709&gt;=$F$5,1,0)),0)+IF($G$4="+",IF(G709="n/a",0,IF(G709&gt;=$G$5,1,0)),0)+IF($H$4="+",IF(H709="n/a",0,IF(H709&gt;=$H$5,1,0)),0)+IF($I$4="+",IF(I709="n/a",0,IF(I709&gt;=$I$5,1,0)),0)+IF($J$4="+",IF(J709="n/a",0,IF(J709&gt;=$J$5,1,0)),0)+IF($K$4="+",IF(K709="n/a",0,IF(K709&lt;=$K$5,1,0)),0)+IF($L$4="+",IF(L709="n/a",0,IF(L709&lt;=$L$5,1,0)),0)+IF($M$4="+",IF(M709="n/a",0,IF(M709&lt;=$M$5,1,0)),0)+IF($N$4="+",IF(N709="n/a",0,IF(N709&gt;=$N$5,1,0)),0)+IF($O$4="+",IF(O709="n/a",0,IF(O709&gt;=$O$5,1,0)),0)+IF($P$4="+",IF(P709="n/a",0,IF(P709&gt;=$P$5,1,0)),0)+IF($Q$4="+",IF(Q709="n/a",0,IF(Q709&lt;=$Q$5,1,0)),0)+IF($R$4="+",IF(R709="n/a",0,IF(R709&gt;=$R$5,1,0)),0)+$Y$4</f>
        <v>9</v>
      </c>
      <c r="W709" s="1">
        <f t="shared" ref="W709:W743" si="23">IF(V709&gt;=$V$2,"",0)</f>
        <v>0</v>
      </c>
    </row>
    <row r="710" spans="1:23" hidden="1" x14ac:dyDescent="0.2">
      <c r="A710" s="7" t="str">
        <f>Data!A73</f>
        <v>American States Water Company</v>
      </c>
      <c r="B710" s="7" t="str">
        <f>Data!B73</f>
        <v>AWR</v>
      </c>
      <c r="C710" s="7" t="str">
        <f>Data!C73</f>
        <v>Utilities</v>
      </c>
      <c r="D710" s="8">
        <f>IF(ISNUMBER(Data!AL73),Data!AL73/1000,"n/a")</f>
        <v>3.22</v>
      </c>
      <c r="E710" s="1">
        <f>Data!E73</f>
        <v>68</v>
      </c>
      <c r="F710" s="28">
        <f>Data!J73/100</f>
        <v>1.7576829537917314E-2</v>
      </c>
      <c r="G710" s="28">
        <f>IF(ISNUMBER(Data!S73),Data!S73/100,"n/a")</f>
        <v>9.375E-2</v>
      </c>
      <c r="H710" s="28">
        <f>IF(ISNUMBER(Data!T73),Data!T73/100,"n/a")</f>
        <v>9.7170335131538277E-2</v>
      </c>
      <c r="I710" s="28">
        <f>IF(ISNUMBER(Data!U73),Data!U73/100,"n/a")</f>
        <v>8.9021284581250595E-2</v>
      </c>
      <c r="J710" s="28">
        <f>IF(ISNUMBER(Data!V73),Data!V73/100,"n/a")</f>
        <v>9.7934759492371626E-2</v>
      </c>
      <c r="K710" s="9">
        <f>IF(ISNUMBER(Data!Z73),Data!Z73/100,"n/a")</f>
        <v>0.7130044843049328</v>
      </c>
      <c r="L710" s="10">
        <f>Data!AA73</f>
        <v>40.56502242152466</v>
      </c>
      <c r="M710" s="10">
        <f>Data!AF73</f>
        <v>4.7699999999999996</v>
      </c>
      <c r="N710" s="28">
        <f>IF(ISNUMBER(Data!AG73),Data!AG73/100,"n/a")</f>
        <v>0.12</v>
      </c>
      <c r="O710" s="28">
        <f>IF(ISNUMBER(Data!AJ73),Data!AJ73/100,"n/a")</f>
        <v>9.5000000000000001E-2</v>
      </c>
      <c r="P710" s="9">
        <f>IF(ISNUMBER(Data!AK73),Data!AK73/100,"n/a")</f>
        <v>4.3999999999999997E-2</v>
      </c>
      <c r="Q710" s="8">
        <f>Data!AN73</f>
        <v>0.97</v>
      </c>
      <c r="R710" s="8">
        <f>Data!AP73</f>
        <v>10.65981141191679</v>
      </c>
      <c r="S710" s="8"/>
      <c r="T710" s="8"/>
      <c r="U710" s="8"/>
      <c r="V710" s="1">
        <f t="shared" si="22"/>
        <v>8</v>
      </c>
      <c r="W710" s="1">
        <f t="shared" si="23"/>
        <v>0</v>
      </c>
    </row>
    <row r="711" spans="1:23" hidden="1" x14ac:dyDescent="0.2">
      <c r="A711" s="7" t="str">
        <f>Data!A46</f>
        <v>American Tower Corporation (REIT)</v>
      </c>
      <c r="B711" s="7" t="str">
        <f>Data!B46</f>
        <v>AMT</v>
      </c>
      <c r="C711" s="7" t="str">
        <f>Data!C46</f>
        <v>Real Estate</v>
      </c>
      <c r="D711" s="8">
        <f>IF(ISNUMBER(Data!AL46),Data!AL46/1000,"n/a")</f>
        <v>92.5</v>
      </c>
      <c r="E711" s="1">
        <f>Data!E46</f>
        <v>12</v>
      </c>
      <c r="F711" s="28">
        <f>Data!J46/100</f>
        <v>2.8379748057338675E-2</v>
      </c>
      <c r="G711" s="28">
        <f>IF(ISNUMBER(Data!S46),Data!S46/100,"n/a")</f>
        <v>0.16166281755196299</v>
      </c>
      <c r="H711" s="28">
        <f>IF(ISNUMBER(Data!T46),Data!T46/100,"n/a")</f>
        <v>0.18668056529001611</v>
      </c>
      <c r="I711" s="28">
        <f>IF(ISNUMBER(Data!U46),Data!U46/100,"n/a")</f>
        <v>0.17985615056963275</v>
      </c>
      <c r="J711" s="28">
        <f>IF(ISNUMBER(Data!V46),Data!V46/100,"n/a")</f>
        <v>0.30541919427544806</v>
      </c>
      <c r="K711" s="9">
        <f>IF(ISNUMBER(Data!Z46),Data!Z46/100,"n/a")</f>
        <v>0.93333333333333324</v>
      </c>
      <c r="L711" s="10">
        <f>Data!AA46</f>
        <v>32.887301587301586</v>
      </c>
      <c r="M711" s="10">
        <f>Data!AF46</f>
        <v>15.17</v>
      </c>
      <c r="N711" s="28">
        <f>IF(ISNUMBER(Data!AG46),Data!AG46/100,"n/a")</f>
        <v>0.49</v>
      </c>
      <c r="O711" s="28">
        <f>IF(ISNUMBER(Data!AJ46),Data!AJ46/100,"n/a")</f>
        <v>0.23400000000000001</v>
      </c>
      <c r="P711" s="9">
        <f>IF(ISNUMBER(Data!AK46),Data!AK46/100,"n/a")</f>
        <v>0.105</v>
      </c>
      <c r="Q711" s="8">
        <f>Data!AN46</f>
        <v>6.1</v>
      </c>
      <c r="R711" s="8">
        <f>Data!AP46</f>
        <v>20.823589862697144</v>
      </c>
      <c r="S711" s="8"/>
      <c r="T711" s="8"/>
      <c r="U711" s="8"/>
      <c r="V711" s="1">
        <f t="shared" si="22"/>
        <v>8</v>
      </c>
      <c r="W711" s="1">
        <f t="shared" si="23"/>
        <v>0</v>
      </c>
    </row>
    <row r="712" spans="1:23" hidden="1" x14ac:dyDescent="0.2">
      <c r="A712" s="7" t="str">
        <f>Data!A74</f>
        <v>AXIS Capital Holdings Limited</v>
      </c>
      <c r="B712" s="7" t="str">
        <f>Data!B74</f>
        <v>AXS</v>
      </c>
      <c r="C712" s="7" t="str">
        <f>Data!C74</f>
        <v>Financials</v>
      </c>
      <c r="D712" s="8">
        <f>IF(ISNUMBER(Data!AL74),Data!AL74/1000,"n/a")</f>
        <v>4.2699999999999996</v>
      </c>
      <c r="E712" s="1">
        <f>Data!E74</f>
        <v>20</v>
      </c>
      <c r="F712" s="28">
        <f>Data!J74/100</f>
        <v>3.1461496250228642E-2</v>
      </c>
      <c r="G712" s="28">
        <f>IF(ISNUMBER(Data!S74),Data!S74/100,"n/a")</f>
        <v>2.4390243902439046E-2</v>
      </c>
      <c r="H712" s="28">
        <f>IF(ISNUMBER(Data!T74),Data!T74/100,"n/a")</f>
        <v>2.501029596576787E-2</v>
      </c>
      <c r="I712" s="28">
        <f>IF(ISNUMBER(Data!U74),Data!U74/100,"n/a")</f>
        <v>3.7137289336648172E-2</v>
      </c>
      <c r="J712" s="28">
        <f>IF(ISNUMBER(Data!V74),Data!V74/100,"n/a")</f>
        <v>6.2067563844542484E-2</v>
      </c>
      <c r="K712" s="9">
        <f>IF(ISNUMBER(Data!Z74),Data!Z74/100,"n/a")</f>
        <v>0.35610766045548653</v>
      </c>
      <c r="L712" s="10">
        <f>Data!AA74</f>
        <v>11.318840579710145</v>
      </c>
      <c r="M712" s="10">
        <f>Data!AF74</f>
        <v>1.18</v>
      </c>
      <c r="N712" s="28">
        <f>IF(ISNUMBER(Data!AG74),Data!AG74/100,"n/a")</f>
        <v>6.8000000000000005E-2</v>
      </c>
      <c r="O712" s="28">
        <f>IF(ISNUMBER(Data!AJ74),Data!AJ74/100,"n/a")</f>
        <v>6.3E-2</v>
      </c>
      <c r="P712" s="9">
        <f>IF(ISNUMBER(Data!AK74),Data!AK74/100,"n/a")</f>
        <v>0.12</v>
      </c>
      <c r="Q712" s="8">
        <f>Data!AN74</f>
        <v>0.35</v>
      </c>
      <c r="R712" s="8">
        <f>Data!AP74</f>
        <v>6.8598785586876811</v>
      </c>
      <c r="S712" s="8"/>
      <c r="T712" s="8"/>
      <c r="U712" s="8"/>
      <c r="V712" s="1">
        <f t="shared" si="22"/>
        <v>9</v>
      </c>
      <c r="W712" s="1">
        <f t="shared" si="23"/>
        <v>0</v>
      </c>
    </row>
    <row r="713" spans="1:23" hidden="1" x14ac:dyDescent="0.2">
      <c r="A713" s="7" t="str">
        <f>Data!A43</f>
        <v>American National Bankshares Inc.</v>
      </c>
      <c r="B713" s="7" t="str">
        <f>Data!B43</f>
        <v>AMNB</v>
      </c>
      <c r="C713" s="7" t="str">
        <f>Data!C43</f>
        <v>Financials</v>
      </c>
      <c r="D713" s="8">
        <f>IF(ISNUMBER(Data!AL43),Data!AL43/1000,"n/a")</f>
        <v>0.37927</v>
      </c>
      <c r="E713" s="1">
        <f>Data!E43</f>
        <v>7</v>
      </c>
      <c r="F713" s="28">
        <f>Data!J43/100</f>
        <v>3.0626196335794373E-2</v>
      </c>
      <c r="G713" s="28">
        <f>IF(ISNUMBER(Data!S43),Data!S43/100,"n/a")</f>
        <v>9.2592592592593004E-3</v>
      </c>
      <c r="H713" s="28">
        <f>IF(ISNUMBER(Data!T43),Data!T43/100,"n/a")</f>
        <v>2.9142466571506542E-2</v>
      </c>
      <c r="I713" s="28">
        <f>IF(ISNUMBER(Data!U43),Data!U43/100,"n/a")</f>
        <v>2.5725265169996181E-2</v>
      </c>
      <c r="J713" s="28">
        <f>IF(ISNUMBER(Data!V43),Data!V43/100,"n/a")</f>
        <v>1.7100498245471885E-2</v>
      </c>
      <c r="K713" s="9">
        <f>IF(ISNUMBER(Data!Z43),Data!Z43/100,"n/a")</f>
        <v>0.31818181818181823</v>
      </c>
      <c r="L713" s="10">
        <f>Data!AA43</f>
        <v>10.389204545454545</v>
      </c>
      <c r="M713" s="10">
        <f>Data!AF43</f>
        <v>1.2</v>
      </c>
      <c r="N713" s="28">
        <f>IF(ISNUMBER(Data!AG43),Data!AG43/100,"n/a")</f>
        <v>0.121</v>
      </c>
      <c r="O713" s="28">
        <f>IF(ISNUMBER(Data!AJ43),Data!AJ43/100,"n/a")</f>
        <v>0.16200000000000001</v>
      </c>
      <c r="P713" s="9">
        <f>IF(ISNUMBER(Data!AK43),Data!AK43/100,"n/a")</f>
        <v>0.04</v>
      </c>
      <c r="Q713" s="8">
        <f>Data!AN43</f>
        <v>0.09</v>
      </c>
      <c r="R713" s="8">
        <f>Data!AP43</f>
        <v>5.6351461505790557</v>
      </c>
      <c r="S713" s="8"/>
      <c r="T713" s="8"/>
      <c r="U713" s="8"/>
      <c r="V713" s="1">
        <f t="shared" si="22"/>
        <v>6</v>
      </c>
      <c r="W713" s="1">
        <f t="shared" si="23"/>
        <v>0</v>
      </c>
    </row>
    <row r="714" spans="1:23" hidden="1" x14ac:dyDescent="0.2">
      <c r="A714" s="7" t="str">
        <f>Data!A24</f>
        <v>American Financial Group, Inc.</v>
      </c>
      <c r="B714" s="7" t="str">
        <f>Data!B24</f>
        <v>AFG</v>
      </c>
      <c r="C714" s="7" t="str">
        <f>Data!C24</f>
        <v>Financials</v>
      </c>
      <c r="D714" s="8">
        <f>IF(ISNUMBER(Data!AL24),Data!AL24/1000,"n/a")</f>
        <v>11.59</v>
      </c>
      <c r="E714" s="1">
        <f>Data!E24</f>
        <v>17</v>
      </c>
      <c r="F714" s="28">
        <f>Data!J24/100</f>
        <v>1.736613603473227E-2</v>
      </c>
      <c r="G714" s="28">
        <f>IF(ISNUMBER(Data!S24),Data!S24/100,"n/a")</f>
        <v>0.11351351351351348</v>
      </c>
      <c r="H714" s="28">
        <f>IF(ISNUMBER(Data!T24),Data!T24/100,"n/a")</f>
        <v>0.1241727990402941</v>
      </c>
      <c r="I714" s="28">
        <f>IF(ISNUMBER(Data!U24),Data!U24/100,"n/a")</f>
        <v>0.12316938545946243</v>
      </c>
      <c r="J714" s="28">
        <f>IF(ISNUMBER(Data!V24),Data!V24/100,"n/a")</f>
        <v>0.12012923875152914</v>
      </c>
      <c r="K714" s="9">
        <f>IF(ISNUMBER(Data!Z24),Data!Z24/100,"n/a")</f>
        <v>0.20809248554913296</v>
      </c>
      <c r="L714" s="10">
        <f>Data!AA24</f>
        <v>11.982658959537574</v>
      </c>
      <c r="M714" s="10">
        <f>Data!AF24</f>
        <v>3.01</v>
      </c>
      <c r="N714" s="28">
        <f>IF(ISNUMBER(Data!AG24),Data!AG24/100,"n/a")</f>
        <v>0.215</v>
      </c>
      <c r="O714" s="28">
        <f>IF(ISNUMBER(Data!AJ24),Data!AJ24/100,"n/a")</f>
        <v>0.115</v>
      </c>
      <c r="P714" s="9">
        <f>IF(ISNUMBER(Data!AK24),Data!AK24/100,"n/a")</f>
        <v>2.6200000000000001E-2</v>
      </c>
      <c r="Q714" s="8">
        <f>Data!AN24</f>
        <v>0.38</v>
      </c>
      <c r="R714" s="8">
        <f>Data!AP24</f>
        <v>14.05355214941947</v>
      </c>
      <c r="S714" s="8"/>
      <c r="T714" s="8"/>
      <c r="U714" s="8"/>
      <c r="V714" s="1">
        <f t="shared" si="22"/>
        <v>10</v>
      </c>
      <c r="W714" s="1">
        <f t="shared" si="23"/>
        <v>0</v>
      </c>
    </row>
    <row r="715" spans="1:23" hidden="1" x14ac:dyDescent="0.2">
      <c r="A715" s="7" t="str">
        <f>Data!A20</f>
        <v>American Equity Investment Life Holding Company</v>
      </c>
      <c r="B715" s="7" t="str">
        <f>Data!B20</f>
        <v>AEL</v>
      </c>
      <c r="C715" s="7" t="str">
        <f>Data!C20</f>
        <v>Financials</v>
      </c>
      <c r="D715" s="8">
        <f>IF(ISNUMBER(Data!AL20),Data!AL20/1000,"n/a")</f>
        <v>3.62</v>
      </c>
      <c r="E715" s="1">
        <f>Data!E20</f>
        <v>19</v>
      </c>
      <c r="F715" s="28">
        <f>Data!J20/100</f>
        <v>7.892293407613743E-3</v>
      </c>
      <c r="G715" s="28">
        <f>IF(ISNUMBER(Data!S20),Data!S20/100,"n/a")</f>
        <v>6.25E-2</v>
      </c>
      <c r="H715" s="28">
        <f>IF(ISNUMBER(Data!T20),Data!T20/100,"n/a")</f>
        <v>6.6858844342181811E-2</v>
      </c>
      <c r="I715" s="28">
        <f>IF(ISNUMBER(Data!U20),Data!U20/100,"n/a")</f>
        <v>7.2145025900850923E-2</v>
      </c>
      <c r="J715" s="28">
        <f>IF(ISNUMBER(Data!V20),Data!V20/100,"n/a")</f>
        <v>0.1097617886603237</v>
      </c>
      <c r="K715" s="9">
        <f>IF(ISNUMBER(Data!Z20),Data!Z20/100,"n/a")</f>
        <v>2.8764805414551609E-2</v>
      </c>
      <c r="L715" s="10">
        <f>Data!AA20</f>
        <v>3.6446700507614209</v>
      </c>
      <c r="M715" s="10">
        <f>Data!AF20</f>
        <v>1.02</v>
      </c>
      <c r="N715" s="28">
        <f>IF(ISNUMBER(Data!AG20),Data!AG20/100,"n/a")</f>
        <v>0.20800000000000002</v>
      </c>
      <c r="O715" s="28">
        <f>IF(ISNUMBER(Data!AJ20),Data!AJ20/100,"n/a")</f>
        <v>0.36199999999999993</v>
      </c>
      <c r="P715" s="9">
        <f>IF(ISNUMBER(Data!AK20),Data!AK20/100,"n/a")</f>
        <v>0.24940000000000001</v>
      </c>
      <c r="Q715" s="8">
        <f>Data!AN20</f>
        <v>0.15</v>
      </c>
      <c r="R715" s="8">
        <f>Data!AP20</f>
        <v>8.0037319308464667</v>
      </c>
      <c r="S715" s="8"/>
      <c r="T715" s="8"/>
      <c r="U715" s="8"/>
      <c r="V715" s="1">
        <f t="shared" si="22"/>
        <v>10</v>
      </c>
      <c r="W715" s="1">
        <f t="shared" si="23"/>
        <v>0</v>
      </c>
    </row>
    <row r="716" spans="1:23" hidden="1" x14ac:dyDescent="0.2">
      <c r="A716" s="7" t="str">
        <f>Data!A22</f>
        <v>American Electric Power Company, Inc.</v>
      </c>
      <c r="B716" s="7" t="str">
        <f>Data!B22</f>
        <v>AEP</v>
      </c>
      <c r="C716" s="7" t="str">
        <f>Data!C22</f>
        <v>Utilities</v>
      </c>
      <c r="D716" s="8">
        <f>IF(ISNUMBER(Data!AL22),Data!AL22/1000,"n/a")</f>
        <v>44.79</v>
      </c>
      <c r="E716" s="1">
        <f>Data!E22</f>
        <v>13</v>
      </c>
      <c r="F716" s="28">
        <f>Data!J22/100</f>
        <v>3.7761601455868966E-2</v>
      </c>
      <c r="G716" s="28">
        <f>IF(ISNUMBER(Data!S22),Data!S22/100,"n/a")</f>
        <v>5.6338028169014231E-2</v>
      </c>
      <c r="H716" s="28">
        <f>IF(ISNUMBER(Data!T22),Data!T22/100,"n/a")</f>
        <v>5.8441625740549341E-2</v>
      </c>
      <c r="I716" s="28">
        <f>IF(ISNUMBER(Data!U22),Data!U22/100,"n/a")</f>
        <v>5.7350754450265606E-2</v>
      </c>
      <c r="J716" s="28">
        <f>IF(ISNUMBER(Data!V22),Data!V22/100,"n/a")</f>
        <v>4.9530230946253528E-2</v>
      </c>
      <c r="K716" s="9">
        <f>IF(ISNUMBER(Data!Z22),Data!Z22/100,"n/a")</f>
        <v>0.68879668049792508</v>
      </c>
      <c r="L716" s="10">
        <f>Data!AA22</f>
        <v>18.240663900414937</v>
      </c>
      <c r="M716" s="10">
        <f>Data!AF22</f>
        <v>1.89</v>
      </c>
      <c r="N716" s="28">
        <f>IF(ISNUMBER(Data!AG22),Data!AG22/100,"n/a")</f>
        <v>0.10400000000000001</v>
      </c>
      <c r="O716" s="28">
        <f>IF(ISNUMBER(Data!AJ22),Data!AJ22/100,"n/a")</f>
        <v>0.318</v>
      </c>
      <c r="P716" s="9">
        <f>IF(ISNUMBER(Data!AK22),Data!AK22/100,"n/a")</f>
        <v>6.2300000000000001E-2</v>
      </c>
      <c r="Q716" s="8">
        <f>Data!AN22</f>
        <v>1.55</v>
      </c>
      <c r="R716" s="8">
        <f>Data!AP22</f>
        <v>9.5112355906134578</v>
      </c>
      <c r="S716" s="8"/>
      <c r="T716" s="8"/>
      <c r="U716" s="8"/>
      <c r="V716" s="1">
        <f t="shared" si="22"/>
        <v>8</v>
      </c>
      <c r="W716" s="1">
        <f t="shared" si="23"/>
        <v>0</v>
      </c>
    </row>
    <row r="717" spans="1:23" hidden="1" x14ac:dyDescent="0.2">
      <c r="A717" s="7" t="str">
        <f>Data!A19</f>
        <v>Ameren Corporation</v>
      </c>
      <c r="B717" s="7" t="str">
        <f>Data!B19</f>
        <v>AEE</v>
      </c>
      <c r="C717" s="7" t="str">
        <f>Data!C19</f>
        <v>Utilities</v>
      </c>
      <c r="D717" s="8">
        <f>IF(ISNUMBER(Data!AL19),Data!AL19/1000,"n/a")</f>
        <v>20.74</v>
      </c>
      <c r="E717" s="1">
        <f>Data!E19</f>
        <v>9</v>
      </c>
      <c r="F717" s="28">
        <f>Data!J19/100</f>
        <v>2.8949950932286556E-2</v>
      </c>
      <c r="G717" s="28">
        <f>IF(ISNUMBER(Data!S19),Data!S19/100,"n/a")</f>
        <v>0.10000000000000009</v>
      </c>
      <c r="H717" s="28">
        <f>IF(ISNUMBER(Data!T19),Data!T19/100,"n/a")</f>
        <v>5.9935434593527459E-2</v>
      </c>
      <c r="I717" s="28">
        <f>IF(ISNUMBER(Data!U19),Data!U19/100,"n/a")</f>
        <v>5.1070171363672978E-2</v>
      </c>
      <c r="J717" s="28">
        <f>IF(ISNUMBER(Data!V19),Data!V19/100,"n/a")</f>
        <v>3.5307186749744091E-2</v>
      </c>
      <c r="K717" s="9">
        <f>IF(ISNUMBER(Data!Z19),Data!Z19/100,"n/a")</f>
        <v>0.60512820512820509</v>
      </c>
      <c r="L717" s="10">
        <f>Data!AA19</f>
        <v>20.902564102564103</v>
      </c>
      <c r="M717" s="10">
        <f>Data!AF19</f>
        <v>2.15</v>
      </c>
      <c r="N717" s="28">
        <f>IF(ISNUMBER(Data!AG19),Data!AG19/100,"n/a")</f>
        <v>0.10299999999999999</v>
      </c>
      <c r="O717" s="28">
        <f>IF(ISNUMBER(Data!AJ19),Data!AJ19/100,"n/a")</f>
        <v>7.4999999999999997E-2</v>
      </c>
      <c r="P717" s="9">
        <f>IF(ISNUMBER(Data!AK19),Data!AK19/100,"n/a")</f>
        <v>6.2600000000000003E-2</v>
      </c>
      <c r="Q717" s="8">
        <f>Data!AN19</f>
        <v>1.48</v>
      </c>
      <c r="R717" s="8">
        <f>Data!AP19</f>
        <v>8.0020122295959535</v>
      </c>
      <c r="S717" s="8"/>
      <c r="T717" s="8"/>
      <c r="U717" s="8"/>
      <c r="V717" s="1">
        <f t="shared" si="22"/>
        <v>7</v>
      </c>
      <c r="W717" s="1">
        <f t="shared" si="23"/>
        <v>0</v>
      </c>
    </row>
    <row r="718" spans="1:23" hidden="1" x14ac:dyDescent="0.2">
      <c r="A718" s="7" t="str">
        <f>Data!A197</f>
        <v>Ecolab Inc.</v>
      </c>
      <c r="B718" s="7" t="str">
        <f>Data!B197</f>
        <v>ECL</v>
      </c>
      <c r="C718" s="7" t="str">
        <f>Data!C197</f>
        <v>Materials</v>
      </c>
      <c r="D718" s="8">
        <f>IF(ISNUMBER(Data!AL197),Data!AL197/1000,"n/a")</f>
        <v>43.65</v>
      </c>
      <c r="E718" s="1">
        <f>Data!E197</f>
        <v>30</v>
      </c>
      <c r="F718" s="28">
        <f>Data!J197/100</f>
        <v>1.2987839816642262E-2</v>
      </c>
      <c r="G718" s="28">
        <f>IF(ISNUMBER(Data!S197),Data!S197/100,"n/a")</f>
        <v>2.1276595744680771E-2</v>
      </c>
      <c r="H718" s="28">
        <f>IF(ISNUMBER(Data!T197),Data!T197/100,"n/a")</f>
        <v>5.3947861260881913E-2</v>
      </c>
      <c r="I718" s="28">
        <f>IF(ISNUMBER(Data!U197),Data!U197/100,"n/a")</f>
        <v>6.5208537533447908E-2</v>
      </c>
      <c r="J718" s="28">
        <f>IF(ISNUMBER(Data!V197),Data!V197/100,"n/a")</f>
        <v>0.10616603400821756</v>
      </c>
      <c r="K718" s="9">
        <f>IF(ISNUMBER(Data!Z197),Data!Z197/100,"n/a")</f>
        <v>0.53263707571801566</v>
      </c>
      <c r="L718" s="10">
        <f>Data!AA197</f>
        <v>41.010443864229764</v>
      </c>
      <c r="M718" s="10">
        <f>Data!AF197</f>
        <v>6.34</v>
      </c>
      <c r="N718" s="28">
        <f>IF(ISNUMBER(Data!AG197),Data!AG197/100,"n/a")</f>
        <v>0.156</v>
      </c>
      <c r="O718" s="28">
        <f>IF(ISNUMBER(Data!AJ197),Data!AJ197/100,"n/a")</f>
        <v>-1.2E-2</v>
      </c>
      <c r="P718" s="9">
        <f>IF(ISNUMBER(Data!AK197),Data!AK197/100,"n/a")</f>
        <v>0.12590000000000001</v>
      </c>
      <c r="Q718" s="8">
        <f>Data!AN197</f>
        <v>1.24</v>
      </c>
      <c r="R718" s="8">
        <f>Data!AP197</f>
        <v>7.8196377350090174</v>
      </c>
      <c r="S718" s="8"/>
      <c r="T718" s="8"/>
      <c r="U718" s="8"/>
      <c r="V718" s="1">
        <f t="shared" si="22"/>
        <v>7</v>
      </c>
      <c r="W718" s="1">
        <f t="shared" si="23"/>
        <v>0</v>
      </c>
    </row>
    <row r="719" spans="1:23" hidden="1" x14ac:dyDescent="0.2">
      <c r="A719" s="7" t="str">
        <f>Data!A441</f>
        <v>Merck &amp; Co., Inc.</v>
      </c>
      <c r="B719" s="7" t="str">
        <f>Data!B441</f>
        <v>MRK</v>
      </c>
      <c r="C719" s="7" t="str">
        <f>Data!C441</f>
        <v>Health Care</v>
      </c>
      <c r="D719" s="8">
        <f>IF(ISNUMBER(Data!AL441),Data!AL441/1000,"n/a")</f>
        <v>252.67</v>
      </c>
      <c r="E719" s="1">
        <f>Data!E441</f>
        <v>11</v>
      </c>
      <c r="F719" s="28">
        <f>Data!J441/100</f>
        <v>2.7272727272727271E-2</v>
      </c>
      <c r="G719" s="28">
        <f>IF(ISNUMBER(Data!S441),Data!S441/100,"n/a")</f>
        <v>6.5573770491803351E-2</v>
      </c>
      <c r="H719" s="28">
        <f>IF(ISNUMBER(Data!T441),Data!T441/100,"n/a")</f>
        <v>0.10634532855147751</v>
      </c>
      <c r="I719" s="28">
        <f>IF(ISNUMBER(Data!U441),Data!U441/100,"n/a")</f>
        <v>7.1596052225361806E-2</v>
      </c>
      <c r="J719" s="28">
        <f>IF(ISNUMBER(Data!V441),Data!V441/100,"n/a")</f>
        <v>5.514701825660917E-2</v>
      </c>
      <c r="K719" s="9">
        <f>IF(ISNUMBER(Data!Z441),Data!Z441/100,"n/a")</f>
        <v>0.45695364238410591</v>
      </c>
      <c r="L719" s="10">
        <f>Data!AA441</f>
        <v>16.754966887417218</v>
      </c>
      <c r="M719" s="10">
        <f>Data!AF441</f>
        <v>5.9</v>
      </c>
      <c r="N719" s="28">
        <f>IF(ISNUMBER(Data!AG441),Data!AG441/100,"n/a")</f>
        <v>0.35899999999999999</v>
      </c>
      <c r="O719" s="28">
        <f>IF(ISNUMBER(Data!AJ441),Data!AJ441/100,"n/a")</f>
        <v>0.28199999999999997</v>
      </c>
      <c r="P719" s="9">
        <f>IF(ISNUMBER(Data!AK441),Data!AK441/100,"n/a")</f>
        <v>0.10800000000000001</v>
      </c>
      <c r="Q719" s="8">
        <f>Data!AN441</f>
        <v>0.73</v>
      </c>
      <c r="R719" s="8">
        <f>Data!AP441</f>
        <v>9.8868779498089072</v>
      </c>
      <c r="S719" s="8"/>
      <c r="T719" s="8"/>
      <c r="U719" s="8"/>
      <c r="V719" s="1">
        <f t="shared" si="22"/>
        <v>10</v>
      </c>
      <c r="W719" s="1">
        <f t="shared" si="23"/>
        <v>0</v>
      </c>
    </row>
    <row r="720" spans="1:23" hidden="1" x14ac:dyDescent="0.2">
      <c r="A720" s="7" t="str">
        <f>Data!A39</f>
        <v>Ally Financial Inc.</v>
      </c>
      <c r="B720" s="7" t="str">
        <f>Data!B39</f>
        <v>ALLY</v>
      </c>
      <c r="C720" s="7" t="str">
        <f>Data!C39</f>
        <v>Financials</v>
      </c>
      <c r="D720" s="8">
        <f>IF(ISNUMBER(Data!AL39),Data!AL39/1000,"n/a")</f>
        <v>8.17</v>
      </c>
      <c r="E720" s="1">
        <f>Data!E39</f>
        <v>7</v>
      </c>
      <c r="F720" s="28">
        <f>Data!J39/100</f>
        <v>4.354136429608127E-2</v>
      </c>
      <c r="G720" s="28">
        <f>IF(ISNUMBER(Data!S39),Data!S39/100,"n/a")</f>
        <v>0.15789473684210531</v>
      </c>
      <c r="H720" s="28">
        <f>IF(ISNUMBER(Data!T39),Data!T39/100,"n/a")</f>
        <v>0.16260329205681459</v>
      </c>
      <c r="I720" s="28">
        <f>IF(ISNUMBER(Data!U39),Data!U39/100,"n/a")</f>
        <v>0.4062823883876352</v>
      </c>
      <c r="J720" s="28" t="str">
        <f>IF(ISNUMBER(Data!V39),Data!V39/100,"n/a")</f>
        <v>n/a</v>
      </c>
      <c r="K720" s="9">
        <f>IF(ISNUMBER(Data!Z39),Data!Z39/100,"n/a")</f>
        <v>0.19900497512437809</v>
      </c>
      <c r="L720" s="10">
        <f>Data!AA39</f>
        <v>4.5704809286898831</v>
      </c>
      <c r="M720" s="10">
        <f>Data!AF39</f>
        <v>0.78</v>
      </c>
      <c r="N720" s="28">
        <f>IF(ISNUMBER(Data!AG39),Data!AG39/100,"n/a")</f>
        <v>0.21199999999999999</v>
      </c>
      <c r="O720" s="28">
        <f>IF(ISNUMBER(Data!AJ39),Data!AJ39/100,"n/a")</f>
        <v>0.30199999999999999</v>
      </c>
      <c r="P720" s="9">
        <f>IF(ISNUMBER(Data!AK39),Data!AK39/100,"n/a")</f>
        <v>-0.10400000000000001</v>
      </c>
      <c r="Q720" s="8">
        <f>Data!AN39</f>
        <v>2.12</v>
      </c>
      <c r="R720" s="8">
        <f>Data!AP39</f>
        <v>44.982375268371648</v>
      </c>
      <c r="S720" s="8"/>
      <c r="T720" s="8"/>
      <c r="U720" s="8"/>
      <c r="V720" s="1">
        <f t="shared" si="22"/>
        <v>8</v>
      </c>
      <c r="W720" s="1">
        <f t="shared" si="23"/>
        <v>0</v>
      </c>
    </row>
    <row r="721" spans="1:23" hidden="1" x14ac:dyDescent="0.2">
      <c r="A721" s="7" t="str">
        <f>Data!A399</f>
        <v>Lam Research Corporation</v>
      </c>
      <c r="B721" s="7" t="str">
        <f>Data!B399</f>
        <v>LRCX</v>
      </c>
      <c r="C721" s="7" t="str">
        <f>Data!C399</f>
        <v>Information Technology</v>
      </c>
      <c r="D721" s="8">
        <f>IF(ISNUMBER(Data!AL399),Data!AL399/1000,"n/a")</f>
        <v>53.07</v>
      </c>
      <c r="E721" s="1">
        <f>Data!E399</f>
        <v>9</v>
      </c>
      <c r="F721" s="28">
        <f>Data!J399/100</f>
        <v>1.7046296753792184E-2</v>
      </c>
      <c r="G721" s="28">
        <f>IF(ISNUMBER(Data!S399),Data!S399/100,"n/a")</f>
        <v>0.13684210526315788</v>
      </c>
      <c r="H721" s="28">
        <f>IF(ISNUMBER(Data!T399),Data!T399/100,"n/a")</f>
        <v>0.19055078897614952</v>
      </c>
      <c r="I721" s="28">
        <f>IF(ISNUMBER(Data!U399),Data!U399/100,"n/a")</f>
        <v>0.35096003852061353</v>
      </c>
      <c r="J721" s="28" t="str">
        <f>IF(ISNUMBER(Data!V399),Data!V399/100,"n/a")</f>
        <v>n/a</v>
      </c>
      <c r="K721" s="9">
        <f>IF(ISNUMBER(Data!Z399),Data!Z399/100,"n/a")</f>
        <v>0.1978778319472326</v>
      </c>
      <c r="L721" s="10">
        <f>Data!AA399</f>
        <v>11.608259248637797</v>
      </c>
      <c r="M721" s="10">
        <f>Data!AF399</f>
        <v>7.49</v>
      </c>
      <c r="N721" s="28">
        <f>IF(ISNUMBER(Data!AG399),Data!AG399/100,"n/a")</f>
        <v>0.74099999999999999</v>
      </c>
      <c r="O721" s="28">
        <f>IF(ISNUMBER(Data!AJ399),Data!AJ399/100,"n/a")</f>
        <v>0.28799999999999998</v>
      </c>
      <c r="P721" s="9">
        <f>IF(ISNUMBER(Data!AK399),Data!AK399/100,"n/a")</f>
        <v>7.6600000000000001E-2</v>
      </c>
      <c r="Q721" s="8">
        <f>Data!AN399</f>
        <v>0.67</v>
      </c>
      <c r="R721" s="8">
        <f>Data!AP399</f>
        <v>36.800633527440567</v>
      </c>
      <c r="S721" s="8"/>
      <c r="T721" s="8"/>
      <c r="U721" s="8"/>
      <c r="V721" s="1">
        <f t="shared" si="22"/>
        <v>9</v>
      </c>
      <c r="W721" s="1">
        <f t="shared" si="23"/>
        <v>0</v>
      </c>
    </row>
    <row r="722" spans="1:23" hidden="1" x14ac:dyDescent="0.2">
      <c r="A722" s="7" t="str">
        <f>Data!A35</f>
        <v>ALLETE, Inc.</v>
      </c>
      <c r="B722" s="7" t="str">
        <f>Data!B35</f>
        <v>ALE</v>
      </c>
      <c r="C722" s="7" t="str">
        <f>Data!C35</f>
        <v>Utilities</v>
      </c>
      <c r="D722" s="8">
        <f>IF(ISNUMBER(Data!AL35),Data!AL35/1000,"n/a")</f>
        <v>3.12</v>
      </c>
      <c r="E722" s="1">
        <f>Data!E35</f>
        <v>12</v>
      </c>
      <c r="F722" s="28">
        <f>Data!J35/100</f>
        <v>4.6205793495645991E-2</v>
      </c>
      <c r="G722" s="28">
        <f>IF(ISNUMBER(Data!S35),Data!S35/100,"n/a")</f>
        <v>2.0242914979756943E-2</v>
      </c>
      <c r="H722" s="28">
        <f>IF(ISNUMBER(Data!T35),Data!T35/100,"n/a")</f>
        <v>4.0041911525952045E-2</v>
      </c>
      <c r="I722" s="28">
        <f>IF(ISNUMBER(Data!U35),Data!U35/100,"n/a")</f>
        <v>3.9124156950857802E-2</v>
      </c>
      <c r="J722" s="28">
        <f>IF(ISNUMBER(Data!V35),Data!V35/100,"n/a")</f>
        <v>3.5375904696204996E-2</v>
      </c>
      <c r="K722" s="9">
        <f>IF(ISNUMBER(Data!Z35),Data!Z35/100,"n/a")</f>
        <v>0.72022160664819945</v>
      </c>
      <c r="L722" s="10">
        <f>Data!AA35</f>
        <v>15.587257617728532</v>
      </c>
      <c r="M722" s="10">
        <f>Data!AF35</f>
        <v>1.2</v>
      </c>
      <c r="N722" s="28">
        <f>IF(ISNUMBER(Data!AG35),Data!AG35/100,"n/a")</f>
        <v>7.8E-2</v>
      </c>
      <c r="O722" s="28">
        <f>IF(ISNUMBER(Data!AJ35),Data!AJ35/100,"n/a")</f>
        <v>5.0000000000000001E-3</v>
      </c>
      <c r="P722" s="9">
        <f>IF(ISNUMBER(Data!AK35),Data!AK35/100,"n/a")</f>
        <v>8.6999999999999994E-2</v>
      </c>
      <c r="Q722" s="8">
        <f>Data!AN35</f>
        <v>0.74</v>
      </c>
      <c r="R722" s="8">
        <f>Data!AP35</f>
        <v>8.5329950446503791</v>
      </c>
      <c r="S722" s="8"/>
      <c r="T722" s="8"/>
      <c r="U722" s="8"/>
      <c r="V722" s="1">
        <f t="shared" si="22"/>
        <v>5</v>
      </c>
      <c r="W722" s="1">
        <f t="shared" si="23"/>
        <v>0</v>
      </c>
    </row>
    <row r="723" spans="1:23" hidden="1" x14ac:dyDescent="0.2">
      <c r="A723" s="7" t="str">
        <f>Data!A38</f>
        <v>Allegion plc</v>
      </c>
      <c r="B723" s="7" t="str">
        <f>Data!B38</f>
        <v>ALLE</v>
      </c>
      <c r="C723" s="7" t="str">
        <f>Data!C38</f>
        <v>Industrials</v>
      </c>
      <c r="D723" s="8">
        <f>IF(ISNUMBER(Data!AL38),Data!AL38/1000,"n/a")</f>
        <v>9.09</v>
      </c>
      <c r="E723" s="1">
        <f>Data!E38</f>
        <v>9</v>
      </c>
      <c r="F723" s="28">
        <f>Data!J38/100</f>
        <v>1.5653335878591201E-2</v>
      </c>
      <c r="G723" s="28">
        <f>IF(ISNUMBER(Data!S38),Data!S38/100,"n/a")</f>
        <v>0.125</v>
      </c>
      <c r="H723" s="28">
        <f>IF(ISNUMBER(Data!T38),Data!T38/100,"n/a")</f>
        <v>0.19681696117715083</v>
      </c>
      <c r="I723" s="28">
        <f>IF(ISNUMBER(Data!U38),Data!U38/100,"n/a")</f>
        <v>0.24573093961551742</v>
      </c>
      <c r="J723" s="28" t="str">
        <f>IF(ISNUMBER(Data!V38),Data!V38/100,"n/a")</f>
        <v>n/a</v>
      </c>
      <c r="K723" s="9">
        <f>IF(ISNUMBER(Data!Z38),Data!Z38/100,"n/a")</f>
        <v>0.33401221995926678</v>
      </c>
      <c r="L723" s="10">
        <f>Data!AA38</f>
        <v>21.338085539714868</v>
      </c>
      <c r="M723" s="10">
        <f>Data!AF38</f>
        <v>11.8</v>
      </c>
      <c r="N723" s="28">
        <f>IF(ISNUMBER(Data!AG38),Data!AG38/100,"n/a")</f>
        <v>0.56799999999999995</v>
      </c>
      <c r="O723" s="28">
        <f>IF(ISNUMBER(Data!AJ38),Data!AJ38/100,"n/a")</f>
        <v>0.17699999999999999</v>
      </c>
      <c r="P723" s="9">
        <f>IF(ISNUMBER(Data!AK38),Data!AK38/100,"n/a")</f>
        <v>0.1</v>
      </c>
      <c r="Q723" s="8">
        <f>Data!AN38</f>
        <v>2.81</v>
      </c>
      <c r="R723" s="8">
        <f>Data!AP38</f>
        <v>26.13842754941086</v>
      </c>
      <c r="S723" s="8"/>
      <c r="T723" s="8"/>
      <c r="U723" s="8"/>
      <c r="V723" s="1">
        <f t="shared" si="22"/>
        <v>7</v>
      </c>
      <c r="W723" s="1">
        <f t="shared" si="23"/>
        <v>0</v>
      </c>
    </row>
    <row r="724" spans="1:23" hidden="1" x14ac:dyDescent="0.2">
      <c r="A724" s="7" t="str">
        <f>Data!A54</f>
        <v>Alexandria Real Estate Equities, Inc.</v>
      </c>
      <c r="B724" s="7" t="str">
        <f>Data!B54</f>
        <v>ARE</v>
      </c>
      <c r="C724" s="7" t="str">
        <f>Data!C54</f>
        <v>Real Estate</v>
      </c>
      <c r="D724" s="8">
        <f>IF(ISNUMBER(Data!AL54),Data!AL54/1000,"n/a")</f>
        <v>23.32</v>
      </c>
      <c r="E724" s="1">
        <f>Data!E54</f>
        <v>12</v>
      </c>
      <c r="F724" s="28">
        <f>Data!J54/100</f>
        <v>3.2484514796971779E-2</v>
      </c>
      <c r="G724" s="28">
        <f>IF(ISNUMBER(Data!S54),Data!S54/100,"n/a")</f>
        <v>5.741626794258381E-2</v>
      </c>
      <c r="H724" s="28">
        <f>IF(ISNUMBER(Data!T54),Data!T54/100,"n/a")</f>
        <v>6.4912017307670045E-2</v>
      </c>
      <c r="I724" s="28">
        <f>IF(ISNUMBER(Data!U54),Data!U54/100,"n/a")</f>
        <v>6.6729875066551925E-2</v>
      </c>
      <c r="J724" s="28">
        <f>IF(ISNUMBER(Data!V54),Data!V54/100,"n/a")</f>
        <v>9.2785913533468753E-2</v>
      </c>
      <c r="K724" s="9">
        <f>IF(ISNUMBER(Data!Z54),Data!Z54/100,"n/a")</f>
        <v>1.4174174174174172</v>
      </c>
      <c r="L724" s="10">
        <f>Data!AA54</f>
        <v>43.633633633633636</v>
      </c>
      <c r="M724" s="10">
        <f>Data!AF54</f>
        <v>1.34</v>
      </c>
      <c r="N724" s="28">
        <f>IF(ISNUMBER(Data!AG54),Data!AG54/100,"n/a")</f>
        <v>1.7999999999999999E-2</v>
      </c>
      <c r="O724" s="28">
        <f>IF(ISNUMBER(Data!AJ54),Data!AJ54/100,"n/a")</f>
        <v>0.314</v>
      </c>
      <c r="P724" s="9">
        <f>IF(ISNUMBER(Data!AK54),Data!AK54/100,"n/a")</f>
        <v>-0.1096</v>
      </c>
      <c r="Q724" s="8">
        <f>Data!AN54</f>
        <v>0.6</v>
      </c>
      <c r="R724" s="8">
        <f>Data!AP54</f>
        <v>9.9214389863523706</v>
      </c>
      <c r="S724" s="8"/>
      <c r="T724" s="8"/>
      <c r="U724" s="8"/>
      <c r="V724" s="1">
        <f t="shared" si="22"/>
        <v>8</v>
      </c>
      <c r="W724" s="1">
        <f t="shared" si="23"/>
        <v>0</v>
      </c>
    </row>
    <row r="725" spans="1:23" hidden="1" x14ac:dyDescent="0.2">
      <c r="A725" s="7" t="str">
        <f>Data!A55</f>
        <v>Arrow Financial Corporation</v>
      </c>
      <c r="B725" s="7" t="str">
        <f>Data!B55</f>
        <v>AROW</v>
      </c>
      <c r="C725" s="7" t="str">
        <f>Data!C55</f>
        <v>Financials</v>
      </c>
      <c r="D725" s="8">
        <f>IF(ISNUMBER(Data!AL55),Data!AL55/1000,"n/a")</f>
        <v>0.52828999999999993</v>
      </c>
      <c r="E725" s="1">
        <f>Data!E55</f>
        <v>29</v>
      </c>
      <c r="F725" s="28">
        <f>Data!J55/100</f>
        <v>3.1016657093624354E-2</v>
      </c>
      <c r="G725" s="28">
        <f>IF(ISNUMBER(Data!S55),Data!S55/100,"n/a")</f>
        <v>2.9917426989883866E-2</v>
      </c>
      <c r="H725" s="28">
        <f>IF(ISNUMBER(Data!T55),Data!T55/100,"n/a")</f>
        <v>3.6610361779477074E-2</v>
      </c>
      <c r="I725" s="28">
        <f>IF(ISNUMBER(Data!U55),Data!U55/100,"n/a")</f>
        <v>3.8094592985331355E-2</v>
      </c>
      <c r="J725" s="28">
        <f>IF(ISNUMBER(Data!V55),Data!V55/100,"n/a")</f>
        <v>3.0011931814392989E-2</v>
      </c>
      <c r="K725" s="9">
        <f>IF(ISNUMBER(Data!Z55),Data!Z55/100,"n/a")</f>
        <v>0.37370242214532873</v>
      </c>
      <c r="L725" s="10">
        <f>Data!AA55</f>
        <v>12.048442906574394</v>
      </c>
      <c r="M725" s="10">
        <f>Data!AF55</f>
        <v>1.59</v>
      </c>
      <c r="N725" s="28">
        <f>IF(ISNUMBER(Data!AG55),Data!AG55/100,"n/a")</f>
        <v>0.13600000000000001</v>
      </c>
      <c r="O725" s="28">
        <f>IF(ISNUMBER(Data!AJ55),Data!AJ55/100,"n/a")</f>
        <v>0.128</v>
      </c>
      <c r="P725" s="9">
        <f>IF(ISNUMBER(Data!AK55),Data!AK55/100,"n/a")</f>
        <v>6.9000000000000006E-2</v>
      </c>
      <c r="Q725" s="8">
        <f>Data!AN55</f>
        <v>7.0000000000000007E-2</v>
      </c>
      <c r="R725" s="8">
        <f>Data!AP55</f>
        <v>6.9111250078955706</v>
      </c>
      <c r="S725" s="8"/>
      <c r="T725" s="8"/>
      <c r="U725" s="8"/>
      <c r="V725" s="1">
        <f t="shared" si="22"/>
        <v>7</v>
      </c>
      <c r="W725" s="1">
        <f t="shared" si="23"/>
        <v>0</v>
      </c>
    </row>
    <row r="726" spans="1:23" hidden="1" x14ac:dyDescent="0.2">
      <c r="A726" s="7" t="str">
        <f>Data!A40</f>
        <v>Alerus Financial Corporation</v>
      </c>
      <c r="B726" s="7" t="str">
        <f>Data!B40</f>
        <v>ALRS</v>
      </c>
      <c r="C726" s="7" t="str">
        <f>Data!C40</f>
        <v>Financials</v>
      </c>
      <c r="D726" s="8">
        <f>IF(ISNUMBER(Data!AL40),Data!AL40/1000,"n/a")</f>
        <v>0.43607000000000001</v>
      </c>
      <c r="E726" s="1">
        <f>Data!E40</f>
        <v>24</v>
      </c>
      <c r="F726" s="28">
        <f>Data!J40/100</f>
        <v>3.2286995515695062E-2</v>
      </c>
      <c r="G726" s="28">
        <f>IF(ISNUMBER(Data!S40),Data!S40/100,"n/a")</f>
        <v>3.3333333333333437E-2</v>
      </c>
      <c r="H726" s="28">
        <f>IF(ISNUMBER(Data!T40),Data!T40/100,"n/a")</f>
        <v>6.7268859311195417E-2</v>
      </c>
      <c r="I726" s="28">
        <f>IF(ISNUMBER(Data!U40),Data!U40/100,"n/a")</f>
        <v>7.0995886039598277E-2</v>
      </c>
      <c r="J726" s="28">
        <f>IF(ISNUMBER(Data!V40),Data!V40/100,"n/a")</f>
        <v>7.7712765758489066E-2</v>
      </c>
      <c r="K726" s="9">
        <f>IF(ISNUMBER(Data!Z40),Data!Z40/100,"n/a")</f>
        <v>0.26765799256505574</v>
      </c>
      <c r="L726" s="10">
        <f>Data!AA40</f>
        <v>8.2899628252788116</v>
      </c>
      <c r="M726" s="10">
        <f>Data!AF40</f>
        <v>1.25</v>
      </c>
      <c r="N726" s="28">
        <f>IF(ISNUMBER(Data!AG40),Data!AG40/100,"n/a")</f>
        <v>0.13900000000000001</v>
      </c>
      <c r="O726" s="28">
        <f>IF(ISNUMBER(Data!AJ40),Data!AJ40/100,"n/a")</f>
        <v>0.29299999999999998</v>
      </c>
      <c r="P726" s="9" t="str">
        <f>IF(ISNUMBER(Data!AK40),Data!AK40/100,"n/a")</f>
        <v>n/a</v>
      </c>
      <c r="Q726" s="8">
        <f>Data!AN40</f>
        <v>0.19</v>
      </c>
      <c r="R726" s="8">
        <f>Data!AP40</f>
        <v>10.328288155529334</v>
      </c>
      <c r="S726" s="8"/>
      <c r="T726" s="8"/>
      <c r="U726" s="8"/>
      <c r="V726" s="1">
        <f t="shared" si="22"/>
        <v>9</v>
      </c>
      <c r="W726" s="1">
        <f t="shared" si="23"/>
        <v>0</v>
      </c>
    </row>
    <row r="727" spans="1:23" hidden="1" x14ac:dyDescent="0.2">
      <c r="A727" s="7" t="str">
        <f>Data!A34</f>
        <v>Albemarle Corporation</v>
      </c>
      <c r="B727" s="7" t="str">
        <f>Data!B34</f>
        <v>ALB</v>
      </c>
      <c r="C727" s="7" t="str">
        <f>Data!C34</f>
        <v>Materials</v>
      </c>
      <c r="D727" s="8">
        <f>IF(ISNUMBER(Data!AL34),Data!AL34/1000,"n/a")</f>
        <v>33.049999999999997</v>
      </c>
      <c r="E727" s="1">
        <f>Data!E34</f>
        <v>28</v>
      </c>
      <c r="F727" s="28">
        <f>Data!J34/100</f>
        <v>5.6454782577625325E-3</v>
      </c>
      <c r="G727" s="28">
        <f>IF(ISNUMBER(Data!S34),Data!S34/100,"n/a")</f>
        <v>2.1346469622331776E-2</v>
      </c>
      <c r="H727" s="28">
        <f>IF(ISNUMBER(Data!T34),Data!T34/100,"n/a")</f>
        <v>5.4803361196588352E-2</v>
      </c>
      <c r="I727" s="28">
        <f>IF(ISNUMBER(Data!U34),Data!U34/100,"n/a")</f>
        <v>5.2322046939930367E-2</v>
      </c>
      <c r="J727" s="28">
        <f>IF(ISNUMBER(Data!V34),Data!V34/100,"n/a")</f>
        <v>9.3693590076064925E-2</v>
      </c>
      <c r="K727" s="9">
        <f>IF(ISNUMBER(Data!Z34),Data!Z34/100,"n/a")</f>
        <v>0.71171171171171166</v>
      </c>
      <c r="L727" s="10">
        <f>Data!AA34</f>
        <v>126.06756756756756</v>
      </c>
      <c r="M727" s="10">
        <f>Data!AF34</f>
        <v>5.39</v>
      </c>
      <c r="N727" s="28">
        <f>IF(ISNUMBER(Data!AG34),Data!AG34/100,"n/a")</f>
        <v>4.4999999999999998E-2</v>
      </c>
      <c r="O727" s="28">
        <f>IF(ISNUMBER(Data!AJ34),Data!AJ34/100,"n/a")</f>
        <v>-0.22900000000000001</v>
      </c>
      <c r="P727" s="9">
        <f>IF(ISNUMBER(Data!AK34),Data!AK34/100,"n/a")</f>
        <v>0.77170000000000005</v>
      </c>
      <c r="Q727" s="8">
        <f>Data!AN34</f>
        <v>0.56999999999999995</v>
      </c>
      <c r="R727" s="8">
        <f>Data!AP34</f>
        <v>5.7967525197692904</v>
      </c>
      <c r="S727" s="8"/>
      <c r="T727" s="8"/>
      <c r="U727" s="8"/>
      <c r="V727" s="1">
        <f t="shared" si="22"/>
        <v>7</v>
      </c>
      <c r="W727" s="1">
        <f t="shared" si="23"/>
        <v>0</v>
      </c>
    </row>
    <row r="728" spans="1:23" hidden="1" x14ac:dyDescent="0.2">
      <c r="A728" s="7" t="str">
        <f>Data!A36</f>
        <v>Alamo Group Inc.</v>
      </c>
      <c r="B728" s="7" t="str">
        <f>Data!B36</f>
        <v>ALG</v>
      </c>
      <c r="C728" s="7" t="str">
        <f>Data!C36</f>
        <v>Industrials</v>
      </c>
      <c r="D728" s="8">
        <f>IF(ISNUMBER(Data!AL36),Data!AL36/1000,"n/a")</f>
        <v>1.8</v>
      </c>
      <c r="E728" s="1">
        <f>Data!E36</f>
        <v>8</v>
      </c>
      <c r="F728" s="28">
        <f>Data!J36/100</f>
        <v>4.7343503419253023E-3</v>
      </c>
      <c r="G728" s="28">
        <f>IF(ISNUMBER(Data!S36),Data!S36/100,"n/a")</f>
        <v>7.6923076923077094E-2</v>
      </c>
      <c r="H728" s="28">
        <f>IF(ISNUMBER(Data!T36),Data!T36/100,"n/a")</f>
        <v>8.3706762661827097E-2</v>
      </c>
      <c r="I728" s="28">
        <f>IF(ISNUMBER(Data!U36),Data!U36/100,"n/a")</f>
        <v>9.2388464140373147E-2</v>
      </c>
      <c r="J728" s="28">
        <f>IF(ISNUMBER(Data!V36),Data!V36/100,"n/a")</f>
        <v>8.842291989017026E-2</v>
      </c>
      <c r="K728" s="9">
        <f>IF(ISNUMBER(Data!Z36),Data!Z36/100,"n/a")</f>
        <v>0.10256410256410256</v>
      </c>
      <c r="L728" s="10">
        <f>Data!AA36</f>
        <v>21.663817663817667</v>
      </c>
      <c r="M728" s="10">
        <f>Data!AF36</f>
        <v>2.41</v>
      </c>
      <c r="N728" s="28">
        <f>IF(ISNUMBER(Data!AG36),Data!AG36/100,"n/a")</f>
        <v>0.11700000000000001</v>
      </c>
      <c r="O728" s="28">
        <f>IF(ISNUMBER(Data!AJ36),Data!AJ36/100,"n/a")</f>
        <v>0.14299999999999999</v>
      </c>
      <c r="P728" s="9">
        <f>IF(ISNUMBER(Data!AK36),Data!AK36/100,"n/a")</f>
        <v>6.6000000000000003E-2</v>
      </c>
      <c r="Q728" s="8">
        <f>Data!AN36</f>
        <v>0.5</v>
      </c>
      <c r="R728" s="8">
        <f>Data!AP36</f>
        <v>9.7122814482298452</v>
      </c>
      <c r="S728" s="8"/>
      <c r="T728" s="8"/>
      <c r="U728" s="8"/>
      <c r="V728" s="1">
        <f t="shared" si="22"/>
        <v>8</v>
      </c>
      <c r="W728" s="1">
        <f t="shared" si="23"/>
        <v>0</v>
      </c>
    </row>
    <row r="729" spans="1:23" hidden="1" x14ac:dyDescent="0.2">
      <c r="A729" s="7" t="str">
        <f>Data!A384</f>
        <v>Leggett &amp; Platt, Incorporated</v>
      </c>
      <c r="B729" s="7" t="str">
        <f>Data!B384</f>
        <v>LEG</v>
      </c>
      <c r="C729" s="7" t="str">
        <f>Data!C384</f>
        <v>Consumer Discretionary</v>
      </c>
      <c r="D729" s="8">
        <f>IF(ISNUMBER(Data!AL384),Data!AL384/1000,"n/a")</f>
        <v>4.3600000000000003</v>
      </c>
      <c r="E729" s="1">
        <f>Data!E384</f>
        <v>51</v>
      </c>
      <c r="F729" s="28">
        <f>Data!J384/100</f>
        <v>5.2148148148148152E-2</v>
      </c>
      <c r="G729" s="28">
        <f>IF(ISNUMBER(Data!S384),Data!S384/100,"n/a")</f>
        <v>2.4999999999999911E-2</v>
      </c>
      <c r="H729" s="28">
        <f>IF(ISNUMBER(Data!T384),Data!T384/100,"n/a")</f>
        <v>3.4810223898952275E-2</v>
      </c>
      <c r="I729" s="28">
        <f>IF(ISNUMBER(Data!U384),Data!U384/100,"n/a")</f>
        <v>4.4369026902302489E-2</v>
      </c>
      <c r="J729" s="28">
        <f>IF(ISNUMBER(Data!V384),Data!V384/100,"n/a")</f>
        <v>4.169777133861019E-2</v>
      </c>
      <c r="K729" s="9">
        <f>IF(ISNUMBER(Data!Z384),Data!Z384/100,"n/a")</f>
        <v>0.61971830985915499</v>
      </c>
      <c r="L729" s="10">
        <f>Data!AA384</f>
        <v>11.88380281690141</v>
      </c>
      <c r="M729" s="10">
        <f>Data!AF384</f>
        <v>2.82</v>
      </c>
      <c r="N729" s="28">
        <f>IF(ISNUMBER(Data!AG384),Data!AG384/100,"n/a")</f>
        <v>0.23899999999999999</v>
      </c>
      <c r="O729" s="28">
        <f>IF(ISNUMBER(Data!AJ384),Data!AJ384/100,"n/a")</f>
        <v>2.4E-2</v>
      </c>
      <c r="P729" s="9">
        <f>IF(ISNUMBER(Data!AK384),Data!AK384/100,"n/a")</f>
        <v>5.2000000000000005E-2</v>
      </c>
      <c r="Q729" s="8">
        <f>Data!AN384</f>
        <v>1.3</v>
      </c>
      <c r="R729" s="8">
        <f>Data!AP384</f>
        <v>9.6517175050450632</v>
      </c>
      <c r="S729" s="8"/>
      <c r="T729" s="8"/>
      <c r="U729" s="8"/>
      <c r="V729" s="1">
        <f t="shared" si="22"/>
        <v>6</v>
      </c>
      <c r="W729" s="1">
        <f t="shared" si="23"/>
        <v>0</v>
      </c>
    </row>
    <row r="730" spans="1:23" hidden="1" x14ac:dyDescent="0.2">
      <c r="A730" s="7" t="str">
        <f>Data!A33</f>
        <v>Air Lease Corporation</v>
      </c>
      <c r="B730" s="7" t="str">
        <f>Data!B33</f>
        <v>AL</v>
      </c>
      <c r="C730" s="7" t="str">
        <f>Data!C33</f>
        <v>Industrials</v>
      </c>
      <c r="D730" s="8">
        <f>IF(ISNUMBER(Data!AL33),Data!AL33/1000,"n/a")</f>
        <v>3.86</v>
      </c>
      <c r="E730" s="1">
        <f>Data!E33</f>
        <v>10</v>
      </c>
      <c r="F730" s="28">
        <f>Data!J33/100</f>
        <v>2.0969113063190704E-2</v>
      </c>
      <c r="G730" s="28">
        <f>IF(ISNUMBER(Data!S33),Data!S33/100,"n/a")</f>
        <v>6.6666666666666652E-2</v>
      </c>
      <c r="H730" s="28">
        <f>IF(ISNUMBER(Data!T33),Data!T33/100,"n/a")</f>
        <v>0.16960709528514648</v>
      </c>
      <c r="I730" s="28">
        <f>IF(ISNUMBER(Data!U33),Data!U33/100,"n/a")</f>
        <v>0.2619146889603865</v>
      </c>
      <c r="J730" s="28" t="str">
        <f>IF(ISNUMBER(Data!V33),Data!V33/100,"n/a")</f>
        <v>n/a</v>
      </c>
      <c r="K730" s="9" t="str">
        <f>IF(ISNUMBER(Data!Z33),Data!Z33/100,"n/a")</f>
        <v>n/a</v>
      </c>
      <c r="L730" s="10" t="str">
        <f>Data!AA33</f>
        <v>n/a</v>
      </c>
      <c r="M730" s="10">
        <f>Data!AF33</f>
        <v>0.6</v>
      </c>
      <c r="N730" s="28">
        <f>IF(ISNUMBER(Data!AG33),Data!AG33/100,"n/a")</f>
        <v>-0.02</v>
      </c>
      <c r="O730" s="28">
        <f>IF(ISNUMBER(Data!AJ33),Data!AJ33/100,"n/a")</f>
        <v>7.000000000000001E-3</v>
      </c>
      <c r="P730" s="9">
        <f>IF(ISNUMBER(Data!AK33),Data!AK33/100,"n/a")</f>
        <v>0.1273</v>
      </c>
      <c r="Q730" s="8">
        <f>Data!AN33</f>
        <v>2.85</v>
      </c>
      <c r="R730" s="8">
        <f>Data!AP33</f>
        <v>28.288380202357722</v>
      </c>
      <c r="S730" s="8"/>
      <c r="T730" s="8"/>
      <c r="U730" s="8"/>
      <c r="V730" s="1">
        <f t="shared" si="22"/>
        <v>7</v>
      </c>
      <c r="W730" s="1">
        <f t="shared" si="23"/>
        <v>0</v>
      </c>
    </row>
    <row r="731" spans="1:23" hidden="1" x14ac:dyDescent="0.2">
      <c r="A731" s="7" t="str">
        <f>Data!A15</f>
        <v>Agree Realty Corporation</v>
      </c>
      <c r="B731" s="7" t="str">
        <f>Data!B15</f>
        <v>ADC</v>
      </c>
      <c r="C731" s="7" t="str">
        <f>Data!C15</f>
        <v>Real Estate</v>
      </c>
      <c r="D731" s="8">
        <f>IF(ISNUMBER(Data!AL15),Data!AL15/1000,"n/a")</f>
        <v>5.37</v>
      </c>
      <c r="E731" s="1">
        <f>Data!E15</f>
        <v>10</v>
      </c>
      <c r="F731" s="28">
        <f>Data!J15/100</f>
        <v>4.1921397379912663E-2</v>
      </c>
      <c r="G731" s="28">
        <f>IF(ISNUMBER(Data!S15),Data!S15/100,"n/a")</f>
        <v>9.0295358649789006E-2</v>
      </c>
      <c r="H731" s="28">
        <f>IF(ISNUMBER(Data!T15),Data!T15/100,"n/a")</f>
        <v>6.8199120681563752E-2</v>
      </c>
      <c r="I731" s="28">
        <f>IF(ISNUMBER(Data!U15),Data!U15/100,"n/a")</f>
        <v>6.1202479703297508E-2</v>
      </c>
      <c r="J731" s="28">
        <f>IF(ISNUMBER(Data!V15),Data!V15/100,"n/a")</f>
        <v>4.2148577085874273E-2</v>
      </c>
      <c r="K731" s="9">
        <f>IF(ISNUMBER(Data!Z15),Data!Z15/100,"n/a")</f>
        <v>1.5</v>
      </c>
      <c r="L731" s="10">
        <f>Data!AA15</f>
        <v>35.78125</v>
      </c>
      <c r="M731" s="10">
        <f>Data!AF15</f>
        <v>1.35</v>
      </c>
      <c r="N731" s="28">
        <f>IF(ISNUMBER(Data!AG15),Data!AG15/100,"n/a")</f>
        <v>0.04</v>
      </c>
      <c r="O731" s="28">
        <f>IF(ISNUMBER(Data!AJ15),Data!AJ15/100,"n/a")</f>
        <v>-1.7000000000000001E-2</v>
      </c>
      <c r="P731" s="9">
        <f>IF(ISNUMBER(Data!AK15),Data!AK15/100,"n/a")</f>
        <v>2.53E-2</v>
      </c>
      <c r="Q731" s="8">
        <f>Data!AN15</f>
        <v>0.51</v>
      </c>
      <c r="R731" s="8">
        <f>Data!AP15</f>
        <v>10.312387708321017</v>
      </c>
      <c r="S731" s="8"/>
      <c r="T731" s="8"/>
      <c r="U731" s="8"/>
      <c r="V731" s="1">
        <f t="shared" si="22"/>
        <v>7</v>
      </c>
      <c r="W731" s="1">
        <f t="shared" si="23"/>
        <v>0</v>
      </c>
    </row>
    <row r="732" spans="1:23" hidden="1" x14ac:dyDescent="0.2">
      <c r="A732" s="7" t="str">
        <f>Data!A21</f>
        <v>Agnico Eagle Mines Limited</v>
      </c>
      <c r="B732" s="7" t="str">
        <f>Data!B21</f>
        <v>AEM</v>
      </c>
      <c r="C732" s="7" t="str">
        <f>Data!C21</f>
        <v>Materials</v>
      </c>
      <c r="D732" s="8">
        <f>IF(ISNUMBER(Data!AL21),Data!AL21/1000,"n/a")</f>
        <v>20.47</v>
      </c>
      <c r="E732" s="1">
        <f>Data!E21</f>
        <v>7</v>
      </c>
      <c r="F732" s="28">
        <f>Data!J21/100</f>
        <v>3.6396724294813471E-2</v>
      </c>
      <c r="G732" s="28">
        <f>IF(ISNUMBER(Data!S21),Data!S21/100,"n/a")</f>
        <v>0.47368421052631571</v>
      </c>
      <c r="H732" s="28">
        <f>IF(ISNUMBER(Data!T21),Data!T21/100,"n/a")</f>
        <v>0.47081636389614934</v>
      </c>
      <c r="I732" s="28">
        <f>IF(ISNUMBER(Data!U21),Data!U21/100,"n/a")</f>
        <v>0.3120944756784505</v>
      </c>
      <c r="J732" s="28">
        <f>IF(ISNUMBER(Data!V21),Data!V21/100,"n/a")</f>
        <v>8.1421018250528623E-2</v>
      </c>
      <c r="K732" s="9">
        <f>IF(ISNUMBER(Data!Z21),Data!Z21/100,"n/a")</f>
        <v>1.0810810810810811</v>
      </c>
      <c r="L732" s="10">
        <f>Data!AA21</f>
        <v>29.702702702702705</v>
      </c>
      <c r="M732" s="10">
        <f>Data!AF21</f>
        <v>1.28</v>
      </c>
      <c r="N732" s="28">
        <f>IF(ISNUMBER(Data!AG21),Data!AG21/100,"n/a")</f>
        <v>4.2000000000000003E-2</v>
      </c>
      <c r="O732" s="28">
        <f>IF(ISNUMBER(Data!AJ21),Data!AJ21/100,"n/a")</f>
        <v>0.25800000000000001</v>
      </c>
      <c r="P732" s="9">
        <f>IF(ISNUMBER(Data!AK21),Data!AK21/100,"n/a")</f>
        <v>-8.7400000000000005E-2</v>
      </c>
      <c r="Q732" s="8">
        <f>Data!AN21</f>
        <v>0.09</v>
      </c>
      <c r="R732" s="8">
        <f>Data!AP21</f>
        <v>34.849119997326397</v>
      </c>
      <c r="S732" s="8"/>
      <c r="T732" s="8"/>
      <c r="U732" s="8"/>
      <c r="V732" s="1">
        <f t="shared" si="22"/>
        <v>8</v>
      </c>
      <c r="W732" s="1">
        <f t="shared" si="23"/>
        <v>0</v>
      </c>
    </row>
    <row r="733" spans="1:23" hidden="1" x14ac:dyDescent="0.2">
      <c r="A733" s="7" t="str">
        <f>Data!A7</f>
        <v>Agilent Technologies, Inc.</v>
      </c>
      <c r="B733" s="7" t="str">
        <f>Data!B7</f>
        <v>A</v>
      </c>
      <c r="C733" s="7" t="str">
        <f>Data!C7</f>
        <v>Health Care</v>
      </c>
      <c r="D733" s="8">
        <f>IF(ISNUMBER(Data!AL7),Data!AL7/1000,"n/a")</f>
        <v>40.409999999999997</v>
      </c>
      <c r="E733" s="1">
        <f>Data!E7</f>
        <v>11</v>
      </c>
      <c r="F733" s="28">
        <f>Data!J7/100</f>
        <v>6.0715576436573904E-3</v>
      </c>
      <c r="G733" s="28">
        <f>IF(ISNUMBER(Data!S7),Data!S7/100,"n/a")</f>
        <v>7.7777777777777946E-2</v>
      </c>
      <c r="H733" s="28">
        <f>IF(ISNUMBER(Data!T7),Data!T7/100,"n/a")</f>
        <v>9.1956037383466485E-2</v>
      </c>
      <c r="I733" s="28">
        <f>IF(ISNUMBER(Data!U7),Data!U7/100,"n/a")</f>
        <v>0.11024998995217207</v>
      </c>
      <c r="J733" s="28" t="str">
        <f>IF(ISNUMBER(Data!V7),Data!V7/100,"n/a")</f>
        <v>n/a</v>
      </c>
      <c r="K733" s="9">
        <f>IF(ISNUMBER(Data!Z7),Data!Z7/100,"n/a")</f>
        <v>0.19178082191780821</v>
      </c>
      <c r="L733" s="10">
        <f>Data!AA7</f>
        <v>31.586757990867579</v>
      </c>
      <c r="M733" s="10">
        <f>Data!AF7</f>
        <v>8.1199999999999992</v>
      </c>
      <c r="N733" s="28">
        <f>IF(ISNUMBER(Data!AG7),Data!AG7/100,"n/a")</f>
        <v>0.25600000000000001</v>
      </c>
      <c r="O733" s="28">
        <f>IF(ISNUMBER(Data!AJ7),Data!AJ7/100,"n/a")</f>
        <v>0.22900000000000001</v>
      </c>
      <c r="P733" s="9">
        <f>IF(ISNUMBER(Data!AK7),Data!AK7/100,"n/a")</f>
        <v>0.11840000000000001</v>
      </c>
      <c r="Q733" s="8">
        <f>Data!AN7</f>
        <v>0.56999999999999995</v>
      </c>
      <c r="R733" s="8">
        <f>Data!AP7</f>
        <v>11.632154759582946</v>
      </c>
      <c r="S733" s="8"/>
      <c r="T733" s="8"/>
      <c r="U733" s="8"/>
      <c r="V733" s="1">
        <f t="shared" si="22"/>
        <v>8</v>
      </c>
      <c r="W733" s="1">
        <f t="shared" si="23"/>
        <v>0</v>
      </c>
    </row>
    <row r="734" spans="1:23" hidden="1" x14ac:dyDescent="0.2">
      <c r="A734" s="7" t="str">
        <f>Data!A26</f>
        <v>AGCO Corporation</v>
      </c>
      <c r="B734" s="7" t="str">
        <f>Data!B26</f>
        <v>AGCO</v>
      </c>
      <c r="C734" s="7" t="str">
        <f>Data!C26</f>
        <v>Industrials</v>
      </c>
      <c r="D734" s="8">
        <f>IF(ISNUMBER(Data!AL26),Data!AL26/1000,"n/a")</f>
        <v>9.0500000000000007</v>
      </c>
      <c r="E734" s="1">
        <f>Data!E26</f>
        <v>10</v>
      </c>
      <c r="F734" s="28">
        <f>Data!J26/100</f>
        <v>7.7313360715148584E-3</v>
      </c>
      <c r="G734" s="28">
        <f>IF(ISNUMBER(Data!S26),Data!S26/100,"n/a")</f>
        <v>0.1875</v>
      </c>
      <c r="H734" s="28">
        <f>IF(ISNUMBER(Data!T26),Data!T26/100,"n/a")</f>
        <v>8.1983855523197757E-2</v>
      </c>
      <c r="I734" s="28">
        <f>IF(ISNUMBER(Data!U26),Data!U26/100,"n/a")</f>
        <v>7.8852443962371455E-2</v>
      </c>
      <c r="J734" s="28" t="str">
        <f>IF(ISNUMBER(Data!V26),Data!V26/100,"n/a")</f>
        <v>n/a</v>
      </c>
      <c r="K734" s="9">
        <f>IF(ISNUMBER(Data!Z26),Data!Z26/100,"n/a")</f>
        <v>9.1081593927893736E-2</v>
      </c>
      <c r="L734" s="10">
        <f>Data!AA26</f>
        <v>11.780834914611006</v>
      </c>
      <c r="M734" s="10">
        <f>Data!AF26</f>
        <v>2.73</v>
      </c>
      <c r="N734" s="28">
        <f>IF(ISNUMBER(Data!AG26),Data!AG26/100,"n/a")</f>
        <v>0.23200000000000004</v>
      </c>
      <c r="O734" s="28">
        <f>IF(ISNUMBER(Data!AJ26),Data!AJ26/100,"n/a")</f>
        <v>0.433</v>
      </c>
      <c r="P734" s="9">
        <f>IF(ISNUMBER(Data!AK26),Data!AK26/100,"n/a")</f>
        <v>7.0400000000000004E-2</v>
      </c>
      <c r="Q734" s="8">
        <f>Data!AN26</f>
        <v>0.69</v>
      </c>
      <c r="R734" s="8">
        <f>Data!AP26</f>
        <v>8.6583780033886306</v>
      </c>
      <c r="S734" s="8"/>
      <c r="T734" s="8"/>
      <c r="U734" s="8"/>
      <c r="V734" s="1">
        <f t="shared" si="22"/>
        <v>9</v>
      </c>
      <c r="W734" s="1">
        <f t="shared" si="23"/>
        <v>0</v>
      </c>
    </row>
    <row r="735" spans="1:23" hidden="1" x14ac:dyDescent="0.2">
      <c r="A735" s="7" t="str">
        <f>Data!A331</f>
        <v>Humana Inc.</v>
      </c>
      <c r="B735" s="7" t="str">
        <f>Data!B331</f>
        <v>HUM</v>
      </c>
      <c r="C735" s="7" t="str">
        <f>Data!C331</f>
        <v>Health Care</v>
      </c>
      <c r="D735" s="8">
        <f>IF(ISNUMBER(Data!AL331),Data!AL331/1000,"n/a")</f>
        <v>68.91</v>
      </c>
      <c r="E735" s="1">
        <f>Data!E331</f>
        <v>12</v>
      </c>
      <c r="F735" s="28">
        <f>Data!J331/100</f>
        <v>5.644352064220183E-3</v>
      </c>
      <c r="G735" s="28">
        <f>IF(ISNUMBER(Data!S331),Data!S331/100,"n/a")</f>
        <v>0.12371134020618581</v>
      </c>
      <c r="H735" s="28">
        <f>IF(ISNUMBER(Data!T331),Data!T331/100,"n/a")</f>
        <v>0.1277278399391355</v>
      </c>
      <c r="I735" s="28">
        <f>IF(ISNUMBER(Data!U331),Data!U331/100,"n/a")</f>
        <v>0.1862649630454436</v>
      </c>
      <c r="J735" s="28">
        <f>IF(ISNUMBER(Data!V331),Data!V331/100,"n/a")</f>
        <v>0.18478528119788251</v>
      </c>
      <c r="K735" s="9">
        <f>IF(ISNUMBER(Data!Z331),Data!Z331/100,"n/a")</f>
        <v>0.12851897184822519</v>
      </c>
      <c r="L735" s="10">
        <f>Data!AA331</f>
        <v>22.769481844145247</v>
      </c>
      <c r="M735" s="10">
        <f>Data!AF331</f>
        <v>4.53</v>
      </c>
      <c r="N735" s="28">
        <f>IF(ISNUMBER(Data!AG331),Data!AG331/100,"n/a")</f>
        <v>0.19900000000000001</v>
      </c>
      <c r="O735" s="28">
        <f>IF(ISNUMBER(Data!AJ331),Data!AJ331/100,"n/a")</f>
        <v>0.41</v>
      </c>
      <c r="P735" s="9">
        <f>IF(ISNUMBER(Data!AK331),Data!AK331/100,"n/a")</f>
        <v>0.14749999999999999</v>
      </c>
      <c r="Q735" s="8">
        <f>Data!AN331</f>
        <v>0.85</v>
      </c>
      <c r="R735" s="8">
        <f>Data!AP331</f>
        <v>19.190931510966379</v>
      </c>
      <c r="S735" s="8"/>
      <c r="T735" s="8"/>
      <c r="U735" s="8"/>
      <c r="V735" s="1">
        <f t="shared" si="22"/>
        <v>8</v>
      </c>
      <c r="W735" s="1">
        <f t="shared" si="23"/>
        <v>0</v>
      </c>
    </row>
    <row r="736" spans="1:23" hidden="1" x14ac:dyDescent="0.2">
      <c r="A736" s="7" t="str">
        <f>Data!A707</f>
        <v>Williams-Sonoma, Inc.</v>
      </c>
      <c r="B736" s="7" t="str">
        <f>Data!B707</f>
        <v>WSM</v>
      </c>
      <c r="C736" s="7" t="str">
        <f>Data!C707</f>
        <v>Consumer Discretionary</v>
      </c>
      <c r="D736" s="8">
        <f>IF(ISNUMBER(Data!AL707),Data!AL707/1000,"n/a")</f>
        <v>8.19</v>
      </c>
      <c r="E736" s="1">
        <f>Data!E707</f>
        <v>17</v>
      </c>
      <c r="F736" s="28">
        <f>Data!J707/100</f>
        <v>2.5195832996850524E-2</v>
      </c>
      <c r="G736" s="28">
        <f>IF(ISNUMBER(Data!S707),Data!S707/100,"n/a")</f>
        <v>0.22842639593908623</v>
      </c>
      <c r="H736" s="28">
        <f>IF(ISNUMBER(Data!T707),Data!T707/100,"n/a")</f>
        <v>0.12936769660408776</v>
      </c>
      <c r="I736" s="28">
        <f>IF(ISNUMBER(Data!U707),Data!U707/100,"n/a")</f>
        <v>0.10634990281254142</v>
      </c>
      <c r="J736" s="28">
        <f>IF(ISNUMBER(Data!V707),Data!V707/100,"n/a")</f>
        <v>0.13874673044960195</v>
      </c>
      <c r="K736" s="9">
        <f>IF(ISNUMBER(Data!Z707),Data!Z707/100,"n/a")</f>
        <v>0.19427148194271485</v>
      </c>
      <c r="L736" s="10">
        <f>Data!AA707</f>
        <v>7.7104607721046081</v>
      </c>
      <c r="M736" s="10">
        <f>Data!AF707</f>
        <v>6.55</v>
      </c>
      <c r="N736" s="28">
        <f>IF(ISNUMBER(Data!AG707),Data!AG707/100,"n/a")</f>
        <v>0.81</v>
      </c>
      <c r="O736" s="28">
        <f>IF(ISNUMBER(Data!AJ707),Data!AJ707/100,"n/a")</f>
        <v>0.34</v>
      </c>
      <c r="P736" s="9">
        <f>IF(ISNUMBER(Data!AK707),Data!AK707/100,"n/a")</f>
        <v>0.05</v>
      </c>
      <c r="Q736" s="8">
        <f>Data!AN707</f>
        <v>0</v>
      </c>
      <c r="R736" s="8">
        <f>Data!AP707</f>
        <v>13.154573580939195</v>
      </c>
      <c r="S736" s="8"/>
      <c r="T736" s="8"/>
      <c r="U736" s="8"/>
      <c r="V736" s="1">
        <f t="shared" si="22"/>
        <v>11</v>
      </c>
      <c r="W736" s="1">
        <f t="shared" si="23"/>
        <v>0</v>
      </c>
    </row>
    <row r="737" spans="1:23" hidden="1" x14ac:dyDescent="0.2">
      <c r="A737" s="7" t="str">
        <f>Data!A296</f>
        <v>Global Water Resources, Inc.</v>
      </c>
      <c r="B737" s="7" t="str">
        <f>Data!B296</f>
        <v>GWRS</v>
      </c>
      <c r="C737" s="7" t="str">
        <f>Data!C296</f>
        <v>Utilities</v>
      </c>
      <c r="D737" s="8">
        <f>IF(ISNUMBER(Data!AL296),Data!AL296/1000,"n/a")</f>
        <v>0.29669999999999996</v>
      </c>
      <c r="E737" s="1">
        <f>Data!E296</f>
        <v>8</v>
      </c>
      <c r="F737" s="28">
        <f>Data!J296/100</f>
        <v>2.3115987460815047E-2</v>
      </c>
      <c r="G737" s="28">
        <f>IF(ISNUMBER(Data!S296),Data!S296/100,"n/a")</f>
        <v>9.9502487562188602E-3</v>
      </c>
      <c r="H737" s="28">
        <f>IF(ISNUMBER(Data!T296),Data!T296/100,"n/a")</f>
        <v>9.9844702580056399E-3</v>
      </c>
      <c r="I737" s="28">
        <f>IF(ISNUMBER(Data!U296),Data!U296/100,"n/a")</f>
        <v>2.6969743943611402E-2</v>
      </c>
      <c r="J737" s="28" t="str">
        <f>IF(ISNUMBER(Data!V296),Data!V296/100,"n/a")</f>
        <v>n/a</v>
      </c>
      <c r="K737" s="9">
        <f>IF(ISNUMBER(Data!Z296),Data!Z296/100,"n/a")</f>
        <v>1.4045714285714286</v>
      </c>
      <c r="L737" s="10">
        <f>Data!AA296</f>
        <v>60.761904761904766</v>
      </c>
      <c r="M737" s="10">
        <f>Data!AF296</f>
        <v>9.77</v>
      </c>
      <c r="N737" s="28">
        <f>IF(ISNUMBER(Data!AG296),Data!AG296/100,"n/a")</f>
        <v>0.161</v>
      </c>
      <c r="O737" s="28">
        <f>IF(ISNUMBER(Data!AJ296),Data!AJ296/100,"n/a")</f>
        <v>0.26200000000000001</v>
      </c>
      <c r="P737" s="9">
        <f>IF(ISNUMBER(Data!AK296),Data!AK296/100,"n/a")</f>
        <v>0.15</v>
      </c>
      <c r="Q737" s="8">
        <f>Data!AN296</f>
        <v>3.72</v>
      </c>
      <c r="R737" s="8">
        <f>Data!AP296</f>
        <v>5.0085731404426443</v>
      </c>
      <c r="S737" s="8"/>
      <c r="T737" s="8"/>
      <c r="U737" s="8"/>
      <c r="V737" s="1">
        <f t="shared" si="22"/>
        <v>3</v>
      </c>
      <c r="W737" s="1">
        <f t="shared" si="23"/>
        <v>0</v>
      </c>
    </row>
    <row r="738" spans="1:23" hidden="1" x14ac:dyDescent="0.2">
      <c r="A738" s="7" t="str">
        <f>Data!A64</f>
        <v>Atlantic Union Bankshares Corporation</v>
      </c>
      <c r="B738" s="7" t="str">
        <f>Data!B64</f>
        <v>AUB</v>
      </c>
      <c r="C738" s="7" t="str">
        <f>Data!C64</f>
        <v>Financials</v>
      </c>
      <c r="D738" s="8">
        <f>IF(ISNUMBER(Data!AL64),Data!AL64/1000,"n/a")</f>
        <v>2.5499999999999998</v>
      </c>
      <c r="E738" s="1">
        <f>Data!E64</f>
        <v>12</v>
      </c>
      <c r="F738" s="28">
        <f>Data!J64/100</f>
        <v>3.4742327735958312E-2</v>
      </c>
      <c r="G738" s="28">
        <f>IF(ISNUMBER(Data!S64),Data!S64/100,"n/a")</f>
        <v>9.0000000000000066E-2</v>
      </c>
      <c r="H738" s="28">
        <f>IF(ISNUMBER(Data!T64),Data!T64/100,"n/a")</f>
        <v>7.3943107964647314E-2</v>
      </c>
      <c r="I738" s="28">
        <f>IF(ISNUMBER(Data!U64),Data!U64/100,"n/a")</f>
        <v>7.1981164510664053E-2</v>
      </c>
      <c r="J738" s="28">
        <f>IF(ISNUMBER(Data!V64),Data!V64/100,"n/a")</f>
        <v>0.14558375548557945</v>
      </c>
      <c r="K738" s="9">
        <f>IF(ISNUMBER(Data!Z64),Data!Z64/100,"n/a")</f>
        <v>0.45112781954887216</v>
      </c>
      <c r="L738" s="10">
        <f>Data!AA64</f>
        <v>12.984962406015036</v>
      </c>
      <c r="M738" s="10">
        <f>Data!AF64</f>
        <v>1.08</v>
      </c>
      <c r="N738" s="28">
        <f>IF(ISNUMBER(Data!AG64),Data!AG64/100,"n/a")</f>
        <v>9.3000000000000013E-2</v>
      </c>
      <c r="O738" s="28">
        <f>IF(ISNUMBER(Data!AJ64),Data!AJ64/100,"n/a")</f>
        <v>0.13500000000000001</v>
      </c>
      <c r="P738" s="9">
        <f>IF(ISNUMBER(Data!AK64),Data!AK64/100,"n/a")</f>
        <v>0.08</v>
      </c>
      <c r="Q738" s="8">
        <f>Data!AN64</f>
        <v>0.17</v>
      </c>
      <c r="R738" s="8">
        <f>Data!AP64</f>
        <v>10.672349224662236</v>
      </c>
      <c r="S738" s="8"/>
      <c r="T738" s="8"/>
      <c r="U738" s="8"/>
      <c r="V738" s="1">
        <f t="shared" si="22"/>
        <v>11</v>
      </c>
      <c r="W738" s="1">
        <f t="shared" si="23"/>
        <v>0</v>
      </c>
    </row>
    <row r="739" spans="1:23" hidden="1" x14ac:dyDescent="0.2">
      <c r="A739" s="7" t="str">
        <f>Data!A14</f>
        <v>Accenture plc</v>
      </c>
      <c r="B739" s="7" t="str">
        <f>Data!B14</f>
        <v>ACN</v>
      </c>
      <c r="C739" s="7" t="str">
        <f>Data!C14</f>
        <v>Information Technology</v>
      </c>
      <c r="D739" s="8">
        <f>IF(ISNUMBER(Data!AL14),Data!AL14/1000,"n/a")</f>
        <v>185.37</v>
      </c>
      <c r="E739" s="1">
        <f>Data!E14</f>
        <v>18</v>
      </c>
      <c r="F739" s="28">
        <f>Data!J14/100</f>
        <v>1.578020429728778E-2</v>
      </c>
      <c r="G739" s="28">
        <f>IF(ISNUMBER(Data!S14),Data!S14/100,"n/a")</f>
        <v>0.10060975609756095</v>
      </c>
      <c r="H739" s="28">
        <f>IF(ISNUMBER(Data!T14),Data!T14/100,"n/a")</f>
        <v>8.9685067401780838E-2</v>
      </c>
      <c r="I739" s="28">
        <f>IF(ISNUMBER(Data!U14),Data!U14/100,"n/a")</f>
        <v>9.3399936674052095E-2</v>
      </c>
      <c r="J739" s="28">
        <f>IF(ISNUMBER(Data!V14),Data!V14/100,"n/a")</f>
        <v>0.12366141475648185</v>
      </c>
      <c r="K739" s="9">
        <f>IF(ISNUMBER(Data!Z14),Data!Z14/100,"n/a")</f>
        <v>0.41830065359477125</v>
      </c>
      <c r="L739" s="10">
        <f>Data!AA14</f>
        <v>26.507936507936503</v>
      </c>
      <c r="M739" s="10">
        <f>Data!AF14</f>
        <v>8.23</v>
      </c>
      <c r="N739" s="28">
        <f>IF(ISNUMBER(Data!AG14),Data!AG14/100,"n/a")</f>
        <v>0.32600000000000001</v>
      </c>
      <c r="O739" s="28">
        <f>IF(ISNUMBER(Data!AJ14),Data!AJ14/100,"n/a")</f>
        <v>0.14499999999999999</v>
      </c>
      <c r="P739" s="9">
        <f>IF(ISNUMBER(Data!AK14),Data!AK14/100,"n/a")</f>
        <v>0.1116</v>
      </c>
      <c r="Q739" s="8">
        <f>Data!AN14</f>
        <v>0</v>
      </c>
      <c r="R739" s="8">
        <f>Data!AP14</f>
        <v>10.918014097133987</v>
      </c>
      <c r="S739" s="8"/>
      <c r="T739" s="8"/>
      <c r="U739" s="8"/>
      <c r="V739" s="1">
        <f t="shared" si="22"/>
        <v>9</v>
      </c>
      <c r="W739" s="1">
        <f t="shared" si="23"/>
        <v>0</v>
      </c>
    </row>
    <row r="740" spans="1:23" hidden="1" x14ac:dyDescent="0.2">
      <c r="A740" s="7" t="str">
        <f>Data!A11</f>
        <v>ABM Industries Incorporated</v>
      </c>
      <c r="B740" s="7" t="str">
        <f>Data!B11</f>
        <v>ABM</v>
      </c>
      <c r="C740" s="7" t="str">
        <f>Data!C11</f>
        <v>Industrials</v>
      </c>
      <c r="D740" s="8">
        <f>IF(ISNUMBER(Data!AL11),Data!AL11/1000,"n/a")</f>
        <v>2.94</v>
      </c>
      <c r="E740" s="1">
        <f>Data!E11</f>
        <v>55</v>
      </c>
      <c r="F740" s="28">
        <f>Data!J11/100</f>
        <v>1.7524151875982927E-2</v>
      </c>
      <c r="G740" s="28">
        <f>IF(ISNUMBER(Data!S11),Data!S11/100,"n/a")</f>
        <v>2.7027027027026973E-2</v>
      </c>
      <c r="H740" s="28">
        <f>IF(ISNUMBER(Data!T11),Data!T11/100,"n/a")</f>
        <v>2.7791884355023111E-2</v>
      </c>
      <c r="I740" s="28">
        <f>IF(ISNUMBER(Data!U11),Data!U11/100,"n/a")</f>
        <v>2.8617553510468241E-2</v>
      </c>
      <c r="J740" s="28">
        <f>IF(ISNUMBER(Data!V11),Data!V11/100,"n/a")</f>
        <v>3.1009237719209048E-2</v>
      </c>
      <c r="K740" s="9">
        <f>IF(ISNUMBER(Data!Z11),Data!Z11/100,"n/a")</f>
        <v>0.24528301886792453</v>
      </c>
      <c r="L740" s="10">
        <f>Data!AA11</f>
        <v>13.996855345911948</v>
      </c>
      <c r="M740" s="10">
        <f>Data!AF11</f>
        <v>1.78</v>
      </c>
      <c r="N740" s="28">
        <f>IF(ISNUMBER(Data!AG11),Data!AG11/100,"n/a")</f>
        <v>0.13100000000000001</v>
      </c>
      <c r="O740" s="28">
        <f>IF(ISNUMBER(Data!AJ11),Data!AJ11/100,"n/a")</f>
        <v>0.111</v>
      </c>
      <c r="P740" s="9">
        <f>IF(ISNUMBER(Data!AK11),Data!AK11/100,"n/a")</f>
        <v>5.510000000000001E-2</v>
      </c>
      <c r="Q740" s="8">
        <f>Data!AN11</f>
        <v>0.71</v>
      </c>
      <c r="R740" s="8">
        <f>Data!AP11</f>
        <v>4.6141705386451166</v>
      </c>
      <c r="S740" s="8"/>
      <c r="T740" s="8"/>
      <c r="U740" s="8"/>
      <c r="V740" s="1">
        <f t="shared" si="22"/>
        <v>6</v>
      </c>
      <c r="W740" s="1">
        <f t="shared" si="23"/>
        <v>0</v>
      </c>
    </row>
    <row r="741" spans="1:23" hidden="1" x14ac:dyDescent="0.2">
      <c r="A741" s="7" t="str">
        <f>Data!A9</f>
        <v>AbbVie Inc.</v>
      </c>
      <c r="B741" s="7" t="str">
        <f>Data!B9</f>
        <v>ABBV</v>
      </c>
      <c r="C741" s="7" t="str">
        <f>Data!C9</f>
        <v>Health Care</v>
      </c>
      <c r="D741" s="8">
        <f>IF(ISNUMBER(Data!AL9),Data!AL9/1000,"n/a")</f>
        <v>271.39999999999998</v>
      </c>
      <c r="E741" s="1">
        <f>Data!E9</f>
        <v>11</v>
      </c>
      <c r="F741" s="28">
        <f>Data!J9/100</f>
        <v>4.0437158469945354E-2</v>
      </c>
      <c r="G741" s="28">
        <f>IF(ISNUMBER(Data!S9),Data!S9/100,"n/a")</f>
        <v>0.10169491525423746</v>
      </c>
      <c r="H741" s="28">
        <f>IF(ISNUMBER(Data!T9),Data!T9/100,"n/a")</f>
        <v>0.13145242701201698</v>
      </c>
      <c r="I741" s="28">
        <f>IF(ISNUMBER(Data!U9),Data!U9/100,"n/a")</f>
        <v>0.17927121883941943</v>
      </c>
      <c r="J741" s="28" t="str">
        <f>IF(ISNUMBER(Data!V9),Data!V9/100,"n/a")</f>
        <v>n/a</v>
      </c>
      <c r="K741" s="9">
        <f>IF(ISNUMBER(Data!Z9),Data!Z9/100,"n/a")</f>
        <v>0.83734087694483739</v>
      </c>
      <c r="L741" s="10">
        <f>Data!AA9</f>
        <v>20.707213578500706</v>
      </c>
      <c r="M741" s="10">
        <f>Data!AF9</f>
        <v>17.829999999999998</v>
      </c>
      <c r="N741" s="28">
        <f>IF(ISNUMBER(Data!AG9),Data!AG9/100,"n/a")</f>
        <v>0.82799999999999996</v>
      </c>
      <c r="O741" s="28">
        <f>IF(ISNUMBER(Data!AJ9),Data!AJ9/100,"n/a")</f>
        <v>0.122</v>
      </c>
      <c r="P741" s="9">
        <f>IF(ISNUMBER(Data!AK9),Data!AK9/100,"n/a")</f>
        <v>-2E-3</v>
      </c>
      <c r="Q741" s="8">
        <f>Data!AN9</f>
        <v>4.9800000000000004</v>
      </c>
      <c r="R741" s="8">
        <f>Data!AP9</f>
        <v>21.970837730936481</v>
      </c>
      <c r="S741" s="8"/>
      <c r="T741" s="8"/>
      <c r="U741" s="8"/>
      <c r="V741" s="1">
        <f t="shared" si="22"/>
        <v>6</v>
      </c>
      <c r="W741" s="1">
        <f t="shared" si="23"/>
        <v>0</v>
      </c>
    </row>
    <row r="742" spans="1:23" hidden="1" x14ac:dyDescent="0.2">
      <c r="A742" s="7" t="str">
        <f>Data!A13</f>
        <v>Abbott Laboratories</v>
      </c>
      <c r="B742" s="7" t="str">
        <f>Data!B13</f>
        <v>ABT</v>
      </c>
      <c r="C742" s="7" t="str">
        <f>Data!C13</f>
        <v>Health Care</v>
      </c>
      <c r="D742" s="8">
        <f>IF(ISNUMBER(Data!AL13),Data!AL13/1000,"n/a")</f>
        <v>169.75</v>
      </c>
      <c r="E742" s="1">
        <f>Data!E13</f>
        <v>9</v>
      </c>
      <c r="F742" s="28">
        <f>Data!J13/100</f>
        <v>1.9001414998989285E-2</v>
      </c>
      <c r="G742" s="28">
        <f>IF(ISNUMBER(Data!S13),Data!S13/100,"n/a")</f>
        <v>0.25</v>
      </c>
      <c r="H742" s="28">
        <f>IF(ISNUMBER(Data!T13),Data!T13/100,"n/a")</f>
        <v>0.17134499842861994</v>
      </c>
      <c r="I742" s="28">
        <f>IF(ISNUMBER(Data!U13),Data!U13/100,"n/a")</f>
        <v>0.11595795704392353</v>
      </c>
      <c r="J742" s="28">
        <f>IF(ISNUMBER(Data!V13),Data!V13/100,"n/a")</f>
        <v>7.1534393354706127E-2</v>
      </c>
      <c r="K742" s="9">
        <f>IF(ISNUMBER(Data!Z13),Data!Z13/100,"n/a")</f>
        <v>0.42247191011235957</v>
      </c>
      <c r="L742" s="10">
        <f>Data!AA13</f>
        <v>22.233707865168537</v>
      </c>
      <c r="M742" s="10">
        <f>Data!AF13</f>
        <v>4.78</v>
      </c>
      <c r="N742" s="28">
        <f>IF(ISNUMBER(Data!AG13),Data!AG13/100,"n/a")</f>
        <v>0.217</v>
      </c>
      <c r="O742" s="28">
        <f>IF(ISNUMBER(Data!AJ13),Data!AJ13/100,"n/a")</f>
        <v>0.40699999999999997</v>
      </c>
      <c r="P742" s="9">
        <f>IF(ISNUMBER(Data!AK13),Data!AK13/100,"n/a")</f>
        <v>8.3000000000000004E-2</v>
      </c>
      <c r="Q742" s="8">
        <f>Data!AN13</f>
        <v>0.46</v>
      </c>
      <c r="R742" s="8">
        <f>Data!AP13</f>
        <v>13.495937204291282</v>
      </c>
      <c r="S742" s="8"/>
      <c r="T742" s="8"/>
      <c r="U742" s="8"/>
      <c r="V742" s="1">
        <f t="shared" si="22"/>
        <v>9</v>
      </c>
      <c r="W742" s="1">
        <f t="shared" si="23"/>
        <v>0</v>
      </c>
    </row>
    <row r="743" spans="1:23" hidden="1" x14ac:dyDescent="0.2">
      <c r="A743" s="7" t="str">
        <f>Data!A259</f>
        <v>Fidelity National Financial, Inc.</v>
      </c>
      <c r="B743" s="7" t="str">
        <f>Data!B259</f>
        <v>FNF</v>
      </c>
      <c r="C743" s="7" t="str">
        <f>Data!C259</f>
        <v>Financials</v>
      </c>
      <c r="D743" s="8">
        <f>IF(ISNUMBER(Data!AL259),Data!AL259/1000,"n/a")</f>
        <v>10.78</v>
      </c>
      <c r="E743" s="1">
        <f>Data!E259</f>
        <v>10</v>
      </c>
      <c r="F743" s="28">
        <f>Data!J259/100</f>
        <v>4.4692737430167592E-2</v>
      </c>
      <c r="G743" s="28">
        <f>IF(ISNUMBER(Data!S259),Data!S259/100,"n/a")</f>
        <v>0.15555555555555545</v>
      </c>
      <c r="H743" s="28">
        <f>IF(ISNUMBER(Data!T259),Data!T259/100,"n/a")</f>
        <v>9.1392883061105934E-2</v>
      </c>
      <c r="I743" s="28">
        <f>IF(ISNUMBER(Data!U259),Data!U259/100,"n/a")</f>
        <v>0.17646116810051063</v>
      </c>
      <c r="J743" s="28">
        <f>IF(ISNUMBER(Data!V259),Data!V259/100,"n/a")</f>
        <v>0.17519017627063291</v>
      </c>
      <c r="K743" s="9">
        <f>IF(ISNUMBER(Data!Z259),Data!Z259/100,"n/a")</f>
        <v>0.24546722454672246</v>
      </c>
      <c r="L743" s="10">
        <f>Data!AA259</f>
        <v>5.4923291492329156</v>
      </c>
      <c r="M743" s="10">
        <f>Data!AF259</f>
        <v>1.65</v>
      </c>
      <c r="N743" s="28">
        <f>IF(ISNUMBER(Data!AG259),Data!AG259/100,"n/a")</f>
        <v>0.24399999999999999</v>
      </c>
      <c r="O743" s="28">
        <f>IF(ISNUMBER(Data!AJ259),Data!AJ259/100,"n/a")</f>
        <v>0.38400000000000001</v>
      </c>
      <c r="P743" s="9">
        <f>IF(ISNUMBER(Data!AK259),Data!AK259/100,"n/a")</f>
        <v>-6.6900000000000001E-2</v>
      </c>
      <c r="Q743" s="8">
        <f>Data!AN259</f>
        <v>0.46</v>
      </c>
      <c r="R743" s="8">
        <f>Data!AP259</f>
        <v>22.115390553067822</v>
      </c>
      <c r="S743" s="8"/>
      <c r="T743" s="8"/>
      <c r="U743" s="8"/>
      <c r="V743" s="1">
        <f t="shared" si="22"/>
        <v>10</v>
      </c>
      <c r="W743" s="1">
        <f t="shared" si="23"/>
        <v>0</v>
      </c>
    </row>
    <row r="744" spans="1:23" hidden="1" x14ac:dyDescent="0.2">
      <c r="A744" s="7" t="str">
        <f>Data!A437</f>
        <v>Mid Penn Bancorp, Inc.</v>
      </c>
      <c r="B744" s="7" t="str">
        <f>Data!B437</f>
        <v>MPB</v>
      </c>
      <c r="C744" s="7" t="str">
        <f>Data!C437</f>
        <v>Financials</v>
      </c>
      <c r="D744" s="8">
        <f>IF(ISNUMBER(Data!AL437),Data!AL437/1000,"n/a")</f>
        <v>0.53147</v>
      </c>
      <c r="E744" s="1">
        <f>Data!E437</f>
        <v>8</v>
      </c>
      <c r="F744" s="28">
        <f>Data!J437/100</f>
        <v>2.3405500292568757E-2</v>
      </c>
      <c r="G744" s="28">
        <f>IF(ISNUMBER(Data!S437),Data!S437/100,"n/a")</f>
        <v>9.7222222222222321E-2</v>
      </c>
      <c r="H744" s="28">
        <f>IF(ISNUMBER(Data!T437),Data!T437/100,"n/a")</f>
        <v>9.6037164041921308E-2</v>
      </c>
      <c r="I744" s="28">
        <f>IF(ISNUMBER(Data!U437),Data!U437/100,"n/a")</f>
        <v>0.10478347805926491</v>
      </c>
      <c r="J744" s="28">
        <f>IF(ISNUMBER(Data!V437),Data!V437/100,"n/a")</f>
        <v>0.14725434074158783</v>
      </c>
      <c r="K744" s="9">
        <f>IF(ISNUMBER(Data!Z437),Data!Z437/100,"n/a")</f>
        <v>0.32128514056224899</v>
      </c>
      <c r="L744" s="10">
        <f>Data!AA437</f>
        <v>13.726907630522087</v>
      </c>
      <c r="M744" s="10">
        <f>Data!AF437</f>
        <v>1.1000000000000001</v>
      </c>
      <c r="N744" s="28">
        <f>IF(ISNUMBER(Data!AG437),Data!AG437/100,"n/a")</f>
        <v>6.9000000000000006E-2</v>
      </c>
      <c r="O744" s="28">
        <f>IF(ISNUMBER(Data!AJ437),Data!AJ437/100,"n/a")</f>
        <v>0.08</v>
      </c>
      <c r="P744" s="9" t="str">
        <f>IF(ISNUMBER(Data!AK437),Data!AK437/100,"n/a")</f>
        <v>n/a</v>
      </c>
      <c r="Q744" s="8">
        <f>Data!AN437</f>
        <v>0.16</v>
      </c>
      <c r="R744" s="8">
        <f>Data!AP437</f>
        <v>12.818897835183368</v>
      </c>
      <c r="S744" s="8"/>
      <c r="T744" s="8"/>
      <c r="U744" s="8"/>
      <c r="V744" s="1">
        <f t="shared" ref="V744:V773" si="24">IF($D$4="+",IF(D744="n/a",0,IF(D744&gt;=$D$5,1,0)),0)+IF($E$4="+",IF(E744="n/a",0,IF(E744&gt;=$E$5,1,0)),0)+IF($F$4="+",IF(F744="n/a",0,IF(F744&gt;=$F$5,1,0)),0)+IF($G$4="+",IF(G744="n/a",0,IF(G744&gt;=$G$5,1,0)),0)+IF($H$4="+",IF(H744="n/a",0,IF(H744&gt;=$H$5,1,0)),0)+IF($I$4="+",IF(I744="n/a",0,IF(I744&gt;=$I$5,1,0)),0)+IF($J$4="+",IF(J744="n/a",0,IF(J744&gt;=$J$5,1,0)),0)+IF($K$4="+",IF(K744="n/a",0,IF(K744&lt;=$K$5,1,0)),0)+IF($L$4="+",IF(L744="n/a",0,IF(L744&lt;=$L$5,1,0)),0)+IF($M$4="+",IF(M744="n/a",0,IF(M744&lt;=$M$5,1,0)),0)+IF($N$4="+",IF(N744="n/a",0,IF(N744&gt;=$N$5,1,0)),0)+IF($O$4="+",IF(O744="n/a",0,IF(O744&gt;=$O$5,1,0)),0)+IF($P$4="+",IF(P744="n/a",0,IF(P744&gt;=$P$5,1,0)),0)+IF($Q$4="+",IF(Q744="n/a",0,IF(Q744&lt;=$Q$5,1,0)),0)+IF($R$4="+",IF(R744="n/a",0,IF(R744&gt;=$R$5,1,0)),0)+$Y$4</f>
        <v>9</v>
      </c>
      <c r="W744" s="1">
        <f t="shared" ref="W744:W773" si="25">IF(V744&gt;=$V$2,"",0)</f>
        <v>0</v>
      </c>
    </row>
    <row r="745" spans="1:23" hidden="1" x14ac:dyDescent="0.2">
      <c r="A745" s="7" t="str">
        <f>Data!A611</f>
        <v>Steel Dynamics, Inc.</v>
      </c>
      <c r="B745" s="7" t="str">
        <f>Data!B611</f>
        <v>STLD</v>
      </c>
      <c r="C745" s="7" t="str">
        <f>Data!C611</f>
        <v>Materials</v>
      </c>
      <c r="D745" s="8">
        <f>IF(ISNUMBER(Data!AL611),Data!AL611/1000,"n/a")</f>
        <v>17.11</v>
      </c>
      <c r="E745" s="1">
        <f>Data!E611</f>
        <v>12</v>
      </c>
      <c r="F745" s="28">
        <f>Data!J611/100</f>
        <v>1.446039340776183E-2</v>
      </c>
      <c r="G745" s="28">
        <f>IF(ISNUMBER(Data!S611),Data!S611/100,"n/a")</f>
        <v>4.0404040404040442E-2</v>
      </c>
      <c r="H745" s="28">
        <f>IF(ISNUMBER(Data!T611),Data!T611/100,"n/a")</f>
        <v>0.12807620813443643</v>
      </c>
      <c r="I745" s="28">
        <f>IF(ISNUMBER(Data!U611),Data!U611/100,"n/a")</f>
        <v>0.13062470424036388</v>
      </c>
      <c r="J745" s="28">
        <f>IF(ISNUMBER(Data!V611),Data!V611/100,"n/a")</f>
        <v>0.10631957224262865</v>
      </c>
      <c r="K745" s="9">
        <f>IF(ISNUMBER(Data!Z611),Data!Z611/100,"n/a")</f>
        <v>5.9964726631393302E-2</v>
      </c>
      <c r="L745" s="10">
        <f>Data!AA611</f>
        <v>4.1468253968253972</v>
      </c>
      <c r="M745" s="10">
        <f>Data!AF611</f>
        <v>2.14</v>
      </c>
      <c r="N745" s="28">
        <f>IF(ISNUMBER(Data!AG611),Data!AG611/100,"n/a")</f>
        <v>0.59899999999999998</v>
      </c>
      <c r="O745" s="28">
        <f>IF(ISNUMBER(Data!AJ611),Data!AJ611/100,"n/a")</f>
        <v>0.58399999999999996</v>
      </c>
      <c r="P745" s="9">
        <f>IF(ISNUMBER(Data!AK611),Data!AK611/100,"n/a")</f>
        <v>0.28060000000000002</v>
      </c>
      <c r="Q745" s="8">
        <f>Data!AN611</f>
        <v>0.38</v>
      </c>
      <c r="R745" s="8">
        <f>Data!AP611</f>
        <v>14.508509764812571</v>
      </c>
      <c r="S745" s="8"/>
      <c r="T745" s="8"/>
      <c r="U745" s="8"/>
      <c r="V745" s="1">
        <f t="shared" si="24"/>
        <v>9</v>
      </c>
      <c r="W745" s="1">
        <f t="shared" si="25"/>
        <v>0</v>
      </c>
    </row>
    <row r="746" spans="1:23" hidden="1" x14ac:dyDescent="0.2">
      <c r="A746" s="7" t="str">
        <f>Data!A736</f>
        <v>Health Care</v>
      </c>
      <c r="B746" s="7">
        <f>Data!B736</f>
        <v>35</v>
      </c>
      <c r="C746" s="7">
        <f>Data!C736</f>
        <v>0</v>
      </c>
      <c r="D746" s="8">
        <f>IF(ISNUMBER(Data!AL736),Data!AL736/1000,"n/a")</f>
        <v>109.71534485714284</v>
      </c>
      <c r="E746" s="1">
        <f>Data!E736</f>
        <v>16.885714285714286</v>
      </c>
      <c r="F746" s="28">
        <f>Data!J736/100</f>
        <v>1.7382496018325165E-2</v>
      </c>
      <c r="G746" s="28">
        <f>IF(ISNUMBER(Data!S736),Data!S736/100,"n/a")</f>
        <v>9.7039115149264277E-2</v>
      </c>
      <c r="H746" s="28">
        <f>IF(ISNUMBER(Data!T736),Data!T736/100,"n/a")</f>
        <v>9.6472231059346519E-2</v>
      </c>
      <c r="I746" s="28">
        <f>IF(ISNUMBER(Data!U736),Data!U736/100,"n/a")</f>
        <v>0.10094855262522662</v>
      </c>
      <c r="J746" s="28">
        <f>IF(ISNUMBER(Data!V736),Data!V736/100,"n/a")</f>
        <v>0.11770458646048286</v>
      </c>
      <c r="K746" s="9">
        <f>IF(ISNUMBER(Data!Z736),Data!Z736/100,"n/a")</f>
        <v>0.40130684510428061</v>
      </c>
      <c r="L746" s="10">
        <f>Data!AA736</f>
        <v>28.048547156487285</v>
      </c>
      <c r="M746" s="10">
        <f>Data!AF736</f>
        <v>12.363939393939392</v>
      </c>
      <c r="N746" s="28">
        <f>IF(ISNUMBER(Data!AG736),Data!AG736/100,"n/a")</f>
        <v>0.27282352941176458</v>
      </c>
      <c r="O746" s="28">
        <f>IF(ISNUMBER(Data!AJ736),Data!AJ736/100,"n/a")</f>
        <v>0.13471142857142857</v>
      </c>
      <c r="P746" s="9">
        <f>IF(ISNUMBER(Data!AK736),Data!AK736/100,"n/a")</f>
        <v>7.4830303030303039E-2</v>
      </c>
      <c r="Q746" s="8">
        <f>Data!AN736</f>
        <v>2.0915624999999998</v>
      </c>
      <c r="R746" s="8">
        <f>Data!AP736</f>
        <v>11.83310486435518</v>
      </c>
      <c r="S746" s="8"/>
      <c r="T746" s="8"/>
      <c r="U746" s="8"/>
      <c r="V746" s="1">
        <f t="shared" si="24"/>
        <v>8</v>
      </c>
      <c r="W746" s="1">
        <f t="shared" si="25"/>
        <v>0</v>
      </c>
    </row>
    <row r="747" spans="1:23" hidden="1" x14ac:dyDescent="0.2">
      <c r="A747" s="7" t="str">
        <f>Data!A731</f>
        <v>Communication Services</v>
      </c>
      <c r="B747" s="7">
        <f>Data!B731</f>
        <v>11</v>
      </c>
      <c r="C747" s="7">
        <f>Data!C731</f>
        <v>0</v>
      </c>
      <c r="D747" s="8">
        <f>IF(ISNUMBER(Data!AL731),Data!AL731/1000,"n/a")</f>
        <v>37.995454545454542</v>
      </c>
      <c r="E747" s="1">
        <f>Data!E731</f>
        <v>16.272727272727273</v>
      </c>
      <c r="F747" s="28">
        <f>Data!J731/100</f>
        <v>3.4619512362506571E-2</v>
      </c>
      <c r="G747" s="28">
        <f>IF(ISNUMBER(Data!S731),Data!S731/100,"n/a")</f>
        <v>0.10113654632382002</v>
      </c>
      <c r="H747" s="28">
        <f>IF(ISNUMBER(Data!T731),Data!T731/100,"n/a")</f>
        <v>9.5437859209762083E-2</v>
      </c>
      <c r="I747" s="28">
        <f>IF(ISNUMBER(Data!U731),Data!U731/100,"n/a")</f>
        <v>0.13524189368767295</v>
      </c>
      <c r="J747" s="28">
        <f>IF(ISNUMBER(Data!V731),Data!V731/100,"n/a")</f>
        <v>9.7260901915458178E-2</v>
      </c>
      <c r="K747" s="9">
        <f>IF(ISNUMBER(Data!Z731),Data!Z731/100,"n/a")</f>
        <v>0.78239316430346495</v>
      </c>
      <c r="L747" s="10">
        <f>Data!AA731</f>
        <v>20.718996311108562</v>
      </c>
      <c r="M747" s="10">
        <f>Data!AF731</f>
        <v>2.5988888888888888</v>
      </c>
      <c r="N747" s="28">
        <f>IF(ISNUMBER(Data!AG731),Data!AG731/100,"n/a")</f>
        <v>0.11318181818181816</v>
      </c>
      <c r="O747" s="28">
        <f>IF(ISNUMBER(Data!AJ731),Data!AJ731/100,"n/a")</f>
        <v>0.17845454545454545</v>
      </c>
      <c r="P747" s="9">
        <f>IF(ISNUMBER(Data!AK731),Data!AK731/100,"n/a")</f>
        <v>7.7659999999999979E-2</v>
      </c>
      <c r="Q747" s="8">
        <f>Data!AN731</f>
        <v>1.342222222222222</v>
      </c>
      <c r="R747" s="8">
        <f>Data!AP731</f>
        <v>16.986140605017951</v>
      </c>
      <c r="S747" s="8"/>
      <c r="T747" s="8"/>
      <c r="U747" s="8"/>
      <c r="V747" s="1">
        <f t="shared" si="24"/>
        <v>8</v>
      </c>
      <c r="W747" s="1">
        <f t="shared" si="25"/>
        <v>0</v>
      </c>
    </row>
    <row r="748" spans="1:23" hidden="1" x14ac:dyDescent="0.2">
      <c r="A748" s="7">
        <f>Data!A852</f>
        <v>0</v>
      </c>
      <c r="B748" s="7">
        <f>Data!B852</f>
        <v>0</v>
      </c>
      <c r="C748" s="7">
        <f>Data!C852</f>
        <v>0</v>
      </c>
      <c r="D748" s="8" t="str">
        <f>IF(ISNUMBER(Data!AL852),Data!AL852/1000,"n/a")</f>
        <v>n/a</v>
      </c>
      <c r="E748" s="1">
        <f>Data!E852</f>
        <v>0</v>
      </c>
      <c r="F748" s="28">
        <f>Data!J852/100</f>
        <v>0</v>
      </c>
      <c r="G748" s="28" t="str">
        <f>IF(ISNUMBER(Data!S852),Data!S852/100,"n/a")</f>
        <v>n/a</v>
      </c>
      <c r="H748" s="28" t="str">
        <f>IF(ISNUMBER(Data!T852),Data!T852/100,"n/a")</f>
        <v>n/a</v>
      </c>
      <c r="I748" s="28" t="str">
        <f>IF(ISNUMBER(Data!U852),Data!U852/100,"n/a")</f>
        <v>n/a</v>
      </c>
      <c r="J748" s="28" t="str">
        <f>IF(ISNUMBER(Data!V852),Data!V852/100,"n/a")</f>
        <v>n/a</v>
      </c>
      <c r="K748" s="9" t="str">
        <f>IF(ISNUMBER(Data!Z852),Data!Z852/100,"n/a")</f>
        <v>n/a</v>
      </c>
      <c r="L748" s="10">
        <f>Data!AA852</f>
        <v>0</v>
      </c>
      <c r="M748" s="10">
        <f>Data!AF852</f>
        <v>0</v>
      </c>
      <c r="N748" s="28" t="str">
        <f>IF(ISNUMBER(Data!AG852),Data!AG852/100,"n/a")</f>
        <v>n/a</v>
      </c>
      <c r="O748" s="28" t="str">
        <f>IF(ISNUMBER(Data!AJ852),Data!AJ852/100,"n/a")</f>
        <v>n/a</v>
      </c>
      <c r="P748" s="9" t="str">
        <f>IF(ISNUMBER(Data!AK852),Data!AK852/100,"n/a")</f>
        <v>n/a</v>
      </c>
      <c r="Q748" s="8">
        <f>Data!AN852</f>
        <v>0</v>
      </c>
      <c r="R748" s="8">
        <f>Data!AP852</f>
        <v>0</v>
      </c>
      <c r="S748" s="8"/>
      <c r="T748" s="8"/>
      <c r="U748" s="8"/>
      <c r="V748" s="1">
        <f t="shared" si="24"/>
        <v>2</v>
      </c>
      <c r="W748" s="1">
        <f t="shared" si="25"/>
        <v>0</v>
      </c>
    </row>
    <row r="749" spans="1:23" hidden="1" x14ac:dyDescent="0.2">
      <c r="A749" s="7">
        <f>Data!A766</f>
        <v>0</v>
      </c>
      <c r="B749" s="7">
        <f>Data!B766</f>
        <v>0</v>
      </c>
      <c r="C749" s="7">
        <f>Data!C766</f>
        <v>0</v>
      </c>
      <c r="D749" s="8" t="str">
        <f>IF(ISNUMBER(Data!AL766),Data!AL766/1000,"n/a")</f>
        <v>n/a</v>
      </c>
      <c r="E749" s="1">
        <f>Data!E766</f>
        <v>0</v>
      </c>
      <c r="F749" s="28">
        <f>Data!J766/100</f>
        <v>0</v>
      </c>
      <c r="G749" s="28" t="str">
        <f>IF(ISNUMBER(Data!S766),Data!S766/100,"n/a")</f>
        <v>n/a</v>
      </c>
      <c r="H749" s="28" t="str">
        <f>IF(ISNUMBER(Data!T766),Data!T766/100,"n/a")</f>
        <v>n/a</v>
      </c>
      <c r="I749" s="28" t="str">
        <f>IF(ISNUMBER(Data!U766),Data!U766/100,"n/a")</f>
        <v>n/a</v>
      </c>
      <c r="J749" s="28" t="str">
        <f>IF(ISNUMBER(Data!V766),Data!V766/100,"n/a")</f>
        <v>n/a</v>
      </c>
      <c r="K749" s="9" t="str">
        <f>IF(ISNUMBER(Data!Z766),Data!Z766/100,"n/a")</f>
        <v>n/a</v>
      </c>
      <c r="L749" s="10">
        <f>Data!AA766</f>
        <v>0</v>
      </c>
      <c r="M749" s="10">
        <f>Data!AF766</f>
        <v>0</v>
      </c>
      <c r="N749" s="28" t="str">
        <f>IF(ISNUMBER(Data!AG766),Data!AG766/100,"n/a")</f>
        <v>n/a</v>
      </c>
      <c r="O749" s="28" t="str">
        <f>IF(ISNUMBER(Data!AJ766),Data!AJ766/100,"n/a")</f>
        <v>n/a</v>
      </c>
      <c r="P749" s="9" t="str">
        <f>IF(ISNUMBER(Data!AK766),Data!AK766/100,"n/a")</f>
        <v>n/a</v>
      </c>
      <c r="Q749" s="8">
        <f>Data!AN766</f>
        <v>0</v>
      </c>
      <c r="R749" s="8">
        <f>Data!AP766</f>
        <v>0</v>
      </c>
      <c r="S749" s="8"/>
      <c r="T749" s="8"/>
      <c r="U749" s="8"/>
      <c r="V749" s="1">
        <f t="shared" si="24"/>
        <v>2</v>
      </c>
      <c r="W749" s="1">
        <f t="shared" si="25"/>
        <v>0</v>
      </c>
    </row>
    <row r="750" spans="1:23" hidden="1" x14ac:dyDescent="0.2">
      <c r="A750" s="7">
        <f>Data!A750</f>
        <v>0</v>
      </c>
      <c r="B750" s="7">
        <f>Data!B750</f>
        <v>0</v>
      </c>
      <c r="C750" s="7">
        <f>Data!C750</f>
        <v>0</v>
      </c>
      <c r="D750" s="8" t="str">
        <f>IF(ISNUMBER(Data!AL750),Data!AL750/1000,"n/a")</f>
        <v>n/a</v>
      </c>
      <c r="E750" s="1">
        <f>Data!E750</f>
        <v>0</v>
      </c>
      <c r="F750" s="28">
        <f>Data!J750/100</f>
        <v>0</v>
      </c>
      <c r="G750" s="28" t="str">
        <f>IF(ISNUMBER(Data!S750),Data!S750/100,"n/a")</f>
        <v>n/a</v>
      </c>
      <c r="H750" s="28" t="str">
        <f>IF(ISNUMBER(Data!T750),Data!T750/100,"n/a")</f>
        <v>n/a</v>
      </c>
      <c r="I750" s="28" t="str">
        <f>IF(ISNUMBER(Data!U750),Data!U750/100,"n/a")</f>
        <v>n/a</v>
      </c>
      <c r="J750" s="28" t="str">
        <f>IF(ISNUMBER(Data!V750),Data!V750/100,"n/a")</f>
        <v>n/a</v>
      </c>
      <c r="K750" s="9" t="str">
        <f>IF(ISNUMBER(Data!Z750),Data!Z750/100,"n/a")</f>
        <v>n/a</v>
      </c>
      <c r="L750" s="10">
        <f>Data!AA750</f>
        <v>0</v>
      </c>
      <c r="M750" s="10">
        <f>Data!AF750</f>
        <v>0</v>
      </c>
      <c r="N750" s="28" t="str">
        <f>IF(ISNUMBER(Data!AG750),Data!AG750/100,"n/a")</f>
        <v>n/a</v>
      </c>
      <c r="O750" s="28" t="str">
        <f>IF(ISNUMBER(Data!AJ750),Data!AJ750/100,"n/a")</f>
        <v>n/a</v>
      </c>
      <c r="P750" s="9" t="str">
        <f>IF(ISNUMBER(Data!AK750),Data!AK750/100,"n/a")</f>
        <v>n/a</v>
      </c>
      <c r="Q750" s="8">
        <f>Data!AN750</f>
        <v>0</v>
      </c>
      <c r="R750" s="8">
        <f>Data!AP750</f>
        <v>0</v>
      </c>
      <c r="S750" s="8"/>
      <c r="T750" s="8"/>
      <c r="U750" s="8"/>
      <c r="V750" s="1">
        <f t="shared" si="24"/>
        <v>2</v>
      </c>
      <c r="W750" s="1">
        <f t="shared" si="25"/>
        <v>0</v>
      </c>
    </row>
    <row r="751" spans="1:23" hidden="1" x14ac:dyDescent="0.2">
      <c r="A751" s="7">
        <f>Data!A777</f>
        <v>0</v>
      </c>
      <c r="B751" s="7">
        <f>Data!B777</f>
        <v>0</v>
      </c>
      <c r="C751" s="7">
        <f>Data!C777</f>
        <v>0</v>
      </c>
      <c r="D751" s="8" t="str">
        <f>IF(ISNUMBER(Data!AL777),Data!AL777/1000,"n/a")</f>
        <v>n/a</v>
      </c>
      <c r="E751" s="1">
        <f>Data!E777</f>
        <v>0</v>
      </c>
      <c r="F751" s="28">
        <f>Data!J777/100</f>
        <v>0</v>
      </c>
      <c r="G751" s="28" t="str">
        <f>IF(ISNUMBER(Data!S777),Data!S777/100,"n/a")</f>
        <v>n/a</v>
      </c>
      <c r="H751" s="28" t="str">
        <f>IF(ISNUMBER(Data!T777),Data!T777/100,"n/a")</f>
        <v>n/a</v>
      </c>
      <c r="I751" s="28" t="str">
        <f>IF(ISNUMBER(Data!U777),Data!U777/100,"n/a")</f>
        <v>n/a</v>
      </c>
      <c r="J751" s="28" t="str">
        <f>IF(ISNUMBER(Data!V777),Data!V777/100,"n/a")</f>
        <v>n/a</v>
      </c>
      <c r="K751" s="9" t="str">
        <f>IF(ISNUMBER(Data!Z777),Data!Z777/100,"n/a")</f>
        <v>n/a</v>
      </c>
      <c r="L751" s="10">
        <f>Data!AA777</f>
        <v>0</v>
      </c>
      <c r="M751" s="10">
        <f>Data!AF777</f>
        <v>0</v>
      </c>
      <c r="N751" s="28" t="str">
        <f>IF(ISNUMBER(Data!AG777),Data!AG777/100,"n/a")</f>
        <v>n/a</v>
      </c>
      <c r="O751" s="28" t="str">
        <f>IF(ISNUMBER(Data!AJ777),Data!AJ777/100,"n/a")</f>
        <v>n/a</v>
      </c>
      <c r="P751" s="9" t="str">
        <f>IF(ISNUMBER(Data!AK777),Data!AK777/100,"n/a")</f>
        <v>n/a</v>
      </c>
      <c r="Q751" s="8">
        <f>Data!AN777</f>
        <v>0</v>
      </c>
      <c r="R751" s="8">
        <f>Data!AP777</f>
        <v>0</v>
      </c>
      <c r="S751" s="8"/>
      <c r="T751" s="8"/>
      <c r="U751" s="8"/>
      <c r="V751" s="1">
        <f t="shared" si="24"/>
        <v>2</v>
      </c>
      <c r="W751" s="1">
        <f t="shared" si="25"/>
        <v>0</v>
      </c>
    </row>
    <row r="752" spans="1:23" hidden="1" x14ac:dyDescent="0.2">
      <c r="A752" s="7">
        <f>Data!A772</f>
        <v>0</v>
      </c>
      <c r="B752" s="7">
        <f>Data!B772</f>
        <v>0</v>
      </c>
      <c r="C752" s="7">
        <f>Data!C772</f>
        <v>0</v>
      </c>
      <c r="D752" s="8" t="str">
        <f>IF(ISNUMBER(Data!AL772),Data!AL772/1000,"n/a")</f>
        <v>n/a</v>
      </c>
      <c r="E752" s="1">
        <f>Data!E772</f>
        <v>0</v>
      </c>
      <c r="F752" s="28">
        <f>Data!J772/100</f>
        <v>0</v>
      </c>
      <c r="G752" s="28" t="str">
        <f>IF(ISNUMBER(Data!S772),Data!S772/100,"n/a")</f>
        <v>n/a</v>
      </c>
      <c r="H752" s="28" t="str">
        <f>IF(ISNUMBER(Data!T772),Data!T772/100,"n/a")</f>
        <v>n/a</v>
      </c>
      <c r="I752" s="28" t="str">
        <f>IF(ISNUMBER(Data!U772),Data!U772/100,"n/a")</f>
        <v>n/a</v>
      </c>
      <c r="J752" s="28" t="str">
        <f>IF(ISNUMBER(Data!V772),Data!V772/100,"n/a")</f>
        <v>n/a</v>
      </c>
      <c r="K752" s="9" t="str">
        <f>IF(ISNUMBER(Data!Z772),Data!Z772/100,"n/a")</f>
        <v>n/a</v>
      </c>
      <c r="L752" s="10">
        <f>Data!AA772</f>
        <v>0</v>
      </c>
      <c r="M752" s="10">
        <f>Data!AF772</f>
        <v>0</v>
      </c>
      <c r="N752" s="28" t="str">
        <f>IF(ISNUMBER(Data!AG772),Data!AG772/100,"n/a")</f>
        <v>n/a</v>
      </c>
      <c r="O752" s="28" t="str">
        <f>IF(ISNUMBER(Data!AJ772),Data!AJ772/100,"n/a")</f>
        <v>n/a</v>
      </c>
      <c r="P752" s="9" t="str">
        <f>IF(ISNUMBER(Data!AK772),Data!AK772/100,"n/a")</f>
        <v>n/a</v>
      </c>
      <c r="Q752" s="8">
        <f>Data!AN772</f>
        <v>0</v>
      </c>
      <c r="R752" s="8">
        <f>Data!AP772</f>
        <v>0</v>
      </c>
      <c r="S752" s="8"/>
      <c r="T752" s="8"/>
      <c r="U752" s="8"/>
      <c r="V752" s="1">
        <f t="shared" si="24"/>
        <v>2</v>
      </c>
      <c r="W752" s="1">
        <f t="shared" si="25"/>
        <v>0</v>
      </c>
    </row>
    <row r="753" spans="1:23" hidden="1" x14ac:dyDescent="0.2">
      <c r="A753" s="7">
        <f>Data!A796</f>
        <v>0</v>
      </c>
      <c r="B753" s="7">
        <f>Data!B796</f>
        <v>0</v>
      </c>
      <c r="C753" s="7">
        <f>Data!C796</f>
        <v>0</v>
      </c>
      <c r="D753" s="8" t="str">
        <f>IF(ISNUMBER(Data!AL796),Data!AL796/1000,"n/a")</f>
        <v>n/a</v>
      </c>
      <c r="E753" s="1">
        <f>Data!E796</f>
        <v>0</v>
      </c>
      <c r="F753" s="28">
        <f>Data!J796/100</f>
        <v>0</v>
      </c>
      <c r="G753" s="28" t="str">
        <f>IF(ISNUMBER(Data!S796),Data!S796/100,"n/a")</f>
        <v>n/a</v>
      </c>
      <c r="H753" s="28" t="str">
        <f>IF(ISNUMBER(Data!T796),Data!T796/100,"n/a")</f>
        <v>n/a</v>
      </c>
      <c r="I753" s="28" t="str">
        <f>IF(ISNUMBER(Data!U796),Data!U796/100,"n/a")</f>
        <v>n/a</v>
      </c>
      <c r="J753" s="28" t="str">
        <f>IF(ISNUMBER(Data!V796),Data!V796/100,"n/a")</f>
        <v>n/a</v>
      </c>
      <c r="K753" s="9" t="str">
        <f>IF(ISNUMBER(Data!Z796),Data!Z796/100,"n/a")</f>
        <v>n/a</v>
      </c>
      <c r="L753" s="10">
        <f>Data!AA796</f>
        <v>0</v>
      </c>
      <c r="M753" s="10">
        <f>Data!AF796</f>
        <v>0</v>
      </c>
      <c r="N753" s="28" t="str">
        <f>IF(ISNUMBER(Data!AG796),Data!AG796/100,"n/a")</f>
        <v>n/a</v>
      </c>
      <c r="O753" s="28" t="str">
        <f>IF(ISNUMBER(Data!AJ796),Data!AJ796/100,"n/a")</f>
        <v>n/a</v>
      </c>
      <c r="P753" s="9" t="str">
        <f>IF(ISNUMBER(Data!AK796),Data!AK796/100,"n/a")</f>
        <v>n/a</v>
      </c>
      <c r="Q753" s="8">
        <f>Data!AN796</f>
        <v>0</v>
      </c>
      <c r="R753" s="8">
        <f>Data!AP796</f>
        <v>0</v>
      </c>
      <c r="S753" s="8"/>
      <c r="T753" s="8"/>
      <c r="U753" s="8"/>
      <c r="V753" s="1">
        <f t="shared" si="24"/>
        <v>2</v>
      </c>
      <c r="W753" s="1">
        <f t="shared" si="25"/>
        <v>0</v>
      </c>
    </row>
    <row r="754" spans="1:23" hidden="1" x14ac:dyDescent="0.2">
      <c r="A754" s="7">
        <f>Data!A775</f>
        <v>0</v>
      </c>
      <c r="B754" s="7">
        <f>Data!B775</f>
        <v>0</v>
      </c>
      <c r="C754" s="7">
        <f>Data!C775</f>
        <v>0</v>
      </c>
      <c r="D754" s="8" t="str">
        <f>IF(ISNUMBER(Data!AL775),Data!AL775/1000,"n/a")</f>
        <v>n/a</v>
      </c>
      <c r="E754" s="1">
        <f>Data!E775</f>
        <v>0</v>
      </c>
      <c r="F754" s="28">
        <f>Data!J775/100</f>
        <v>0</v>
      </c>
      <c r="G754" s="28" t="str">
        <f>IF(ISNUMBER(Data!S775),Data!S775/100,"n/a")</f>
        <v>n/a</v>
      </c>
      <c r="H754" s="28" t="str">
        <f>IF(ISNUMBER(Data!T775),Data!T775/100,"n/a")</f>
        <v>n/a</v>
      </c>
      <c r="I754" s="28" t="str">
        <f>IF(ISNUMBER(Data!U775),Data!U775/100,"n/a")</f>
        <v>n/a</v>
      </c>
      <c r="J754" s="28" t="str">
        <f>IF(ISNUMBER(Data!V775),Data!V775/100,"n/a")</f>
        <v>n/a</v>
      </c>
      <c r="K754" s="9" t="str">
        <f>IF(ISNUMBER(Data!Z775),Data!Z775/100,"n/a")</f>
        <v>n/a</v>
      </c>
      <c r="L754" s="10">
        <f>Data!AA775</f>
        <v>0</v>
      </c>
      <c r="M754" s="10">
        <f>Data!AF775</f>
        <v>0</v>
      </c>
      <c r="N754" s="28" t="str">
        <f>IF(ISNUMBER(Data!AG775),Data!AG775/100,"n/a")</f>
        <v>n/a</v>
      </c>
      <c r="O754" s="28" t="str">
        <f>IF(ISNUMBER(Data!AJ775),Data!AJ775/100,"n/a")</f>
        <v>n/a</v>
      </c>
      <c r="P754" s="9" t="str">
        <f>IF(ISNUMBER(Data!AK775),Data!AK775/100,"n/a")</f>
        <v>n/a</v>
      </c>
      <c r="Q754" s="8">
        <f>Data!AN775</f>
        <v>0</v>
      </c>
      <c r="R754" s="8">
        <f>Data!AP775</f>
        <v>0</v>
      </c>
      <c r="S754" s="8"/>
      <c r="T754" s="8"/>
      <c r="U754" s="8"/>
      <c r="V754" s="1">
        <f t="shared" si="24"/>
        <v>2</v>
      </c>
      <c r="W754" s="1">
        <f t="shared" si="25"/>
        <v>0</v>
      </c>
    </row>
    <row r="755" spans="1:23" hidden="1" x14ac:dyDescent="0.2">
      <c r="A755" s="7">
        <f>Data!A793</f>
        <v>0</v>
      </c>
      <c r="B755" s="7">
        <f>Data!B793</f>
        <v>0</v>
      </c>
      <c r="C755" s="7">
        <f>Data!C793</f>
        <v>0</v>
      </c>
      <c r="D755" s="8" t="str">
        <f>IF(ISNUMBER(Data!AL793),Data!AL793/1000,"n/a")</f>
        <v>n/a</v>
      </c>
      <c r="E755" s="1">
        <f>Data!E793</f>
        <v>0</v>
      </c>
      <c r="F755" s="28">
        <f>Data!J793/100</f>
        <v>0</v>
      </c>
      <c r="G755" s="28" t="str">
        <f>IF(ISNUMBER(Data!S793),Data!S793/100,"n/a")</f>
        <v>n/a</v>
      </c>
      <c r="H755" s="28" t="str">
        <f>IF(ISNUMBER(Data!T793),Data!T793/100,"n/a")</f>
        <v>n/a</v>
      </c>
      <c r="I755" s="28" t="str">
        <f>IF(ISNUMBER(Data!U793),Data!U793/100,"n/a")</f>
        <v>n/a</v>
      </c>
      <c r="J755" s="28" t="str">
        <f>IF(ISNUMBER(Data!V793),Data!V793/100,"n/a")</f>
        <v>n/a</v>
      </c>
      <c r="K755" s="9" t="str">
        <f>IF(ISNUMBER(Data!Z793),Data!Z793/100,"n/a")</f>
        <v>n/a</v>
      </c>
      <c r="L755" s="10">
        <f>Data!AA793</f>
        <v>0</v>
      </c>
      <c r="M755" s="10">
        <f>Data!AF793</f>
        <v>0</v>
      </c>
      <c r="N755" s="28" t="str">
        <f>IF(ISNUMBER(Data!AG793),Data!AG793/100,"n/a")</f>
        <v>n/a</v>
      </c>
      <c r="O755" s="28" t="str">
        <f>IF(ISNUMBER(Data!AJ793),Data!AJ793/100,"n/a")</f>
        <v>n/a</v>
      </c>
      <c r="P755" s="9" t="str">
        <f>IF(ISNUMBER(Data!AK793),Data!AK793/100,"n/a")</f>
        <v>n/a</v>
      </c>
      <c r="Q755" s="8">
        <f>Data!AN793</f>
        <v>0</v>
      </c>
      <c r="R755" s="8">
        <f>Data!AP793</f>
        <v>0</v>
      </c>
      <c r="S755" s="8"/>
      <c r="T755" s="8"/>
      <c r="U755" s="8"/>
      <c r="V755" s="1">
        <f t="shared" si="24"/>
        <v>2</v>
      </c>
      <c r="W755" s="1">
        <f t="shared" si="25"/>
        <v>0</v>
      </c>
    </row>
    <row r="756" spans="1:23" hidden="1" x14ac:dyDescent="0.2">
      <c r="A756" s="7">
        <f>Data!A786</f>
        <v>0</v>
      </c>
      <c r="B756" s="7">
        <f>Data!B786</f>
        <v>0</v>
      </c>
      <c r="C756" s="7">
        <f>Data!C786</f>
        <v>0</v>
      </c>
      <c r="D756" s="8" t="str">
        <f>IF(ISNUMBER(Data!AL786),Data!AL786/1000,"n/a")</f>
        <v>n/a</v>
      </c>
      <c r="E756" s="1">
        <f>Data!E786</f>
        <v>0</v>
      </c>
      <c r="F756" s="28">
        <f>Data!J786/100</f>
        <v>0</v>
      </c>
      <c r="G756" s="28" t="str">
        <f>IF(ISNUMBER(Data!S786),Data!S786/100,"n/a")</f>
        <v>n/a</v>
      </c>
      <c r="H756" s="28" t="str">
        <f>IF(ISNUMBER(Data!T786),Data!T786/100,"n/a")</f>
        <v>n/a</v>
      </c>
      <c r="I756" s="28" t="str">
        <f>IF(ISNUMBER(Data!U786),Data!U786/100,"n/a")</f>
        <v>n/a</v>
      </c>
      <c r="J756" s="28" t="str">
        <f>IF(ISNUMBER(Data!V786),Data!V786/100,"n/a")</f>
        <v>n/a</v>
      </c>
      <c r="K756" s="9" t="str">
        <f>IF(ISNUMBER(Data!Z786),Data!Z786/100,"n/a")</f>
        <v>n/a</v>
      </c>
      <c r="L756" s="10">
        <f>Data!AA786</f>
        <v>0</v>
      </c>
      <c r="M756" s="10">
        <f>Data!AF786</f>
        <v>0</v>
      </c>
      <c r="N756" s="28" t="str">
        <f>IF(ISNUMBER(Data!AG786),Data!AG786/100,"n/a")</f>
        <v>n/a</v>
      </c>
      <c r="O756" s="28" t="str">
        <f>IF(ISNUMBER(Data!AJ786),Data!AJ786/100,"n/a")</f>
        <v>n/a</v>
      </c>
      <c r="P756" s="9" t="str">
        <f>IF(ISNUMBER(Data!AK786),Data!AK786/100,"n/a")</f>
        <v>n/a</v>
      </c>
      <c r="Q756" s="8">
        <f>Data!AN786</f>
        <v>0</v>
      </c>
      <c r="R756" s="8">
        <f>Data!AP786</f>
        <v>0</v>
      </c>
      <c r="S756" s="8"/>
      <c r="T756" s="8"/>
      <c r="U756" s="8"/>
      <c r="V756" s="1">
        <f t="shared" si="24"/>
        <v>2</v>
      </c>
      <c r="W756" s="1">
        <f t="shared" si="25"/>
        <v>0</v>
      </c>
    </row>
    <row r="757" spans="1:23" hidden="1" x14ac:dyDescent="0.2">
      <c r="A757" s="7">
        <f>Data!A804</f>
        <v>0</v>
      </c>
      <c r="B757" s="7">
        <f>Data!B804</f>
        <v>0</v>
      </c>
      <c r="C757" s="7">
        <f>Data!C804</f>
        <v>0</v>
      </c>
      <c r="D757" s="8" t="str">
        <f>IF(ISNUMBER(Data!AL804),Data!AL804/1000,"n/a")</f>
        <v>n/a</v>
      </c>
      <c r="E757" s="1">
        <f>Data!E804</f>
        <v>0</v>
      </c>
      <c r="F757" s="28">
        <f>Data!J804/100</f>
        <v>0</v>
      </c>
      <c r="G757" s="28" t="str">
        <f>IF(ISNUMBER(Data!S804),Data!S804/100,"n/a")</f>
        <v>n/a</v>
      </c>
      <c r="H757" s="28" t="str">
        <f>IF(ISNUMBER(Data!T804),Data!T804/100,"n/a")</f>
        <v>n/a</v>
      </c>
      <c r="I757" s="28" t="str">
        <f>IF(ISNUMBER(Data!U804),Data!U804/100,"n/a")</f>
        <v>n/a</v>
      </c>
      <c r="J757" s="28" t="str">
        <f>IF(ISNUMBER(Data!V804),Data!V804/100,"n/a")</f>
        <v>n/a</v>
      </c>
      <c r="K757" s="9" t="str">
        <f>IF(ISNUMBER(Data!Z804),Data!Z804/100,"n/a")</f>
        <v>n/a</v>
      </c>
      <c r="L757" s="10">
        <f>Data!AA804</f>
        <v>0</v>
      </c>
      <c r="M757" s="10">
        <f>Data!AF804</f>
        <v>0</v>
      </c>
      <c r="N757" s="28" t="str">
        <f>IF(ISNUMBER(Data!AG804),Data!AG804/100,"n/a")</f>
        <v>n/a</v>
      </c>
      <c r="O757" s="28" t="str">
        <f>IF(ISNUMBER(Data!AJ804),Data!AJ804/100,"n/a")</f>
        <v>n/a</v>
      </c>
      <c r="P757" s="9" t="str">
        <f>IF(ISNUMBER(Data!AK804),Data!AK804/100,"n/a")</f>
        <v>n/a</v>
      </c>
      <c r="Q757" s="8">
        <f>Data!AN804</f>
        <v>0</v>
      </c>
      <c r="R757" s="8">
        <f>Data!AP804</f>
        <v>0</v>
      </c>
      <c r="S757" s="8"/>
      <c r="T757" s="8"/>
      <c r="U757" s="8"/>
      <c r="V757" s="1">
        <f t="shared" si="24"/>
        <v>2</v>
      </c>
      <c r="W757" s="1">
        <f t="shared" si="25"/>
        <v>0</v>
      </c>
    </row>
    <row r="758" spans="1:23" hidden="1" x14ac:dyDescent="0.2">
      <c r="A758" s="7">
        <f>Data!A762</f>
        <v>0</v>
      </c>
      <c r="B758" s="7">
        <f>Data!B762</f>
        <v>0</v>
      </c>
      <c r="C758" s="7">
        <f>Data!C762</f>
        <v>0</v>
      </c>
      <c r="D758" s="8" t="str">
        <f>IF(ISNUMBER(Data!AL762),Data!AL762/1000,"n/a")</f>
        <v>n/a</v>
      </c>
      <c r="E758" s="1">
        <f>Data!E762</f>
        <v>0</v>
      </c>
      <c r="F758" s="28">
        <f>Data!J762/100</f>
        <v>0</v>
      </c>
      <c r="G758" s="28" t="str">
        <f>IF(ISNUMBER(Data!S762),Data!S762/100,"n/a")</f>
        <v>n/a</v>
      </c>
      <c r="H758" s="28" t="str">
        <f>IF(ISNUMBER(Data!T762),Data!T762/100,"n/a")</f>
        <v>n/a</v>
      </c>
      <c r="I758" s="28" t="str">
        <f>IF(ISNUMBER(Data!U762),Data!U762/100,"n/a")</f>
        <v>n/a</v>
      </c>
      <c r="J758" s="28" t="str">
        <f>IF(ISNUMBER(Data!V762),Data!V762/100,"n/a")</f>
        <v>n/a</v>
      </c>
      <c r="K758" s="9" t="str">
        <f>IF(ISNUMBER(Data!Z762),Data!Z762/100,"n/a")</f>
        <v>n/a</v>
      </c>
      <c r="L758" s="10">
        <f>Data!AA762</f>
        <v>0</v>
      </c>
      <c r="M758" s="10">
        <f>Data!AF762</f>
        <v>0</v>
      </c>
      <c r="N758" s="28" t="str">
        <f>IF(ISNUMBER(Data!AG762),Data!AG762/100,"n/a")</f>
        <v>n/a</v>
      </c>
      <c r="O758" s="28" t="str">
        <f>IF(ISNUMBER(Data!AJ762),Data!AJ762/100,"n/a")</f>
        <v>n/a</v>
      </c>
      <c r="P758" s="9" t="str">
        <f>IF(ISNUMBER(Data!AK762),Data!AK762/100,"n/a")</f>
        <v>n/a</v>
      </c>
      <c r="Q758" s="8">
        <f>Data!AN762</f>
        <v>0</v>
      </c>
      <c r="R758" s="8">
        <f>Data!AP762</f>
        <v>0</v>
      </c>
      <c r="S758" s="8"/>
      <c r="T758" s="8"/>
      <c r="U758" s="8"/>
      <c r="V758" s="1">
        <f t="shared" si="24"/>
        <v>2</v>
      </c>
      <c r="W758" s="1">
        <f t="shared" si="25"/>
        <v>0</v>
      </c>
    </row>
    <row r="759" spans="1:23" hidden="1" x14ac:dyDescent="0.2">
      <c r="A759" s="7">
        <f>Data!A749</f>
        <v>0</v>
      </c>
      <c r="B759" s="7">
        <f>Data!B749</f>
        <v>0</v>
      </c>
      <c r="C759" s="7">
        <f>Data!C749</f>
        <v>0</v>
      </c>
      <c r="D759" s="8" t="str">
        <f>IF(ISNUMBER(Data!AL749),Data!AL749/1000,"n/a")</f>
        <v>n/a</v>
      </c>
      <c r="E759" s="1">
        <f>Data!E749</f>
        <v>0</v>
      </c>
      <c r="F759" s="28">
        <f>Data!J749/100</f>
        <v>0</v>
      </c>
      <c r="G759" s="28" t="str">
        <f>IF(ISNUMBER(Data!S749),Data!S749/100,"n/a")</f>
        <v>n/a</v>
      </c>
      <c r="H759" s="28" t="str">
        <f>IF(ISNUMBER(Data!T749),Data!T749/100,"n/a")</f>
        <v>n/a</v>
      </c>
      <c r="I759" s="28" t="str">
        <f>IF(ISNUMBER(Data!U749),Data!U749/100,"n/a")</f>
        <v>n/a</v>
      </c>
      <c r="J759" s="28" t="str">
        <f>IF(ISNUMBER(Data!V749),Data!V749/100,"n/a")</f>
        <v>n/a</v>
      </c>
      <c r="K759" s="9" t="str">
        <f>IF(ISNUMBER(Data!Z749),Data!Z749/100,"n/a")</f>
        <v>n/a</v>
      </c>
      <c r="L759" s="10">
        <f>Data!AA749</f>
        <v>0</v>
      </c>
      <c r="M759" s="10">
        <f>Data!AF749</f>
        <v>0</v>
      </c>
      <c r="N759" s="28" t="str">
        <f>IF(ISNUMBER(Data!AG749),Data!AG749/100,"n/a")</f>
        <v>n/a</v>
      </c>
      <c r="O759" s="28" t="str">
        <f>IF(ISNUMBER(Data!AJ749),Data!AJ749/100,"n/a")</f>
        <v>n/a</v>
      </c>
      <c r="P759" s="9" t="str">
        <f>IF(ISNUMBER(Data!AK749),Data!AK749/100,"n/a")</f>
        <v>n/a</v>
      </c>
      <c r="Q759" s="8">
        <f>Data!AN749</f>
        <v>0</v>
      </c>
      <c r="R759" s="8">
        <f>Data!AP749</f>
        <v>0</v>
      </c>
      <c r="S759" s="8"/>
      <c r="T759" s="8"/>
      <c r="U759" s="8"/>
      <c r="V759" s="1">
        <f t="shared" si="24"/>
        <v>2</v>
      </c>
      <c r="W759" s="1">
        <f t="shared" si="25"/>
        <v>0</v>
      </c>
    </row>
    <row r="760" spans="1:23" hidden="1" x14ac:dyDescent="0.2">
      <c r="A760" s="7">
        <f>Data!A753</f>
        <v>0</v>
      </c>
      <c r="B760" s="7">
        <f>Data!B753</f>
        <v>0</v>
      </c>
      <c r="C760" s="7">
        <f>Data!C753</f>
        <v>0</v>
      </c>
      <c r="D760" s="8" t="str">
        <f>IF(ISNUMBER(Data!AL753),Data!AL753/1000,"n/a")</f>
        <v>n/a</v>
      </c>
      <c r="E760" s="1">
        <f>Data!E753</f>
        <v>0</v>
      </c>
      <c r="F760" s="28">
        <f>Data!J753/100</f>
        <v>0</v>
      </c>
      <c r="G760" s="28" t="str">
        <f>IF(ISNUMBER(Data!S753),Data!S753/100,"n/a")</f>
        <v>n/a</v>
      </c>
      <c r="H760" s="28" t="str">
        <f>IF(ISNUMBER(Data!T753),Data!T753/100,"n/a")</f>
        <v>n/a</v>
      </c>
      <c r="I760" s="28" t="str">
        <f>IF(ISNUMBER(Data!U753),Data!U753/100,"n/a")</f>
        <v>n/a</v>
      </c>
      <c r="J760" s="28" t="str">
        <f>IF(ISNUMBER(Data!V753),Data!V753/100,"n/a")</f>
        <v>n/a</v>
      </c>
      <c r="K760" s="9" t="str">
        <f>IF(ISNUMBER(Data!Z753),Data!Z753/100,"n/a")</f>
        <v>n/a</v>
      </c>
      <c r="L760" s="10">
        <f>Data!AA753</f>
        <v>0</v>
      </c>
      <c r="M760" s="10">
        <f>Data!AF753</f>
        <v>0</v>
      </c>
      <c r="N760" s="28" t="str">
        <f>IF(ISNUMBER(Data!AG753),Data!AG753/100,"n/a")</f>
        <v>n/a</v>
      </c>
      <c r="O760" s="28" t="str">
        <f>IF(ISNUMBER(Data!AJ753),Data!AJ753/100,"n/a")</f>
        <v>n/a</v>
      </c>
      <c r="P760" s="9" t="str">
        <f>IF(ISNUMBER(Data!AK753),Data!AK753/100,"n/a")</f>
        <v>n/a</v>
      </c>
      <c r="Q760" s="8">
        <f>Data!AN753</f>
        <v>0</v>
      </c>
      <c r="R760" s="8">
        <f>Data!AP753</f>
        <v>0</v>
      </c>
      <c r="S760" s="8"/>
      <c r="T760" s="8"/>
      <c r="U760" s="8"/>
      <c r="V760" s="1">
        <f t="shared" si="24"/>
        <v>2</v>
      </c>
      <c r="W760" s="1">
        <f t="shared" si="25"/>
        <v>0</v>
      </c>
    </row>
    <row r="761" spans="1:23" hidden="1" x14ac:dyDescent="0.2">
      <c r="A761" s="7">
        <f>Data!A756</f>
        <v>0</v>
      </c>
      <c r="B761" s="7">
        <f>Data!B756</f>
        <v>0</v>
      </c>
      <c r="C761" s="7">
        <f>Data!C756</f>
        <v>0</v>
      </c>
      <c r="D761" s="8" t="str">
        <f>IF(ISNUMBER(Data!AL756),Data!AL756/1000,"n/a")</f>
        <v>n/a</v>
      </c>
      <c r="E761" s="1">
        <f>Data!E756</f>
        <v>0</v>
      </c>
      <c r="F761" s="28">
        <f>Data!J756/100</f>
        <v>0</v>
      </c>
      <c r="G761" s="28" t="str">
        <f>IF(ISNUMBER(Data!S756),Data!S756/100,"n/a")</f>
        <v>n/a</v>
      </c>
      <c r="H761" s="28" t="str">
        <f>IF(ISNUMBER(Data!T756),Data!T756/100,"n/a")</f>
        <v>n/a</v>
      </c>
      <c r="I761" s="28" t="str">
        <f>IF(ISNUMBER(Data!U756),Data!U756/100,"n/a")</f>
        <v>n/a</v>
      </c>
      <c r="J761" s="28" t="str">
        <f>IF(ISNUMBER(Data!V756),Data!V756/100,"n/a")</f>
        <v>n/a</v>
      </c>
      <c r="K761" s="9" t="str">
        <f>IF(ISNUMBER(Data!Z756),Data!Z756/100,"n/a")</f>
        <v>n/a</v>
      </c>
      <c r="L761" s="10">
        <f>Data!AA756</f>
        <v>0</v>
      </c>
      <c r="M761" s="10">
        <f>Data!AF756</f>
        <v>0</v>
      </c>
      <c r="N761" s="28" t="str">
        <f>IF(ISNUMBER(Data!AG756),Data!AG756/100,"n/a")</f>
        <v>n/a</v>
      </c>
      <c r="O761" s="28" t="str">
        <f>IF(ISNUMBER(Data!AJ756),Data!AJ756/100,"n/a")</f>
        <v>n/a</v>
      </c>
      <c r="P761" s="9" t="str">
        <f>IF(ISNUMBER(Data!AK756),Data!AK756/100,"n/a")</f>
        <v>n/a</v>
      </c>
      <c r="Q761" s="8">
        <f>Data!AN756</f>
        <v>0</v>
      </c>
      <c r="R761" s="8">
        <f>Data!AP756</f>
        <v>0</v>
      </c>
      <c r="S761" s="8"/>
      <c r="T761" s="8"/>
      <c r="U761" s="8"/>
      <c r="V761" s="1">
        <f t="shared" si="24"/>
        <v>2</v>
      </c>
      <c r="W761" s="1">
        <f t="shared" si="25"/>
        <v>0</v>
      </c>
    </row>
    <row r="762" spans="1:23" hidden="1" x14ac:dyDescent="0.2">
      <c r="A762" s="7">
        <f>Data!A833</f>
        <v>0</v>
      </c>
      <c r="B762" s="7">
        <f>Data!B833</f>
        <v>0</v>
      </c>
      <c r="C762" s="7">
        <f>Data!C833</f>
        <v>0</v>
      </c>
      <c r="D762" s="8" t="str">
        <f>IF(ISNUMBER(Data!AL833),Data!AL833/1000,"n/a")</f>
        <v>n/a</v>
      </c>
      <c r="E762" s="1">
        <f>Data!E833</f>
        <v>0</v>
      </c>
      <c r="F762" s="28">
        <f>Data!J833/100</f>
        <v>0</v>
      </c>
      <c r="G762" s="28" t="str">
        <f>IF(ISNUMBER(Data!S833),Data!S833/100,"n/a")</f>
        <v>n/a</v>
      </c>
      <c r="H762" s="28" t="str">
        <f>IF(ISNUMBER(Data!T833),Data!T833/100,"n/a")</f>
        <v>n/a</v>
      </c>
      <c r="I762" s="28" t="str">
        <f>IF(ISNUMBER(Data!U833),Data!U833/100,"n/a")</f>
        <v>n/a</v>
      </c>
      <c r="J762" s="28" t="str">
        <f>IF(ISNUMBER(Data!V833),Data!V833/100,"n/a")</f>
        <v>n/a</v>
      </c>
      <c r="K762" s="9" t="str">
        <f>IF(ISNUMBER(Data!Z833),Data!Z833/100,"n/a")</f>
        <v>n/a</v>
      </c>
      <c r="L762" s="10">
        <f>Data!AA833</f>
        <v>0</v>
      </c>
      <c r="M762" s="10">
        <f>Data!AF833</f>
        <v>0</v>
      </c>
      <c r="N762" s="28" t="str">
        <f>IF(ISNUMBER(Data!AG833),Data!AG833/100,"n/a")</f>
        <v>n/a</v>
      </c>
      <c r="O762" s="28" t="str">
        <f>IF(ISNUMBER(Data!AJ833),Data!AJ833/100,"n/a")</f>
        <v>n/a</v>
      </c>
      <c r="P762" s="9" t="str">
        <f>IF(ISNUMBER(Data!AK833),Data!AK833/100,"n/a")</f>
        <v>n/a</v>
      </c>
      <c r="Q762" s="8">
        <f>Data!AN833</f>
        <v>0</v>
      </c>
      <c r="R762" s="8">
        <f>Data!AP833</f>
        <v>0</v>
      </c>
      <c r="S762" s="8"/>
      <c r="T762" s="8"/>
      <c r="U762" s="8"/>
      <c r="V762" s="1">
        <f t="shared" si="24"/>
        <v>2</v>
      </c>
      <c r="W762" s="1">
        <f t="shared" si="25"/>
        <v>0</v>
      </c>
    </row>
    <row r="763" spans="1:23" hidden="1" x14ac:dyDescent="0.2">
      <c r="A763" s="7">
        <f>Data!A751</f>
        <v>0</v>
      </c>
      <c r="B763" s="7">
        <f>Data!B751</f>
        <v>0</v>
      </c>
      <c r="C763" s="7">
        <f>Data!C751</f>
        <v>0</v>
      </c>
      <c r="D763" s="8" t="str">
        <f>IF(ISNUMBER(Data!AL751),Data!AL751/1000,"n/a")</f>
        <v>n/a</v>
      </c>
      <c r="E763" s="1">
        <f>Data!E751</f>
        <v>0</v>
      </c>
      <c r="F763" s="28">
        <f>Data!J751/100</f>
        <v>0</v>
      </c>
      <c r="G763" s="28" t="str">
        <f>IF(ISNUMBER(Data!S751),Data!S751/100,"n/a")</f>
        <v>n/a</v>
      </c>
      <c r="H763" s="28" t="str">
        <f>IF(ISNUMBER(Data!T751),Data!T751/100,"n/a")</f>
        <v>n/a</v>
      </c>
      <c r="I763" s="28" t="str">
        <f>IF(ISNUMBER(Data!U751),Data!U751/100,"n/a")</f>
        <v>n/a</v>
      </c>
      <c r="J763" s="28" t="str">
        <f>IF(ISNUMBER(Data!V751),Data!V751/100,"n/a")</f>
        <v>n/a</v>
      </c>
      <c r="K763" s="9" t="str">
        <f>IF(ISNUMBER(Data!Z751),Data!Z751/100,"n/a")</f>
        <v>n/a</v>
      </c>
      <c r="L763" s="10">
        <f>Data!AA751</f>
        <v>0</v>
      </c>
      <c r="M763" s="10">
        <f>Data!AF751</f>
        <v>0</v>
      </c>
      <c r="N763" s="28" t="str">
        <f>IF(ISNUMBER(Data!AG751),Data!AG751/100,"n/a")</f>
        <v>n/a</v>
      </c>
      <c r="O763" s="28" t="str">
        <f>IF(ISNUMBER(Data!AJ751),Data!AJ751/100,"n/a")</f>
        <v>n/a</v>
      </c>
      <c r="P763" s="9" t="str">
        <f>IF(ISNUMBER(Data!AK751),Data!AK751/100,"n/a")</f>
        <v>n/a</v>
      </c>
      <c r="Q763" s="8">
        <f>Data!AN751</f>
        <v>0</v>
      </c>
      <c r="R763" s="8">
        <f>Data!AP751</f>
        <v>0</v>
      </c>
      <c r="S763" s="8"/>
      <c r="T763" s="8"/>
      <c r="U763" s="8"/>
      <c r="V763" s="1">
        <f t="shared" si="24"/>
        <v>2</v>
      </c>
      <c r="W763" s="1">
        <f t="shared" si="25"/>
        <v>0</v>
      </c>
    </row>
    <row r="764" spans="1:23" hidden="1" x14ac:dyDescent="0.2">
      <c r="A764" s="7">
        <f>Data!A752</f>
        <v>0</v>
      </c>
      <c r="B764" s="7">
        <f>Data!B752</f>
        <v>0</v>
      </c>
      <c r="C764" s="7">
        <f>Data!C752</f>
        <v>0</v>
      </c>
      <c r="D764" s="8" t="str">
        <f>IF(ISNUMBER(Data!AL752),Data!AL752/1000,"n/a")</f>
        <v>n/a</v>
      </c>
      <c r="E764" s="1">
        <f>Data!E752</f>
        <v>0</v>
      </c>
      <c r="F764" s="28">
        <f>Data!J752/100</f>
        <v>0</v>
      </c>
      <c r="G764" s="28" t="str">
        <f>IF(ISNUMBER(Data!S752),Data!S752/100,"n/a")</f>
        <v>n/a</v>
      </c>
      <c r="H764" s="28" t="str">
        <f>IF(ISNUMBER(Data!T752),Data!T752/100,"n/a")</f>
        <v>n/a</v>
      </c>
      <c r="I764" s="28" t="str">
        <f>IF(ISNUMBER(Data!U752),Data!U752/100,"n/a")</f>
        <v>n/a</v>
      </c>
      <c r="J764" s="28" t="str">
        <f>IF(ISNUMBER(Data!V752),Data!V752/100,"n/a")</f>
        <v>n/a</v>
      </c>
      <c r="K764" s="9" t="str">
        <f>IF(ISNUMBER(Data!Z752),Data!Z752/100,"n/a")</f>
        <v>n/a</v>
      </c>
      <c r="L764" s="10">
        <f>Data!AA752</f>
        <v>0</v>
      </c>
      <c r="M764" s="10">
        <f>Data!AF752</f>
        <v>0</v>
      </c>
      <c r="N764" s="28" t="str">
        <f>IF(ISNUMBER(Data!AG752),Data!AG752/100,"n/a")</f>
        <v>n/a</v>
      </c>
      <c r="O764" s="28" t="str">
        <f>IF(ISNUMBER(Data!AJ752),Data!AJ752/100,"n/a")</f>
        <v>n/a</v>
      </c>
      <c r="P764" s="9" t="str">
        <f>IF(ISNUMBER(Data!AK752),Data!AK752/100,"n/a")</f>
        <v>n/a</v>
      </c>
      <c r="Q764" s="8">
        <f>Data!AN752</f>
        <v>0</v>
      </c>
      <c r="R764" s="8">
        <f>Data!AP752</f>
        <v>0</v>
      </c>
      <c r="S764" s="8"/>
      <c r="T764" s="8"/>
      <c r="U764" s="8"/>
      <c r="V764" s="1">
        <f t="shared" si="24"/>
        <v>2</v>
      </c>
      <c r="W764" s="1">
        <f t="shared" si="25"/>
        <v>0</v>
      </c>
    </row>
    <row r="765" spans="1:23" hidden="1" x14ac:dyDescent="0.2">
      <c r="A765" s="7">
        <f>Data!A878</f>
        <v>0</v>
      </c>
      <c r="B765" s="7">
        <f>Data!B878</f>
        <v>0</v>
      </c>
      <c r="C765" s="7">
        <f>Data!C878</f>
        <v>0</v>
      </c>
      <c r="D765" s="8" t="str">
        <f>IF(ISNUMBER(Data!AL878),Data!AL878/1000,"n/a")</f>
        <v>n/a</v>
      </c>
      <c r="E765" s="1">
        <f>Data!E878</f>
        <v>0</v>
      </c>
      <c r="F765" s="28">
        <f>Data!J878/100</f>
        <v>0</v>
      </c>
      <c r="G765" s="28" t="str">
        <f>IF(ISNUMBER(Data!S878),Data!S878/100,"n/a")</f>
        <v>n/a</v>
      </c>
      <c r="H765" s="28" t="str">
        <f>IF(ISNUMBER(Data!T878),Data!T878/100,"n/a")</f>
        <v>n/a</v>
      </c>
      <c r="I765" s="28" t="str">
        <f>IF(ISNUMBER(Data!U878),Data!U878/100,"n/a")</f>
        <v>n/a</v>
      </c>
      <c r="J765" s="28" t="str">
        <f>IF(ISNUMBER(Data!V878),Data!V878/100,"n/a")</f>
        <v>n/a</v>
      </c>
      <c r="K765" s="9" t="str">
        <f>IF(ISNUMBER(Data!Z878),Data!Z878/100,"n/a")</f>
        <v>n/a</v>
      </c>
      <c r="L765" s="10">
        <f>Data!AA878</f>
        <v>0</v>
      </c>
      <c r="M765" s="10">
        <f>Data!AF878</f>
        <v>0</v>
      </c>
      <c r="N765" s="28" t="str">
        <f>IF(ISNUMBER(Data!AG878),Data!AG878/100,"n/a")</f>
        <v>n/a</v>
      </c>
      <c r="O765" s="28" t="str">
        <f>IF(ISNUMBER(Data!AJ878),Data!AJ878/100,"n/a")</f>
        <v>n/a</v>
      </c>
      <c r="P765" s="9" t="str">
        <f>IF(ISNUMBER(Data!AK878),Data!AK878/100,"n/a")</f>
        <v>n/a</v>
      </c>
      <c r="Q765" s="8">
        <f>Data!AN878</f>
        <v>0</v>
      </c>
      <c r="R765" s="8">
        <f>Data!AP878</f>
        <v>0</v>
      </c>
      <c r="S765" s="8"/>
      <c r="T765" s="8"/>
      <c r="U765" s="8"/>
      <c r="V765" s="1">
        <f t="shared" si="24"/>
        <v>2</v>
      </c>
      <c r="W765" s="1">
        <f t="shared" si="25"/>
        <v>0</v>
      </c>
    </row>
    <row r="766" spans="1:23" hidden="1" x14ac:dyDescent="0.2">
      <c r="A766" s="7">
        <f>Data!A754</f>
        <v>0</v>
      </c>
      <c r="B766" s="7">
        <f>Data!B754</f>
        <v>0</v>
      </c>
      <c r="C766" s="7">
        <f>Data!C754</f>
        <v>0</v>
      </c>
      <c r="D766" s="8" t="str">
        <f>IF(ISNUMBER(Data!AL754),Data!AL754/1000,"n/a")</f>
        <v>n/a</v>
      </c>
      <c r="E766" s="1">
        <f>Data!E754</f>
        <v>0</v>
      </c>
      <c r="F766" s="28">
        <f>Data!J754/100</f>
        <v>0</v>
      </c>
      <c r="G766" s="28" t="str">
        <f>IF(ISNUMBER(Data!S754),Data!S754/100,"n/a")</f>
        <v>n/a</v>
      </c>
      <c r="H766" s="28" t="str">
        <f>IF(ISNUMBER(Data!T754),Data!T754/100,"n/a")</f>
        <v>n/a</v>
      </c>
      <c r="I766" s="28" t="str">
        <f>IF(ISNUMBER(Data!U754),Data!U754/100,"n/a")</f>
        <v>n/a</v>
      </c>
      <c r="J766" s="28" t="str">
        <f>IF(ISNUMBER(Data!V754),Data!V754/100,"n/a")</f>
        <v>n/a</v>
      </c>
      <c r="K766" s="9" t="str">
        <f>IF(ISNUMBER(Data!Z754),Data!Z754/100,"n/a")</f>
        <v>n/a</v>
      </c>
      <c r="L766" s="10">
        <f>Data!AA754</f>
        <v>0</v>
      </c>
      <c r="M766" s="10">
        <f>Data!AF754</f>
        <v>0</v>
      </c>
      <c r="N766" s="28" t="str">
        <f>IF(ISNUMBER(Data!AG754),Data!AG754/100,"n/a")</f>
        <v>n/a</v>
      </c>
      <c r="O766" s="28" t="str">
        <f>IF(ISNUMBER(Data!AJ754),Data!AJ754/100,"n/a")</f>
        <v>n/a</v>
      </c>
      <c r="P766" s="9" t="str">
        <f>IF(ISNUMBER(Data!AK754),Data!AK754/100,"n/a")</f>
        <v>n/a</v>
      </c>
      <c r="Q766" s="8">
        <f>Data!AN754</f>
        <v>0</v>
      </c>
      <c r="R766" s="8">
        <f>Data!AP754</f>
        <v>0</v>
      </c>
      <c r="S766" s="8"/>
      <c r="T766" s="8"/>
      <c r="U766" s="8"/>
      <c r="V766" s="1">
        <f t="shared" si="24"/>
        <v>2</v>
      </c>
      <c r="W766" s="1">
        <f t="shared" si="25"/>
        <v>0</v>
      </c>
    </row>
    <row r="767" spans="1:23" hidden="1" x14ac:dyDescent="0.2">
      <c r="A767" s="7">
        <f>Data!A755</f>
        <v>0</v>
      </c>
      <c r="B767" s="7">
        <f>Data!B755</f>
        <v>0</v>
      </c>
      <c r="C767" s="7">
        <f>Data!C755</f>
        <v>0</v>
      </c>
      <c r="D767" s="8" t="str">
        <f>IF(ISNUMBER(Data!AL755),Data!AL755/1000,"n/a")</f>
        <v>n/a</v>
      </c>
      <c r="E767" s="1">
        <f>Data!E755</f>
        <v>0</v>
      </c>
      <c r="F767" s="28">
        <f>Data!J755/100</f>
        <v>0</v>
      </c>
      <c r="G767" s="28" t="str">
        <f>IF(ISNUMBER(Data!S755),Data!S755/100,"n/a")</f>
        <v>n/a</v>
      </c>
      <c r="H767" s="28" t="str">
        <f>IF(ISNUMBER(Data!T755),Data!T755/100,"n/a")</f>
        <v>n/a</v>
      </c>
      <c r="I767" s="28" t="str">
        <f>IF(ISNUMBER(Data!U755),Data!U755/100,"n/a")</f>
        <v>n/a</v>
      </c>
      <c r="J767" s="28" t="str">
        <f>IF(ISNUMBER(Data!V755),Data!V755/100,"n/a")</f>
        <v>n/a</v>
      </c>
      <c r="K767" s="9" t="str">
        <f>IF(ISNUMBER(Data!Z755),Data!Z755/100,"n/a")</f>
        <v>n/a</v>
      </c>
      <c r="L767" s="10">
        <f>Data!AA755</f>
        <v>0</v>
      </c>
      <c r="M767" s="10">
        <f>Data!AF755</f>
        <v>0</v>
      </c>
      <c r="N767" s="28" t="str">
        <f>IF(ISNUMBER(Data!AG755),Data!AG755/100,"n/a")</f>
        <v>n/a</v>
      </c>
      <c r="O767" s="28" t="str">
        <f>IF(ISNUMBER(Data!AJ755),Data!AJ755/100,"n/a")</f>
        <v>n/a</v>
      </c>
      <c r="P767" s="9" t="str">
        <f>IF(ISNUMBER(Data!AK755),Data!AK755/100,"n/a")</f>
        <v>n/a</v>
      </c>
      <c r="Q767" s="8">
        <f>Data!AN755</f>
        <v>0</v>
      </c>
      <c r="R767" s="8">
        <f>Data!AP755</f>
        <v>0</v>
      </c>
      <c r="S767" s="8"/>
      <c r="T767" s="8"/>
      <c r="U767" s="8"/>
      <c r="V767" s="1">
        <f t="shared" si="24"/>
        <v>2</v>
      </c>
      <c r="W767" s="1">
        <f t="shared" si="25"/>
        <v>0</v>
      </c>
    </row>
    <row r="768" spans="1:23" hidden="1" x14ac:dyDescent="0.2">
      <c r="A768" s="7">
        <f>Data!A757</f>
        <v>0</v>
      </c>
      <c r="B768" s="7">
        <f>Data!B757</f>
        <v>0</v>
      </c>
      <c r="C768" s="7">
        <f>Data!C757</f>
        <v>0</v>
      </c>
      <c r="D768" s="8" t="str">
        <f>IF(ISNUMBER(Data!AL757),Data!AL757/1000,"n/a")</f>
        <v>n/a</v>
      </c>
      <c r="E768" s="1">
        <f>Data!E757</f>
        <v>0</v>
      </c>
      <c r="F768" s="28">
        <f>Data!J757/100</f>
        <v>0</v>
      </c>
      <c r="G768" s="28" t="str">
        <f>IF(ISNUMBER(Data!S757),Data!S757/100,"n/a")</f>
        <v>n/a</v>
      </c>
      <c r="H768" s="28" t="str">
        <f>IF(ISNUMBER(Data!T757),Data!T757/100,"n/a")</f>
        <v>n/a</v>
      </c>
      <c r="I768" s="28" t="str">
        <f>IF(ISNUMBER(Data!U757),Data!U757/100,"n/a")</f>
        <v>n/a</v>
      </c>
      <c r="J768" s="28" t="str">
        <f>IF(ISNUMBER(Data!V757),Data!V757/100,"n/a")</f>
        <v>n/a</v>
      </c>
      <c r="K768" s="9" t="str">
        <f>IF(ISNUMBER(Data!Z757),Data!Z757/100,"n/a")</f>
        <v>n/a</v>
      </c>
      <c r="L768" s="10">
        <f>Data!AA757</f>
        <v>0</v>
      </c>
      <c r="M768" s="10">
        <f>Data!AF757</f>
        <v>0</v>
      </c>
      <c r="N768" s="28" t="str">
        <f>IF(ISNUMBER(Data!AG757),Data!AG757/100,"n/a")</f>
        <v>n/a</v>
      </c>
      <c r="O768" s="28" t="str">
        <f>IF(ISNUMBER(Data!AJ757),Data!AJ757/100,"n/a")</f>
        <v>n/a</v>
      </c>
      <c r="P768" s="9" t="str">
        <f>IF(ISNUMBER(Data!AK757),Data!AK757/100,"n/a")</f>
        <v>n/a</v>
      </c>
      <c r="Q768" s="8">
        <f>Data!AN757</f>
        <v>0</v>
      </c>
      <c r="R768" s="8">
        <f>Data!AP757</f>
        <v>0</v>
      </c>
      <c r="S768" s="8"/>
      <c r="T768" s="8"/>
      <c r="U768" s="8"/>
      <c r="V768" s="1">
        <f t="shared" si="24"/>
        <v>2</v>
      </c>
      <c r="W768" s="1">
        <f t="shared" si="25"/>
        <v>0</v>
      </c>
    </row>
    <row r="769" spans="1:23" hidden="1" x14ac:dyDescent="0.2">
      <c r="A769" s="7">
        <f>Data!A758</f>
        <v>0</v>
      </c>
      <c r="B769" s="7">
        <f>Data!B758</f>
        <v>0</v>
      </c>
      <c r="C769" s="7">
        <f>Data!C758</f>
        <v>0</v>
      </c>
      <c r="D769" s="8" t="str">
        <f>IF(ISNUMBER(Data!AL758),Data!AL758/1000,"n/a")</f>
        <v>n/a</v>
      </c>
      <c r="E769" s="1">
        <f>Data!E758</f>
        <v>0</v>
      </c>
      <c r="F769" s="28">
        <f>Data!J758/100</f>
        <v>0</v>
      </c>
      <c r="G769" s="28" t="str">
        <f>IF(ISNUMBER(Data!S758),Data!S758/100,"n/a")</f>
        <v>n/a</v>
      </c>
      <c r="H769" s="28" t="str">
        <f>IF(ISNUMBER(Data!T758),Data!T758/100,"n/a")</f>
        <v>n/a</v>
      </c>
      <c r="I769" s="28" t="str">
        <f>IF(ISNUMBER(Data!U758),Data!U758/100,"n/a")</f>
        <v>n/a</v>
      </c>
      <c r="J769" s="28" t="str">
        <f>IF(ISNUMBER(Data!V758),Data!V758/100,"n/a")</f>
        <v>n/a</v>
      </c>
      <c r="K769" s="9" t="str">
        <f>IF(ISNUMBER(Data!Z758),Data!Z758/100,"n/a")</f>
        <v>n/a</v>
      </c>
      <c r="L769" s="10">
        <f>Data!AA758</f>
        <v>0</v>
      </c>
      <c r="M769" s="10">
        <f>Data!AF758</f>
        <v>0</v>
      </c>
      <c r="N769" s="28" t="str">
        <f>IF(ISNUMBER(Data!AG758),Data!AG758/100,"n/a")</f>
        <v>n/a</v>
      </c>
      <c r="O769" s="28" t="str">
        <f>IF(ISNUMBER(Data!AJ758),Data!AJ758/100,"n/a")</f>
        <v>n/a</v>
      </c>
      <c r="P769" s="9" t="str">
        <f>IF(ISNUMBER(Data!AK758),Data!AK758/100,"n/a")</f>
        <v>n/a</v>
      </c>
      <c r="Q769" s="8">
        <f>Data!AN758</f>
        <v>0</v>
      </c>
      <c r="R769" s="8">
        <f>Data!AP758</f>
        <v>0</v>
      </c>
      <c r="S769" s="8"/>
      <c r="T769" s="8"/>
      <c r="U769" s="8"/>
      <c r="V769" s="1">
        <f t="shared" si="24"/>
        <v>2</v>
      </c>
      <c r="W769" s="1">
        <f t="shared" si="25"/>
        <v>0</v>
      </c>
    </row>
    <row r="770" spans="1:23" hidden="1" x14ac:dyDescent="0.2">
      <c r="A770" s="7">
        <f>Data!A759</f>
        <v>0</v>
      </c>
      <c r="B770" s="7">
        <f>Data!B759</f>
        <v>0</v>
      </c>
      <c r="C770" s="7">
        <f>Data!C759</f>
        <v>0</v>
      </c>
      <c r="D770" s="8" t="str">
        <f>IF(ISNUMBER(Data!AL759),Data!AL759/1000,"n/a")</f>
        <v>n/a</v>
      </c>
      <c r="E770" s="1">
        <f>Data!E759</f>
        <v>0</v>
      </c>
      <c r="F770" s="28">
        <f>Data!J759/100</f>
        <v>0</v>
      </c>
      <c r="G770" s="28" t="str">
        <f>IF(ISNUMBER(Data!S759),Data!S759/100,"n/a")</f>
        <v>n/a</v>
      </c>
      <c r="H770" s="28" t="str">
        <f>IF(ISNUMBER(Data!T759),Data!T759/100,"n/a")</f>
        <v>n/a</v>
      </c>
      <c r="I770" s="28" t="str">
        <f>IF(ISNUMBER(Data!U759),Data!U759/100,"n/a")</f>
        <v>n/a</v>
      </c>
      <c r="J770" s="28" t="str">
        <f>IF(ISNUMBER(Data!V759),Data!V759/100,"n/a")</f>
        <v>n/a</v>
      </c>
      <c r="K770" s="9" t="str">
        <f>IF(ISNUMBER(Data!Z759),Data!Z759/100,"n/a")</f>
        <v>n/a</v>
      </c>
      <c r="L770" s="10">
        <f>Data!AA759</f>
        <v>0</v>
      </c>
      <c r="M770" s="10">
        <f>Data!AF759</f>
        <v>0</v>
      </c>
      <c r="N770" s="28" t="str">
        <f>IF(ISNUMBER(Data!AG759),Data!AG759/100,"n/a")</f>
        <v>n/a</v>
      </c>
      <c r="O770" s="28" t="str">
        <f>IF(ISNUMBER(Data!AJ759),Data!AJ759/100,"n/a")</f>
        <v>n/a</v>
      </c>
      <c r="P770" s="9" t="str">
        <f>IF(ISNUMBER(Data!AK759),Data!AK759/100,"n/a")</f>
        <v>n/a</v>
      </c>
      <c r="Q770" s="8">
        <f>Data!AN759</f>
        <v>0</v>
      </c>
      <c r="R770" s="8">
        <f>Data!AP759</f>
        <v>0</v>
      </c>
      <c r="S770" s="8"/>
      <c r="T770" s="8"/>
      <c r="U770" s="8"/>
      <c r="V770" s="1">
        <f t="shared" si="24"/>
        <v>2</v>
      </c>
      <c r="W770" s="1">
        <f t="shared" si="25"/>
        <v>0</v>
      </c>
    </row>
    <row r="771" spans="1:23" hidden="1" x14ac:dyDescent="0.2">
      <c r="A771" s="7">
        <f>Data!A760</f>
        <v>0</v>
      </c>
      <c r="B771" s="7">
        <f>Data!B760</f>
        <v>0</v>
      </c>
      <c r="C771" s="7">
        <f>Data!C760</f>
        <v>0</v>
      </c>
      <c r="D771" s="8" t="str">
        <f>IF(ISNUMBER(Data!AL760),Data!AL760/1000,"n/a")</f>
        <v>n/a</v>
      </c>
      <c r="E771" s="1">
        <f>Data!E760</f>
        <v>0</v>
      </c>
      <c r="F771" s="28">
        <f>Data!J760/100</f>
        <v>0</v>
      </c>
      <c r="G771" s="28" t="str">
        <f>IF(ISNUMBER(Data!S760),Data!S760/100,"n/a")</f>
        <v>n/a</v>
      </c>
      <c r="H771" s="28" t="str">
        <f>IF(ISNUMBER(Data!T760),Data!T760/100,"n/a")</f>
        <v>n/a</v>
      </c>
      <c r="I771" s="28" t="str">
        <f>IF(ISNUMBER(Data!U760),Data!U760/100,"n/a")</f>
        <v>n/a</v>
      </c>
      <c r="J771" s="28" t="str">
        <f>IF(ISNUMBER(Data!V760),Data!V760/100,"n/a")</f>
        <v>n/a</v>
      </c>
      <c r="K771" s="9" t="str">
        <f>IF(ISNUMBER(Data!Z760),Data!Z760/100,"n/a")</f>
        <v>n/a</v>
      </c>
      <c r="L771" s="10">
        <f>Data!AA760</f>
        <v>0</v>
      </c>
      <c r="M771" s="10">
        <f>Data!AF760</f>
        <v>0</v>
      </c>
      <c r="N771" s="28" t="str">
        <f>IF(ISNUMBER(Data!AG760),Data!AG760/100,"n/a")</f>
        <v>n/a</v>
      </c>
      <c r="O771" s="28" t="str">
        <f>IF(ISNUMBER(Data!AJ760),Data!AJ760/100,"n/a")</f>
        <v>n/a</v>
      </c>
      <c r="P771" s="9" t="str">
        <f>IF(ISNUMBER(Data!AK760),Data!AK760/100,"n/a")</f>
        <v>n/a</v>
      </c>
      <c r="Q771" s="8">
        <f>Data!AN760</f>
        <v>0</v>
      </c>
      <c r="R771" s="8">
        <f>Data!AP760</f>
        <v>0</v>
      </c>
      <c r="S771" s="8"/>
      <c r="T771" s="8"/>
      <c r="U771" s="8"/>
      <c r="V771" s="1">
        <f t="shared" si="24"/>
        <v>2</v>
      </c>
      <c r="W771" s="1">
        <f t="shared" si="25"/>
        <v>0</v>
      </c>
    </row>
    <row r="772" spans="1:23" hidden="1" x14ac:dyDescent="0.2">
      <c r="A772" s="7">
        <f>Data!A761</f>
        <v>0</v>
      </c>
      <c r="B772" s="7">
        <f>Data!B761</f>
        <v>0</v>
      </c>
      <c r="C772" s="7">
        <f>Data!C761</f>
        <v>0</v>
      </c>
      <c r="D772" s="8" t="str">
        <f>IF(ISNUMBER(Data!AL761),Data!AL761/1000,"n/a")</f>
        <v>n/a</v>
      </c>
      <c r="E772" s="1">
        <f>Data!E761</f>
        <v>0</v>
      </c>
      <c r="F772" s="28">
        <f>Data!J761/100</f>
        <v>0</v>
      </c>
      <c r="G772" s="28" t="str">
        <f>IF(ISNUMBER(Data!S761),Data!S761/100,"n/a")</f>
        <v>n/a</v>
      </c>
      <c r="H772" s="28" t="str">
        <f>IF(ISNUMBER(Data!T761),Data!T761/100,"n/a")</f>
        <v>n/a</v>
      </c>
      <c r="I772" s="28" t="str">
        <f>IF(ISNUMBER(Data!U761),Data!U761/100,"n/a")</f>
        <v>n/a</v>
      </c>
      <c r="J772" s="28" t="str">
        <f>IF(ISNUMBER(Data!V761),Data!V761/100,"n/a")</f>
        <v>n/a</v>
      </c>
      <c r="K772" s="9" t="str">
        <f>IF(ISNUMBER(Data!Z761),Data!Z761/100,"n/a")</f>
        <v>n/a</v>
      </c>
      <c r="L772" s="10">
        <f>Data!AA761</f>
        <v>0</v>
      </c>
      <c r="M772" s="10">
        <f>Data!AF761</f>
        <v>0</v>
      </c>
      <c r="N772" s="28" t="str">
        <f>IF(ISNUMBER(Data!AG761),Data!AG761/100,"n/a")</f>
        <v>n/a</v>
      </c>
      <c r="O772" s="28" t="str">
        <f>IF(ISNUMBER(Data!AJ761),Data!AJ761/100,"n/a")</f>
        <v>n/a</v>
      </c>
      <c r="P772" s="9" t="str">
        <f>IF(ISNUMBER(Data!AK761),Data!AK761/100,"n/a")</f>
        <v>n/a</v>
      </c>
      <c r="Q772" s="8">
        <f>Data!AN761</f>
        <v>0</v>
      </c>
      <c r="R772" s="8">
        <f>Data!AP761</f>
        <v>0</v>
      </c>
      <c r="S772" s="8"/>
      <c r="T772" s="8"/>
      <c r="U772" s="8"/>
      <c r="V772" s="1">
        <f t="shared" si="24"/>
        <v>2</v>
      </c>
      <c r="W772" s="1">
        <f t="shared" si="25"/>
        <v>0</v>
      </c>
    </row>
    <row r="773" spans="1:23" hidden="1" x14ac:dyDescent="0.2">
      <c r="A773" s="7">
        <f>Data!A763</f>
        <v>0</v>
      </c>
      <c r="B773" s="7">
        <f>Data!B763</f>
        <v>0</v>
      </c>
      <c r="C773" s="7">
        <f>Data!C763</f>
        <v>0</v>
      </c>
      <c r="D773" s="8" t="str">
        <f>IF(ISNUMBER(Data!AL763),Data!AL763/1000,"n/a")</f>
        <v>n/a</v>
      </c>
      <c r="E773" s="1">
        <f>Data!E763</f>
        <v>0</v>
      </c>
      <c r="F773" s="28">
        <f>Data!J763/100</f>
        <v>0</v>
      </c>
      <c r="G773" s="28" t="str">
        <f>IF(ISNUMBER(Data!S763),Data!S763/100,"n/a")</f>
        <v>n/a</v>
      </c>
      <c r="H773" s="28" t="str">
        <f>IF(ISNUMBER(Data!T763),Data!T763/100,"n/a")</f>
        <v>n/a</v>
      </c>
      <c r="I773" s="28" t="str">
        <f>IF(ISNUMBER(Data!U763),Data!U763/100,"n/a")</f>
        <v>n/a</v>
      </c>
      <c r="J773" s="28" t="str">
        <f>IF(ISNUMBER(Data!V763),Data!V763/100,"n/a")</f>
        <v>n/a</v>
      </c>
      <c r="K773" s="9" t="str">
        <f>IF(ISNUMBER(Data!Z763),Data!Z763/100,"n/a")</f>
        <v>n/a</v>
      </c>
      <c r="L773" s="10">
        <f>Data!AA763</f>
        <v>0</v>
      </c>
      <c r="M773" s="10">
        <f>Data!AF763</f>
        <v>0</v>
      </c>
      <c r="N773" s="28" t="str">
        <f>IF(ISNUMBER(Data!AG763),Data!AG763/100,"n/a")</f>
        <v>n/a</v>
      </c>
      <c r="O773" s="28" t="str">
        <f>IF(ISNUMBER(Data!AJ763),Data!AJ763/100,"n/a")</f>
        <v>n/a</v>
      </c>
      <c r="P773" s="9" t="str">
        <f>IF(ISNUMBER(Data!AK763),Data!AK763/100,"n/a")</f>
        <v>n/a</v>
      </c>
      <c r="Q773" s="8">
        <f>Data!AN763</f>
        <v>0</v>
      </c>
      <c r="R773" s="8">
        <f>Data!AP763</f>
        <v>0</v>
      </c>
      <c r="S773" s="8"/>
      <c r="T773" s="8"/>
      <c r="U773" s="8"/>
      <c r="V773" s="1">
        <f t="shared" si="24"/>
        <v>2</v>
      </c>
      <c r="W773" s="1">
        <f t="shared" si="25"/>
        <v>0</v>
      </c>
    </row>
    <row r="774" spans="1:23" hidden="1" x14ac:dyDescent="0.2">
      <c r="A774" s="7">
        <f>Data!A764</f>
        <v>0</v>
      </c>
      <c r="B774" s="7">
        <f>Data!B764</f>
        <v>0</v>
      </c>
      <c r="C774" s="7">
        <f>Data!C764</f>
        <v>0</v>
      </c>
      <c r="D774" s="8" t="str">
        <f>IF(ISNUMBER(Data!AL764),Data!AL764/1000,"n/a")</f>
        <v>n/a</v>
      </c>
      <c r="E774" s="1">
        <f>Data!E764</f>
        <v>0</v>
      </c>
      <c r="F774" s="28">
        <f>Data!J764/100</f>
        <v>0</v>
      </c>
      <c r="G774" s="28" t="str">
        <f>IF(ISNUMBER(Data!S764),Data!S764/100,"n/a")</f>
        <v>n/a</v>
      </c>
      <c r="H774" s="28" t="str">
        <f>IF(ISNUMBER(Data!T764),Data!T764/100,"n/a")</f>
        <v>n/a</v>
      </c>
      <c r="I774" s="28" t="str">
        <f>IF(ISNUMBER(Data!U764),Data!U764/100,"n/a")</f>
        <v>n/a</v>
      </c>
      <c r="J774" s="28" t="str">
        <f>IF(ISNUMBER(Data!V764),Data!V764/100,"n/a")</f>
        <v>n/a</v>
      </c>
      <c r="K774" s="9" t="str">
        <f>IF(ISNUMBER(Data!Z764),Data!Z764/100,"n/a")</f>
        <v>n/a</v>
      </c>
      <c r="L774" s="10">
        <f>Data!AA764</f>
        <v>0</v>
      </c>
      <c r="M774" s="10">
        <f>Data!AF764</f>
        <v>0</v>
      </c>
      <c r="N774" s="28" t="str">
        <f>IF(ISNUMBER(Data!AG764),Data!AG764/100,"n/a")</f>
        <v>n/a</v>
      </c>
      <c r="O774" s="28" t="str">
        <f>IF(ISNUMBER(Data!AJ764),Data!AJ764/100,"n/a")</f>
        <v>n/a</v>
      </c>
      <c r="P774" s="9" t="str">
        <f>IF(ISNUMBER(Data!AK764),Data!AK764/100,"n/a")</f>
        <v>n/a</v>
      </c>
      <c r="Q774" s="8">
        <f>Data!AN764</f>
        <v>0</v>
      </c>
      <c r="R774" s="8">
        <f>Data!AP764</f>
        <v>0</v>
      </c>
      <c r="S774" s="8"/>
      <c r="T774" s="8"/>
      <c r="U774" s="8"/>
      <c r="V774" s="1">
        <f t="shared" ref="V774:V837" si="26">IF($D$4="+",IF(D774="n/a",0,IF(D774&gt;=$D$5,1,0)),0)+IF($E$4="+",IF(E774="n/a",0,IF(E774&gt;=$E$5,1,0)),0)+IF($F$4="+",IF(F774="n/a",0,IF(F774&gt;=$F$5,1,0)),0)+IF($G$4="+",IF(G774="n/a",0,IF(G774&gt;=$G$5,1,0)),0)+IF($H$4="+",IF(H774="n/a",0,IF(H774&gt;=$H$5,1,0)),0)+IF($I$4="+",IF(I774="n/a",0,IF(I774&gt;=$I$5,1,0)),0)+IF($J$4="+",IF(J774="n/a",0,IF(J774&gt;=$J$5,1,0)),0)+IF($K$4="+",IF(K774="n/a",0,IF(K774&lt;=$K$5,1,0)),0)+IF($L$4="+",IF(L774="n/a",0,IF(L774&lt;=$L$5,1,0)),0)+IF($M$4="+",IF(M774="n/a",0,IF(M774&lt;=$M$5,1,0)),0)+IF($N$4="+",IF(N774="n/a",0,IF(N774&gt;=$N$5,1,0)),0)+IF($O$4="+",IF(O774="n/a",0,IF(O774&gt;=$O$5,1,0)),0)+IF($P$4="+",IF(P774="n/a",0,IF(P774&gt;=$P$5,1,0)),0)+IF($Q$4="+",IF(Q774="n/a",0,IF(Q774&lt;=$Q$5,1,0)),0)+IF($R$4="+",IF(R774="n/a",0,IF(R774&gt;=$R$5,1,0)),0)+$Y$4</f>
        <v>2</v>
      </c>
      <c r="W774" s="1">
        <f t="shared" ref="W774:W837" si="27">IF(V774&gt;=$V$2,"",0)</f>
        <v>0</v>
      </c>
    </row>
    <row r="775" spans="1:23" hidden="1" x14ac:dyDescent="0.2">
      <c r="A775" s="7">
        <f>Data!A765</f>
        <v>0</v>
      </c>
      <c r="B775" s="7">
        <f>Data!B765</f>
        <v>0</v>
      </c>
      <c r="C775" s="7">
        <f>Data!C765</f>
        <v>0</v>
      </c>
      <c r="D775" s="8" t="str">
        <f>IF(ISNUMBER(Data!AL765),Data!AL765/1000,"n/a")</f>
        <v>n/a</v>
      </c>
      <c r="E775" s="1">
        <f>Data!E765</f>
        <v>0</v>
      </c>
      <c r="F775" s="28">
        <f>Data!J765/100</f>
        <v>0</v>
      </c>
      <c r="G775" s="28" t="str">
        <f>IF(ISNUMBER(Data!S765),Data!S765/100,"n/a")</f>
        <v>n/a</v>
      </c>
      <c r="H775" s="28" t="str">
        <f>IF(ISNUMBER(Data!T765),Data!T765/100,"n/a")</f>
        <v>n/a</v>
      </c>
      <c r="I775" s="28" t="str">
        <f>IF(ISNUMBER(Data!U765),Data!U765/100,"n/a")</f>
        <v>n/a</v>
      </c>
      <c r="J775" s="28" t="str">
        <f>IF(ISNUMBER(Data!V765),Data!V765/100,"n/a")</f>
        <v>n/a</v>
      </c>
      <c r="K775" s="9" t="str">
        <f>IF(ISNUMBER(Data!Z765),Data!Z765/100,"n/a")</f>
        <v>n/a</v>
      </c>
      <c r="L775" s="10">
        <f>Data!AA765</f>
        <v>0</v>
      </c>
      <c r="M775" s="10">
        <f>Data!AF765</f>
        <v>0</v>
      </c>
      <c r="N775" s="28" t="str">
        <f>IF(ISNUMBER(Data!AG765),Data!AG765/100,"n/a")</f>
        <v>n/a</v>
      </c>
      <c r="O775" s="28" t="str">
        <f>IF(ISNUMBER(Data!AJ765),Data!AJ765/100,"n/a")</f>
        <v>n/a</v>
      </c>
      <c r="P775" s="9" t="str">
        <f>IF(ISNUMBER(Data!AK765),Data!AK765/100,"n/a")</f>
        <v>n/a</v>
      </c>
      <c r="Q775" s="8">
        <f>Data!AN765</f>
        <v>0</v>
      </c>
      <c r="R775" s="8">
        <f>Data!AP765</f>
        <v>0</v>
      </c>
      <c r="S775" s="8"/>
      <c r="T775" s="8"/>
      <c r="U775" s="8"/>
      <c r="V775" s="1">
        <f t="shared" si="26"/>
        <v>2</v>
      </c>
      <c r="W775" s="1">
        <f t="shared" si="27"/>
        <v>0</v>
      </c>
    </row>
    <row r="776" spans="1:23" hidden="1" x14ac:dyDescent="0.2">
      <c r="A776" s="7">
        <f>Data!A767</f>
        <v>0</v>
      </c>
      <c r="B776" s="7">
        <f>Data!B767</f>
        <v>0</v>
      </c>
      <c r="C776" s="7">
        <f>Data!C767</f>
        <v>0</v>
      </c>
      <c r="D776" s="8" t="str">
        <f>IF(ISNUMBER(Data!AL767),Data!AL767/1000,"n/a")</f>
        <v>n/a</v>
      </c>
      <c r="E776" s="1">
        <f>Data!E767</f>
        <v>0</v>
      </c>
      <c r="F776" s="28">
        <f>Data!J767/100</f>
        <v>0</v>
      </c>
      <c r="G776" s="28" t="str">
        <f>IF(ISNUMBER(Data!S767),Data!S767/100,"n/a")</f>
        <v>n/a</v>
      </c>
      <c r="H776" s="28" t="str">
        <f>IF(ISNUMBER(Data!T767),Data!T767/100,"n/a")</f>
        <v>n/a</v>
      </c>
      <c r="I776" s="28" t="str">
        <f>IF(ISNUMBER(Data!U767),Data!U767/100,"n/a")</f>
        <v>n/a</v>
      </c>
      <c r="J776" s="28" t="str">
        <f>IF(ISNUMBER(Data!V767),Data!V767/100,"n/a")</f>
        <v>n/a</v>
      </c>
      <c r="K776" s="9" t="str">
        <f>IF(ISNUMBER(Data!Z767),Data!Z767/100,"n/a")</f>
        <v>n/a</v>
      </c>
      <c r="L776" s="10">
        <f>Data!AA767</f>
        <v>0</v>
      </c>
      <c r="M776" s="10">
        <f>Data!AF767</f>
        <v>0</v>
      </c>
      <c r="N776" s="28" t="str">
        <f>IF(ISNUMBER(Data!AG767),Data!AG767/100,"n/a")</f>
        <v>n/a</v>
      </c>
      <c r="O776" s="28" t="str">
        <f>IF(ISNUMBER(Data!AJ767),Data!AJ767/100,"n/a")</f>
        <v>n/a</v>
      </c>
      <c r="P776" s="9" t="str">
        <f>IF(ISNUMBER(Data!AK767),Data!AK767/100,"n/a")</f>
        <v>n/a</v>
      </c>
      <c r="Q776" s="8">
        <f>Data!AN767</f>
        <v>0</v>
      </c>
      <c r="R776" s="8">
        <f>Data!AP767</f>
        <v>0</v>
      </c>
      <c r="S776" s="8"/>
      <c r="T776" s="8"/>
      <c r="U776" s="8"/>
      <c r="V776" s="1">
        <f t="shared" si="26"/>
        <v>2</v>
      </c>
      <c r="W776" s="1">
        <f t="shared" si="27"/>
        <v>0</v>
      </c>
    </row>
    <row r="777" spans="1:23" hidden="1" x14ac:dyDescent="0.2">
      <c r="A777" s="7">
        <f>Data!A768</f>
        <v>0</v>
      </c>
      <c r="B777" s="7">
        <f>Data!B768</f>
        <v>0</v>
      </c>
      <c r="C777" s="7">
        <f>Data!C768</f>
        <v>0</v>
      </c>
      <c r="D777" s="8" t="str">
        <f>IF(ISNUMBER(Data!AL768),Data!AL768/1000,"n/a")</f>
        <v>n/a</v>
      </c>
      <c r="E777" s="1">
        <f>Data!E768</f>
        <v>0</v>
      </c>
      <c r="F777" s="28">
        <f>Data!J768/100</f>
        <v>0</v>
      </c>
      <c r="G777" s="28" t="str">
        <f>IF(ISNUMBER(Data!S768),Data!S768/100,"n/a")</f>
        <v>n/a</v>
      </c>
      <c r="H777" s="28" t="str">
        <f>IF(ISNUMBER(Data!T768),Data!T768/100,"n/a")</f>
        <v>n/a</v>
      </c>
      <c r="I777" s="28" t="str">
        <f>IF(ISNUMBER(Data!U768),Data!U768/100,"n/a")</f>
        <v>n/a</v>
      </c>
      <c r="J777" s="28" t="str">
        <f>IF(ISNUMBER(Data!V768),Data!V768/100,"n/a")</f>
        <v>n/a</v>
      </c>
      <c r="K777" s="9" t="str">
        <f>IF(ISNUMBER(Data!Z768),Data!Z768/100,"n/a")</f>
        <v>n/a</v>
      </c>
      <c r="L777" s="10">
        <f>Data!AA768</f>
        <v>0</v>
      </c>
      <c r="M777" s="10">
        <f>Data!AF768</f>
        <v>0</v>
      </c>
      <c r="N777" s="28" t="str">
        <f>IF(ISNUMBER(Data!AG768),Data!AG768/100,"n/a")</f>
        <v>n/a</v>
      </c>
      <c r="O777" s="28" t="str">
        <f>IF(ISNUMBER(Data!AJ768),Data!AJ768/100,"n/a")</f>
        <v>n/a</v>
      </c>
      <c r="P777" s="9" t="str">
        <f>IF(ISNUMBER(Data!AK768),Data!AK768/100,"n/a")</f>
        <v>n/a</v>
      </c>
      <c r="Q777" s="8">
        <f>Data!AN768</f>
        <v>0</v>
      </c>
      <c r="R777" s="8">
        <f>Data!AP768</f>
        <v>0</v>
      </c>
      <c r="S777" s="8"/>
      <c r="T777" s="8"/>
      <c r="U777" s="8"/>
      <c r="V777" s="1">
        <f t="shared" si="26"/>
        <v>2</v>
      </c>
      <c r="W777" s="1">
        <f t="shared" si="27"/>
        <v>0</v>
      </c>
    </row>
    <row r="778" spans="1:23" hidden="1" x14ac:dyDescent="0.2">
      <c r="A778" s="7">
        <f>Data!A769</f>
        <v>0</v>
      </c>
      <c r="B778" s="7">
        <f>Data!B769</f>
        <v>0</v>
      </c>
      <c r="C778" s="7">
        <f>Data!C769</f>
        <v>0</v>
      </c>
      <c r="D778" s="8" t="str">
        <f>IF(ISNUMBER(Data!AL769),Data!AL769/1000,"n/a")</f>
        <v>n/a</v>
      </c>
      <c r="E778" s="1">
        <f>Data!E769</f>
        <v>0</v>
      </c>
      <c r="F778" s="28">
        <f>Data!J769/100</f>
        <v>0</v>
      </c>
      <c r="G778" s="28" t="str">
        <f>IF(ISNUMBER(Data!S769),Data!S769/100,"n/a")</f>
        <v>n/a</v>
      </c>
      <c r="H778" s="28" t="str">
        <f>IF(ISNUMBER(Data!T769),Data!T769/100,"n/a")</f>
        <v>n/a</v>
      </c>
      <c r="I778" s="28" t="str">
        <f>IF(ISNUMBER(Data!U769),Data!U769/100,"n/a")</f>
        <v>n/a</v>
      </c>
      <c r="J778" s="28" t="str">
        <f>IF(ISNUMBER(Data!V769),Data!V769/100,"n/a")</f>
        <v>n/a</v>
      </c>
      <c r="K778" s="9" t="str">
        <f>IF(ISNUMBER(Data!Z769),Data!Z769/100,"n/a")</f>
        <v>n/a</v>
      </c>
      <c r="L778" s="10">
        <f>Data!AA769</f>
        <v>0</v>
      </c>
      <c r="M778" s="10">
        <f>Data!AF769</f>
        <v>0</v>
      </c>
      <c r="N778" s="28" t="str">
        <f>IF(ISNUMBER(Data!AG769),Data!AG769/100,"n/a")</f>
        <v>n/a</v>
      </c>
      <c r="O778" s="28" t="str">
        <f>IF(ISNUMBER(Data!AJ769),Data!AJ769/100,"n/a")</f>
        <v>n/a</v>
      </c>
      <c r="P778" s="9" t="str">
        <f>IF(ISNUMBER(Data!AK769),Data!AK769/100,"n/a")</f>
        <v>n/a</v>
      </c>
      <c r="Q778" s="8">
        <f>Data!AN769</f>
        <v>0</v>
      </c>
      <c r="R778" s="8">
        <f>Data!AP769</f>
        <v>0</v>
      </c>
      <c r="S778" s="8"/>
      <c r="T778" s="8"/>
      <c r="U778" s="8"/>
      <c r="V778" s="1">
        <f t="shared" si="26"/>
        <v>2</v>
      </c>
      <c r="W778" s="1">
        <f t="shared" si="27"/>
        <v>0</v>
      </c>
    </row>
    <row r="779" spans="1:23" hidden="1" x14ac:dyDescent="0.2">
      <c r="A779" s="7">
        <f>Data!A770</f>
        <v>0</v>
      </c>
      <c r="B779" s="7">
        <f>Data!B770</f>
        <v>0</v>
      </c>
      <c r="C779" s="7">
        <f>Data!C770</f>
        <v>0</v>
      </c>
      <c r="D779" s="8" t="str">
        <f>IF(ISNUMBER(Data!AL770),Data!AL770/1000,"n/a")</f>
        <v>n/a</v>
      </c>
      <c r="E779" s="1">
        <f>Data!E770</f>
        <v>0</v>
      </c>
      <c r="F779" s="28">
        <f>Data!J770/100</f>
        <v>0</v>
      </c>
      <c r="G779" s="28" t="str">
        <f>IF(ISNUMBER(Data!S770),Data!S770/100,"n/a")</f>
        <v>n/a</v>
      </c>
      <c r="H779" s="28" t="str">
        <f>IF(ISNUMBER(Data!T770),Data!T770/100,"n/a")</f>
        <v>n/a</v>
      </c>
      <c r="I779" s="28" t="str">
        <f>IF(ISNUMBER(Data!U770),Data!U770/100,"n/a")</f>
        <v>n/a</v>
      </c>
      <c r="J779" s="28" t="str">
        <f>IF(ISNUMBER(Data!V770),Data!V770/100,"n/a")</f>
        <v>n/a</v>
      </c>
      <c r="K779" s="9" t="str">
        <f>IF(ISNUMBER(Data!Z770),Data!Z770/100,"n/a")</f>
        <v>n/a</v>
      </c>
      <c r="L779" s="10">
        <f>Data!AA770</f>
        <v>0</v>
      </c>
      <c r="M779" s="10">
        <f>Data!AF770</f>
        <v>0</v>
      </c>
      <c r="N779" s="28" t="str">
        <f>IF(ISNUMBER(Data!AG770),Data!AG770/100,"n/a")</f>
        <v>n/a</v>
      </c>
      <c r="O779" s="28" t="str">
        <f>IF(ISNUMBER(Data!AJ770),Data!AJ770/100,"n/a")</f>
        <v>n/a</v>
      </c>
      <c r="P779" s="9" t="str">
        <f>IF(ISNUMBER(Data!AK770),Data!AK770/100,"n/a")</f>
        <v>n/a</v>
      </c>
      <c r="Q779" s="8">
        <f>Data!AN770</f>
        <v>0</v>
      </c>
      <c r="R779" s="8">
        <f>Data!AP770</f>
        <v>0</v>
      </c>
      <c r="S779" s="8"/>
      <c r="T779" s="8"/>
      <c r="U779" s="8"/>
      <c r="V779" s="1">
        <f t="shared" si="26"/>
        <v>2</v>
      </c>
      <c r="W779" s="1">
        <f t="shared" si="27"/>
        <v>0</v>
      </c>
    </row>
    <row r="780" spans="1:23" hidden="1" x14ac:dyDescent="0.2">
      <c r="A780" s="7">
        <f>Data!A771</f>
        <v>0</v>
      </c>
      <c r="B780" s="7">
        <f>Data!B771</f>
        <v>0</v>
      </c>
      <c r="C780" s="7">
        <f>Data!C771</f>
        <v>0</v>
      </c>
      <c r="D780" s="8" t="str">
        <f>IF(ISNUMBER(Data!AL771),Data!AL771/1000,"n/a")</f>
        <v>n/a</v>
      </c>
      <c r="E780" s="1">
        <f>Data!E771</f>
        <v>0</v>
      </c>
      <c r="F780" s="28">
        <f>Data!J771/100</f>
        <v>0</v>
      </c>
      <c r="G780" s="28" t="str">
        <f>IF(ISNUMBER(Data!S771),Data!S771/100,"n/a")</f>
        <v>n/a</v>
      </c>
      <c r="H780" s="28" t="str">
        <f>IF(ISNUMBER(Data!T771),Data!T771/100,"n/a")</f>
        <v>n/a</v>
      </c>
      <c r="I780" s="28" t="str">
        <f>IF(ISNUMBER(Data!U771),Data!U771/100,"n/a")</f>
        <v>n/a</v>
      </c>
      <c r="J780" s="28" t="str">
        <f>IF(ISNUMBER(Data!V771),Data!V771/100,"n/a")</f>
        <v>n/a</v>
      </c>
      <c r="K780" s="9" t="str">
        <f>IF(ISNUMBER(Data!Z771),Data!Z771/100,"n/a")</f>
        <v>n/a</v>
      </c>
      <c r="L780" s="10">
        <f>Data!AA771</f>
        <v>0</v>
      </c>
      <c r="M780" s="10">
        <f>Data!AF771</f>
        <v>0</v>
      </c>
      <c r="N780" s="28" t="str">
        <f>IF(ISNUMBER(Data!AG771),Data!AG771/100,"n/a")</f>
        <v>n/a</v>
      </c>
      <c r="O780" s="28" t="str">
        <f>IF(ISNUMBER(Data!AJ771),Data!AJ771/100,"n/a")</f>
        <v>n/a</v>
      </c>
      <c r="P780" s="9" t="str">
        <f>IF(ISNUMBER(Data!AK771),Data!AK771/100,"n/a")</f>
        <v>n/a</v>
      </c>
      <c r="Q780" s="8">
        <f>Data!AN771</f>
        <v>0</v>
      </c>
      <c r="R780" s="8">
        <f>Data!AP771</f>
        <v>0</v>
      </c>
      <c r="S780" s="8"/>
      <c r="T780" s="8"/>
      <c r="U780" s="8"/>
      <c r="V780" s="1">
        <f t="shared" si="26"/>
        <v>2</v>
      </c>
      <c r="W780" s="1">
        <f t="shared" si="27"/>
        <v>0</v>
      </c>
    </row>
    <row r="781" spans="1:23" hidden="1" x14ac:dyDescent="0.2">
      <c r="A781" s="7">
        <f>Data!A773</f>
        <v>0</v>
      </c>
      <c r="B781" s="7">
        <f>Data!B773</f>
        <v>0</v>
      </c>
      <c r="C781" s="7">
        <f>Data!C773</f>
        <v>0</v>
      </c>
      <c r="D781" s="8" t="str">
        <f>IF(ISNUMBER(Data!AL773),Data!AL773/1000,"n/a")</f>
        <v>n/a</v>
      </c>
      <c r="E781" s="1">
        <f>Data!E773</f>
        <v>0</v>
      </c>
      <c r="F781" s="28">
        <f>Data!J773/100</f>
        <v>0</v>
      </c>
      <c r="G781" s="28" t="str">
        <f>IF(ISNUMBER(Data!S773),Data!S773/100,"n/a")</f>
        <v>n/a</v>
      </c>
      <c r="H781" s="28" t="str">
        <f>IF(ISNUMBER(Data!T773),Data!T773/100,"n/a")</f>
        <v>n/a</v>
      </c>
      <c r="I781" s="28" t="str">
        <f>IF(ISNUMBER(Data!U773),Data!U773/100,"n/a")</f>
        <v>n/a</v>
      </c>
      <c r="J781" s="28" t="str">
        <f>IF(ISNUMBER(Data!V773),Data!V773/100,"n/a")</f>
        <v>n/a</v>
      </c>
      <c r="K781" s="9" t="str">
        <f>IF(ISNUMBER(Data!Z773),Data!Z773/100,"n/a")</f>
        <v>n/a</v>
      </c>
      <c r="L781" s="10">
        <f>Data!AA773</f>
        <v>0</v>
      </c>
      <c r="M781" s="10">
        <f>Data!AF773</f>
        <v>0</v>
      </c>
      <c r="N781" s="28" t="str">
        <f>IF(ISNUMBER(Data!AG773),Data!AG773/100,"n/a")</f>
        <v>n/a</v>
      </c>
      <c r="O781" s="28" t="str">
        <f>IF(ISNUMBER(Data!AJ773),Data!AJ773/100,"n/a")</f>
        <v>n/a</v>
      </c>
      <c r="P781" s="9" t="str">
        <f>IF(ISNUMBER(Data!AK773),Data!AK773/100,"n/a")</f>
        <v>n/a</v>
      </c>
      <c r="Q781" s="8">
        <f>Data!AN773</f>
        <v>0</v>
      </c>
      <c r="R781" s="8">
        <f>Data!AP773</f>
        <v>0</v>
      </c>
      <c r="S781" s="8"/>
      <c r="T781" s="8"/>
      <c r="U781" s="8"/>
      <c r="V781" s="1">
        <f t="shared" si="26"/>
        <v>2</v>
      </c>
      <c r="W781" s="1">
        <f t="shared" si="27"/>
        <v>0</v>
      </c>
    </row>
    <row r="782" spans="1:23" hidden="1" x14ac:dyDescent="0.2">
      <c r="A782" s="7">
        <f>Data!A774</f>
        <v>0</v>
      </c>
      <c r="B782" s="7">
        <f>Data!B774</f>
        <v>0</v>
      </c>
      <c r="C782" s="7">
        <f>Data!C774</f>
        <v>0</v>
      </c>
      <c r="D782" s="8" t="str">
        <f>IF(ISNUMBER(Data!AL774),Data!AL774/1000,"n/a")</f>
        <v>n/a</v>
      </c>
      <c r="E782" s="1">
        <f>Data!E774</f>
        <v>0</v>
      </c>
      <c r="F782" s="28">
        <f>Data!J774/100</f>
        <v>0</v>
      </c>
      <c r="G782" s="28" t="str">
        <f>IF(ISNUMBER(Data!S774),Data!S774/100,"n/a")</f>
        <v>n/a</v>
      </c>
      <c r="H782" s="28" t="str">
        <f>IF(ISNUMBER(Data!T774),Data!T774/100,"n/a")</f>
        <v>n/a</v>
      </c>
      <c r="I782" s="28" t="str">
        <f>IF(ISNUMBER(Data!U774),Data!U774/100,"n/a")</f>
        <v>n/a</v>
      </c>
      <c r="J782" s="28" t="str">
        <f>IF(ISNUMBER(Data!V774),Data!V774/100,"n/a")</f>
        <v>n/a</v>
      </c>
      <c r="K782" s="9" t="str">
        <f>IF(ISNUMBER(Data!Z774),Data!Z774/100,"n/a")</f>
        <v>n/a</v>
      </c>
      <c r="L782" s="10">
        <f>Data!AA774</f>
        <v>0</v>
      </c>
      <c r="M782" s="10">
        <f>Data!AF774</f>
        <v>0</v>
      </c>
      <c r="N782" s="28" t="str">
        <f>IF(ISNUMBER(Data!AG774),Data!AG774/100,"n/a")</f>
        <v>n/a</v>
      </c>
      <c r="O782" s="28" t="str">
        <f>IF(ISNUMBER(Data!AJ774),Data!AJ774/100,"n/a")</f>
        <v>n/a</v>
      </c>
      <c r="P782" s="9" t="str">
        <f>IF(ISNUMBER(Data!AK774),Data!AK774/100,"n/a")</f>
        <v>n/a</v>
      </c>
      <c r="Q782" s="8">
        <f>Data!AN774</f>
        <v>0</v>
      </c>
      <c r="R782" s="8">
        <f>Data!AP774</f>
        <v>0</v>
      </c>
      <c r="S782" s="8"/>
      <c r="T782" s="8"/>
      <c r="U782" s="8"/>
      <c r="V782" s="1">
        <f t="shared" si="26"/>
        <v>2</v>
      </c>
      <c r="W782" s="1">
        <f t="shared" si="27"/>
        <v>0</v>
      </c>
    </row>
    <row r="783" spans="1:23" hidden="1" x14ac:dyDescent="0.2">
      <c r="A783" s="7">
        <f>Data!A776</f>
        <v>0</v>
      </c>
      <c r="B783" s="7">
        <f>Data!B776</f>
        <v>0</v>
      </c>
      <c r="C783" s="7">
        <f>Data!C776</f>
        <v>0</v>
      </c>
      <c r="D783" s="8" t="str">
        <f>IF(ISNUMBER(Data!AL776),Data!AL776/1000,"n/a")</f>
        <v>n/a</v>
      </c>
      <c r="E783" s="1">
        <f>Data!E776</f>
        <v>0</v>
      </c>
      <c r="F783" s="28">
        <f>Data!J776/100</f>
        <v>0</v>
      </c>
      <c r="G783" s="28" t="str">
        <f>IF(ISNUMBER(Data!S776),Data!S776/100,"n/a")</f>
        <v>n/a</v>
      </c>
      <c r="H783" s="28" t="str">
        <f>IF(ISNUMBER(Data!T776),Data!T776/100,"n/a")</f>
        <v>n/a</v>
      </c>
      <c r="I783" s="28" t="str">
        <f>IF(ISNUMBER(Data!U776),Data!U776/100,"n/a")</f>
        <v>n/a</v>
      </c>
      <c r="J783" s="28" t="str">
        <f>IF(ISNUMBER(Data!V776),Data!V776/100,"n/a")</f>
        <v>n/a</v>
      </c>
      <c r="K783" s="9" t="str">
        <f>IF(ISNUMBER(Data!Z776),Data!Z776/100,"n/a")</f>
        <v>n/a</v>
      </c>
      <c r="L783" s="10">
        <f>Data!AA776</f>
        <v>0</v>
      </c>
      <c r="M783" s="10">
        <f>Data!AF776</f>
        <v>0</v>
      </c>
      <c r="N783" s="28" t="str">
        <f>IF(ISNUMBER(Data!AG776),Data!AG776/100,"n/a")</f>
        <v>n/a</v>
      </c>
      <c r="O783" s="28" t="str">
        <f>IF(ISNUMBER(Data!AJ776),Data!AJ776/100,"n/a")</f>
        <v>n/a</v>
      </c>
      <c r="P783" s="9" t="str">
        <f>IF(ISNUMBER(Data!AK776),Data!AK776/100,"n/a")</f>
        <v>n/a</v>
      </c>
      <c r="Q783" s="8">
        <f>Data!AN776</f>
        <v>0</v>
      </c>
      <c r="R783" s="8">
        <f>Data!AP776</f>
        <v>0</v>
      </c>
      <c r="S783" s="8"/>
      <c r="T783" s="8"/>
      <c r="U783" s="8"/>
      <c r="V783" s="1">
        <f t="shared" si="26"/>
        <v>2</v>
      </c>
      <c r="W783" s="1">
        <f t="shared" si="27"/>
        <v>0</v>
      </c>
    </row>
    <row r="784" spans="1:23" hidden="1" x14ac:dyDescent="0.2">
      <c r="A784" s="7">
        <f>Data!A778</f>
        <v>0</v>
      </c>
      <c r="B784" s="7">
        <f>Data!B778</f>
        <v>0</v>
      </c>
      <c r="C784" s="7">
        <f>Data!C778</f>
        <v>0</v>
      </c>
      <c r="D784" s="8" t="str">
        <f>IF(ISNUMBER(Data!AL778),Data!AL778/1000,"n/a")</f>
        <v>n/a</v>
      </c>
      <c r="E784" s="1">
        <f>Data!E778</f>
        <v>0</v>
      </c>
      <c r="F784" s="28">
        <f>Data!J778/100</f>
        <v>0</v>
      </c>
      <c r="G784" s="28" t="str">
        <f>IF(ISNUMBER(Data!S778),Data!S778/100,"n/a")</f>
        <v>n/a</v>
      </c>
      <c r="H784" s="28" t="str">
        <f>IF(ISNUMBER(Data!T778),Data!T778/100,"n/a")</f>
        <v>n/a</v>
      </c>
      <c r="I784" s="28" t="str">
        <f>IF(ISNUMBER(Data!U778),Data!U778/100,"n/a")</f>
        <v>n/a</v>
      </c>
      <c r="J784" s="28" t="str">
        <f>IF(ISNUMBER(Data!V778),Data!V778/100,"n/a")</f>
        <v>n/a</v>
      </c>
      <c r="K784" s="9" t="str">
        <f>IF(ISNUMBER(Data!Z778),Data!Z778/100,"n/a")</f>
        <v>n/a</v>
      </c>
      <c r="L784" s="10">
        <f>Data!AA778</f>
        <v>0</v>
      </c>
      <c r="M784" s="10">
        <f>Data!AF778</f>
        <v>0</v>
      </c>
      <c r="N784" s="28" t="str">
        <f>IF(ISNUMBER(Data!AG778),Data!AG778/100,"n/a")</f>
        <v>n/a</v>
      </c>
      <c r="O784" s="28" t="str">
        <f>IF(ISNUMBER(Data!AJ778),Data!AJ778/100,"n/a")</f>
        <v>n/a</v>
      </c>
      <c r="P784" s="9" t="str">
        <f>IF(ISNUMBER(Data!AK778),Data!AK778/100,"n/a")</f>
        <v>n/a</v>
      </c>
      <c r="Q784" s="8">
        <f>Data!AN778</f>
        <v>0</v>
      </c>
      <c r="R784" s="8">
        <f>Data!AP778</f>
        <v>0</v>
      </c>
      <c r="S784" s="8"/>
      <c r="T784" s="8"/>
      <c r="U784" s="8"/>
      <c r="V784" s="1">
        <f t="shared" si="26"/>
        <v>2</v>
      </c>
      <c r="W784" s="1">
        <f t="shared" si="27"/>
        <v>0</v>
      </c>
    </row>
    <row r="785" spans="1:23" hidden="1" x14ac:dyDescent="0.2">
      <c r="A785" s="7">
        <f>Data!A779</f>
        <v>0</v>
      </c>
      <c r="B785" s="7">
        <f>Data!B779</f>
        <v>0</v>
      </c>
      <c r="C785" s="7">
        <f>Data!C779</f>
        <v>0</v>
      </c>
      <c r="D785" s="8" t="str">
        <f>IF(ISNUMBER(Data!AL779),Data!AL779/1000,"n/a")</f>
        <v>n/a</v>
      </c>
      <c r="E785" s="1">
        <f>Data!E779</f>
        <v>0</v>
      </c>
      <c r="F785" s="28">
        <f>Data!J779/100</f>
        <v>0</v>
      </c>
      <c r="G785" s="28" t="str">
        <f>IF(ISNUMBER(Data!S779),Data!S779/100,"n/a")</f>
        <v>n/a</v>
      </c>
      <c r="H785" s="28" t="str">
        <f>IF(ISNUMBER(Data!T779),Data!T779/100,"n/a")</f>
        <v>n/a</v>
      </c>
      <c r="I785" s="28" t="str">
        <f>IF(ISNUMBER(Data!U779),Data!U779/100,"n/a")</f>
        <v>n/a</v>
      </c>
      <c r="J785" s="28" t="str">
        <f>IF(ISNUMBER(Data!V779),Data!V779/100,"n/a")</f>
        <v>n/a</v>
      </c>
      <c r="K785" s="9" t="str">
        <f>IF(ISNUMBER(Data!Z779),Data!Z779/100,"n/a")</f>
        <v>n/a</v>
      </c>
      <c r="L785" s="10">
        <f>Data!AA779</f>
        <v>0</v>
      </c>
      <c r="M785" s="10">
        <f>Data!AF779</f>
        <v>0</v>
      </c>
      <c r="N785" s="28" t="str">
        <f>IF(ISNUMBER(Data!AG779),Data!AG779/100,"n/a")</f>
        <v>n/a</v>
      </c>
      <c r="O785" s="28" t="str">
        <f>IF(ISNUMBER(Data!AJ779),Data!AJ779/100,"n/a")</f>
        <v>n/a</v>
      </c>
      <c r="P785" s="9" t="str">
        <f>IF(ISNUMBER(Data!AK779),Data!AK779/100,"n/a")</f>
        <v>n/a</v>
      </c>
      <c r="Q785" s="8">
        <f>Data!AN779</f>
        <v>0</v>
      </c>
      <c r="R785" s="8">
        <f>Data!AP779</f>
        <v>0</v>
      </c>
      <c r="S785" s="8"/>
      <c r="T785" s="8"/>
      <c r="U785" s="8"/>
      <c r="V785" s="1">
        <f t="shared" si="26"/>
        <v>2</v>
      </c>
      <c r="W785" s="1">
        <f t="shared" si="27"/>
        <v>0</v>
      </c>
    </row>
    <row r="786" spans="1:23" hidden="1" x14ac:dyDescent="0.2">
      <c r="A786" s="7">
        <f>Data!A780</f>
        <v>0</v>
      </c>
      <c r="B786" s="7">
        <f>Data!B780</f>
        <v>0</v>
      </c>
      <c r="C786" s="7">
        <f>Data!C780</f>
        <v>0</v>
      </c>
      <c r="D786" s="8" t="str">
        <f>IF(ISNUMBER(Data!AL780),Data!AL780/1000,"n/a")</f>
        <v>n/a</v>
      </c>
      <c r="E786" s="1">
        <f>Data!E780</f>
        <v>0</v>
      </c>
      <c r="F786" s="28">
        <f>Data!J780/100</f>
        <v>0</v>
      </c>
      <c r="G786" s="28" t="str">
        <f>IF(ISNUMBER(Data!S780),Data!S780/100,"n/a")</f>
        <v>n/a</v>
      </c>
      <c r="H786" s="28" t="str">
        <f>IF(ISNUMBER(Data!T780),Data!T780/100,"n/a")</f>
        <v>n/a</v>
      </c>
      <c r="I786" s="28" t="str">
        <f>IF(ISNUMBER(Data!U780),Data!U780/100,"n/a")</f>
        <v>n/a</v>
      </c>
      <c r="J786" s="28" t="str">
        <f>IF(ISNUMBER(Data!V780),Data!V780/100,"n/a")</f>
        <v>n/a</v>
      </c>
      <c r="K786" s="9" t="str">
        <f>IF(ISNUMBER(Data!Z780),Data!Z780/100,"n/a")</f>
        <v>n/a</v>
      </c>
      <c r="L786" s="10">
        <f>Data!AA780</f>
        <v>0</v>
      </c>
      <c r="M786" s="10">
        <f>Data!AF780</f>
        <v>0</v>
      </c>
      <c r="N786" s="28" t="str">
        <f>IF(ISNUMBER(Data!AG780),Data!AG780/100,"n/a")</f>
        <v>n/a</v>
      </c>
      <c r="O786" s="28" t="str">
        <f>IF(ISNUMBER(Data!AJ780),Data!AJ780/100,"n/a")</f>
        <v>n/a</v>
      </c>
      <c r="P786" s="9" t="str">
        <f>IF(ISNUMBER(Data!AK780),Data!AK780/100,"n/a")</f>
        <v>n/a</v>
      </c>
      <c r="Q786" s="8">
        <f>Data!AN780</f>
        <v>0</v>
      </c>
      <c r="R786" s="8">
        <f>Data!AP780</f>
        <v>0</v>
      </c>
      <c r="S786" s="8"/>
      <c r="T786" s="8"/>
      <c r="U786" s="8"/>
      <c r="V786" s="1">
        <f t="shared" si="26"/>
        <v>2</v>
      </c>
      <c r="W786" s="1">
        <f t="shared" si="27"/>
        <v>0</v>
      </c>
    </row>
    <row r="787" spans="1:23" hidden="1" x14ac:dyDescent="0.2">
      <c r="A787" s="7">
        <f>Data!A781</f>
        <v>0</v>
      </c>
      <c r="B787" s="7">
        <f>Data!B781</f>
        <v>0</v>
      </c>
      <c r="C787" s="7">
        <f>Data!C781</f>
        <v>0</v>
      </c>
      <c r="D787" s="8" t="str">
        <f>IF(ISNUMBER(Data!AL781),Data!AL781/1000,"n/a")</f>
        <v>n/a</v>
      </c>
      <c r="E787" s="1">
        <f>Data!E781</f>
        <v>0</v>
      </c>
      <c r="F787" s="28">
        <f>Data!J781/100</f>
        <v>0</v>
      </c>
      <c r="G787" s="28" t="str">
        <f>IF(ISNUMBER(Data!S781),Data!S781/100,"n/a")</f>
        <v>n/a</v>
      </c>
      <c r="H787" s="28" t="str">
        <f>IF(ISNUMBER(Data!T781),Data!T781/100,"n/a")</f>
        <v>n/a</v>
      </c>
      <c r="I787" s="28" t="str">
        <f>IF(ISNUMBER(Data!U781),Data!U781/100,"n/a")</f>
        <v>n/a</v>
      </c>
      <c r="J787" s="28" t="str">
        <f>IF(ISNUMBER(Data!V781),Data!V781/100,"n/a")</f>
        <v>n/a</v>
      </c>
      <c r="K787" s="9" t="str">
        <f>IF(ISNUMBER(Data!Z781),Data!Z781/100,"n/a")</f>
        <v>n/a</v>
      </c>
      <c r="L787" s="10">
        <f>Data!AA781</f>
        <v>0</v>
      </c>
      <c r="M787" s="10">
        <f>Data!AF781</f>
        <v>0</v>
      </c>
      <c r="N787" s="28" t="str">
        <f>IF(ISNUMBER(Data!AG781),Data!AG781/100,"n/a")</f>
        <v>n/a</v>
      </c>
      <c r="O787" s="28" t="str">
        <f>IF(ISNUMBER(Data!AJ781),Data!AJ781/100,"n/a")</f>
        <v>n/a</v>
      </c>
      <c r="P787" s="9" t="str">
        <f>IF(ISNUMBER(Data!AK781),Data!AK781/100,"n/a")</f>
        <v>n/a</v>
      </c>
      <c r="Q787" s="8">
        <f>Data!AN781</f>
        <v>0</v>
      </c>
      <c r="R787" s="8">
        <f>Data!AP781</f>
        <v>0</v>
      </c>
      <c r="S787" s="8"/>
      <c r="T787" s="8"/>
      <c r="U787" s="8"/>
      <c r="V787" s="1">
        <f t="shared" si="26"/>
        <v>2</v>
      </c>
      <c r="W787" s="1">
        <f t="shared" si="27"/>
        <v>0</v>
      </c>
    </row>
    <row r="788" spans="1:23" hidden="1" x14ac:dyDescent="0.2">
      <c r="A788" s="7">
        <f>Data!A782</f>
        <v>0</v>
      </c>
      <c r="B788" s="7">
        <f>Data!B782</f>
        <v>0</v>
      </c>
      <c r="C788" s="7">
        <f>Data!C782</f>
        <v>0</v>
      </c>
      <c r="D788" s="8" t="str">
        <f>IF(ISNUMBER(Data!AL782),Data!AL782/1000,"n/a")</f>
        <v>n/a</v>
      </c>
      <c r="E788" s="1">
        <f>Data!E782</f>
        <v>0</v>
      </c>
      <c r="F788" s="28">
        <f>Data!J782/100</f>
        <v>0</v>
      </c>
      <c r="G788" s="28" t="str">
        <f>IF(ISNUMBER(Data!S782),Data!S782/100,"n/a")</f>
        <v>n/a</v>
      </c>
      <c r="H788" s="28" t="str">
        <f>IF(ISNUMBER(Data!T782),Data!T782/100,"n/a")</f>
        <v>n/a</v>
      </c>
      <c r="I788" s="28" t="str">
        <f>IF(ISNUMBER(Data!U782),Data!U782/100,"n/a")</f>
        <v>n/a</v>
      </c>
      <c r="J788" s="28" t="str">
        <f>IF(ISNUMBER(Data!V782),Data!V782/100,"n/a")</f>
        <v>n/a</v>
      </c>
      <c r="K788" s="9" t="str">
        <f>IF(ISNUMBER(Data!Z782),Data!Z782/100,"n/a")</f>
        <v>n/a</v>
      </c>
      <c r="L788" s="10">
        <f>Data!AA782</f>
        <v>0</v>
      </c>
      <c r="M788" s="10">
        <f>Data!AF782</f>
        <v>0</v>
      </c>
      <c r="N788" s="28" t="str">
        <f>IF(ISNUMBER(Data!AG782),Data!AG782/100,"n/a")</f>
        <v>n/a</v>
      </c>
      <c r="O788" s="28" t="str">
        <f>IF(ISNUMBER(Data!AJ782),Data!AJ782/100,"n/a")</f>
        <v>n/a</v>
      </c>
      <c r="P788" s="9" t="str">
        <f>IF(ISNUMBER(Data!AK782),Data!AK782/100,"n/a")</f>
        <v>n/a</v>
      </c>
      <c r="Q788" s="8">
        <f>Data!AN782</f>
        <v>0</v>
      </c>
      <c r="R788" s="8">
        <f>Data!AP782</f>
        <v>0</v>
      </c>
      <c r="S788" s="8"/>
      <c r="T788" s="8"/>
      <c r="U788" s="8"/>
      <c r="V788" s="1">
        <f t="shared" si="26"/>
        <v>2</v>
      </c>
      <c r="W788" s="1">
        <f t="shared" si="27"/>
        <v>0</v>
      </c>
    </row>
    <row r="789" spans="1:23" hidden="1" x14ac:dyDescent="0.2">
      <c r="A789" s="7">
        <f>Data!A783</f>
        <v>0</v>
      </c>
      <c r="B789" s="7">
        <f>Data!B783</f>
        <v>0</v>
      </c>
      <c r="C789" s="7">
        <f>Data!C783</f>
        <v>0</v>
      </c>
      <c r="D789" s="8" t="str">
        <f>IF(ISNUMBER(Data!AL783),Data!AL783/1000,"n/a")</f>
        <v>n/a</v>
      </c>
      <c r="E789" s="1">
        <f>Data!E783</f>
        <v>0</v>
      </c>
      <c r="F789" s="28">
        <f>Data!J783/100</f>
        <v>0</v>
      </c>
      <c r="G789" s="28" t="str">
        <f>IF(ISNUMBER(Data!S783),Data!S783/100,"n/a")</f>
        <v>n/a</v>
      </c>
      <c r="H789" s="28" t="str">
        <f>IF(ISNUMBER(Data!T783),Data!T783/100,"n/a")</f>
        <v>n/a</v>
      </c>
      <c r="I789" s="28" t="str">
        <f>IF(ISNUMBER(Data!U783),Data!U783/100,"n/a")</f>
        <v>n/a</v>
      </c>
      <c r="J789" s="28" t="str">
        <f>IF(ISNUMBER(Data!V783),Data!V783/100,"n/a")</f>
        <v>n/a</v>
      </c>
      <c r="K789" s="9" t="str">
        <f>IF(ISNUMBER(Data!Z783),Data!Z783/100,"n/a")</f>
        <v>n/a</v>
      </c>
      <c r="L789" s="10">
        <f>Data!AA783</f>
        <v>0</v>
      </c>
      <c r="M789" s="10">
        <f>Data!AF783</f>
        <v>0</v>
      </c>
      <c r="N789" s="28" t="str">
        <f>IF(ISNUMBER(Data!AG783),Data!AG783/100,"n/a")</f>
        <v>n/a</v>
      </c>
      <c r="O789" s="28" t="str">
        <f>IF(ISNUMBER(Data!AJ783),Data!AJ783/100,"n/a")</f>
        <v>n/a</v>
      </c>
      <c r="P789" s="9" t="str">
        <f>IF(ISNUMBER(Data!AK783),Data!AK783/100,"n/a")</f>
        <v>n/a</v>
      </c>
      <c r="Q789" s="8">
        <f>Data!AN783</f>
        <v>0</v>
      </c>
      <c r="R789" s="8">
        <f>Data!AP783</f>
        <v>0</v>
      </c>
      <c r="S789" s="8"/>
      <c r="T789" s="8"/>
      <c r="U789" s="8"/>
      <c r="V789" s="1">
        <f t="shared" si="26"/>
        <v>2</v>
      </c>
      <c r="W789" s="1">
        <f t="shared" si="27"/>
        <v>0</v>
      </c>
    </row>
    <row r="790" spans="1:23" hidden="1" x14ac:dyDescent="0.2">
      <c r="A790" s="7">
        <f>Data!A784</f>
        <v>0</v>
      </c>
      <c r="B790" s="7">
        <f>Data!B784</f>
        <v>0</v>
      </c>
      <c r="C790" s="7">
        <f>Data!C784</f>
        <v>0</v>
      </c>
      <c r="D790" s="8" t="str">
        <f>IF(ISNUMBER(Data!AL784),Data!AL784/1000,"n/a")</f>
        <v>n/a</v>
      </c>
      <c r="E790" s="1">
        <f>Data!E784</f>
        <v>0</v>
      </c>
      <c r="F790" s="28">
        <f>Data!J784/100</f>
        <v>0</v>
      </c>
      <c r="G790" s="28" t="str">
        <f>IF(ISNUMBER(Data!S784),Data!S784/100,"n/a")</f>
        <v>n/a</v>
      </c>
      <c r="H790" s="28" t="str">
        <f>IF(ISNUMBER(Data!T784),Data!T784/100,"n/a")</f>
        <v>n/a</v>
      </c>
      <c r="I790" s="28" t="str">
        <f>IF(ISNUMBER(Data!U784),Data!U784/100,"n/a")</f>
        <v>n/a</v>
      </c>
      <c r="J790" s="28" t="str">
        <f>IF(ISNUMBER(Data!V784),Data!V784/100,"n/a")</f>
        <v>n/a</v>
      </c>
      <c r="K790" s="9" t="str">
        <f>IF(ISNUMBER(Data!Z784),Data!Z784/100,"n/a")</f>
        <v>n/a</v>
      </c>
      <c r="L790" s="10">
        <f>Data!AA784</f>
        <v>0</v>
      </c>
      <c r="M790" s="10">
        <f>Data!AF784</f>
        <v>0</v>
      </c>
      <c r="N790" s="28" t="str">
        <f>IF(ISNUMBER(Data!AG784),Data!AG784/100,"n/a")</f>
        <v>n/a</v>
      </c>
      <c r="O790" s="28" t="str">
        <f>IF(ISNUMBER(Data!AJ784),Data!AJ784/100,"n/a")</f>
        <v>n/a</v>
      </c>
      <c r="P790" s="9" t="str">
        <f>IF(ISNUMBER(Data!AK784),Data!AK784/100,"n/a")</f>
        <v>n/a</v>
      </c>
      <c r="Q790" s="8">
        <f>Data!AN784</f>
        <v>0</v>
      </c>
      <c r="R790" s="8">
        <f>Data!AP784</f>
        <v>0</v>
      </c>
      <c r="S790" s="8"/>
      <c r="T790" s="8"/>
      <c r="U790" s="8"/>
      <c r="V790" s="1">
        <f t="shared" si="26"/>
        <v>2</v>
      </c>
      <c r="W790" s="1">
        <f t="shared" si="27"/>
        <v>0</v>
      </c>
    </row>
    <row r="791" spans="1:23" hidden="1" x14ac:dyDescent="0.2">
      <c r="A791" s="7">
        <f>Data!A785</f>
        <v>0</v>
      </c>
      <c r="B791" s="7">
        <f>Data!B785</f>
        <v>0</v>
      </c>
      <c r="C791" s="7">
        <f>Data!C785</f>
        <v>0</v>
      </c>
      <c r="D791" s="8" t="str">
        <f>IF(ISNUMBER(Data!AL785),Data!AL785/1000,"n/a")</f>
        <v>n/a</v>
      </c>
      <c r="E791" s="1">
        <f>Data!E785</f>
        <v>0</v>
      </c>
      <c r="F791" s="28">
        <f>Data!J785/100</f>
        <v>0</v>
      </c>
      <c r="G791" s="28" t="str">
        <f>IF(ISNUMBER(Data!S785),Data!S785/100,"n/a")</f>
        <v>n/a</v>
      </c>
      <c r="H791" s="28" t="str">
        <f>IF(ISNUMBER(Data!T785),Data!T785/100,"n/a")</f>
        <v>n/a</v>
      </c>
      <c r="I791" s="28" t="str">
        <f>IF(ISNUMBER(Data!U785),Data!U785/100,"n/a")</f>
        <v>n/a</v>
      </c>
      <c r="J791" s="28" t="str">
        <f>IF(ISNUMBER(Data!V785),Data!V785/100,"n/a")</f>
        <v>n/a</v>
      </c>
      <c r="K791" s="9" t="str">
        <f>IF(ISNUMBER(Data!Z785),Data!Z785/100,"n/a")</f>
        <v>n/a</v>
      </c>
      <c r="L791" s="10">
        <f>Data!AA785</f>
        <v>0</v>
      </c>
      <c r="M791" s="10">
        <f>Data!AF785</f>
        <v>0</v>
      </c>
      <c r="N791" s="28" t="str">
        <f>IF(ISNUMBER(Data!AG785),Data!AG785/100,"n/a")</f>
        <v>n/a</v>
      </c>
      <c r="O791" s="28" t="str">
        <f>IF(ISNUMBER(Data!AJ785),Data!AJ785/100,"n/a")</f>
        <v>n/a</v>
      </c>
      <c r="P791" s="9" t="str">
        <f>IF(ISNUMBER(Data!AK785),Data!AK785/100,"n/a")</f>
        <v>n/a</v>
      </c>
      <c r="Q791" s="8">
        <f>Data!AN785</f>
        <v>0</v>
      </c>
      <c r="R791" s="8">
        <f>Data!AP785</f>
        <v>0</v>
      </c>
      <c r="S791" s="8"/>
      <c r="T791" s="8"/>
      <c r="U791" s="8"/>
      <c r="V791" s="1">
        <f t="shared" si="26"/>
        <v>2</v>
      </c>
      <c r="W791" s="1">
        <f t="shared" si="27"/>
        <v>0</v>
      </c>
    </row>
    <row r="792" spans="1:23" hidden="1" x14ac:dyDescent="0.2">
      <c r="A792" s="7">
        <f>Data!A787</f>
        <v>0</v>
      </c>
      <c r="B792" s="7">
        <f>Data!B787</f>
        <v>0</v>
      </c>
      <c r="C792" s="7">
        <f>Data!C787</f>
        <v>0</v>
      </c>
      <c r="D792" s="8" t="str">
        <f>IF(ISNUMBER(Data!AL787),Data!AL787/1000,"n/a")</f>
        <v>n/a</v>
      </c>
      <c r="E792" s="1">
        <f>Data!E787</f>
        <v>0</v>
      </c>
      <c r="F792" s="28">
        <f>Data!J787/100</f>
        <v>0</v>
      </c>
      <c r="G792" s="28" t="str">
        <f>IF(ISNUMBER(Data!S787),Data!S787/100,"n/a")</f>
        <v>n/a</v>
      </c>
      <c r="H792" s="28" t="str">
        <f>IF(ISNUMBER(Data!T787),Data!T787/100,"n/a")</f>
        <v>n/a</v>
      </c>
      <c r="I792" s="28" t="str">
        <f>IF(ISNUMBER(Data!U787),Data!U787/100,"n/a")</f>
        <v>n/a</v>
      </c>
      <c r="J792" s="28" t="str">
        <f>IF(ISNUMBER(Data!V787),Data!V787/100,"n/a")</f>
        <v>n/a</v>
      </c>
      <c r="K792" s="9" t="str">
        <f>IF(ISNUMBER(Data!Z787),Data!Z787/100,"n/a")</f>
        <v>n/a</v>
      </c>
      <c r="L792" s="10">
        <f>Data!AA787</f>
        <v>0</v>
      </c>
      <c r="M792" s="10">
        <f>Data!AF787</f>
        <v>0</v>
      </c>
      <c r="N792" s="28" t="str">
        <f>IF(ISNUMBER(Data!AG787),Data!AG787/100,"n/a")</f>
        <v>n/a</v>
      </c>
      <c r="O792" s="28" t="str">
        <f>IF(ISNUMBER(Data!AJ787),Data!AJ787/100,"n/a")</f>
        <v>n/a</v>
      </c>
      <c r="P792" s="9" t="str">
        <f>IF(ISNUMBER(Data!AK787),Data!AK787/100,"n/a")</f>
        <v>n/a</v>
      </c>
      <c r="Q792" s="8">
        <f>Data!AN787</f>
        <v>0</v>
      </c>
      <c r="R792" s="8">
        <f>Data!AP787</f>
        <v>0</v>
      </c>
      <c r="S792" s="8"/>
      <c r="T792" s="8"/>
      <c r="U792" s="8"/>
      <c r="V792" s="1">
        <f t="shared" si="26"/>
        <v>2</v>
      </c>
      <c r="W792" s="1">
        <f t="shared" si="27"/>
        <v>0</v>
      </c>
    </row>
    <row r="793" spans="1:23" hidden="1" x14ac:dyDescent="0.2">
      <c r="A793" s="7">
        <f>Data!A788</f>
        <v>0</v>
      </c>
      <c r="B793" s="7">
        <f>Data!B788</f>
        <v>0</v>
      </c>
      <c r="C793" s="7">
        <f>Data!C788</f>
        <v>0</v>
      </c>
      <c r="D793" s="8" t="str">
        <f>IF(ISNUMBER(Data!AL788),Data!AL788/1000,"n/a")</f>
        <v>n/a</v>
      </c>
      <c r="E793" s="1">
        <f>Data!E788</f>
        <v>0</v>
      </c>
      <c r="F793" s="28">
        <f>Data!J788/100</f>
        <v>0</v>
      </c>
      <c r="G793" s="28" t="str">
        <f>IF(ISNUMBER(Data!S788),Data!S788/100,"n/a")</f>
        <v>n/a</v>
      </c>
      <c r="H793" s="28" t="str">
        <f>IF(ISNUMBER(Data!T788),Data!T788/100,"n/a")</f>
        <v>n/a</v>
      </c>
      <c r="I793" s="28" t="str">
        <f>IF(ISNUMBER(Data!U788),Data!U788/100,"n/a")</f>
        <v>n/a</v>
      </c>
      <c r="J793" s="28" t="str">
        <f>IF(ISNUMBER(Data!V788),Data!V788/100,"n/a")</f>
        <v>n/a</v>
      </c>
      <c r="K793" s="9" t="str">
        <f>IF(ISNUMBER(Data!Z788),Data!Z788/100,"n/a")</f>
        <v>n/a</v>
      </c>
      <c r="L793" s="10">
        <f>Data!AA788</f>
        <v>0</v>
      </c>
      <c r="M793" s="10">
        <f>Data!AF788</f>
        <v>0</v>
      </c>
      <c r="N793" s="28" t="str">
        <f>IF(ISNUMBER(Data!AG788),Data!AG788/100,"n/a")</f>
        <v>n/a</v>
      </c>
      <c r="O793" s="28" t="str">
        <f>IF(ISNUMBER(Data!AJ788),Data!AJ788/100,"n/a")</f>
        <v>n/a</v>
      </c>
      <c r="P793" s="9" t="str">
        <f>IF(ISNUMBER(Data!AK788),Data!AK788/100,"n/a")</f>
        <v>n/a</v>
      </c>
      <c r="Q793" s="8">
        <f>Data!AN788</f>
        <v>0</v>
      </c>
      <c r="R793" s="8">
        <f>Data!AP788</f>
        <v>0</v>
      </c>
      <c r="S793" s="8"/>
      <c r="T793" s="8"/>
      <c r="U793" s="8"/>
      <c r="V793" s="1">
        <f t="shared" si="26"/>
        <v>2</v>
      </c>
      <c r="W793" s="1">
        <f t="shared" si="27"/>
        <v>0</v>
      </c>
    </row>
    <row r="794" spans="1:23" hidden="1" x14ac:dyDescent="0.2">
      <c r="A794" s="7">
        <f>Data!A789</f>
        <v>0</v>
      </c>
      <c r="B794" s="7">
        <f>Data!B789</f>
        <v>0</v>
      </c>
      <c r="C794" s="7">
        <f>Data!C789</f>
        <v>0</v>
      </c>
      <c r="D794" s="8" t="str">
        <f>IF(ISNUMBER(Data!AL789),Data!AL789/1000,"n/a")</f>
        <v>n/a</v>
      </c>
      <c r="E794" s="1">
        <f>Data!E789</f>
        <v>0</v>
      </c>
      <c r="F794" s="28">
        <f>Data!J789/100</f>
        <v>0</v>
      </c>
      <c r="G794" s="28" t="str">
        <f>IF(ISNUMBER(Data!S789),Data!S789/100,"n/a")</f>
        <v>n/a</v>
      </c>
      <c r="H794" s="28" t="str">
        <f>IF(ISNUMBER(Data!T789),Data!T789/100,"n/a")</f>
        <v>n/a</v>
      </c>
      <c r="I794" s="28" t="str">
        <f>IF(ISNUMBER(Data!U789),Data!U789/100,"n/a")</f>
        <v>n/a</v>
      </c>
      <c r="J794" s="28" t="str">
        <f>IF(ISNUMBER(Data!V789),Data!V789/100,"n/a")</f>
        <v>n/a</v>
      </c>
      <c r="K794" s="9" t="str">
        <f>IF(ISNUMBER(Data!Z789),Data!Z789/100,"n/a")</f>
        <v>n/a</v>
      </c>
      <c r="L794" s="10">
        <f>Data!AA789</f>
        <v>0</v>
      </c>
      <c r="M794" s="10">
        <f>Data!AF789</f>
        <v>0</v>
      </c>
      <c r="N794" s="28" t="str">
        <f>IF(ISNUMBER(Data!AG789),Data!AG789/100,"n/a")</f>
        <v>n/a</v>
      </c>
      <c r="O794" s="28" t="str">
        <f>IF(ISNUMBER(Data!AJ789),Data!AJ789/100,"n/a")</f>
        <v>n/a</v>
      </c>
      <c r="P794" s="9" t="str">
        <f>IF(ISNUMBER(Data!AK789),Data!AK789/100,"n/a")</f>
        <v>n/a</v>
      </c>
      <c r="Q794" s="8">
        <f>Data!AN789</f>
        <v>0</v>
      </c>
      <c r="R794" s="8">
        <f>Data!AP789</f>
        <v>0</v>
      </c>
      <c r="S794" s="8"/>
      <c r="T794" s="8"/>
      <c r="U794" s="8"/>
      <c r="V794" s="1">
        <f t="shared" si="26"/>
        <v>2</v>
      </c>
      <c r="W794" s="1">
        <f t="shared" si="27"/>
        <v>0</v>
      </c>
    </row>
    <row r="795" spans="1:23" hidden="1" x14ac:dyDescent="0.2">
      <c r="A795" s="7">
        <f>Data!A790</f>
        <v>0</v>
      </c>
      <c r="B795" s="7">
        <f>Data!B790</f>
        <v>0</v>
      </c>
      <c r="C795" s="7">
        <f>Data!C790</f>
        <v>0</v>
      </c>
      <c r="D795" s="8" t="str">
        <f>IF(ISNUMBER(Data!AL790),Data!AL790/1000,"n/a")</f>
        <v>n/a</v>
      </c>
      <c r="E795" s="1">
        <f>Data!E790</f>
        <v>0</v>
      </c>
      <c r="F795" s="28">
        <f>Data!J790/100</f>
        <v>0</v>
      </c>
      <c r="G795" s="28" t="str">
        <f>IF(ISNUMBER(Data!S790),Data!S790/100,"n/a")</f>
        <v>n/a</v>
      </c>
      <c r="H795" s="28" t="str">
        <f>IF(ISNUMBER(Data!T790),Data!T790/100,"n/a")</f>
        <v>n/a</v>
      </c>
      <c r="I795" s="28" t="str">
        <f>IF(ISNUMBER(Data!U790),Data!U790/100,"n/a")</f>
        <v>n/a</v>
      </c>
      <c r="J795" s="28" t="str">
        <f>IF(ISNUMBER(Data!V790),Data!V790/100,"n/a")</f>
        <v>n/a</v>
      </c>
      <c r="K795" s="9" t="str">
        <f>IF(ISNUMBER(Data!Z790),Data!Z790/100,"n/a")</f>
        <v>n/a</v>
      </c>
      <c r="L795" s="10">
        <f>Data!AA790</f>
        <v>0</v>
      </c>
      <c r="M795" s="10">
        <f>Data!AF790</f>
        <v>0</v>
      </c>
      <c r="N795" s="28" t="str">
        <f>IF(ISNUMBER(Data!AG790),Data!AG790/100,"n/a")</f>
        <v>n/a</v>
      </c>
      <c r="O795" s="28" t="str">
        <f>IF(ISNUMBER(Data!AJ790),Data!AJ790/100,"n/a")</f>
        <v>n/a</v>
      </c>
      <c r="P795" s="9" t="str">
        <f>IF(ISNUMBER(Data!AK790),Data!AK790/100,"n/a")</f>
        <v>n/a</v>
      </c>
      <c r="Q795" s="8">
        <f>Data!AN790</f>
        <v>0</v>
      </c>
      <c r="R795" s="8">
        <f>Data!AP790</f>
        <v>0</v>
      </c>
      <c r="S795" s="8"/>
      <c r="T795" s="8"/>
      <c r="U795" s="8"/>
      <c r="V795" s="1">
        <f t="shared" si="26"/>
        <v>2</v>
      </c>
      <c r="W795" s="1">
        <f t="shared" si="27"/>
        <v>0</v>
      </c>
    </row>
    <row r="796" spans="1:23" hidden="1" x14ac:dyDescent="0.2">
      <c r="A796" s="7">
        <f>Data!A791</f>
        <v>0</v>
      </c>
      <c r="B796" s="7">
        <f>Data!B791</f>
        <v>0</v>
      </c>
      <c r="C796" s="7">
        <f>Data!C791</f>
        <v>0</v>
      </c>
      <c r="D796" s="8" t="str">
        <f>IF(ISNUMBER(Data!AL791),Data!AL791/1000,"n/a")</f>
        <v>n/a</v>
      </c>
      <c r="E796" s="1">
        <f>Data!E791</f>
        <v>0</v>
      </c>
      <c r="F796" s="28">
        <f>Data!J791/100</f>
        <v>0</v>
      </c>
      <c r="G796" s="28" t="str">
        <f>IF(ISNUMBER(Data!S791),Data!S791/100,"n/a")</f>
        <v>n/a</v>
      </c>
      <c r="H796" s="28" t="str">
        <f>IF(ISNUMBER(Data!T791),Data!T791/100,"n/a")</f>
        <v>n/a</v>
      </c>
      <c r="I796" s="28" t="str">
        <f>IF(ISNUMBER(Data!U791),Data!U791/100,"n/a")</f>
        <v>n/a</v>
      </c>
      <c r="J796" s="28" t="str">
        <f>IF(ISNUMBER(Data!V791),Data!V791/100,"n/a")</f>
        <v>n/a</v>
      </c>
      <c r="K796" s="9" t="str">
        <f>IF(ISNUMBER(Data!Z791),Data!Z791/100,"n/a")</f>
        <v>n/a</v>
      </c>
      <c r="L796" s="10">
        <f>Data!AA791</f>
        <v>0</v>
      </c>
      <c r="M796" s="10">
        <f>Data!AF791</f>
        <v>0</v>
      </c>
      <c r="N796" s="28" t="str">
        <f>IF(ISNUMBER(Data!AG791),Data!AG791/100,"n/a")</f>
        <v>n/a</v>
      </c>
      <c r="O796" s="28" t="str">
        <f>IF(ISNUMBER(Data!AJ791),Data!AJ791/100,"n/a")</f>
        <v>n/a</v>
      </c>
      <c r="P796" s="9" t="str">
        <f>IF(ISNUMBER(Data!AK791),Data!AK791/100,"n/a")</f>
        <v>n/a</v>
      </c>
      <c r="Q796" s="8">
        <f>Data!AN791</f>
        <v>0</v>
      </c>
      <c r="R796" s="8">
        <f>Data!AP791</f>
        <v>0</v>
      </c>
      <c r="S796" s="8"/>
      <c r="T796" s="8"/>
      <c r="U796" s="8"/>
      <c r="V796" s="1">
        <f t="shared" si="26"/>
        <v>2</v>
      </c>
      <c r="W796" s="1">
        <f t="shared" si="27"/>
        <v>0</v>
      </c>
    </row>
    <row r="797" spans="1:23" hidden="1" x14ac:dyDescent="0.2">
      <c r="A797" s="7">
        <f>Data!A794</f>
        <v>0</v>
      </c>
      <c r="B797" s="7">
        <f>Data!B794</f>
        <v>0</v>
      </c>
      <c r="C797" s="7">
        <f>Data!C794</f>
        <v>0</v>
      </c>
      <c r="D797" s="8" t="str">
        <f>IF(ISNUMBER(Data!AL794),Data!AL794/1000,"n/a")</f>
        <v>n/a</v>
      </c>
      <c r="E797" s="1">
        <f>Data!E794</f>
        <v>0</v>
      </c>
      <c r="F797" s="28">
        <f>Data!J794/100</f>
        <v>0</v>
      </c>
      <c r="G797" s="28" t="str">
        <f>IF(ISNUMBER(Data!S794),Data!S794/100,"n/a")</f>
        <v>n/a</v>
      </c>
      <c r="H797" s="28" t="str">
        <f>IF(ISNUMBER(Data!T794),Data!T794/100,"n/a")</f>
        <v>n/a</v>
      </c>
      <c r="I797" s="28" t="str">
        <f>IF(ISNUMBER(Data!U794),Data!U794/100,"n/a")</f>
        <v>n/a</v>
      </c>
      <c r="J797" s="28" t="str">
        <f>IF(ISNUMBER(Data!V794),Data!V794/100,"n/a")</f>
        <v>n/a</v>
      </c>
      <c r="K797" s="9" t="str">
        <f>IF(ISNUMBER(Data!Z794),Data!Z794/100,"n/a")</f>
        <v>n/a</v>
      </c>
      <c r="L797" s="10">
        <f>Data!AA794</f>
        <v>0</v>
      </c>
      <c r="M797" s="10">
        <f>Data!AF794</f>
        <v>0</v>
      </c>
      <c r="N797" s="28" t="str">
        <f>IF(ISNUMBER(Data!AG794),Data!AG794/100,"n/a")</f>
        <v>n/a</v>
      </c>
      <c r="O797" s="28" t="str">
        <f>IF(ISNUMBER(Data!AJ794),Data!AJ794/100,"n/a")</f>
        <v>n/a</v>
      </c>
      <c r="P797" s="9" t="str">
        <f>IF(ISNUMBER(Data!AK794),Data!AK794/100,"n/a")</f>
        <v>n/a</v>
      </c>
      <c r="Q797" s="8">
        <f>Data!AN794</f>
        <v>0</v>
      </c>
      <c r="R797" s="8">
        <f>Data!AP794</f>
        <v>0</v>
      </c>
      <c r="S797" s="8"/>
      <c r="T797" s="8"/>
      <c r="U797" s="8"/>
      <c r="V797" s="1">
        <f t="shared" si="26"/>
        <v>2</v>
      </c>
      <c r="W797" s="1">
        <f t="shared" si="27"/>
        <v>0</v>
      </c>
    </row>
    <row r="798" spans="1:23" hidden="1" x14ac:dyDescent="0.2">
      <c r="A798" s="7">
        <f>Data!A795</f>
        <v>0</v>
      </c>
      <c r="B798" s="7">
        <f>Data!B795</f>
        <v>0</v>
      </c>
      <c r="C798" s="7">
        <f>Data!C795</f>
        <v>0</v>
      </c>
      <c r="D798" s="8" t="str">
        <f>IF(ISNUMBER(Data!AL795),Data!AL795/1000,"n/a")</f>
        <v>n/a</v>
      </c>
      <c r="E798" s="1">
        <f>Data!E795</f>
        <v>0</v>
      </c>
      <c r="F798" s="28">
        <f>Data!J795/100</f>
        <v>0</v>
      </c>
      <c r="G798" s="28" t="str">
        <f>IF(ISNUMBER(Data!S795),Data!S795/100,"n/a")</f>
        <v>n/a</v>
      </c>
      <c r="H798" s="28" t="str">
        <f>IF(ISNUMBER(Data!T795),Data!T795/100,"n/a")</f>
        <v>n/a</v>
      </c>
      <c r="I798" s="28" t="str">
        <f>IF(ISNUMBER(Data!U795),Data!U795/100,"n/a")</f>
        <v>n/a</v>
      </c>
      <c r="J798" s="28" t="str">
        <f>IF(ISNUMBER(Data!V795),Data!V795/100,"n/a")</f>
        <v>n/a</v>
      </c>
      <c r="K798" s="9" t="str">
        <f>IF(ISNUMBER(Data!Z795),Data!Z795/100,"n/a")</f>
        <v>n/a</v>
      </c>
      <c r="L798" s="10">
        <f>Data!AA795</f>
        <v>0</v>
      </c>
      <c r="M798" s="10">
        <f>Data!AF795</f>
        <v>0</v>
      </c>
      <c r="N798" s="28" t="str">
        <f>IF(ISNUMBER(Data!AG795),Data!AG795/100,"n/a")</f>
        <v>n/a</v>
      </c>
      <c r="O798" s="28" t="str">
        <f>IF(ISNUMBER(Data!AJ795),Data!AJ795/100,"n/a")</f>
        <v>n/a</v>
      </c>
      <c r="P798" s="9" t="str">
        <f>IF(ISNUMBER(Data!AK795),Data!AK795/100,"n/a")</f>
        <v>n/a</v>
      </c>
      <c r="Q798" s="8">
        <f>Data!AN795</f>
        <v>0</v>
      </c>
      <c r="R798" s="8">
        <f>Data!AP795</f>
        <v>0</v>
      </c>
      <c r="S798" s="8"/>
      <c r="T798" s="8"/>
      <c r="U798" s="8"/>
      <c r="V798" s="1">
        <f t="shared" si="26"/>
        <v>2</v>
      </c>
      <c r="W798" s="1">
        <f t="shared" si="27"/>
        <v>0</v>
      </c>
    </row>
    <row r="799" spans="1:23" hidden="1" x14ac:dyDescent="0.2">
      <c r="A799" s="7">
        <f>Data!A792</f>
        <v>0</v>
      </c>
      <c r="B799" s="7">
        <f>Data!B792</f>
        <v>0</v>
      </c>
      <c r="C799" s="7">
        <f>Data!C792</f>
        <v>0</v>
      </c>
      <c r="D799" s="8" t="str">
        <f>IF(ISNUMBER(Data!AL792),Data!AL792/1000,"n/a")</f>
        <v>n/a</v>
      </c>
      <c r="E799" s="1">
        <f>Data!E792</f>
        <v>0</v>
      </c>
      <c r="F799" s="28">
        <f>Data!J792/100</f>
        <v>0</v>
      </c>
      <c r="G799" s="28" t="str">
        <f>IF(ISNUMBER(Data!S792),Data!S792/100,"n/a")</f>
        <v>n/a</v>
      </c>
      <c r="H799" s="28" t="str">
        <f>IF(ISNUMBER(Data!T792),Data!T792/100,"n/a")</f>
        <v>n/a</v>
      </c>
      <c r="I799" s="28" t="str">
        <f>IF(ISNUMBER(Data!U792),Data!U792/100,"n/a")</f>
        <v>n/a</v>
      </c>
      <c r="J799" s="28" t="str">
        <f>IF(ISNUMBER(Data!V792),Data!V792/100,"n/a")</f>
        <v>n/a</v>
      </c>
      <c r="K799" s="9" t="str">
        <f>IF(ISNUMBER(Data!Z792),Data!Z792/100,"n/a")</f>
        <v>n/a</v>
      </c>
      <c r="L799" s="10">
        <f>Data!AA792</f>
        <v>0</v>
      </c>
      <c r="M799" s="10">
        <f>Data!AF792</f>
        <v>0</v>
      </c>
      <c r="N799" s="28" t="str">
        <f>IF(ISNUMBER(Data!AG792),Data!AG792/100,"n/a")</f>
        <v>n/a</v>
      </c>
      <c r="O799" s="28" t="str">
        <f>IF(ISNUMBER(Data!AJ792),Data!AJ792/100,"n/a")</f>
        <v>n/a</v>
      </c>
      <c r="P799" s="9" t="str">
        <f>IF(ISNUMBER(Data!AK792),Data!AK792/100,"n/a")</f>
        <v>n/a</v>
      </c>
      <c r="Q799" s="8">
        <f>Data!AN792</f>
        <v>0</v>
      </c>
      <c r="R799" s="8">
        <f>Data!AP792</f>
        <v>0</v>
      </c>
      <c r="S799" s="8"/>
      <c r="T799" s="8"/>
      <c r="U799" s="8"/>
      <c r="V799" s="1">
        <f t="shared" si="26"/>
        <v>2</v>
      </c>
      <c r="W799" s="1">
        <f t="shared" si="27"/>
        <v>0</v>
      </c>
    </row>
    <row r="800" spans="1:23" hidden="1" x14ac:dyDescent="0.2">
      <c r="A800" s="7">
        <f>Data!A797</f>
        <v>0</v>
      </c>
      <c r="B800" s="7">
        <f>Data!B797</f>
        <v>0</v>
      </c>
      <c r="C800" s="7">
        <f>Data!C797</f>
        <v>0</v>
      </c>
      <c r="D800" s="8" t="str">
        <f>IF(ISNUMBER(Data!AL797),Data!AL797/1000,"n/a")</f>
        <v>n/a</v>
      </c>
      <c r="E800" s="1">
        <f>Data!E797</f>
        <v>0</v>
      </c>
      <c r="F800" s="28">
        <f>Data!J797/100</f>
        <v>0</v>
      </c>
      <c r="G800" s="28" t="str">
        <f>IF(ISNUMBER(Data!S797),Data!S797/100,"n/a")</f>
        <v>n/a</v>
      </c>
      <c r="H800" s="28" t="str">
        <f>IF(ISNUMBER(Data!T797),Data!T797/100,"n/a")</f>
        <v>n/a</v>
      </c>
      <c r="I800" s="28" t="str">
        <f>IF(ISNUMBER(Data!U797),Data!U797/100,"n/a")</f>
        <v>n/a</v>
      </c>
      <c r="J800" s="28" t="str">
        <f>IF(ISNUMBER(Data!V797),Data!V797/100,"n/a")</f>
        <v>n/a</v>
      </c>
      <c r="K800" s="9" t="str">
        <f>IF(ISNUMBER(Data!Z797),Data!Z797/100,"n/a")</f>
        <v>n/a</v>
      </c>
      <c r="L800" s="10">
        <f>Data!AA797</f>
        <v>0</v>
      </c>
      <c r="M800" s="10">
        <f>Data!AF797</f>
        <v>0</v>
      </c>
      <c r="N800" s="28" t="str">
        <f>IF(ISNUMBER(Data!AG797),Data!AG797/100,"n/a")</f>
        <v>n/a</v>
      </c>
      <c r="O800" s="28" t="str">
        <f>IF(ISNUMBER(Data!AJ797),Data!AJ797/100,"n/a")</f>
        <v>n/a</v>
      </c>
      <c r="P800" s="9" t="str">
        <f>IF(ISNUMBER(Data!AK797),Data!AK797/100,"n/a")</f>
        <v>n/a</v>
      </c>
      <c r="Q800" s="8">
        <f>Data!AN797</f>
        <v>0</v>
      </c>
      <c r="R800" s="8">
        <f>Data!AP797</f>
        <v>0</v>
      </c>
      <c r="S800" s="8"/>
      <c r="T800" s="8"/>
      <c r="U800" s="8"/>
      <c r="V800" s="1">
        <f t="shared" si="26"/>
        <v>2</v>
      </c>
      <c r="W800" s="1">
        <f t="shared" si="27"/>
        <v>0</v>
      </c>
    </row>
    <row r="801" spans="1:23" hidden="1" x14ac:dyDescent="0.2">
      <c r="A801" s="7">
        <f>Data!A798</f>
        <v>0</v>
      </c>
      <c r="B801" s="7">
        <f>Data!B798</f>
        <v>0</v>
      </c>
      <c r="C801" s="7">
        <f>Data!C798</f>
        <v>0</v>
      </c>
      <c r="D801" s="8" t="str">
        <f>IF(ISNUMBER(Data!AL798),Data!AL798/1000,"n/a")</f>
        <v>n/a</v>
      </c>
      <c r="E801" s="1">
        <f>Data!E798</f>
        <v>0</v>
      </c>
      <c r="F801" s="28">
        <f>Data!J798/100</f>
        <v>0</v>
      </c>
      <c r="G801" s="28" t="str">
        <f>IF(ISNUMBER(Data!S798),Data!S798/100,"n/a")</f>
        <v>n/a</v>
      </c>
      <c r="H801" s="28" t="str">
        <f>IF(ISNUMBER(Data!T798),Data!T798/100,"n/a")</f>
        <v>n/a</v>
      </c>
      <c r="I801" s="28" t="str">
        <f>IF(ISNUMBER(Data!U798),Data!U798/100,"n/a")</f>
        <v>n/a</v>
      </c>
      <c r="J801" s="28" t="str">
        <f>IF(ISNUMBER(Data!V798),Data!V798/100,"n/a")</f>
        <v>n/a</v>
      </c>
      <c r="K801" s="9" t="str">
        <f>IF(ISNUMBER(Data!Z798),Data!Z798/100,"n/a")</f>
        <v>n/a</v>
      </c>
      <c r="L801" s="10">
        <f>Data!AA798</f>
        <v>0</v>
      </c>
      <c r="M801" s="10">
        <f>Data!AF798</f>
        <v>0</v>
      </c>
      <c r="N801" s="28" t="str">
        <f>IF(ISNUMBER(Data!AG798),Data!AG798/100,"n/a")</f>
        <v>n/a</v>
      </c>
      <c r="O801" s="28" t="str">
        <f>IF(ISNUMBER(Data!AJ798),Data!AJ798/100,"n/a")</f>
        <v>n/a</v>
      </c>
      <c r="P801" s="9" t="str">
        <f>IF(ISNUMBER(Data!AK798),Data!AK798/100,"n/a")</f>
        <v>n/a</v>
      </c>
      <c r="Q801" s="8">
        <f>Data!AN798</f>
        <v>0</v>
      </c>
      <c r="R801" s="8">
        <f>Data!AP798</f>
        <v>0</v>
      </c>
      <c r="S801" s="8"/>
      <c r="T801" s="8"/>
      <c r="U801" s="8"/>
      <c r="V801" s="1">
        <f t="shared" si="26"/>
        <v>2</v>
      </c>
      <c r="W801" s="1">
        <f t="shared" si="27"/>
        <v>0</v>
      </c>
    </row>
    <row r="802" spans="1:23" hidden="1" x14ac:dyDescent="0.2">
      <c r="A802" s="7">
        <f>Data!A799</f>
        <v>0</v>
      </c>
      <c r="B802" s="7">
        <f>Data!B799</f>
        <v>0</v>
      </c>
      <c r="C802" s="7">
        <f>Data!C799</f>
        <v>0</v>
      </c>
      <c r="D802" s="8" t="str">
        <f>IF(ISNUMBER(Data!AL799),Data!AL799/1000,"n/a")</f>
        <v>n/a</v>
      </c>
      <c r="E802" s="1">
        <f>Data!E799</f>
        <v>0</v>
      </c>
      <c r="F802" s="28">
        <f>Data!J799/100</f>
        <v>0</v>
      </c>
      <c r="G802" s="28" t="str">
        <f>IF(ISNUMBER(Data!S799),Data!S799/100,"n/a")</f>
        <v>n/a</v>
      </c>
      <c r="H802" s="28" t="str">
        <f>IF(ISNUMBER(Data!T799),Data!T799/100,"n/a")</f>
        <v>n/a</v>
      </c>
      <c r="I802" s="28" t="str">
        <f>IF(ISNUMBER(Data!U799),Data!U799/100,"n/a")</f>
        <v>n/a</v>
      </c>
      <c r="J802" s="28" t="str">
        <f>IF(ISNUMBER(Data!V799),Data!V799/100,"n/a")</f>
        <v>n/a</v>
      </c>
      <c r="K802" s="9" t="str">
        <f>IF(ISNUMBER(Data!Z799),Data!Z799/100,"n/a")</f>
        <v>n/a</v>
      </c>
      <c r="L802" s="10">
        <f>Data!AA799</f>
        <v>0</v>
      </c>
      <c r="M802" s="10">
        <f>Data!AF799</f>
        <v>0</v>
      </c>
      <c r="N802" s="28" t="str">
        <f>IF(ISNUMBER(Data!AG799),Data!AG799/100,"n/a")</f>
        <v>n/a</v>
      </c>
      <c r="O802" s="28" t="str">
        <f>IF(ISNUMBER(Data!AJ799),Data!AJ799/100,"n/a")</f>
        <v>n/a</v>
      </c>
      <c r="P802" s="9" t="str">
        <f>IF(ISNUMBER(Data!AK799),Data!AK799/100,"n/a")</f>
        <v>n/a</v>
      </c>
      <c r="Q802" s="8">
        <f>Data!AN799</f>
        <v>0</v>
      </c>
      <c r="R802" s="8">
        <f>Data!AP799</f>
        <v>0</v>
      </c>
      <c r="S802" s="8"/>
      <c r="T802" s="8"/>
      <c r="U802" s="8"/>
      <c r="V802" s="1">
        <f t="shared" si="26"/>
        <v>2</v>
      </c>
      <c r="W802" s="1">
        <f t="shared" si="27"/>
        <v>0</v>
      </c>
    </row>
    <row r="803" spans="1:23" hidden="1" x14ac:dyDescent="0.2">
      <c r="A803" s="7">
        <f>Data!A800</f>
        <v>0</v>
      </c>
      <c r="B803" s="7">
        <f>Data!B800</f>
        <v>0</v>
      </c>
      <c r="C803" s="7">
        <f>Data!C800</f>
        <v>0</v>
      </c>
      <c r="D803" s="8" t="str">
        <f>IF(ISNUMBER(Data!AL800),Data!AL800/1000,"n/a")</f>
        <v>n/a</v>
      </c>
      <c r="E803" s="1">
        <f>Data!E800</f>
        <v>0</v>
      </c>
      <c r="F803" s="28">
        <f>Data!J800/100</f>
        <v>0</v>
      </c>
      <c r="G803" s="28" t="str">
        <f>IF(ISNUMBER(Data!S800),Data!S800/100,"n/a")</f>
        <v>n/a</v>
      </c>
      <c r="H803" s="28" t="str">
        <f>IF(ISNUMBER(Data!T800),Data!T800/100,"n/a")</f>
        <v>n/a</v>
      </c>
      <c r="I803" s="28" t="str">
        <f>IF(ISNUMBER(Data!U800),Data!U800/100,"n/a")</f>
        <v>n/a</v>
      </c>
      <c r="J803" s="28" t="str">
        <f>IF(ISNUMBER(Data!V800),Data!V800/100,"n/a")</f>
        <v>n/a</v>
      </c>
      <c r="K803" s="9" t="str">
        <f>IF(ISNUMBER(Data!Z800),Data!Z800/100,"n/a")</f>
        <v>n/a</v>
      </c>
      <c r="L803" s="10">
        <f>Data!AA800</f>
        <v>0</v>
      </c>
      <c r="M803" s="10">
        <f>Data!AF800</f>
        <v>0</v>
      </c>
      <c r="N803" s="28" t="str">
        <f>IF(ISNUMBER(Data!AG800),Data!AG800/100,"n/a")</f>
        <v>n/a</v>
      </c>
      <c r="O803" s="28" t="str">
        <f>IF(ISNUMBER(Data!AJ800),Data!AJ800/100,"n/a")</f>
        <v>n/a</v>
      </c>
      <c r="P803" s="9" t="str">
        <f>IF(ISNUMBER(Data!AK800),Data!AK800/100,"n/a")</f>
        <v>n/a</v>
      </c>
      <c r="Q803" s="8">
        <f>Data!AN800</f>
        <v>0</v>
      </c>
      <c r="R803" s="8">
        <f>Data!AP800</f>
        <v>0</v>
      </c>
      <c r="S803" s="8"/>
      <c r="T803" s="8"/>
      <c r="U803" s="8"/>
      <c r="V803" s="1">
        <f t="shared" si="26"/>
        <v>2</v>
      </c>
      <c r="W803" s="1">
        <f t="shared" si="27"/>
        <v>0</v>
      </c>
    </row>
    <row r="804" spans="1:23" hidden="1" x14ac:dyDescent="0.2">
      <c r="A804" s="7">
        <f>Data!A801</f>
        <v>0</v>
      </c>
      <c r="B804" s="7">
        <f>Data!B801</f>
        <v>0</v>
      </c>
      <c r="C804" s="7">
        <f>Data!C801</f>
        <v>0</v>
      </c>
      <c r="D804" s="8" t="str">
        <f>IF(ISNUMBER(Data!AL801),Data!AL801/1000,"n/a")</f>
        <v>n/a</v>
      </c>
      <c r="E804" s="1">
        <f>Data!E801</f>
        <v>0</v>
      </c>
      <c r="F804" s="28">
        <f>Data!J801/100</f>
        <v>0</v>
      </c>
      <c r="G804" s="28" t="str">
        <f>IF(ISNUMBER(Data!S801),Data!S801/100,"n/a")</f>
        <v>n/a</v>
      </c>
      <c r="H804" s="28" t="str">
        <f>IF(ISNUMBER(Data!T801),Data!T801/100,"n/a")</f>
        <v>n/a</v>
      </c>
      <c r="I804" s="28" t="str">
        <f>IF(ISNUMBER(Data!U801),Data!U801/100,"n/a")</f>
        <v>n/a</v>
      </c>
      <c r="J804" s="28" t="str">
        <f>IF(ISNUMBER(Data!V801),Data!V801/100,"n/a")</f>
        <v>n/a</v>
      </c>
      <c r="K804" s="9" t="str">
        <f>IF(ISNUMBER(Data!Z801),Data!Z801/100,"n/a")</f>
        <v>n/a</v>
      </c>
      <c r="L804" s="10">
        <f>Data!AA801</f>
        <v>0</v>
      </c>
      <c r="M804" s="10">
        <f>Data!AF801</f>
        <v>0</v>
      </c>
      <c r="N804" s="28" t="str">
        <f>IF(ISNUMBER(Data!AG801),Data!AG801/100,"n/a")</f>
        <v>n/a</v>
      </c>
      <c r="O804" s="28" t="str">
        <f>IF(ISNUMBER(Data!AJ801),Data!AJ801/100,"n/a")</f>
        <v>n/a</v>
      </c>
      <c r="P804" s="9" t="str">
        <f>IF(ISNUMBER(Data!AK801),Data!AK801/100,"n/a")</f>
        <v>n/a</v>
      </c>
      <c r="Q804" s="8">
        <f>Data!AN801</f>
        <v>0</v>
      </c>
      <c r="R804" s="8">
        <f>Data!AP801</f>
        <v>0</v>
      </c>
      <c r="S804" s="8"/>
      <c r="T804" s="8"/>
      <c r="U804" s="8"/>
      <c r="V804" s="1">
        <f t="shared" si="26"/>
        <v>2</v>
      </c>
      <c r="W804" s="1">
        <f t="shared" si="27"/>
        <v>0</v>
      </c>
    </row>
    <row r="805" spans="1:23" hidden="1" x14ac:dyDescent="0.2">
      <c r="A805" s="7">
        <f>Data!A802</f>
        <v>0</v>
      </c>
      <c r="B805" s="7">
        <f>Data!B802</f>
        <v>0</v>
      </c>
      <c r="C805" s="7">
        <f>Data!C802</f>
        <v>0</v>
      </c>
      <c r="D805" s="8" t="str">
        <f>IF(ISNUMBER(Data!AL802),Data!AL802/1000,"n/a")</f>
        <v>n/a</v>
      </c>
      <c r="E805" s="1">
        <f>Data!E802</f>
        <v>0</v>
      </c>
      <c r="F805" s="28">
        <f>Data!J802/100</f>
        <v>0</v>
      </c>
      <c r="G805" s="28" t="str">
        <f>IF(ISNUMBER(Data!S802),Data!S802/100,"n/a")</f>
        <v>n/a</v>
      </c>
      <c r="H805" s="28" t="str">
        <f>IF(ISNUMBER(Data!T802),Data!T802/100,"n/a")</f>
        <v>n/a</v>
      </c>
      <c r="I805" s="28" t="str">
        <f>IF(ISNUMBER(Data!U802),Data!U802/100,"n/a")</f>
        <v>n/a</v>
      </c>
      <c r="J805" s="28" t="str">
        <f>IF(ISNUMBER(Data!V802),Data!V802/100,"n/a")</f>
        <v>n/a</v>
      </c>
      <c r="K805" s="9" t="str">
        <f>IF(ISNUMBER(Data!Z802),Data!Z802/100,"n/a")</f>
        <v>n/a</v>
      </c>
      <c r="L805" s="10">
        <f>Data!AA802</f>
        <v>0</v>
      </c>
      <c r="M805" s="10">
        <f>Data!AF802</f>
        <v>0</v>
      </c>
      <c r="N805" s="28" t="str">
        <f>IF(ISNUMBER(Data!AG802),Data!AG802/100,"n/a")</f>
        <v>n/a</v>
      </c>
      <c r="O805" s="28" t="str">
        <f>IF(ISNUMBER(Data!AJ802),Data!AJ802/100,"n/a")</f>
        <v>n/a</v>
      </c>
      <c r="P805" s="9" t="str">
        <f>IF(ISNUMBER(Data!AK802),Data!AK802/100,"n/a")</f>
        <v>n/a</v>
      </c>
      <c r="Q805" s="8">
        <f>Data!AN802</f>
        <v>0</v>
      </c>
      <c r="R805" s="8">
        <f>Data!AP802</f>
        <v>0</v>
      </c>
      <c r="S805" s="8"/>
      <c r="T805" s="8"/>
      <c r="U805" s="8"/>
      <c r="V805" s="1">
        <f t="shared" si="26"/>
        <v>2</v>
      </c>
      <c r="W805" s="1">
        <f t="shared" si="27"/>
        <v>0</v>
      </c>
    </row>
    <row r="806" spans="1:23" hidden="1" x14ac:dyDescent="0.2">
      <c r="A806" s="7">
        <f>Data!A803</f>
        <v>0</v>
      </c>
      <c r="B806" s="7">
        <f>Data!B803</f>
        <v>0</v>
      </c>
      <c r="C806" s="7">
        <f>Data!C803</f>
        <v>0</v>
      </c>
      <c r="D806" s="8" t="str">
        <f>IF(ISNUMBER(Data!AL803),Data!AL803/1000,"n/a")</f>
        <v>n/a</v>
      </c>
      <c r="E806" s="1">
        <f>Data!E803</f>
        <v>0</v>
      </c>
      <c r="F806" s="28">
        <f>Data!J803/100</f>
        <v>0</v>
      </c>
      <c r="G806" s="28" t="str">
        <f>IF(ISNUMBER(Data!S803),Data!S803/100,"n/a")</f>
        <v>n/a</v>
      </c>
      <c r="H806" s="28" t="str">
        <f>IF(ISNUMBER(Data!T803),Data!T803/100,"n/a")</f>
        <v>n/a</v>
      </c>
      <c r="I806" s="28" t="str">
        <f>IF(ISNUMBER(Data!U803),Data!U803/100,"n/a")</f>
        <v>n/a</v>
      </c>
      <c r="J806" s="28" t="str">
        <f>IF(ISNUMBER(Data!V803),Data!V803/100,"n/a")</f>
        <v>n/a</v>
      </c>
      <c r="K806" s="9" t="str">
        <f>IF(ISNUMBER(Data!Z803),Data!Z803/100,"n/a")</f>
        <v>n/a</v>
      </c>
      <c r="L806" s="10">
        <f>Data!AA803</f>
        <v>0</v>
      </c>
      <c r="M806" s="10">
        <f>Data!AF803</f>
        <v>0</v>
      </c>
      <c r="N806" s="28" t="str">
        <f>IF(ISNUMBER(Data!AG803),Data!AG803/100,"n/a")</f>
        <v>n/a</v>
      </c>
      <c r="O806" s="28" t="str">
        <f>IF(ISNUMBER(Data!AJ803),Data!AJ803/100,"n/a")</f>
        <v>n/a</v>
      </c>
      <c r="P806" s="9" t="str">
        <f>IF(ISNUMBER(Data!AK803),Data!AK803/100,"n/a")</f>
        <v>n/a</v>
      </c>
      <c r="Q806" s="8">
        <f>Data!AN803</f>
        <v>0</v>
      </c>
      <c r="R806" s="8">
        <f>Data!AP803</f>
        <v>0</v>
      </c>
      <c r="S806" s="8"/>
      <c r="T806" s="8"/>
      <c r="U806" s="8"/>
      <c r="V806" s="1">
        <f t="shared" si="26"/>
        <v>2</v>
      </c>
      <c r="W806" s="1">
        <f t="shared" si="27"/>
        <v>0</v>
      </c>
    </row>
    <row r="807" spans="1:23" hidden="1" x14ac:dyDescent="0.2">
      <c r="A807" s="7">
        <f>Data!A805</f>
        <v>0</v>
      </c>
      <c r="B807" s="7">
        <f>Data!B805</f>
        <v>0</v>
      </c>
      <c r="C807" s="7">
        <f>Data!C805</f>
        <v>0</v>
      </c>
      <c r="D807" s="8" t="str">
        <f>IF(ISNUMBER(Data!AL805),Data!AL805/1000,"n/a")</f>
        <v>n/a</v>
      </c>
      <c r="E807" s="1">
        <f>Data!E805</f>
        <v>0</v>
      </c>
      <c r="F807" s="28">
        <f>Data!J805/100</f>
        <v>0</v>
      </c>
      <c r="G807" s="28" t="str">
        <f>IF(ISNUMBER(Data!S805),Data!S805/100,"n/a")</f>
        <v>n/a</v>
      </c>
      <c r="H807" s="28" t="str">
        <f>IF(ISNUMBER(Data!T805),Data!T805/100,"n/a")</f>
        <v>n/a</v>
      </c>
      <c r="I807" s="28" t="str">
        <f>IF(ISNUMBER(Data!U805),Data!U805/100,"n/a")</f>
        <v>n/a</v>
      </c>
      <c r="J807" s="28" t="str">
        <f>IF(ISNUMBER(Data!V805),Data!V805/100,"n/a")</f>
        <v>n/a</v>
      </c>
      <c r="K807" s="9" t="str">
        <f>IF(ISNUMBER(Data!Z805),Data!Z805/100,"n/a")</f>
        <v>n/a</v>
      </c>
      <c r="L807" s="10">
        <f>Data!AA805</f>
        <v>0</v>
      </c>
      <c r="M807" s="10">
        <f>Data!AF805</f>
        <v>0</v>
      </c>
      <c r="N807" s="28" t="str">
        <f>IF(ISNUMBER(Data!AG805),Data!AG805/100,"n/a")</f>
        <v>n/a</v>
      </c>
      <c r="O807" s="28" t="str">
        <f>IF(ISNUMBER(Data!AJ805),Data!AJ805/100,"n/a")</f>
        <v>n/a</v>
      </c>
      <c r="P807" s="9" t="str">
        <f>IF(ISNUMBER(Data!AK805),Data!AK805/100,"n/a")</f>
        <v>n/a</v>
      </c>
      <c r="Q807" s="8">
        <f>Data!AN805</f>
        <v>0</v>
      </c>
      <c r="R807" s="8">
        <f>Data!AP805</f>
        <v>0</v>
      </c>
      <c r="S807" s="8"/>
      <c r="T807" s="8"/>
      <c r="U807" s="8"/>
      <c r="V807" s="1">
        <f t="shared" si="26"/>
        <v>2</v>
      </c>
      <c r="W807" s="1">
        <f t="shared" si="27"/>
        <v>0</v>
      </c>
    </row>
    <row r="808" spans="1:23" hidden="1" x14ac:dyDescent="0.2">
      <c r="A808" s="7">
        <f>Data!A806</f>
        <v>0</v>
      </c>
      <c r="B808" s="7">
        <f>Data!B806</f>
        <v>0</v>
      </c>
      <c r="C808" s="7">
        <f>Data!C806</f>
        <v>0</v>
      </c>
      <c r="D808" s="8" t="str">
        <f>IF(ISNUMBER(Data!AL806),Data!AL806/1000,"n/a")</f>
        <v>n/a</v>
      </c>
      <c r="E808" s="1">
        <f>Data!E806</f>
        <v>0</v>
      </c>
      <c r="F808" s="28">
        <f>Data!J806/100</f>
        <v>0</v>
      </c>
      <c r="G808" s="28" t="str">
        <f>IF(ISNUMBER(Data!S806),Data!S806/100,"n/a")</f>
        <v>n/a</v>
      </c>
      <c r="H808" s="28" t="str">
        <f>IF(ISNUMBER(Data!T806),Data!T806/100,"n/a")</f>
        <v>n/a</v>
      </c>
      <c r="I808" s="28" t="str">
        <f>IF(ISNUMBER(Data!U806),Data!U806/100,"n/a")</f>
        <v>n/a</v>
      </c>
      <c r="J808" s="28" t="str">
        <f>IF(ISNUMBER(Data!V806),Data!V806/100,"n/a")</f>
        <v>n/a</v>
      </c>
      <c r="K808" s="9" t="str">
        <f>IF(ISNUMBER(Data!Z806),Data!Z806/100,"n/a")</f>
        <v>n/a</v>
      </c>
      <c r="L808" s="10">
        <f>Data!AA806</f>
        <v>0</v>
      </c>
      <c r="M808" s="10">
        <f>Data!AF806</f>
        <v>0</v>
      </c>
      <c r="N808" s="28" t="str">
        <f>IF(ISNUMBER(Data!AG806),Data!AG806/100,"n/a")</f>
        <v>n/a</v>
      </c>
      <c r="O808" s="28" t="str">
        <f>IF(ISNUMBER(Data!AJ806),Data!AJ806/100,"n/a")</f>
        <v>n/a</v>
      </c>
      <c r="P808" s="9" t="str">
        <f>IF(ISNUMBER(Data!AK806),Data!AK806/100,"n/a")</f>
        <v>n/a</v>
      </c>
      <c r="Q808" s="8">
        <f>Data!AN806</f>
        <v>0</v>
      </c>
      <c r="R808" s="8">
        <f>Data!AP806</f>
        <v>0</v>
      </c>
      <c r="S808" s="8"/>
      <c r="T808" s="8"/>
      <c r="U808" s="8"/>
      <c r="V808" s="1">
        <f t="shared" si="26"/>
        <v>2</v>
      </c>
      <c r="W808" s="1">
        <f t="shared" si="27"/>
        <v>0</v>
      </c>
    </row>
    <row r="809" spans="1:23" hidden="1" x14ac:dyDescent="0.2">
      <c r="A809" s="7">
        <f>Data!A807</f>
        <v>0</v>
      </c>
      <c r="B809" s="7">
        <f>Data!B807</f>
        <v>0</v>
      </c>
      <c r="C809" s="7">
        <f>Data!C807</f>
        <v>0</v>
      </c>
      <c r="D809" s="8" t="str">
        <f>IF(ISNUMBER(Data!AL807),Data!AL807/1000,"n/a")</f>
        <v>n/a</v>
      </c>
      <c r="E809" s="1">
        <f>Data!E807</f>
        <v>0</v>
      </c>
      <c r="F809" s="28">
        <f>Data!J807/100</f>
        <v>0</v>
      </c>
      <c r="G809" s="28" t="str">
        <f>IF(ISNUMBER(Data!S807),Data!S807/100,"n/a")</f>
        <v>n/a</v>
      </c>
      <c r="H809" s="28" t="str">
        <f>IF(ISNUMBER(Data!T807),Data!T807/100,"n/a")</f>
        <v>n/a</v>
      </c>
      <c r="I809" s="28" t="str">
        <f>IF(ISNUMBER(Data!U807),Data!U807/100,"n/a")</f>
        <v>n/a</v>
      </c>
      <c r="J809" s="28" t="str">
        <f>IF(ISNUMBER(Data!V807),Data!V807/100,"n/a")</f>
        <v>n/a</v>
      </c>
      <c r="K809" s="9" t="str">
        <f>IF(ISNUMBER(Data!Z807),Data!Z807/100,"n/a")</f>
        <v>n/a</v>
      </c>
      <c r="L809" s="10">
        <f>Data!AA807</f>
        <v>0</v>
      </c>
      <c r="M809" s="10">
        <f>Data!AF807</f>
        <v>0</v>
      </c>
      <c r="N809" s="28" t="str">
        <f>IF(ISNUMBER(Data!AG807),Data!AG807/100,"n/a")</f>
        <v>n/a</v>
      </c>
      <c r="O809" s="28" t="str">
        <f>IF(ISNUMBER(Data!AJ807),Data!AJ807/100,"n/a")</f>
        <v>n/a</v>
      </c>
      <c r="P809" s="9" t="str">
        <f>IF(ISNUMBER(Data!AK807),Data!AK807/100,"n/a")</f>
        <v>n/a</v>
      </c>
      <c r="Q809" s="8">
        <f>Data!AN807</f>
        <v>0</v>
      </c>
      <c r="R809" s="8">
        <f>Data!AP807</f>
        <v>0</v>
      </c>
      <c r="S809" s="8"/>
      <c r="T809" s="8"/>
      <c r="U809" s="8"/>
      <c r="V809" s="1">
        <f t="shared" si="26"/>
        <v>2</v>
      </c>
      <c r="W809" s="1">
        <f t="shared" si="27"/>
        <v>0</v>
      </c>
    </row>
    <row r="810" spans="1:23" hidden="1" x14ac:dyDescent="0.2">
      <c r="A810" s="7">
        <f>Data!A808</f>
        <v>0</v>
      </c>
      <c r="B810" s="7">
        <f>Data!B808</f>
        <v>0</v>
      </c>
      <c r="C810" s="7">
        <f>Data!C808</f>
        <v>0</v>
      </c>
      <c r="D810" s="8" t="str">
        <f>IF(ISNUMBER(Data!AL808),Data!AL808/1000,"n/a")</f>
        <v>n/a</v>
      </c>
      <c r="E810" s="1">
        <f>Data!E808</f>
        <v>0</v>
      </c>
      <c r="F810" s="28">
        <f>Data!J808/100</f>
        <v>0</v>
      </c>
      <c r="G810" s="28" t="str">
        <f>IF(ISNUMBER(Data!S808),Data!S808/100,"n/a")</f>
        <v>n/a</v>
      </c>
      <c r="H810" s="28" t="str">
        <f>IF(ISNUMBER(Data!T808),Data!T808/100,"n/a")</f>
        <v>n/a</v>
      </c>
      <c r="I810" s="28" t="str">
        <f>IF(ISNUMBER(Data!U808),Data!U808/100,"n/a")</f>
        <v>n/a</v>
      </c>
      <c r="J810" s="28" t="str">
        <f>IF(ISNUMBER(Data!V808),Data!V808/100,"n/a")</f>
        <v>n/a</v>
      </c>
      <c r="K810" s="9" t="str">
        <f>IF(ISNUMBER(Data!Z808),Data!Z808/100,"n/a")</f>
        <v>n/a</v>
      </c>
      <c r="L810" s="10">
        <f>Data!AA808</f>
        <v>0</v>
      </c>
      <c r="M810" s="10">
        <f>Data!AF808</f>
        <v>0</v>
      </c>
      <c r="N810" s="28" t="str">
        <f>IF(ISNUMBER(Data!AG808),Data!AG808/100,"n/a")</f>
        <v>n/a</v>
      </c>
      <c r="O810" s="28" t="str">
        <f>IF(ISNUMBER(Data!AJ808),Data!AJ808/100,"n/a")</f>
        <v>n/a</v>
      </c>
      <c r="P810" s="9" t="str">
        <f>IF(ISNUMBER(Data!AK808),Data!AK808/100,"n/a")</f>
        <v>n/a</v>
      </c>
      <c r="Q810" s="8">
        <f>Data!AN808</f>
        <v>0</v>
      </c>
      <c r="R810" s="8">
        <f>Data!AP808</f>
        <v>0</v>
      </c>
      <c r="S810" s="8"/>
      <c r="T810" s="8"/>
      <c r="U810" s="8"/>
      <c r="V810" s="1">
        <f t="shared" si="26"/>
        <v>2</v>
      </c>
      <c r="W810" s="1">
        <f t="shared" si="27"/>
        <v>0</v>
      </c>
    </row>
    <row r="811" spans="1:23" hidden="1" x14ac:dyDescent="0.2">
      <c r="A811" s="7">
        <f>Data!A809</f>
        <v>0</v>
      </c>
      <c r="B811" s="7">
        <f>Data!B809</f>
        <v>0</v>
      </c>
      <c r="C811" s="7">
        <f>Data!C809</f>
        <v>0</v>
      </c>
      <c r="D811" s="8" t="str">
        <f>IF(ISNUMBER(Data!AL809),Data!AL809/1000,"n/a")</f>
        <v>n/a</v>
      </c>
      <c r="E811" s="1">
        <f>Data!E809</f>
        <v>0</v>
      </c>
      <c r="F811" s="28">
        <f>Data!J809/100</f>
        <v>0</v>
      </c>
      <c r="G811" s="28" t="str">
        <f>IF(ISNUMBER(Data!S809),Data!S809/100,"n/a")</f>
        <v>n/a</v>
      </c>
      <c r="H811" s="28" t="str">
        <f>IF(ISNUMBER(Data!T809),Data!T809/100,"n/a")</f>
        <v>n/a</v>
      </c>
      <c r="I811" s="28" t="str">
        <f>IF(ISNUMBER(Data!U809),Data!U809/100,"n/a")</f>
        <v>n/a</v>
      </c>
      <c r="J811" s="28" t="str">
        <f>IF(ISNUMBER(Data!V809),Data!V809/100,"n/a")</f>
        <v>n/a</v>
      </c>
      <c r="K811" s="9" t="str">
        <f>IF(ISNUMBER(Data!Z809),Data!Z809/100,"n/a")</f>
        <v>n/a</v>
      </c>
      <c r="L811" s="10">
        <f>Data!AA809</f>
        <v>0</v>
      </c>
      <c r="M811" s="10">
        <f>Data!AF809</f>
        <v>0</v>
      </c>
      <c r="N811" s="28" t="str">
        <f>IF(ISNUMBER(Data!AG809),Data!AG809/100,"n/a")</f>
        <v>n/a</v>
      </c>
      <c r="O811" s="28" t="str">
        <f>IF(ISNUMBER(Data!AJ809),Data!AJ809/100,"n/a")</f>
        <v>n/a</v>
      </c>
      <c r="P811" s="9" t="str">
        <f>IF(ISNUMBER(Data!AK809),Data!AK809/100,"n/a")</f>
        <v>n/a</v>
      </c>
      <c r="Q811" s="8">
        <f>Data!AN809</f>
        <v>0</v>
      </c>
      <c r="R811" s="8">
        <f>Data!AP809</f>
        <v>0</v>
      </c>
      <c r="S811" s="8"/>
      <c r="T811" s="8"/>
      <c r="U811" s="8"/>
      <c r="V811" s="1">
        <f t="shared" si="26"/>
        <v>2</v>
      </c>
      <c r="W811" s="1">
        <f t="shared" si="27"/>
        <v>0</v>
      </c>
    </row>
    <row r="812" spans="1:23" hidden="1" x14ac:dyDescent="0.2">
      <c r="A812" s="7">
        <f>Data!A810</f>
        <v>0</v>
      </c>
      <c r="B812" s="7">
        <f>Data!B810</f>
        <v>0</v>
      </c>
      <c r="C812" s="7">
        <f>Data!C810</f>
        <v>0</v>
      </c>
      <c r="D812" s="8" t="str">
        <f>IF(ISNUMBER(Data!AL810),Data!AL810/1000,"n/a")</f>
        <v>n/a</v>
      </c>
      <c r="E812" s="1">
        <f>Data!E810</f>
        <v>0</v>
      </c>
      <c r="F812" s="28">
        <f>Data!J810/100</f>
        <v>0</v>
      </c>
      <c r="G812" s="28" t="str">
        <f>IF(ISNUMBER(Data!S810),Data!S810/100,"n/a")</f>
        <v>n/a</v>
      </c>
      <c r="H812" s="28" t="str">
        <f>IF(ISNUMBER(Data!T810),Data!T810/100,"n/a")</f>
        <v>n/a</v>
      </c>
      <c r="I812" s="28" t="str">
        <f>IF(ISNUMBER(Data!U810),Data!U810/100,"n/a")</f>
        <v>n/a</v>
      </c>
      <c r="J812" s="28" t="str">
        <f>IF(ISNUMBER(Data!V810),Data!V810/100,"n/a")</f>
        <v>n/a</v>
      </c>
      <c r="K812" s="9" t="str">
        <f>IF(ISNUMBER(Data!Z810),Data!Z810/100,"n/a")</f>
        <v>n/a</v>
      </c>
      <c r="L812" s="10">
        <f>Data!AA810</f>
        <v>0</v>
      </c>
      <c r="M812" s="10">
        <f>Data!AF810</f>
        <v>0</v>
      </c>
      <c r="N812" s="28" t="str">
        <f>IF(ISNUMBER(Data!AG810),Data!AG810/100,"n/a")</f>
        <v>n/a</v>
      </c>
      <c r="O812" s="28" t="str">
        <f>IF(ISNUMBER(Data!AJ810),Data!AJ810/100,"n/a")</f>
        <v>n/a</v>
      </c>
      <c r="P812" s="9" t="str">
        <f>IF(ISNUMBER(Data!AK810),Data!AK810/100,"n/a")</f>
        <v>n/a</v>
      </c>
      <c r="Q812" s="8">
        <f>Data!AN810</f>
        <v>0</v>
      </c>
      <c r="R812" s="8">
        <f>Data!AP810</f>
        <v>0</v>
      </c>
      <c r="S812" s="8"/>
      <c r="T812" s="8"/>
      <c r="U812" s="8"/>
      <c r="V812" s="1">
        <f t="shared" si="26"/>
        <v>2</v>
      </c>
      <c r="W812" s="1">
        <f t="shared" si="27"/>
        <v>0</v>
      </c>
    </row>
    <row r="813" spans="1:23" hidden="1" x14ac:dyDescent="0.2">
      <c r="A813" s="7">
        <f>Data!A811</f>
        <v>0</v>
      </c>
      <c r="B813" s="7">
        <f>Data!B811</f>
        <v>0</v>
      </c>
      <c r="C813" s="7">
        <f>Data!C811</f>
        <v>0</v>
      </c>
      <c r="D813" s="8" t="str">
        <f>IF(ISNUMBER(Data!AL811),Data!AL811/1000,"n/a")</f>
        <v>n/a</v>
      </c>
      <c r="E813" s="1">
        <f>Data!E811</f>
        <v>0</v>
      </c>
      <c r="F813" s="28">
        <f>Data!J811/100</f>
        <v>0</v>
      </c>
      <c r="G813" s="28" t="str">
        <f>IF(ISNUMBER(Data!S811),Data!S811/100,"n/a")</f>
        <v>n/a</v>
      </c>
      <c r="H813" s="28" t="str">
        <f>IF(ISNUMBER(Data!T811),Data!T811/100,"n/a")</f>
        <v>n/a</v>
      </c>
      <c r="I813" s="28" t="str">
        <f>IF(ISNUMBER(Data!U811),Data!U811/100,"n/a")</f>
        <v>n/a</v>
      </c>
      <c r="J813" s="28" t="str">
        <f>IF(ISNUMBER(Data!V811),Data!V811/100,"n/a")</f>
        <v>n/a</v>
      </c>
      <c r="K813" s="9" t="str">
        <f>IF(ISNUMBER(Data!Z811),Data!Z811/100,"n/a")</f>
        <v>n/a</v>
      </c>
      <c r="L813" s="10">
        <f>Data!AA811</f>
        <v>0</v>
      </c>
      <c r="M813" s="10">
        <f>Data!AF811</f>
        <v>0</v>
      </c>
      <c r="N813" s="28" t="str">
        <f>IF(ISNUMBER(Data!AG811),Data!AG811/100,"n/a")</f>
        <v>n/a</v>
      </c>
      <c r="O813" s="28" t="str">
        <f>IF(ISNUMBER(Data!AJ811),Data!AJ811/100,"n/a")</f>
        <v>n/a</v>
      </c>
      <c r="P813" s="9" t="str">
        <f>IF(ISNUMBER(Data!AK811),Data!AK811/100,"n/a")</f>
        <v>n/a</v>
      </c>
      <c r="Q813" s="8">
        <f>Data!AN811</f>
        <v>0</v>
      </c>
      <c r="R813" s="8">
        <f>Data!AP811</f>
        <v>0</v>
      </c>
      <c r="S813" s="8"/>
      <c r="T813" s="8"/>
      <c r="U813" s="8"/>
      <c r="V813" s="1">
        <f t="shared" si="26"/>
        <v>2</v>
      </c>
      <c r="W813" s="1">
        <f t="shared" si="27"/>
        <v>0</v>
      </c>
    </row>
    <row r="814" spans="1:23" hidden="1" x14ac:dyDescent="0.2">
      <c r="A814" s="7">
        <f>Data!A812</f>
        <v>0</v>
      </c>
      <c r="B814" s="7">
        <f>Data!B812</f>
        <v>0</v>
      </c>
      <c r="C814" s="7">
        <f>Data!C812</f>
        <v>0</v>
      </c>
      <c r="D814" s="8" t="str">
        <f>IF(ISNUMBER(Data!AL812),Data!AL812/1000,"n/a")</f>
        <v>n/a</v>
      </c>
      <c r="E814" s="1">
        <f>Data!E812</f>
        <v>0</v>
      </c>
      <c r="F814" s="28">
        <f>Data!J812/100</f>
        <v>0</v>
      </c>
      <c r="G814" s="28" t="str">
        <f>IF(ISNUMBER(Data!S812),Data!S812/100,"n/a")</f>
        <v>n/a</v>
      </c>
      <c r="H814" s="28" t="str">
        <f>IF(ISNUMBER(Data!T812),Data!T812/100,"n/a")</f>
        <v>n/a</v>
      </c>
      <c r="I814" s="28" t="str">
        <f>IF(ISNUMBER(Data!U812),Data!U812/100,"n/a")</f>
        <v>n/a</v>
      </c>
      <c r="J814" s="28" t="str">
        <f>IF(ISNUMBER(Data!V812),Data!V812/100,"n/a")</f>
        <v>n/a</v>
      </c>
      <c r="K814" s="9" t="str">
        <f>IF(ISNUMBER(Data!Z812),Data!Z812/100,"n/a")</f>
        <v>n/a</v>
      </c>
      <c r="L814" s="10">
        <f>Data!AA812</f>
        <v>0</v>
      </c>
      <c r="M814" s="10">
        <f>Data!AF812</f>
        <v>0</v>
      </c>
      <c r="N814" s="28" t="str">
        <f>IF(ISNUMBER(Data!AG812),Data!AG812/100,"n/a")</f>
        <v>n/a</v>
      </c>
      <c r="O814" s="28" t="str">
        <f>IF(ISNUMBER(Data!AJ812),Data!AJ812/100,"n/a")</f>
        <v>n/a</v>
      </c>
      <c r="P814" s="9" t="str">
        <f>IF(ISNUMBER(Data!AK812),Data!AK812/100,"n/a")</f>
        <v>n/a</v>
      </c>
      <c r="Q814" s="8">
        <f>Data!AN812</f>
        <v>0</v>
      </c>
      <c r="R814" s="8">
        <f>Data!AP812</f>
        <v>0</v>
      </c>
      <c r="S814" s="8"/>
      <c r="T814" s="8"/>
      <c r="U814" s="8"/>
      <c r="V814" s="1">
        <f t="shared" si="26"/>
        <v>2</v>
      </c>
      <c r="W814" s="1">
        <f t="shared" si="27"/>
        <v>0</v>
      </c>
    </row>
    <row r="815" spans="1:23" hidden="1" x14ac:dyDescent="0.2">
      <c r="A815" s="7">
        <f>Data!A813</f>
        <v>0</v>
      </c>
      <c r="B815" s="7">
        <f>Data!B813</f>
        <v>0</v>
      </c>
      <c r="C815" s="7">
        <f>Data!C813</f>
        <v>0</v>
      </c>
      <c r="D815" s="8" t="str">
        <f>IF(ISNUMBER(Data!AL813),Data!AL813/1000,"n/a")</f>
        <v>n/a</v>
      </c>
      <c r="E815" s="1">
        <f>Data!E813</f>
        <v>0</v>
      </c>
      <c r="F815" s="28">
        <f>Data!J813/100</f>
        <v>0</v>
      </c>
      <c r="G815" s="28" t="str">
        <f>IF(ISNUMBER(Data!S813),Data!S813/100,"n/a")</f>
        <v>n/a</v>
      </c>
      <c r="H815" s="28" t="str">
        <f>IF(ISNUMBER(Data!T813),Data!T813/100,"n/a")</f>
        <v>n/a</v>
      </c>
      <c r="I815" s="28" t="str">
        <f>IF(ISNUMBER(Data!U813),Data!U813/100,"n/a")</f>
        <v>n/a</v>
      </c>
      <c r="J815" s="28" t="str">
        <f>IF(ISNUMBER(Data!V813),Data!V813/100,"n/a")</f>
        <v>n/a</v>
      </c>
      <c r="K815" s="9" t="str">
        <f>IF(ISNUMBER(Data!Z813),Data!Z813/100,"n/a")</f>
        <v>n/a</v>
      </c>
      <c r="L815" s="10">
        <f>Data!AA813</f>
        <v>0</v>
      </c>
      <c r="M815" s="10">
        <f>Data!AF813</f>
        <v>0</v>
      </c>
      <c r="N815" s="28" t="str">
        <f>IF(ISNUMBER(Data!AG813),Data!AG813/100,"n/a")</f>
        <v>n/a</v>
      </c>
      <c r="O815" s="28" t="str">
        <f>IF(ISNUMBER(Data!AJ813),Data!AJ813/100,"n/a")</f>
        <v>n/a</v>
      </c>
      <c r="P815" s="9" t="str">
        <f>IF(ISNUMBER(Data!AK813),Data!AK813/100,"n/a")</f>
        <v>n/a</v>
      </c>
      <c r="Q815" s="8">
        <f>Data!AN813</f>
        <v>0</v>
      </c>
      <c r="R815" s="8">
        <f>Data!AP813</f>
        <v>0</v>
      </c>
      <c r="S815" s="8"/>
      <c r="T815" s="8"/>
      <c r="U815" s="8"/>
      <c r="V815" s="1">
        <f t="shared" si="26"/>
        <v>2</v>
      </c>
      <c r="W815" s="1">
        <f t="shared" si="27"/>
        <v>0</v>
      </c>
    </row>
    <row r="816" spans="1:23" hidden="1" x14ac:dyDescent="0.2">
      <c r="A816" s="7">
        <f>Data!A814</f>
        <v>0</v>
      </c>
      <c r="B816" s="7">
        <f>Data!B814</f>
        <v>0</v>
      </c>
      <c r="C816" s="7">
        <f>Data!C814</f>
        <v>0</v>
      </c>
      <c r="D816" s="8" t="str">
        <f>IF(ISNUMBER(Data!AL814),Data!AL814/1000,"n/a")</f>
        <v>n/a</v>
      </c>
      <c r="E816" s="1">
        <f>Data!E814</f>
        <v>0</v>
      </c>
      <c r="F816" s="28">
        <f>Data!J814/100</f>
        <v>0</v>
      </c>
      <c r="G816" s="28" t="str">
        <f>IF(ISNUMBER(Data!S814),Data!S814/100,"n/a")</f>
        <v>n/a</v>
      </c>
      <c r="H816" s="28" t="str">
        <f>IF(ISNUMBER(Data!T814),Data!T814/100,"n/a")</f>
        <v>n/a</v>
      </c>
      <c r="I816" s="28" t="str">
        <f>IF(ISNUMBER(Data!U814),Data!U814/100,"n/a")</f>
        <v>n/a</v>
      </c>
      <c r="J816" s="28" t="str">
        <f>IF(ISNUMBER(Data!V814),Data!V814/100,"n/a")</f>
        <v>n/a</v>
      </c>
      <c r="K816" s="9" t="str">
        <f>IF(ISNUMBER(Data!Z814),Data!Z814/100,"n/a")</f>
        <v>n/a</v>
      </c>
      <c r="L816" s="10">
        <f>Data!AA814</f>
        <v>0</v>
      </c>
      <c r="M816" s="10">
        <f>Data!AF814</f>
        <v>0</v>
      </c>
      <c r="N816" s="28" t="str">
        <f>IF(ISNUMBER(Data!AG814),Data!AG814/100,"n/a")</f>
        <v>n/a</v>
      </c>
      <c r="O816" s="28" t="str">
        <f>IF(ISNUMBER(Data!AJ814),Data!AJ814/100,"n/a")</f>
        <v>n/a</v>
      </c>
      <c r="P816" s="9" t="str">
        <f>IF(ISNUMBER(Data!AK814),Data!AK814/100,"n/a")</f>
        <v>n/a</v>
      </c>
      <c r="Q816" s="8">
        <f>Data!AN814</f>
        <v>0</v>
      </c>
      <c r="R816" s="8">
        <f>Data!AP814</f>
        <v>0</v>
      </c>
      <c r="S816" s="8"/>
      <c r="T816" s="8"/>
      <c r="U816" s="8"/>
      <c r="V816" s="1">
        <f t="shared" si="26"/>
        <v>2</v>
      </c>
      <c r="W816" s="1">
        <f t="shared" si="27"/>
        <v>0</v>
      </c>
    </row>
    <row r="817" spans="1:23" hidden="1" x14ac:dyDescent="0.2">
      <c r="A817" s="7">
        <f>Data!A815</f>
        <v>0</v>
      </c>
      <c r="B817" s="7">
        <f>Data!B815</f>
        <v>0</v>
      </c>
      <c r="C817" s="7">
        <f>Data!C815</f>
        <v>0</v>
      </c>
      <c r="D817" s="8" t="str">
        <f>IF(ISNUMBER(Data!AL815),Data!AL815/1000,"n/a")</f>
        <v>n/a</v>
      </c>
      <c r="E817" s="1">
        <f>Data!E815</f>
        <v>0</v>
      </c>
      <c r="F817" s="28">
        <f>Data!J815/100</f>
        <v>0</v>
      </c>
      <c r="G817" s="28" t="str">
        <f>IF(ISNUMBER(Data!S815),Data!S815/100,"n/a")</f>
        <v>n/a</v>
      </c>
      <c r="H817" s="28" t="str">
        <f>IF(ISNUMBER(Data!T815),Data!T815/100,"n/a")</f>
        <v>n/a</v>
      </c>
      <c r="I817" s="28" t="str">
        <f>IF(ISNUMBER(Data!U815),Data!U815/100,"n/a")</f>
        <v>n/a</v>
      </c>
      <c r="J817" s="28" t="str">
        <f>IF(ISNUMBER(Data!V815),Data!V815/100,"n/a")</f>
        <v>n/a</v>
      </c>
      <c r="K817" s="9" t="str">
        <f>IF(ISNUMBER(Data!Z815),Data!Z815/100,"n/a")</f>
        <v>n/a</v>
      </c>
      <c r="L817" s="10">
        <f>Data!AA815</f>
        <v>0</v>
      </c>
      <c r="M817" s="10">
        <f>Data!AF815</f>
        <v>0</v>
      </c>
      <c r="N817" s="28" t="str">
        <f>IF(ISNUMBER(Data!AG815),Data!AG815/100,"n/a")</f>
        <v>n/a</v>
      </c>
      <c r="O817" s="28" t="str">
        <f>IF(ISNUMBER(Data!AJ815),Data!AJ815/100,"n/a")</f>
        <v>n/a</v>
      </c>
      <c r="P817" s="9" t="str">
        <f>IF(ISNUMBER(Data!AK815),Data!AK815/100,"n/a")</f>
        <v>n/a</v>
      </c>
      <c r="Q817" s="8">
        <f>Data!AN815</f>
        <v>0</v>
      </c>
      <c r="R817" s="8">
        <f>Data!AP815</f>
        <v>0</v>
      </c>
      <c r="S817" s="8"/>
      <c r="T817" s="8"/>
      <c r="U817" s="8"/>
      <c r="V817" s="1">
        <f t="shared" si="26"/>
        <v>2</v>
      </c>
      <c r="W817" s="1">
        <f t="shared" si="27"/>
        <v>0</v>
      </c>
    </row>
    <row r="818" spans="1:23" hidden="1" x14ac:dyDescent="0.2">
      <c r="A818" s="7">
        <f>Data!A816</f>
        <v>0</v>
      </c>
      <c r="B818" s="7">
        <f>Data!B816</f>
        <v>0</v>
      </c>
      <c r="C818" s="7">
        <f>Data!C816</f>
        <v>0</v>
      </c>
      <c r="D818" s="8" t="str">
        <f>IF(ISNUMBER(Data!AL816),Data!AL816/1000,"n/a")</f>
        <v>n/a</v>
      </c>
      <c r="E818" s="1">
        <f>Data!E816</f>
        <v>0</v>
      </c>
      <c r="F818" s="28">
        <f>Data!J816/100</f>
        <v>0</v>
      </c>
      <c r="G818" s="28" t="str">
        <f>IF(ISNUMBER(Data!S816),Data!S816/100,"n/a")</f>
        <v>n/a</v>
      </c>
      <c r="H818" s="28" t="str">
        <f>IF(ISNUMBER(Data!T816),Data!T816/100,"n/a")</f>
        <v>n/a</v>
      </c>
      <c r="I818" s="28" t="str">
        <f>IF(ISNUMBER(Data!U816),Data!U816/100,"n/a")</f>
        <v>n/a</v>
      </c>
      <c r="J818" s="28" t="str">
        <f>IF(ISNUMBER(Data!V816),Data!V816/100,"n/a")</f>
        <v>n/a</v>
      </c>
      <c r="K818" s="9" t="str">
        <f>IF(ISNUMBER(Data!Z816),Data!Z816/100,"n/a")</f>
        <v>n/a</v>
      </c>
      <c r="L818" s="10">
        <f>Data!AA816</f>
        <v>0</v>
      </c>
      <c r="M818" s="10">
        <f>Data!AF816</f>
        <v>0</v>
      </c>
      <c r="N818" s="28" t="str">
        <f>IF(ISNUMBER(Data!AG816),Data!AG816/100,"n/a")</f>
        <v>n/a</v>
      </c>
      <c r="O818" s="28" t="str">
        <f>IF(ISNUMBER(Data!AJ816),Data!AJ816/100,"n/a")</f>
        <v>n/a</v>
      </c>
      <c r="P818" s="9" t="str">
        <f>IF(ISNUMBER(Data!AK816),Data!AK816/100,"n/a")</f>
        <v>n/a</v>
      </c>
      <c r="Q818" s="8">
        <f>Data!AN816</f>
        <v>0</v>
      </c>
      <c r="R818" s="8">
        <f>Data!AP816</f>
        <v>0</v>
      </c>
      <c r="S818" s="8"/>
      <c r="T818" s="8"/>
      <c r="U818" s="8"/>
      <c r="V818" s="1">
        <f t="shared" si="26"/>
        <v>2</v>
      </c>
      <c r="W818" s="1">
        <f t="shared" si="27"/>
        <v>0</v>
      </c>
    </row>
    <row r="819" spans="1:23" hidden="1" x14ac:dyDescent="0.2">
      <c r="A819" s="7">
        <f>Data!A817</f>
        <v>0</v>
      </c>
      <c r="B819" s="7">
        <f>Data!B817</f>
        <v>0</v>
      </c>
      <c r="C819" s="7">
        <f>Data!C817</f>
        <v>0</v>
      </c>
      <c r="D819" s="8" t="str">
        <f>IF(ISNUMBER(Data!AL817),Data!AL817/1000,"n/a")</f>
        <v>n/a</v>
      </c>
      <c r="E819" s="1">
        <f>Data!E817</f>
        <v>0</v>
      </c>
      <c r="F819" s="28">
        <f>Data!J817/100</f>
        <v>0</v>
      </c>
      <c r="G819" s="28" t="str">
        <f>IF(ISNUMBER(Data!S817),Data!S817/100,"n/a")</f>
        <v>n/a</v>
      </c>
      <c r="H819" s="28" t="str">
        <f>IF(ISNUMBER(Data!T817),Data!T817/100,"n/a")</f>
        <v>n/a</v>
      </c>
      <c r="I819" s="28" t="str">
        <f>IF(ISNUMBER(Data!U817),Data!U817/100,"n/a")</f>
        <v>n/a</v>
      </c>
      <c r="J819" s="28" t="str">
        <f>IF(ISNUMBER(Data!V817),Data!V817/100,"n/a")</f>
        <v>n/a</v>
      </c>
      <c r="K819" s="9" t="str">
        <f>IF(ISNUMBER(Data!Z817),Data!Z817/100,"n/a")</f>
        <v>n/a</v>
      </c>
      <c r="L819" s="10">
        <f>Data!AA817</f>
        <v>0</v>
      </c>
      <c r="M819" s="10">
        <f>Data!AF817</f>
        <v>0</v>
      </c>
      <c r="N819" s="28" t="str">
        <f>IF(ISNUMBER(Data!AG817),Data!AG817/100,"n/a")</f>
        <v>n/a</v>
      </c>
      <c r="O819" s="28" t="str">
        <f>IF(ISNUMBER(Data!AJ817),Data!AJ817/100,"n/a")</f>
        <v>n/a</v>
      </c>
      <c r="P819" s="9" t="str">
        <f>IF(ISNUMBER(Data!AK817),Data!AK817/100,"n/a")</f>
        <v>n/a</v>
      </c>
      <c r="Q819" s="8">
        <f>Data!AN817</f>
        <v>0</v>
      </c>
      <c r="R819" s="8">
        <f>Data!AP817</f>
        <v>0</v>
      </c>
      <c r="S819" s="8"/>
      <c r="T819" s="8"/>
      <c r="U819" s="8"/>
      <c r="V819" s="1">
        <f t="shared" si="26"/>
        <v>2</v>
      </c>
      <c r="W819" s="1">
        <f t="shared" si="27"/>
        <v>0</v>
      </c>
    </row>
    <row r="820" spans="1:23" hidden="1" x14ac:dyDescent="0.2">
      <c r="A820" s="7">
        <f>Data!A818</f>
        <v>0</v>
      </c>
      <c r="B820" s="7">
        <f>Data!B818</f>
        <v>0</v>
      </c>
      <c r="C820" s="7">
        <f>Data!C818</f>
        <v>0</v>
      </c>
      <c r="D820" s="8" t="str">
        <f>IF(ISNUMBER(Data!AL818),Data!AL818/1000,"n/a")</f>
        <v>n/a</v>
      </c>
      <c r="E820" s="1">
        <f>Data!E818</f>
        <v>0</v>
      </c>
      <c r="F820" s="28">
        <f>Data!J818/100</f>
        <v>0</v>
      </c>
      <c r="G820" s="28" t="str">
        <f>IF(ISNUMBER(Data!S818),Data!S818/100,"n/a")</f>
        <v>n/a</v>
      </c>
      <c r="H820" s="28" t="str">
        <f>IF(ISNUMBER(Data!T818),Data!T818/100,"n/a")</f>
        <v>n/a</v>
      </c>
      <c r="I820" s="28" t="str">
        <f>IF(ISNUMBER(Data!U818),Data!U818/100,"n/a")</f>
        <v>n/a</v>
      </c>
      <c r="J820" s="28" t="str">
        <f>IF(ISNUMBER(Data!V818),Data!V818/100,"n/a")</f>
        <v>n/a</v>
      </c>
      <c r="K820" s="9" t="str">
        <f>IF(ISNUMBER(Data!Z818),Data!Z818/100,"n/a")</f>
        <v>n/a</v>
      </c>
      <c r="L820" s="10">
        <f>Data!AA818</f>
        <v>0</v>
      </c>
      <c r="M820" s="10">
        <f>Data!AF818</f>
        <v>0</v>
      </c>
      <c r="N820" s="28" t="str">
        <f>IF(ISNUMBER(Data!AG818),Data!AG818/100,"n/a")</f>
        <v>n/a</v>
      </c>
      <c r="O820" s="28" t="str">
        <f>IF(ISNUMBER(Data!AJ818),Data!AJ818/100,"n/a")</f>
        <v>n/a</v>
      </c>
      <c r="P820" s="9" t="str">
        <f>IF(ISNUMBER(Data!AK818),Data!AK818/100,"n/a")</f>
        <v>n/a</v>
      </c>
      <c r="Q820" s="8">
        <f>Data!AN818</f>
        <v>0</v>
      </c>
      <c r="R820" s="8">
        <f>Data!AP818</f>
        <v>0</v>
      </c>
      <c r="S820" s="8"/>
      <c r="T820" s="8"/>
      <c r="U820" s="8"/>
      <c r="V820" s="1">
        <f t="shared" si="26"/>
        <v>2</v>
      </c>
      <c r="W820" s="1">
        <f t="shared" si="27"/>
        <v>0</v>
      </c>
    </row>
    <row r="821" spans="1:23" hidden="1" x14ac:dyDescent="0.2">
      <c r="A821" s="7">
        <f>Data!A819</f>
        <v>0</v>
      </c>
      <c r="B821" s="7">
        <f>Data!B819</f>
        <v>0</v>
      </c>
      <c r="C821" s="7">
        <f>Data!C819</f>
        <v>0</v>
      </c>
      <c r="D821" s="8" t="str">
        <f>IF(ISNUMBER(Data!AL819),Data!AL819/1000,"n/a")</f>
        <v>n/a</v>
      </c>
      <c r="E821" s="1">
        <f>Data!E819</f>
        <v>0</v>
      </c>
      <c r="F821" s="28">
        <f>Data!J819/100</f>
        <v>0</v>
      </c>
      <c r="G821" s="28" t="str">
        <f>IF(ISNUMBER(Data!S819),Data!S819/100,"n/a")</f>
        <v>n/a</v>
      </c>
      <c r="H821" s="28" t="str">
        <f>IF(ISNUMBER(Data!T819),Data!T819/100,"n/a")</f>
        <v>n/a</v>
      </c>
      <c r="I821" s="28" t="str">
        <f>IF(ISNUMBER(Data!U819),Data!U819/100,"n/a")</f>
        <v>n/a</v>
      </c>
      <c r="J821" s="28" t="str">
        <f>IF(ISNUMBER(Data!V819),Data!V819/100,"n/a")</f>
        <v>n/a</v>
      </c>
      <c r="K821" s="9" t="str">
        <f>IF(ISNUMBER(Data!Z819),Data!Z819/100,"n/a")</f>
        <v>n/a</v>
      </c>
      <c r="L821" s="10">
        <f>Data!AA819</f>
        <v>0</v>
      </c>
      <c r="M821" s="10">
        <f>Data!AF819</f>
        <v>0</v>
      </c>
      <c r="N821" s="28" t="str">
        <f>IF(ISNUMBER(Data!AG819),Data!AG819/100,"n/a")</f>
        <v>n/a</v>
      </c>
      <c r="O821" s="28" t="str">
        <f>IF(ISNUMBER(Data!AJ819),Data!AJ819/100,"n/a")</f>
        <v>n/a</v>
      </c>
      <c r="P821" s="9" t="str">
        <f>IF(ISNUMBER(Data!AK819),Data!AK819/100,"n/a")</f>
        <v>n/a</v>
      </c>
      <c r="Q821" s="8">
        <f>Data!AN819</f>
        <v>0</v>
      </c>
      <c r="R821" s="8">
        <f>Data!AP819</f>
        <v>0</v>
      </c>
      <c r="S821" s="8"/>
      <c r="T821" s="8"/>
      <c r="U821" s="8"/>
      <c r="V821" s="1">
        <f t="shared" si="26"/>
        <v>2</v>
      </c>
      <c r="W821" s="1">
        <f t="shared" si="27"/>
        <v>0</v>
      </c>
    </row>
    <row r="822" spans="1:23" hidden="1" x14ac:dyDescent="0.2">
      <c r="A822" s="7">
        <f>Data!A820</f>
        <v>0</v>
      </c>
      <c r="B822" s="7">
        <f>Data!B820</f>
        <v>0</v>
      </c>
      <c r="C822" s="7">
        <f>Data!C820</f>
        <v>0</v>
      </c>
      <c r="D822" s="8" t="str">
        <f>IF(ISNUMBER(Data!AL820),Data!AL820/1000,"n/a")</f>
        <v>n/a</v>
      </c>
      <c r="E822" s="1">
        <f>Data!E820</f>
        <v>0</v>
      </c>
      <c r="F822" s="28">
        <f>Data!J820/100</f>
        <v>0</v>
      </c>
      <c r="G822" s="28" t="str">
        <f>IF(ISNUMBER(Data!S820),Data!S820/100,"n/a")</f>
        <v>n/a</v>
      </c>
      <c r="H822" s="28" t="str">
        <f>IF(ISNUMBER(Data!T820),Data!T820/100,"n/a")</f>
        <v>n/a</v>
      </c>
      <c r="I822" s="28" t="str">
        <f>IF(ISNUMBER(Data!U820),Data!U820/100,"n/a")</f>
        <v>n/a</v>
      </c>
      <c r="J822" s="28" t="str">
        <f>IF(ISNUMBER(Data!V820),Data!V820/100,"n/a")</f>
        <v>n/a</v>
      </c>
      <c r="K822" s="9" t="str">
        <f>IF(ISNUMBER(Data!Z820),Data!Z820/100,"n/a")</f>
        <v>n/a</v>
      </c>
      <c r="L822" s="10">
        <f>Data!AA820</f>
        <v>0</v>
      </c>
      <c r="M822" s="10">
        <f>Data!AF820</f>
        <v>0</v>
      </c>
      <c r="N822" s="28" t="str">
        <f>IF(ISNUMBER(Data!AG820),Data!AG820/100,"n/a")</f>
        <v>n/a</v>
      </c>
      <c r="O822" s="28" t="str">
        <f>IF(ISNUMBER(Data!AJ820),Data!AJ820/100,"n/a")</f>
        <v>n/a</v>
      </c>
      <c r="P822" s="9" t="str">
        <f>IF(ISNUMBER(Data!AK820),Data!AK820/100,"n/a")</f>
        <v>n/a</v>
      </c>
      <c r="Q822" s="8">
        <f>Data!AN820</f>
        <v>0</v>
      </c>
      <c r="R822" s="8">
        <f>Data!AP820</f>
        <v>0</v>
      </c>
      <c r="S822" s="8"/>
      <c r="T822" s="8"/>
      <c r="U822" s="8"/>
      <c r="V822" s="1">
        <f t="shared" si="26"/>
        <v>2</v>
      </c>
      <c r="W822" s="1">
        <f t="shared" si="27"/>
        <v>0</v>
      </c>
    </row>
    <row r="823" spans="1:23" hidden="1" x14ac:dyDescent="0.2">
      <c r="A823" s="7">
        <f>Data!A821</f>
        <v>0</v>
      </c>
      <c r="B823" s="7">
        <f>Data!B821</f>
        <v>0</v>
      </c>
      <c r="C823" s="7">
        <f>Data!C821</f>
        <v>0</v>
      </c>
      <c r="D823" s="8" t="str">
        <f>IF(ISNUMBER(Data!AL821),Data!AL821/1000,"n/a")</f>
        <v>n/a</v>
      </c>
      <c r="E823" s="1">
        <f>Data!E821</f>
        <v>0</v>
      </c>
      <c r="F823" s="28">
        <f>Data!J821/100</f>
        <v>0</v>
      </c>
      <c r="G823" s="28" t="str">
        <f>IF(ISNUMBER(Data!S821),Data!S821/100,"n/a")</f>
        <v>n/a</v>
      </c>
      <c r="H823" s="28" t="str">
        <f>IF(ISNUMBER(Data!T821),Data!T821/100,"n/a")</f>
        <v>n/a</v>
      </c>
      <c r="I823" s="28" t="str">
        <f>IF(ISNUMBER(Data!U821),Data!U821/100,"n/a")</f>
        <v>n/a</v>
      </c>
      <c r="J823" s="28" t="str">
        <f>IF(ISNUMBER(Data!V821),Data!V821/100,"n/a")</f>
        <v>n/a</v>
      </c>
      <c r="K823" s="9" t="str">
        <f>IF(ISNUMBER(Data!Z821),Data!Z821/100,"n/a")</f>
        <v>n/a</v>
      </c>
      <c r="L823" s="10">
        <f>Data!AA821</f>
        <v>0</v>
      </c>
      <c r="M823" s="10">
        <f>Data!AF821</f>
        <v>0</v>
      </c>
      <c r="N823" s="28" t="str">
        <f>IF(ISNUMBER(Data!AG821),Data!AG821/100,"n/a")</f>
        <v>n/a</v>
      </c>
      <c r="O823" s="28" t="str">
        <f>IF(ISNUMBER(Data!AJ821),Data!AJ821/100,"n/a")</f>
        <v>n/a</v>
      </c>
      <c r="P823" s="9" t="str">
        <f>IF(ISNUMBER(Data!AK821),Data!AK821/100,"n/a")</f>
        <v>n/a</v>
      </c>
      <c r="Q823" s="8">
        <f>Data!AN821</f>
        <v>0</v>
      </c>
      <c r="R823" s="8">
        <f>Data!AP821</f>
        <v>0</v>
      </c>
      <c r="S823" s="8"/>
      <c r="T823" s="8"/>
      <c r="U823" s="8"/>
      <c r="V823" s="1">
        <f t="shared" si="26"/>
        <v>2</v>
      </c>
      <c r="W823" s="1">
        <f t="shared" si="27"/>
        <v>0</v>
      </c>
    </row>
    <row r="824" spans="1:23" hidden="1" x14ac:dyDescent="0.2">
      <c r="A824" s="7">
        <f>Data!A822</f>
        <v>0</v>
      </c>
      <c r="B824" s="7">
        <f>Data!B822</f>
        <v>0</v>
      </c>
      <c r="C824" s="7">
        <f>Data!C822</f>
        <v>0</v>
      </c>
      <c r="D824" s="8" t="str">
        <f>IF(ISNUMBER(Data!AL822),Data!AL822/1000,"n/a")</f>
        <v>n/a</v>
      </c>
      <c r="E824" s="1">
        <f>Data!E822</f>
        <v>0</v>
      </c>
      <c r="F824" s="28">
        <f>Data!J822/100</f>
        <v>0</v>
      </c>
      <c r="G824" s="28" t="str">
        <f>IF(ISNUMBER(Data!S822),Data!S822/100,"n/a")</f>
        <v>n/a</v>
      </c>
      <c r="H824" s="28" t="str">
        <f>IF(ISNUMBER(Data!T822),Data!T822/100,"n/a")</f>
        <v>n/a</v>
      </c>
      <c r="I824" s="28" t="str">
        <f>IF(ISNUMBER(Data!U822),Data!U822/100,"n/a")</f>
        <v>n/a</v>
      </c>
      <c r="J824" s="28" t="str">
        <f>IF(ISNUMBER(Data!V822),Data!V822/100,"n/a")</f>
        <v>n/a</v>
      </c>
      <c r="K824" s="9" t="str">
        <f>IF(ISNUMBER(Data!Z822),Data!Z822/100,"n/a")</f>
        <v>n/a</v>
      </c>
      <c r="L824" s="10">
        <f>Data!AA822</f>
        <v>0</v>
      </c>
      <c r="M824" s="10">
        <f>Data!AF822</f>
        <v>0</v>
      </c>
      <c r="N824" s="28" t="str">
        <f>IF(ISNUMBER(Data!AG822),Data!AG822/100,"n/a")</f>
        <v>n/a</v>
      </c>
      <c r="O824" s="28" t="str">
        <f>IF(ISNUMBER(Data!AJ822),Data!AJ822/100,"n/a")</f>
        <v>n/a</v>
      </c>
      <c r="P824" s="9" t="str">
        <f>IF(ISNUMBER(Data!AK822),Data!AK822/100,"n/a")</f>
        <v>n/a</v>
      </c>
      <c r="Q824" s="8">
        <f>Data!AN822</f>
        <v>0</v>
      </c>
      <c r="R824" s="8">
        <f>Data!AP822</f>
        <v>0</v>
      </c>
      <c r="S824" s="8"/>
      <c r="T824" s="8"/>
      <c r="U824" s="8"/>
      <c r="V824" s="1">
        <f t="shared" si="26"/>
        <v>2</v>
      </c>
      <c r="W824" s="1">
        <f t="shared" si="27"/>
        <v>0</v>
      </c>
    </row>
    <row r="825" spans="1:23" hidden="1" x14ac:dyDescent="0.2">
      <c r="A825" s="7">
        <f>Data!A823</f>
        <v>0</v>
      </c>
      <c r="B825" s="7">
        <f>Data!B823</f>
        <v>0</v>
      </c>
      <c r="C825" s="7">
        <f>Data!C823</f>
        <v>0</v>
      </c>
      <c r="D825" s="8" t="str">
        <f>IF(ISNUMBER(Data!AL823),Data!AL823/1000,"n/a")</f>
        <v>n/a</v>
      </c>
      <c r="E825" s="1">
        <f>Data!E823</f>
        <v>0</v>
      </c>
      <c r="F825" s="28">
        <f>Data!J823/100</f>
        <v>0</v>
      </c>
      <c r="G825" s="28" t="str">
        <f>IF(ISNUMBER(Data!S823),Data!S823/100,"n/a")</f>
        <v>n/a</v>
      </c>
      <c r="H825" s="28" t="str">
        <f>IF(ISNUMBER(Data!T823),Data!T823/100,"n/a")</f>
        <v>n/a</v>
      </c>
      <c r="I825" s="28" t="str">
        <f>IF(ISNUMBER(Data!U823),Data!U823/100,"n/a")</f>
        <v>n/a</v>
      </c>
      <c r="J825" s="28" t="str">
        <f>IF(ISNUMBER(Data!V823),Data!V823/100,"n/a")</f>
        <v>n/a</v>
      </c>
      <c r="K825" s="9" t="str">
        <f>IF(ISNUMBER(Data!Z823),Data!Z823/100,"n/a")</f>
        <v>n/a</v>
      </c>
      <c r="L825" s="10">
        <f>Data!AA823</f>
        <v>0</v>
      </c>
      <c r="M825" s="10">
        <f>Data!AF823</f>
        <v>0</v>
      </c>
      <c r="N825" s="28" t="str">
        <f>IF(ISNUMBER(Data!AG823),Data!AG823/100,"n/a")</f>
        <v>n/a</v>
      </c>
      <c r="O825" s="28" t="str">
        <f>IF(ISNUMBER(Data!AJ823),Data!AJ823/100,"n/a")</f>
        <v>n/a</v>
      </c>
      <c r="P825" s="9" t="str">
        <f>IF(ISNUMBER(Data!AK823),Data!AK823/100,"n/a")</f>
        <v>n/a</v>
      </c>
      <c r="Q825" s="8">
        <f>Data!AN823</f>
        <v>0</v>
      </c>
      <c r="R825" s="8">
        <f>Data!AP823</f>
        <v>0</v>
      </c>
      <c r="S825" s="8"/>
      <c r="T825" s="8"/>
      <c r="U825" s="8"/>
      <c r="V825" s="1">
        <f t="shared" si="26"/>
        <v>2</v>
      </c>
      <c r="W825" s="1">
        <f t="shared" si="27"/>
        <v>0</v>
      </c>
    </row>
    <row r="826" spans="1:23" hidden="1" x14ac:dyDescent="0.2">
      <c r="A826" s="7">
        <f>Data!A824</f>
        <v>0</v>
      </c>
      <c r="B826" s="7">
        <f>Data!B824</f>
        <v>0</v>
      </c>
      <c r="C826" s="7">
        <f>Data!C824</f>
        <v>0</v>
      </c>
      <c r="D826" s="8" t="str">
        <f>IF(ISNUMBER(Data!AL824),Data!AL824/1000,"n/a")</f>
        <v>n/a</v>
      </c>
      <c r="E826" s="1">
        <f>Data!E824</f>
        <v>0</v>
      </c>
      <c r="F826" s="28">
        <f>Data!J824/100</f>
        <v>0</v>
      </c>
      <c r="G826" s="28" t="str">
        <f>IF(ISNUMBER(Data!S824),Data!S824/100,"n/a")</f>
        <v>n/a</v>
      </c>
      <c r="H826" s="28" t="str">
        <f>IF(ISNUMBER(Data!T824),Data!T824/100,"n/a")</f>
        <v>n/a</v>
      </c>
      <c r="I826" s="28" t="str">
        <f>IF(ISNUMBER(Data!U824),Data!U824/100,"n/a")</f>
        <v>n/a</v>
      </c>
      <c r="J826" s="28" t="str">
        <f>IF(ISNUMBER(Data!V824),Data!V824/100,"n/a")</f>
        <v>n/a</v>
      </c>
      <c r="K826" s="9" t="str">
        <f>IF(ISNUMBER(Data!Z824),Data!Z824/100,"n/a")</f>
        <v>n/a</v>
      </c>
      <c r="L826" s="10">
        <f>Data!AA824</f>
        <v>0</v>
      </c>
      <c r="M826" s="10">
        <f>Data!AF824</f>
        <v>0</v>
      </c>
      <c r="N826" s="28" t="str">
        <f>IF(ISNUMBER(Data!AG824),Data!AG824/100,"n/a")</f>
        <v>n/a</v>
      </c>
      <c r="O826" s="28" t="str">
        <f>IF(ISNUMBER(Data!AJ824),Data!AJ824/100,"n/a")</f>
        <v>n/a</v>
      </c>
      <c r="P826" s="9" t="str">
        <f>IF(ISNUMBER(Data!AK824),Data!AK824/100,"n/a")</f>
        <v>n/a</v>
      </c>
      <c r="Q826" s="8">
        <f>Data!AN824</f>
        <v>0</v>
      </c>
      <c r="R826" s="8">
        <f>Data!AP824</f>
        <v>0</v>
      </c>
      <c r="S826" s="8"/>
      <c r="T826" s="8"/>
      <c r="U826" s="8"/>
      <c r="V826" s="1">
        <f t="shared" si="26"/>
        <v>2</v>
      </c>
      <c r="W826" s="1">
        <f t="shared" si="27"/>
        <v>0</v>
      </c>
    </row>
    <row r="827" spans="1:23" hidden="1" x14ac:dyDescent="0.2">
      <c r="A827" s="7">
        <f>Data!A825</f>
        <v>0</v>
      </c>
      <c r="B827" s="7">
        <f>Data!B825</f>
        <v>0</v>
      </c>
      <c r="C827" s="7">
        <f>Data!C825</f>
        <v>0</v>
      </c>
      <c r="D827" s="8" t="str">
        <f>IF(ISNUMBER(Data!AL825),Data!AL825/1000,"n/a")</f>
        <v>n/a</v>
      </c>
      <c r="E827" s="1">
        <f>Data!E825</f>
        <v>0</v>
      </c>
      <c r="F827" s="28">
        <f>Data!J825/100</f>
        <v>0</v>
      </c>
      <c r="G827" s="28" t="str">
        <f>IF(ISNUMBER(Data!S825),Data!S825/100,"n/a")</f>
        <v>n/a</v>
      </c>
      <c r="H827" s="28" t="str">
        <f>IF(ISNUMBER(Data!T825),Data!T825/100,"n/a")</f>
        <v>n/a</v>
      </c>
      <c r="I827" s="28" t="str">
        <f>IF(ISNUMBER(Data!U825),Data!U825/100,"n/a")</f>
        <v>n/a</v>
      </c>
      <c r="J827" s="28" t="str">
        <f>IF(ISNUMBER(Data!V825),Data!V825/100,"n/a")</f>
        <v>n/a</v>
      </c>
      <c r="K827" s="9" t="str">
        <f>IF(ISNUMBER(Data!Z825),Data!Z825/100,"n/a")</f>
        <v>n/a</v>
      </c>
      <c r="L827" s="10">
        <f>Data!AA825</f>
        <v>0</v>
      </c>
      <c r="M827" s="10">
        <f>Data!AF825</f>
        <v>0</v>
      </c>
      <c r="N827" s="28" t="str">
        <f>IF(ISNUMBER(Data!AG825),Data!AG825/100,"n/a")</f>
        <v>n/a</v>
      </c>
      <c r="O827" s="28" t="str">
        <f>IF(ISNUMBER(Data!AJ825),Data!AJ825/100,"n/a")</f>
        <v>n/a</v>
      </c>
      <c r="P827" s="9" t="str">
        <f>IF(ISNUMBER(Data!AK825),Data!AK825/100,"n/a")</f>
        <v>n/a</v>
      </c>
      <c r="Q827" s="8">
        <f>Data!AN825</f>
        <v>0</v>
      </c>
      <c r="R827" s="8">
        <f>Data!AP825</f>
        <v>0</v>
      </c>
      <c r="S827" s="8"/>
      <c r="T827" s="8"/>
      <c r="U827" s="8"/>
      <c r="V827" s="1">
        <f t="shared" si="26"/>
        <v>2</v>
      </c>
      <c r="W827" s="1">
        <f t="shared" si="27"/>
        <v>0</v>
      </c>
    </row>
    <row r="828" spans="1:23" hidden="1" x14ac:dyDescent="0.2">
      <c r="A828" s="7">
        <f>Data!A826</f>
        <v>0</v>
      </c>
      <c r="B828" s="7">
        <f>Data!B826</f>
        <v>0</v>
      </c>
      <c r="C828" s="7">
        <f>Data!C826</f>
        <v>0</v>
      </c>
      <c r="D828" s="8" t="str">
        <f>IF(ISNUMBER(Data!AL826),Data!AL826/1000,"n/a")</f>
        <v>n/a</v>
      </c>
      <c r="E828" s="1">
        <f>Data!E826</f>
        <v>0</v>
      </c>
      <c r="F828" s="28">
        <f>Data!J826/100</f>
        <v>0</v>
      </c>
      <c r="G828" s="28" t="str">
        <f>IF(ISNUMBER(Data!S826),Data!S826/100,"n/a")</f>
        <v>n/a</v>
      </c>
      <c r="H828" s="28" t="str">
        <f>IF(ISNUMBER(Data!T826),Data!T826/100,"n/a")</f>
        <v>n/a</v>
      </c>
      <c r="I828" s="28" t="str">
        <f>IF(ISNUMBER(Data!U826),Data!U826/100,"n/a")</f>
        <v>n/a</v>
      </c>
      <c r="J828" s="28" t="str">
        <f>IF(ISNUMBER(Data!V826),Data!V826/100,"n/a")</f>
        <v>n/a</v>
      </c>
      <c r="K828" s="9" t="str">
        <f>IF(ISNUMBER(Data!Z826),Data!Z826/100,"n/a")</f>
        <v>n/a</v>
      </c>
      <c r="L828" s="10">
        <f>Data!AA826</f>
        <v>0</v>
      </c>
      <c r="M828" s="10">
        <f>Data!AF826</f>
        <v>0</v>
      </c>
      <c r="N828" s="28" t="str">
        <f>IF(ISNUMBER(Data!AG826),Data!AG826/100,"n/a")</f>
        <v>n/a</v>
      </c>
      <c r="O828" s="28" t="str">
        <f>IF(ISNUMBER(Data!AJ826),Data!AJ826/100,"n/a")</f>
        <v>n/a</v>
      </c>
      <c r="P828" s="9" t="str">
        <f>IF(ISNUMBER(Data!AK826),Data!AK826/100,"n/a")</f>
        <v>n/a</v>
      </c>
      <c r="Q828" s="8">
        <f>Data!AN826</f>
        <v>0</v>
      </c>
      <c r="R828" s="8">
        <f>Data!AP826</f>
        <v>0</v>
      </c>
      <c r="S828" s="8"/>
      <c r="T828" s="8"/>
      <c r="U828" s="8"/>
      <c r="V828" s="1">
        <f t="shared" si="26"/>
        <v>2</v>
      </c>
      <c r="W828" s="1">
        <f t="shared" si="27"/>
        <v>0</v>
      </c>
    </row>
    <row r="829" spans="1:23" hidden="1" x14ac:dyDescent="0.2">
      <c r="A829" s="7">
        <f>Data!A827</f>
        <v>0</v>
      </c>
      <c r="B829" s="7">
        <f>Data!B827</f>
        <v>0</v>
      </c>
      <c r="C829" s="7">
        <f>Data!C827</f>
        <v>0</v>
      </c>
      <c r="D829" s="8" t="str">
        <f>IF(ISNUMBER(Data!AL827),Data!AL827/1000,"n/a")</f>
        <v>n/a</v>
      </c>
      <c r="E829" s="1">
        <f>Data!E827</f>
        <v>0</v>
      </c>
      <c r="F829" s="28">
        <f>Data!J827/100</f>
        <v>0</v>
      </c>
      <c r="G829" s="28" t="str">
        <f>IF(ISNUMBER(Data!S827),Data!S827/100,"n/a")</f>
        <v>n/a</v>
      </c>
      <c r="H829" s="28" t="str">
        <f>IF(ISNUMBER(Data!T827),Data!T827/100,"n/a")</f>
        <v>n/a</v>
      </c>
      <c r="I829" s="28" t="str">
        <f>IF(ISNUMBER(Data!U827),Data!U827/100,"n/a")</f>
        <v>n/a</v>
      </c>
      <c r="J829" s="28" t="str">
        <f>IF(ISNUMBER(Data!V827),Data!V827/100,"n/a")</f>
        <v>n/a</v>
      </c>
      <c r="K829" s="9" t="str">
        <f>IF(ISNUMBER(Data!Z827),Data!Z827/100,"n/a")</f>
        <v>n/a</v>
      </c>
      <c r="L829" s="10">
        <f>Data!AA827</f>
        <v>0</v>
      </c>
      <c r="M829" s="10">
        <f>Data!AF827</f>
        <v>0</v>
      </c>
      <c r="N829" s="28" t="str">
        <f>IF(ISNUMBER(Data!AG827),Data!AG827/100,"n/a")</f>
        <v>n/a</v>
      </c>
      <c r="O829" s="28" t="str">
        <f>IF(ISNUMBER(Data!AJ827),Data!AJ827/100,"n/a")</f>
        <v>n/a</v>
      </c>
      <c r="P829" s="9" t="str">
        <f>IF(ISNUMBER(Data!AK827),Data!AK827/100,"n/a")</f>
        <v>n/a</v>
      </c>
      <c r="Q829" s="8">
        <f>Data!AN827</f>
        <v>0</v>
      </c>
      <c r="R829" s="8">
        <f>Data!AP827</f>
        <v>0</v>
      </c>
      <c r="S829" s="8"/>
      <c r="T829" s="8"/>
      <c r="U829" s="8"/>
      <c r="V829" s="1">
        <f t="shared" si="26"/>
        <v>2</v>
      </c>
      <c r="W829" s="1">
        <f t="shared" si="27"/>
        <v>0</v>
      </c>
    </row>
    <row r="830" spans="1:23" hidden="1" x14ac:dyDescent="0.2">
      <c r="A830" s="7">
        <f>Data!A828</f>
        <v>0</v>
      </c>
      <c r="B830" s="7">
        <f>Data!B828</f>
        <v>0</v>
      </c>
      <c r="C830" s="7">
        <f>Data!C828</f>
        <v>0</v>
      </c>
      <c r="D830" s="8" t="str">
        <f>IF(ISNUMBER(Data!AL828),Data!AL828/1000,"n/a")</f>
        <v>n/a</v>
      </c>
      <c r="E830" s="1">
        <f>Data!E828</f>
        <v>0</v>
      </c>
      <c r="F830" s="28">
        <f>Data!J828/100</f>
        <v>0</v>
      </c>
      <c r="G830" s="28" t="str">
        <f>IF(ISNUMBER(Data!S828),Data!S828/100,"n/a")</f>
        <v>n/a</v>
      </c>
      <c r="H830" s="28" t="str">
        <f>IF(ISNUMBER(Data!T828),Data!T828/100,"n/a")</f>
        <v>n/a</v>
      </c>
      <c r="I830" s="28" t="str">
        <f>IF(ISNUMBER(Data!U828),Data!U828/100,"n/a")</f>
        <v>n/a</v>
      </c>
      <c r="J830" s="28" t="str">
        <f>IF(ISNUMBER(Data!V828),Data!V828/100,"n/a")</f>
        <v>n/a</v>
      </c>
      <c r="K830" s="9" t="str">
        <f>IF(ISNUMBER(Data!Z828),Data!Z828/100,"n/a")</f>
        <v>n/a</v>
      </c>
      <c r="L830" s="10">
        <f>Data!AA828</f>
        <v>0</v>
      </c>
      <c r="M830" s="10">
        <f>Data!AF828</f>
        <v>0</v>
      </c>
      <c r="N830" s="28" t="str">
        <f>IF(ISNUMBER(Data!AG828),Data!AG828/100,"n/a")</f>
        <v>n/a</v>
      </c>
      <c r="O830" s="28" t="str">
        <f>IF(ISNUMBER(Data!AJ828),Data!AJ828/100,"n/a")</f>
        <v>n/a</v>
      </c>
      <c r="P830" s="9" t="str">
        <f>IF(ISNUMBER(Data!AK828),Data!AK828/100,"n/a")</f>
        <v>n/a</v>
      </c>
      <c r="Q830" s="8">
        <f>Data!AN828</f>
        <v>0</v>
      </c>
      <c r="R830" s="8">
        <f>Data!AP828</f>
        <v>0</v>
      </c>
      <c r="S830" s="8"/>
      <c r="T830" s="8"/>
      <c r="U830" s="8"/>
      <c r="V830" s="1">
        <f t="shared" si="26"/>
        <v>2</v>
      </c>
      <c r="W830" s="1">
        <f t="shared" si="27"/>
        <v>0</v>
      </c>
    </row>
    <row r="831" spans="1:23" hidden="1" x14ac:dyDescent="0.2">
      <c r="A831" s="7">
        <f>Data!A829</f>
        <v>0</v>
      </c>
      <c r="B831" s="7">
        <f>Data!B829</f>
        <v>0</v>
      </c>
      <c r="C831" s="7">
        <f>Data!C829</f>
        <v>0</v>
      </c>
      <c r="D831" s="8" t="str">
        <f>IF(ISNUMBER(Data!AL829),Data!AL829/1000,"n/a")</f>
        <v>n/a</v>
      </c>
      <c r="E831" s="1">
        <f>Data!E829</f>
        <v>0</v>
      </c>
      <c r="F831" s="28">
        <f>Data!J829/100</f>
        <v>0</v>
      </c>
      <c r="G831" s="28" t="str">
        <f>IF(ISNUMBER(Data!S829),Data!S829/100,"n/a")</f>
        <v>n/a</v>
      </c>
      <c r="H831" s="28" t="str">
        <f>IF(ISNUMBER(Data!T829),Data!T829/100,"n/a")</f>
        <v>n/a</v>
      </c>
      <c r="I831" s="28" t="str">
        <f>IF(ISNUMBER(Data!U829),Data!U829/100,"n/a")</f>
        <v>n/a</v>
      </c>
      <c r="J831" s="28" t="str">
        <f>IF(ISNUMBER(Data!V829),Data!V829/100,"n/a")</f>
        <v>n/a</v>
      </c>
      <c r="K831" s="9" t="str">
        <f>IF(ISNUMBER(Data!Z829),Data!Z829/100,"n/a")</f>
        <v>n/a</v>
      </c>
      <c r="L831" s="10">
        <f>Data!AA829</f>
        <v>0</v>
      </c>
      <c r="M831" s="10">
        <f>Data!AF829</f>
        <v>0</v>
      </c>
      <c r="N831" s="28" t="str">
        <f>IF(ISNUMBER(Data!AG829),Data!AG829/100,"n/a")</f>
        <v>n/a</v>
      </c>
      <c r="O831" s="28" t="str">
        <f>IF(ISNUMBER(Data!AJ829),Data!AJ829/100,"n/a")</f>
        <v>n/a</v>
      </c>
      <c r="P831" s="9" t="str">
        <f>IF(ISNUMBER(Data!AK829),Data!AK829/100,"n/a")</f>
        <v>n/a</v>
      </c>
      <c r="Q831" s="8">
        <f>Data!AN829</f>
        <v>0</v>
      </c>
      <c r="R831" s="8">
        <f>Data!AP829</f>
        <v>0</v>
      </c>
      <c r="S831" s="8"/>
      <c r="T831" s="8"/>
      <c r="U831" s="8"/>
      <c r="V831" s="1">
        <f t="shared" si="26"/>
        <v>2</v>
      </c>
      <c r="W831" s="1">
        <f t="shared" si="27"/>
        <v>0</v>
      </c>
    </row>
    <row r="832" spans="1:23" hidden="1" x14ac:dyDescent="0.2">
      <c r="A832" s="7">
        <f>Data!A830</f>
        <v>0</v>
      </c>
      <c r="B832" s="7">
        <f>Data!B830</f>
        <v>0</v>
      </c>
      <c r="C832" s="7">
        <f>Data!C830</f>
        <v>0</v>
      </c>
      <c r="D832" s="8" t="str">
        <f>IF(ISNUMBER(Data!AL830),Data!AL830/1000,"n/a")</f>
        <v>n/a</v>
      </c>
      <c r="E832" s="1">
        <f>Data!E830</f>
        <v>0</v>
      </c>
      <c r="F832" s="28">
        <f>Data!J830/100</f>
        <v>0</v>
      </c>
      <c r="G832" s="28" t="str">
        <f>IF(ISNUMBER(Data!S830),Data!S830/100,"n/a")</f>
        <v>n/a</v>
      </c>
      <c r="H832" s="28" t="str">
        <f>IF(ISNUMBER(Data!T830),Data!T830/100,"n/a")</f>
        <v>n/a</v>
      </c>
      <c r="I832" s="28" t="str">
        <f>IF(ISNUMBER(Data!U830),Data!U830/100,"n/a")</f>
        <v>n/a</v>
      </c>
      <c r="J832" s="28" t="str">
        <f>IF(ISNUMBER(Data!V830),Data!V830/100,"n/a")</f>
        <v>n/a</v>
      </c>
      <c r="K832" s="9" t="str">
        <f>IF(ISNUMBER(Data!Z830),Data!Z830/100,"n/a")</f>
        <v>n/a</v>
      </c>
      <c r="L832" s="10">
        <f>Data!AA830</f>
        <v>0</v>
      </c>
      <c r="M832" s="10">
        <f>Data!AF830</f>
        <v>0</v>
      </c>
      <c r="N832" s="28" t="str">
        <f>IF(ISNUMBER(Data!AG830),Data!AG830/100,"n/a")</f>
        <v>n/a</v>
      </c>
      <c r="O832" s="28" t="str">
        <f>IF(ISNUMBER(Data!AJ830),Data!AJ830/100,"n/a")</f>
        <v>n/a</v>
      </c>
      <c r="P832" s="9" t="str">
        <f>IF(ISNUMBER(Data!AK830),Data!AK830/100,"n/a")</f>
        <v>n/a</v>
      </c>
      <c r="Q832" s="8">
        <f>Data!AN830</f>
        <v>0</v>
      </c>
      <c r="R832" s="8">
        <f>Data!AP830</f>
        <v>0</v>
      </c>
      <c r="S832" s="8"/>
      <c r="T832" s="8"/>
      <c r="U832" s="8"/>
      <c r="V832" s="1">
        <f t="shared" si="26"/>
        <v>2</v>
      </c>
      <c r="W832" s="1">
        <f t="shared" si="27"/>
        <v>0</v>
      </c>
    </row>
    <row r="833" spans="1:23" hidden="1" x14ac:dyDescent="0.2">
      <c r="A833" s="7">
        <f>Data!A831</f>
        <v>0</v>
      </c>
      <c r="B833" s="7">
        <f>Data!B831</f>
        <v>0</v>
      </c>
      <c r="C833" s="7">
        <f>Data!C831</f>
        <v>0</v>
      </c>
      <c r="D833" s="8" t="str">
        <f>IF(ISNUMBER(Data!AL831),Data!AL831/1000,"n/a")</f>
        <v>n/a</v>
      </c>
      <c r="E833" s="1">
        <f>Data!E831</f>
        <v>0</v>
      </c>
      <c r="F833" s="28">
        <f>Data!J831/100</f>
        <v>0</v>
      </c>
      <c r="G833" s="28" t="str">
        <f>IF(ISNUMBER(Data!S831),Data!S831/100,"n/a")</f>
        <v>n/a</v>
      </c>
      <c r="H833" s="28" t="str">
        <f>IF(ISNUMBER(Data!T831),Data!T831/100,"n/a")</f>
        <v>n/a</v>
      </c>
      <c r="I833" s="28" t="str">
        <f>IF(ISNUMBER(Data!U831),Data!U831/100,"n/a")</f>
        <v>n/a</v>
      </c>
      <c r="J833" s="28" t="str">
        <f>IF(ISNUMBER(Data!V831),Data!V831/100,"n/a")</f>
        <v>n/a</v>
      </c>
      <c r="K833" s="9" t="str">
        <f>IF(ISNUMBER(Data!Z831),Data!Z831/100,"n/a")</f>
        <v>n/a</v>
      </c>
      <c r="L833" s="10">
        <f>Data!AA831</f>
        <v>0</v>
      </c>
      <c r="M833" s="10">
        <f>Data!AF831</f>
        <v>0</v>
      </c>
      <c r="N833" s="28" t="str">
        <f>IF(ISNUMBER(Data!AG831),Data!AG831/100,"n/a")</f>
        <v>n/a</v>
      </c>
      <c r="O833" s="28" t="str">
        <f>IF(ISNUMBER(Data!AJ831),Data!AJ831/100,"n/a")</f>
        <v>n/a</v>
      </c>
      <c r="P833" s="9" t="str">
        <f>IF(ISNUMBER(Data!AK831),Data!AK831/100,"n/a")</f>
        <v>n/a</v>
      </c>
      <c r="Q833" s="8">
        <f>Data!AN831</f>
        <v>0</v>
      </c>
      <c r="R833" s="8">
        <f>Data!AP831</f>
        <v>0</v>
      </c>
      <c r="S833" s="8"/>
      <c r="T833" s="8"/>
      <c r="U833" s="8"/>
      <c r="V833" s="1">
        <f t="shared" si="26"/>
        <v>2</v>
      </c>
      <c r="W833" s="1">
        <f t="shared" si="27"/>
        <v>0</v>
      </c>
    </row>
    <row r="834" spans="1:23" hidden="1" x14ac:dyDescent="0.2">
      <c r="A834" s="7">
        <f>Data!A832</f>
        <v>0</v>
      </c>
      <c r="B834" s="7">
        <f>Data!B832</f>
        <v>0</v>
      </c>
      <c r="C834" s="7">
        <f>Data!C832</f>
        <v>0</v>
      </c>
      <c r="D834" s="8" t="str">
        <f>IF(ISNUMBER(Data!AL832),Data!AL832/1000,"n/a")</f>
        <v>n/a</v>
      </c>
      <c r="E834" s="1">
        <f>Data!E832</f>
        <v>0</v>
      </c>
      <c r="F834" s="28">
        <f>Data!J832/100</f>
        <v>0</v>
      </c>
      <c r="G834" s="28" t="str">
        <f>IF(ISNUMBER(Data!S832),Data!S832/100,"n/a")</f>
        <v>n/a</v>
      </c>
      <c r="H834" s="28" t="str">
        <f>IF(ISNUMBER(Data!T832),Data!T832/100,"n/a")</f>
        <v>n/a</v>
      </c>
      <c r="I834" s="28" t="str">
        <f>IF(ISNUMBER(Data!U832),Data!U832/100,"n/a")</f>
        <v>n/a</v>
      </c>
      <c r="J834" s="28" t="str">
        <f>IF(ISNUMBER(Data!V832),Data!V832/100,"n/a")</f>
        <v>n/a</v>
      </c>
      <c r="K834" s="9" t="str">
        <f>IF(ISNUMBER(Data!Z832),Data!Z832/100,"n/a")</f>
        <v>n/a</v>
      </c>
      <c r="L834" s="10">
        <f>Data!AA832</f>
        <v>0</v>
      </c>
      <c r="M834" s="10">
        <f>Data!AF832</f>
        <v>0</v>
      </c>
      <c r="N834" s="28" t="str">
        <f>IF(ISNUMBER(Data!AG832),Data!AG832/100,"n/a")</f>
        <v>n/a</v>
      </c>
      <c r="O834" s="28" t="str">
        <f>IF(ISNUMBER(Data!AJ832),Data!AJ832/100,"n/a")</f>
        <v>n/a</v>
      </c>
      <c r="P834" s="9" t="str">
        <f>IF(ISNUMBER(Data!AK832),Data!AK832/100,"n/a")</f>
        <v>n/a</v>
      </c>
      <c r="Q834" s="8">
        <f>Data!AN832</f>
        <v>0</v>
      </c>
      <c r="R834" s="8">
        <f>Data!AP832</f>
        <v>0</v>
      </c>
      <c r="S834" s="8"/>
      <c r="T834" s="8"/>
      <c r="U834" s="8"/>
      <c r="V834" s="1">
        <f t="shared" si="26"/>
        <v>2</v>
      </c>
      <c r="W834" s="1">
        <f t="shared" si="27"/>
        <v>0</v>
      </c>
    </row>
    <row r="835" spans="1:23" hidden="1" x14ac:dyDescent="0.2">
      <c r="A835" s="7">
        <f>Data!A834</f>
        <v>0</v>
      </c>
      <c r="B835" s="7">
        <f>Data!B834</f>
        <v>0</v>
      </c>
      <c r="C835" s="7">
        <f>Data!C834</f>
        <v>0</v>
      </c>
      <c r="D835" s="8" t="str">
        <f>IF(ISNUMBER(Data!AL834),Data!AL834/1000,"n/a")</f>
        <v>n/a</v>
      </c>
      <c r="E835" s="1">
        <f>Data!E834</f>
        <v>0</v>
      </c>
      <c r="F835" s="28">
        <f>Data!J834/100</f>
        <v>0</v>
      </c>
      <c r="G835" s="28" t="str">
        <f>IF(ISNUMBER(Data!S834),Data!S834/100,"n/a")</f>
        <v>n/a</v>
      </c>
      <c r="H835" s="28" t="str">
        <f>IF(ISNUMBER(Data!T834),Data!T834/100,"n/a")</f>
        <v>n/a</v>
      </c>
      <c r="I835" s="28" t="str">
        <f>IF(ISNUMBER(Data!U834),Data!U834/100,"n/a")</f>
        <v>n/a</v>
      </c>
      <c r="J835" s="28" t="str">
        <f>IF(ISNUMBER(Data!V834),Data!V834/100,"n/a")</f>
        <v>n/a</v>
      </c>
      <c r="K835" s="9" t="str">
        <f>IF(ISNUMBER(Data!Z834),Data!Z834/100,"n/a")</f>
        <v>n/a</v>
      </c>
      <c r="L835" s="10">
        <f>Data!AA834</f>
        <v>0</v>
      </c>
      <c r="M835" s="10">
        <f>Data!AF834</f>
        <v>0</v>
      </c>
      <c r="N835" s="28" t="str">
        <f>IF(ISNUMBER(Data!AG834),Data!AG834/100,"n/a")</f>
        <v>n/a</v>
      </c>
      <c r="O835" s="28" t="str">
        <f>IF(ISNUMBER(Data!AJ834),Data!AJ834/100,"n/a")</f>
        <v>n/a</v>
      </c>
      <c r="P835" s="9" t="str">
        <f>IF(ISNUMBER(Data!AK834),Data!AK834/100,"n/a")</f>
        <v>n/a</v>
      </c>
      <c r="Q835" s="8">
        <f>Data!AN834</f>
        <v>0</v>
      </c>
      <c r="R835" s="8">
        <f>Data!AP834</f>
        <v>0</v>
      </c>
      <c r="S835" s="8"/>
      <c r="T835" s="8"/>
      <c r="U835" s="8"/>
      <c r="V835" s="1">
        <f t="shared" si="26"/>
        <v>2</v>
      </c>
      <c r="W835" s="1">
        <f t="shared" si="27"/>
        <v>0</v>
      </c>
    </row>
    <row r="836" spans="1:23" hidden="1" x14ac:dyDescent="0.2">
      <c r="A836" s="7">
        <f>Data!A835</f>
        <v>0</v>
      </c>
      <c r="B836" s="7">
        <f>Data!B835</f>
        <v>0</v>
      </c>
      <c r="C836" s="7">
        <f>Data!C835</f>
        <v>0</v>
      </c>
      <c r="D836" s="8" t="str">
        <f>IF(ISNUMBER(Data!AL835),Data!AL835/1000,"n/a")</f>
        <v>n/a</v>
      </c>
      <c r="E836" s="1">
        <f>Data!E835</f>
        <v>0</v>
      </c>
      <c r="F836" s="28">
        <f>Data!J835/100</f>
        <v>0</v>
      </c>
      <c r="G836" s="28" t="str">
        <f>IF(ISNUMBER(Data!S835),Data!S835/100,"n/a")</f>
        <v>n/a</v>
      </c>
      <c r="H836" s="28" t="str">
        <f>IF(ISNUMBER(Data!T835),Data!T835/100,"n/a")</f>
        <v>n/a</v>
      </c>
      <c r="I836" s="28" t="str">
        <f>IF(ISNUMBER(Data!U835),Data!U835/100,"n/a")</f>
        <v>n/a</v>
      </c>
      <c r="J836" s="28" t="str">
        <f>IF(ISNUMBER(Data!V835),Data!V835/100,"n/a")</f>
        <v>n/a</v>
      </c>
      <c r="K836" s="9" t="str">
        <f>IF(ISNUMBER(Data!Z835),Data!Z835/100,"n/a")</f>
        <v>n/a</v>
      </c>
      <c r="L836" s="10">
        <f>Data!AA835</f>
        <v>0</v>
      </c>
      <c r="M836" s="10">
        <f>Data!AF835</f>
        <v>0</v>
      </c>
      <c r="N836" s="28" t="str">
        <f>IF(ISNUMBER(Data!AG835),Data!AG835/100,"n/a")</f>
        <v>n/a</v>
      </c>
      <c r="O836" s="28" t="str">
        <f>IF(ISNUMBER(Data!AJ835),Data!AJ835/100,"n/a")</f>
        <v>n/a</v>
      </c>
      <c r="P836" s="9" t="str">
        <f>IF(ISNUMBER(Data!AK835),Data!AK835/100,"n/a")</f>
        <v>n/a</v>
      </c>
      <c r="Q836" s="8">
        <f>Data!AN835</f>
        <v>0</v>
      </c>
      <c r="R836" s="8">
        <f>Data!AP835</f>
        <v>0</v>
      </c>
      <c r="S836" s="8"/>
      <c r="T836" s="8"/>
      <c r="U836" s="8"/>
      <c r="V836" s="1">
        <f t="shared" si="26"/>
        <v>2</v>
      </c>
      <c r="W836" s="1">
        <f t="shared" si="27"/>
        <v>0</v>
      </c>
    </row>
    <row r="837" spans="1:23" hidden="1" x14ac:dyDescent="0.2">
      <c r="A837" s="7">
        <f>Data!A836</f>
        <v>0</v>
      </c>
      <c r="B837" s="7">
        <f>Data!B836</f>
        <v>0</v>
      </c>
      <c r="C837" s="7">
        <f>Data!C836</f>
        <v>0</v>
      </c>
      <c r="D837" s="8" t="str">
        <f>IF(ISNUMBER(Data!AL836),Data!AL836/1000,"n/a")</f>
        <v>n/a</v>
      </c>
      <c r="E837" s="1">
        <f>Data!E836</f>
        <v>0</v>
      </c>
      <c r="F837" s="28">
        <f>Data!J836/100</f>
        <v>0</v>
      </c>
      <c r="G837" s="28" t="str">
        <f>IF(ISNUMBER(Data!S836),Data!S836/100,"n/a")</f>
        <v>n/a</v>
      </c>
      <c r="H837" s="28" t="str">
        <f>IF(ISNUMBER(Data!T836),Data!T836/100,"n/a")</f>
        <v>n/a</v>
      </c>
      <c r="I837" s="28" t="str">
        <f>IF(ISNUMBER(Data!U836),Data!U836/100,"n/a")</f>
        <v>n/a</v>
      </c>
      <c r="J837" s="28" t="str">
        <f>IF(ISNUMBER(Data!V836),Data!V836/100,"n/a")</f>
        <v>n/a</v>
      </c>
      <c r="K837" s="9" t="str">
        <f>IF(ISNUMBER(Data!Z836),Data!Z836/100,"n/a")</f>
        <v>n/a</v>
      </c>
      <c r="L837" s="10">
        <f>Data!AA836</f>
        <v>0</v>
      </c>
      <c r="M837" s="10">
        <f>Data!AF836</f>
        <v>0</v>
      </c>
      <c r="N837" s="28" t="str">
        <f>IF(ISNUMBER(Data!AG836),Data!AG836/100,"n/a")</f>
        <v>n/a</v>
      </c>
      <c r="O837" s="28" t="str">
        <f>IF(ISNUMBER(Data!AJ836),Data!AJ836/100,"n/a")</f>
        <v>n/a</v>
      </c>
      <c r="P837" s="9" t="str">
        <f>IF(ISNUMBER(Data!AK836),Data!AK836/100,"n/a")</f>
        <v>n/a</v>
      </c>
      <c r="Q837" s="8">
        <f>Data!AN836</f>
        <v>0</v>
      </c>
      <c r="R837" s="8">
        <f>Data!AP836</f>
        <v>0</v>
      </c>
      <c r="S837" s="8"/>
      <c r="T837" s="8"/>
      <c r="U837" s="8"/>
      <c r="V837" s="1">
        <f t="shared" si="26"/>
        <v>2</v>
      </c>
      <c r="W837" s="1">
        <f t="shared" si="27"/>
        <v>0</v>
      </c>
    </row>
    <row r="838" spans="1:23" hidden="1" x14ac:dyDescent="0.2">
      <c r="A838" s="7">
        <f>Data!A837</f>
        <v>0</v>
      </c>
      <c r="B838" s="7">
        <f>Data!B837</f>
        <v>0</v>
      </c>
      <c r="C838" s="7">
        <f>Data!C837</f>
        <v>0</v>
      </c>
      <c r="D838" s="8" t="str">
        <f>IF(ISNUMBER(Data!AL837),Data!AL837/1000,"n/a")</f>
        <v>n/a</v>
      </c>
      <c r="E838" s="1">
        <f>Data!E837</f>
        <v>0</v>
      </c>
      <c r="F838" s="28">
        <f>Data!J837/100</f>
        <v>0</v>
      </c>
      <c r="G838" s="28" t="str">
        <f>IF(ISNUMBER(Data!S837),Data!S837/100,"n/a")</f>
        <v>n/a</v>
      </c>
      <c r="H838" s="28" t="str">
        <f>IF(ISNUMBER(Data!T837),Data!T837/100,"n/a")</f>
        <v>n/a</v>
      </c>
      <c r="I838" s="28" t="str">
        <f>IF(ISNUMBER(Data!U837),Data!U837/100,"n/a")</f>
        <v>n/a</v>
      </c>
      <c r="J838" s="28" t="str">
        <f>IF(ISNUMBER(Data!V837),Data!V837/100,"n/a")</f>
        <v>n/a</v>
      </c>
      <c r="K838" s="9" t="str">
        <f>IF(ISNUMBER(Data!Z837),Data!Z837/100,"n/a")</f>
        <v>n/a</v>
      </c>
      <c r="L838" s="10">
        <f>Data!AA837</f>
        <v>0</v>
      </c>
      <c r="M838" s="10">
        <f>Data!AF837</f>
        <v>0</v>
      </c>
      <c r="N838" s="28" t="str">
        <f>IF(ISNUMBER(Data!AG837),Data!AG837/100,"n/a")</f>
        <v>n/a</v>
      </c>
      <c r="O838" s="28" t="str">
        <f>IF(ISNUMBER(Data!AJ837),Data!AJ837/100,"n/a")</f>
        <v>n/a</v>
      </c>
      <c r="P838" s="9" t="str">
        <f>IF(ISNUMBER(Data!AK837),Data!AK837/100,"n/a")</f>
        <v>n/a</v>
      </c>
      <c r="Q838" s="8">
        <f>Data!AN837</f>
        <v>0</v>
      </c>
      <c r="R838" s="8">
        <f>Data!AP837</f>
        <v>0</v>
      </c>
      <c r="S838" s="8"/>
      <c r="T838" s="8"/>
      <c r="U838" s="8"/>
      <c r="V838" s="1">
        <f t="shared" ref="V838:V899" si="28">IF($D$4="+",IF(D838="n/a",0,IF(D838&gt;=$D$5,1,0)),0)+IF($E$4="+",IF(E838="n/a",0,IF(E838&gt;=$E$5,1,0)),0)+IF($F$4="+",IF(F838="n/a",0,IF(F838&gt;=$F$5,1,0)),0)+IF($G$4="+",IF(G838="n/a",0,IF(G838&gt;=$G$5,1,0)),0)+IF($H$4="+",IF(H838="n/a",0,IF(H838&gt;=$H$5,1,0)),0)+IF($I$4="+",IF(I838="n/a",0,IF(I838&gt;=$I$5,1,0)),0)+IF($J$4="+",IF(J838="n/a",0,IF(J838&gt;=$J$5,1,0)),0)+IF($K$4="+",IF(K838="n/a",0,IF(K838&lt;=$K$5,1,0)),0)+IF($L$4="+",IF(L838="n/a",0,IF(L838&lt;=$L$5,1,0)),0)+IF($M$4="+",IF(M838="n/a",0,IF(M838&lt;=$M$5,1,0)),0)+IF($N$4="+",IF(N838="n/a",0,IF(N838&gt;=$N$5,1,0)),0)+IF($O$4="+",IF(O838="n/a",0,IF(O838&gt;=$O$5,1,0)),0)+IF($P$4="+",IF(P838="n/a",0,IF(P838&gt;=$P$5,1,0)),0)+IF($Q$4="+",IF(Q838="n/a",0,IF(Q838&lt;=$Q$5,1,0)),0)+IF($R$4="+",IF(R838="n/a",0,IF(R838&gt;=$R$5,1,0)),0)+$Y$4</f>
        <v>2</v>
      </c>
      <c r="W838" s="1">
        <f t="shared" ref="W838:W899" si="29">IF(V838&gt;=$V$2,"",0)</f>
        <v>0</v>
      </c>
    </row>
    <row r="839" spans="1:23" hidden="1" x14ac:dyDescent="0.2">
      <c r="A839" s="7">
        <f>Data!A838</f>
        <v>0</v>
      </c>
      <c r="B839" s="7">
        <f>Data!B838</f>
        <v>0</v>
      </c>
      <c r="C839" s="7">
        <f>Data!C838</f>
        <v>0</v>
      </c>
      <c r="D839" s="8" t="str">
        <f>IF(ISNUMBER(Data!AL838),Data!AL838/1000,"n/a")</f>
        <v>n/a</v>
      </c>
      <c r="E839" s="1">
        <f>Data!E838</f>
        <v>0</v>
      </c>
      <c r="F839" s="28">
        <f>Data!J838/100</f>
        <v>0</v>
      </c>
      <c r="G839" s="28" t="str">
        <f>IF(ISNUMBER(Data!S838),Data!S838/100,"n/a")</f>
        <v>n/a</v>
      </c>
      <c r="H839" s="28" t="str">
        <f>IF(ISNUMBER(Data!T838),Data!T838/100,"n/a")</f>
        <v>n/a</v>
      </c>
      <c r="I839" s="28" t="str">
        <f>IF(ISNUMBER(Data!U838),Data!U838/100,"n/a")</f>
        <v>n/a</v>
      </c>
      <c r="J839" s="28" t="str">
        <f>IF(ISNUMBER(Data!V838),Data!V838/100,"n/a")</f>
        <v>n/a</v>
      </c>
      <c r="K839" s="9" t="str">
        <f>IF(ISNUMBER(Data!Z838),Data!Z838/100,"n/a")</f>
        <v>n/a</v>
      </c>
      <c r="L839" s="10">
        <f>Data!AA838</f>
        <v>0</v>
      </c>
      <c r="M839" s="10">
        <f>Data!AF838</f>
        <v>0</v>
      </c>
      <c r="N839" s="28" t="str">
        <f>IF(ISNUMBER(Data!AG838),Data!AG838/100,"n/a")</f>
        <v>n/a</v>
      </c>
      <c r="O839" s="28" t="str">
        <f>IF(ISNUMBER(Data!AJ838),Data!AJ838/100,"n/a")</f>
        <v>n/a</v>
      </c>
      <c r="P839" s="9" t="str">
        <f>IF(ISNUMBER(Data!AK838),Data!AK838/100,"n/a")</f>
        <v>n/a</v>
      </c>
      <c r="Q839" s="8">
        <f>Data!AN838</f>
        <v>0</v>
      </c>
      <c r="R839" s="8">
        <f>Data!AP838</f>
        <v>0</v>
      </c>
      <c r="S839" s="8"/>
      <c r="T839" s="8"/>
      <c r="U839" s="8"/>
      <c r="V839" s="1">
        <f t="shared" si="28"/>
        <v>2</v>
      </c>
      <c r="W839" s="1">
        <f t="shared" si="29"/>
        <v>0</v>
      </c>
    </row>
    <row r="840" spans="1:23" hidden="1" x14ac:dyDescent="0.2">
      <c r="A840" s="7">
        <f>Data!A839</f>
        <v>0</v>
      </c>
      <c r="B840" s="7">
        <f>Data!B839</f>
        <v>0</v>
      </c>
      <c r="C840" s="7">
        <f>Data!C839</f>
        <v>0</v>
      </c>
      <c r="D840" s="8" t="str">
        <f>IF(ISNUMBER(Data!AL839),Data!AL839/1000,"n/a")</f>
        <v>n/a</v>
      </c>
      <c r="E840" s="1">
        <f>Data!E839</f>
        <v>0</v>
      </c>
      <c r="F840" s="28">
        <f>Data!J839/100</f>
        <v>0</v>
      </c>
      <c r="G840" s="28" t="str">
        <f>IF(ISNUMBER(Data!S839),Data!S839/100,"n/a")</f>
        <v>n/a</v>
      </c>
      <c r="H840" s="28" t="str">
        <f>IF(ISNUMBER(Data!T839),Data!T839/100,"n/a")</f>
        <v>n/a</v>
      </c>
      <c r="I840" s="28" t="str">
        <f>IF(ISNUMBER(Data!U839),Data!U839/100,"n/a")</f>
        <v>n/a</v>
      </c>
      <c r="J840" s="28" t="str">
        <f>IF(ISNUMBER(Data!V839),Data!V839/100,"n/a")</f>
        <v>n/a</v>
      </c>
      <c r="K840" s="9" t="str">
        <f>IF(ISNUMBER(Data!Z839),Data!Z839/100,"n/a")</f>
        <v>n/a</v>
      </c>
      <c r="L840" s="10">
        <f>Data!AA839</f>
        <v>0</v>
      </c>
      <c r="M840" s="10">
        <f>Data!AF839</f>
        <v>0</v>
      </c>
      <c r="N840" s="28" t="str">
        <f>IF(ISNUMBER(Data!AG839),Data!AG839/100,"n/a")</f>
        <v>n/a</v>
      </c>
      <c r="O840" s="28" t="str">
        <f>IF(ISNUMBER(Data!AJ839),Data!AJ839/100,"n/a")</f>
        <v>n/a</v>
      </c>
      <c r="P840" s="9" t="str">
        <f>IF(ISNUMBER(Data!AK839),Data!AK839/100,"n/a")</f>
        <v>n/a</v>
      </c>
      <c r="Q840" s="8">
        <f>Data!AN839</f>
        <v>0</v>
      </c>
      <c r="R840" s="8">
        <f>Data!AP839</f>
        <v>0</v>
      </c>
      <c r="S840" s="8"/>
      <c r="T840" s="8"/>
      <c r="U840" s="8"/>
      <c r="V840" s="1">
        <f t="shared" si="28"/>
        <v>2</v>
      </c>
      <c r="W840" s="1">
        <f t="shared" si="29"/>
        <v>0</v>
      </c>
    </row>
    <row r="841" spans="1:23" hidden="1" x14ac:dyDescent="0.2">
      <c r="A841" s="7">
        <f>Data!A840</f>
        <v>0</v>
      </c>
      <c r="B841" s="7">
        <f>Data!B840</f>
        <v>0</v>
      </c>
      <c r="C841" s="7">
        <f>Data!C840</f>
        <v>0</v>
      </c>
      <c r="D841" s="8" t="str">
        <f>IF(ISNUMBER(Data!AL840),Data!AL840/1000,"n/a")</f>
        <v>n/a</v>
      </c>
      <c r="E841" s="1">
        <f>Data!E840</f>
        <v>0</v>
      </c>
      <c r="F841" s="28">
        <f>Data!J840/100</f>
        <v>0</v>
      </c>
      <c r="G841" s="28" t="str">
        <f>IF(ISNUMBER(Data!S840),Data!S840/100,"n/a")</f>
        <v>n/a</v>
      </c>
      <c r="H841" s="28" t="str">
        <f>IF(ISNUMBER(Data!T840),Data!T840/100,"n/a")</f>
        <v>n/a</v>
      </c>
      <c r="I841" s="28" t="str">
        <f>IF(ISNUMBER(Data!U840),Data!U840/100,"n/a")</f>
        <v>n/a</v>
      </c>
      <c r="J841" s="28" t="str">
        <f>IF(ISNUMBER(Data!V840),Data!V840/100,"n/a")</f>
        <v>n/a</v>
      </c>
      <c r="K841" s="9" t="str">
        <f>IF(ISNUMBER(Data!Z840),Data!Z840/100,"n/a")</f>
        <v>n/a</v>
      </c>
      <c r="L841" s="10">
        <f>Data!AA840</f>
        <v>0</v>
      </c>
      <c r="M841" s="10">
        <f>Data!AF840</f>
        <v>0</v>
      </c>
      <c r="N841" s="28" t="str">
        <f>IF(ISNUMBER(Data!AG840),Data!AG840/100,"n/a")</f>
        <v>n/a</v>
      </c>
      <c r="O841" s="28" t="str">
        <f>IF(ISNUMBER(Data!AJ840),Data!AJ840/100,"n/a")</f>
        <v>n/a</v>
      </c>
      <c r="P841" s="9" t="str">
        <f>IF(ISNUMBER(Data!AK840),Data!AK840/100,"n/a")</f>
        <v>n/a</v>
      </c>
      <c r="Q841" s="8">
        <f>Data!AN840</f>
        <v>0</v>
      </c>
      <c r="R841" s="8">
        <f>Data!AP840</f>
        <v>0</v>
      </c>
      <c r="S841" s="8"/>
      <c r="T841" s="8"/>
      <c r="U841" s="8"/>
      <c r="V841" s="1">
        <f t="shared" si="28"/>
        <v>2</v>
      </c>
      <c r="W841" s="1">
        <f t="shared" si="29"/>
        <v>0</v>
      </c>
    </row>
    <row r="842" spans="1:23" hidden="1" x14ac:dyDescent="0.2">
      <c r="A842" s="7">
        <f>Data!A841</f>
        <v>0</v>
      </c>
      <c r="B842" s="7">
        <f>Data!B841</f>
        <v>0</v>
      </c>
      <c r="C842" s="7">
        <f>Data!C841</f>
        <v>0</v>
      </c>
      <c r="D842" s="8" t="str">
        <f>IF(ISNUMBER(Data!AL841),Data!AL841/1000,"n/a")</f>
        <v>n/a</v>
      </c>
      <c r="E842" s="1">
        <f>Data!E841</f>
        <v>0</v>
      </c>
      <c r="F842" s="28">
        <f>Data!J841/100</f>
        <v>0</v>
      </c>
      <c r="G842" s="28" t="str">
        <f>IF(ISNUMBER(Data!S841),Data!S841/100,"n/a")</f>
        <v>n/a</v>
      </c>
      <c r="H842" s="28" t="str">
        <f>IF(ISNUMBER(Data!T841),Data!T841/100,"n/a")</f>
        <v>n/a</v>
      </c>
      <c r="I842" s="28" t="str">
        <f>IF(ISNUMBER(Data!U841),Data!U841/100,"n/a")</f>
        <v>n/a</v>
      </c>
      <c r="J842" s="28" t="str">
        <f>IF(ISNUMBER(Data!V841),Data!V841/100,"n/a")</f>
        <v>n/a</v>
      </c>
      <c r="K842" s="9" t="str">
        <f>IF(ISNUMBER(Data!Z841),Data!Z841/100,"n/a")</f>
        <v>n/a</v>
      </c>
      <c r="L842" s="10">
        <f>Data!AA841</f>
        <v>0</v>
      </c>
      <c r="M842" s="10">
        <f>Data!AF841</f>
        <v>0</v>
      </c>
      <c r="N842" s="28" t="str">
        <f>IF(ISNUMBER(Data!AG841),Data!AG841/100,"n/a")</f>
        <v>n/a</v>
      </c>
      <c r="O842" s="28" t="str">
        <f>IF(ISNUMBER(Data!AJ841),Data!AJ841/100,"n/a")</f>
        <v>n/a</v>
      </c>
      <c r="P842" s="9" t="str">
        <f>IF(ISNUMBER(Data!AK841),Data!AK841/100,"n/a")</f>
        <v>n/a</v>
      </c>
      <c r="Q842" s="8">
        <f>Data!AN841</f>
        <v>0</v>
      </c>
      <c r="R842" s="8">
        <f>Data!AP841</f>
        <v>0</v>
      </c>
      <c r="S842" s="8"/>
      <c r="T842" s="8"/>
      <c r="U842" s="8"/>
      <c r="V842" s="1">
        <f t="shared" si="28"/>
        <v>2</v>
      </c>
      <c r="W842" s="1">
        <f t="shared" si="29"/>
        <v>0</v>
      </c>
    </row>
    <row r="843" spans="1:23" hidden="1" x14ac:dyDescent="0.2">
      <c r="A843" s="7">
        <f>Data!A842</f>
        <v>0</v>
      </c>
      <c r="B843" s="7">
        <f>Data!B842</f>
        <v>0</v>
      </c>
      <c r="C843" s="7">
        <f>Data!C842</f>
        <v>0</v>
      </c>
      <c r="D843" s="8" t="str">
        <f>IF(ISNUMBER(Data!AL842),Data!AL842/1000,"n/a")</f>
        <v>n/a</v>
      </c>
      <c r="E843" s="1">
        <f>Data!E842</f>
        <v>0</v>
      </c>
      <c r="F843" s="28">
        <f>Data!J842/100</f>
        <v>0</v>
      </c>
      <c r="G843" s="28" t="str">
        <f>IF(ISNUMBER(Data!S842),Data!S842/100,"n/a")</f>
        <v>n/a</v>
      </c>
      <c r="H843" s="28" t="str">
        <f>IF(ISNUMBER(Data!T842),Data!T842/100,"n/a")</f>
        <v>n/a</v>
      </c>
      <c r="I843" s="28" t="str">
        <f>IF(ISNUMBER(Data!U842),Data!U842/100,"n/a")</f>
        <v>n/a</v>
      </c>
      <c r="J843" s="28" t="str">
        <f>IF(ISNUMBER(Data!V842),Data!V842/100,"n/a")</f>
        <v>n/a</v>
      </c>
      <c r="K843" s="9" t="str">
        <f>IF(ISNUMBER(Data!Z842),Data!Z842/100,"n/a")</f>
        <v>n/a</v>
      </c>
      <c r="L843" s="10">
        <f>Data!AA842</f>
        <v>0</v>
      </c>
      <c r="M843" s="10">
        <f>Data!AF842</f>
        <v>0</v>
      </c>
      <c r="N843" s="28" t="str">
        <f>IF(ISNUMBER(Data!AG842),Data!AG842/100,"n/a")</f>
        <v>n/a</v>
      </c>
      <c r="O843" s="28" t="str">
        <f>IF(ISNUMBER(Data!AJ842),Data!AJ842/100,"n/a")</f>
        <v>n/a</v>
      </c>
      <c r="P843" s="9" t="str">
        <f>IF(ISNUMBER(Data!AK842),Data!AK842/100,"n/a")</f>
        <v>n/a</v>
      </c>
      <c r="Q843" s="8">
        <f>Data!AN842</f>
        <v>0</v>
      </c>
      <c r="R843" s="8">
        <f>Data!AP842</f>
        <v>0</v>
      </c>
      <c r="S843" s="8"/>
      <c r="T843" s="8"/>
      <c r="U843" s="8"/>
      <c r="V843" s="1">
        <f t="shared" si="28"/>
        <v>2</v>
      </c>
      <c r="W843" s="1">
        <f t="shared" si="29"/>
        <v>0</v>
      </c>
    </row>
    <row r="844" spans="1:23" hidden="1" x14ac:dyDescent="0.2">
      <c r="A844" s="7">
        <f>Data!A843</f>
        <v>0</v>
      </c>
      <c r="B844" s="7">
        <f>Data!B843</f>
        <v>0</v>
      </c>
      <c r="C844" s="7">
        <f>Data!C843</f>
        <v>0</v>
      </c>
      <c r="D844" s="8" t="str">
        <f>IF(ISNUMBER(Data!AL843),Data!AL843/1000,"n/a")</f>
        <v>n/a</v>
      </c>
      <c r="E844" s="1">
        <f>Data!E843</f>
        <v>0</v>
      </c>
      <c r="F844" s="28">
        <f>Data!J843/100</f>
        <v>0</v>
      </c>
      <c r="G844" s="28" t="str">
        <f>IF(ISNUMBER(Data!S843),Data!S843/100,"n/a")</f>
        <v>n/a</v>
      </c>
      <c r="H844" s="28" t="str">
        <f>IF(ISNUMBER(Data!T843),Data!T843/100,"n/a")</f>
        <v>n/a</v>
      </c>
      <c r="I844" s="28" t="str">
        <f>IF(ISNUMBER(Data!U843),Data!U843/100,"n/a")</f>
        <v>n/a</v>
      </c>
      <c r="J844" s="28" t="str">
        <f>IF(ISNUMBER(Data!V843),Data!V843/100,"n/a")</f>
        <v>n/a</v>
      </c>
      <c r="K844" s="9" t="str">
        <f>IF(ISNUMBER(Data!Z843),Data!Z843/100,"n/a")</f>
        <v>n/a</v>
      </c>
      <c r="L844" s="10">
        <f>Data!AA843</f>
        <v>0</v>
      </c>
      <c r="M844" s="10">
        <f>Data!AF843</f>
        <v>0</v>
      </c>
      <c r="N844" s="28" t="str">
        <f>IF(ISNUMBER(Data!AG843),Data!AG843/100,"n/a")</f>
        <v>n/a</v>
      </c>
      <c r="O844" s="28" t="str">
        <f>IF(ISNUMBER(Data!AJ843),Data!AJ843/100,"n/a")</f>
        <v>n/a</v>
      </c>
      <c r="P844" s="9" t="str">
        <f>IF(ISNUMBER(Data!AK843),Data!AK843/100,"n/a")</f>
        <v>n/a</v>
      </c>
      <c r="Q844" s="8">
        <f>Data!AN843</f>
        <v>0</v>
      </c>
      <c r="R844" s="8">
        <f>Data!AP843</f>
        <v>0</v>
      </c>
      <c r="S844" s="8"/>
      <c r="T844" s="8"/>
      <c r="U844" s="8"/>
      <c r="V844" s="1">
        <f t="shared" si="28"/>
        <v>2</v>
      </c>
      <c r="W844" s="1">
        <f t="shared" si="29"/>
        <v>0</v>
      </c>
    </row>
    <row r="845" spans="1:23" hidden="1" x14ac:dyDescent="0.2">
      <c r="A845" s="7">
        <f>Data!A844</f>
        <v>0</v>
      </c>
      <c r="B845" s="7">
        <f>Data!B844</f>
        <v>0</v>
      </c>
      <c r="C845" s="7">
        <f>Data!C844</f>
        <v>0</v>
      </c>
      <c r="D845" s="8" t="str">
        <f>IF(ISNUMBER(Data!AL844),Data!AL844/1000,"n/a")</f>
        <v>n/a</v>
      </c>
      <c r="E845" s="1">
        <f>Data!E844</f>
        <v>0</v>
      </c>
      <c r="F845" s="28">
        <f>Data!J844/100</f>
        <v>0</v>
      </c>
      <c r="G845" s="28" t="str">
        <f>IF(ISNUMBER(Data!S844),Data!S844/100,"n/a")</f>
        <v>n/a</v>
      </c>
      <c r="H845" s="28" t="str">
        <f>IF(ISNUMBER(Data!T844),Data!T844/100,"n/a")</f>
        <v>n/a</v>
      </c>
      <c r="I845" s="28" t="str">
        <f>IF(ISNUMBER(Data!U844),Data!U844/100,"n/a")</f>
        <v>n/a</v>
      </c>
      <c r="J845" s="28" t="str">
        <f>IF(ISNUMBER(Data!V844),Data!V844/100,"n/a")</f>
        <v>n/a</v>
      </c>
      <c r="K845" s="9" t="str">
        <f>IF(ISNUMBER(Data!Z844),Data!Z844/100,"n/a")</f>
        <v>n/a</v>
      </c>
      <c r="L845" s="10">
        <f>Data!AA844</f>
        <v>0</v>
      </c>
      <c r="M845" s="10">
        <f>Data!AF844</f>
        <v>0</v>
      </c>
      <c r="N845" s="28" t="str">
        <f>IF(ISNUMBER(Data!AG844),Data!AG844/100,"n/a")</f>
        <v>n/a</v>
      </c>
      <c r="O845" s="28" t="str">
        <f>IF(ISNUMBER(Data!AJ844),Data!AJ844/100,"n/a")</f>
        <v>n/a</v>
      </c>
      <c r="P845" s="9" t="str">
        <f>IF(ISNUMBER(Data!AK844),Data!AK844/100,"n/a")</f>
        <v>n/a</v>
      </c>
      <c r="Q845" s="8">
        <f>Data!AN844</f>
        <v>0</v>
      </c>
      <c r="R845" s="8">
        <f>Data!AP844</f>
        <v>0</v>
      </c>
      <c r="S845" s="8"/>
      <c r="T845" s="8"/>
      <c r="U845" s="8"/>
      <c r="V845" s="1">
        <f t="shared" si="28"/>
        <v>2</v>
      </c>
      <c r="W845" s="1">
        <f t="shared" si="29"/>
        <v>0</v>
      </c>
    </row>
    <row r="846" spans="1:23" hidden="1" x14ac:dyDescent="0.2">
      <c r="A846" s="7">
        <f>Data!A845</f>
        <v>0</v>
      </c>
      <c r="B846" s="7">
        <f>Data!B845</f>
        <v>0</v>
      </c>
      <c r="C846" s="7">
        <f>Data!C845</f>
        <v>0</v>
      </c>
      <c r="D846" s="8" t="str">
        <f>IF(ISNUMBER(Data!AL845),Data!AL845/1000,"n/a")</f>
        <v>n/a</v>
      </c>
      <c r="E846" s="1">
        <f>Data!E845</f>
        <v>0</v>
      </c>
      <c r="F846" s="28">
        <f>Data!J845/100</f>
        <v>0</v>
      </c>
      <c r="G846" s="28" t="str">
        <f>IF(ISNUMBER(Data!S845),Data!S845/100,"n/a")</f>
        <v>n/a</v>
      </c>
      <c r="H846" s="28" t="str">
        <f>IF(ISNUMBER(Data!T845),Data!T845/100,"n/a")</f>
        <v>n/a</v>
      </c>
      <c r="I846" s="28" t="str">
        <f>IF(ISNUMBER(Data!U845),Data!U845/100,"n/a")</f>
        <v>n/a</v>
      </c>
      <c r="J846" s="28" t="str">
        <f>IF(ISNUMBER(Data!V845),Data!V845/100,"n/a")</f>
        <v>n/a</v>
      </c>
      <c r="K846" s="9" t="str">
        <f>IF(ISNUMBER(Data!Z845),Data!Z845/100,"n/a")</f>
        <v>n/a</v>
      </c>
      <c r="L846" s="10">
        <f>Data!AA845</f>
        <v>0</v>
      </c>
      <c r="M846" s="10">
        <f>Data!AF845</f>
        <v>0</v>
      </c>
      <c r="N846" s="28" t="str">
        <f>IF(ISNUMBER(Data!AG845),Data!AG845/100,"n/a")</f>
        <v>n/a</v>
      </c>
      <c r="O846" s="28" t="str">
        <f>IF(ISNUMBER(Data!AJ845),Data!AJ845/100,"n/a")</f>
        <v>n/a</v>
      </c>
      <c r="P846" s="9" t="str">
        <f>IF(ISNUMBER(Data!AK845),Data!AK845/100,"n/a")</f>
        <v>n/a</v>
      </c>
      <c r="Q846" s="8">
        <f>Data!AN845</f>
        <v>0</v>
      </c>
      <c r="R846" s="8">
        <f>Data!AP845</f>
        <v>0</v>
      </c>
      <c r="S846" s="8"/>
      <c r="T846" s="8"/>
      <c r="U846" s="8"/>
      <c r="V846" s="1">
        <f t="shared" si="28"/>
        <v>2</v>
      </c>
      <c r="W846" s="1">
        <f t="shared" si="29"/>
        <v>0</v>
      </c>
    </row>
    <row r="847" spans="1:23" hidden="1" x14ac:dyDescent="0.2">
      <c r="A847" s="7">
        <f>Data!A846</f>
        <v>0</v>
      </c>
      <c r="B847" s="7">
        <f>Data!B846</f>
        <v>0</v>
      </c>
      <c r="C847" s="7">
        <f>Data!C846</f>
        <v>0</v>
      </c>
      <c r="D847" s="8" t="str">
        <f>IF(ISNUMBER(Data!AL846),Data!AL846/1000,"n/a")</f>
        <v>n/a</v>
      </c>
      <c r="E847" s="1">
        <f>Data!E846</f>
        <v>0</v>
      </c>
      <c r="F847" s="28">
        <f>Data!J846/100</f>
        <v>0</v>
      </c>
      <c r="G847" s="28" t="str">
        <f>IF(ISNUMBER(Data!S846),Data!S846/100,"n/a")</f>
        <v>n/a</v>
      </c>
      <c r="H847" s="28" t="str">
        <f>IF(ISNUMBER(Data!T846),Data!T846/100,"n/a")</f>
        <v>n/a</v>
      </c>
      <c r="I847" s="28" t="str">
        <f>IF(ISNUMBER(Data!U846),Data!U846/100,"n/a")</f>
        <v>n/a</v>
      </c>
      <c r="J847" s="28" t="str">
        <f>IF(ISNUMBER(Data!V846),Data!V846/100,"n/a")</f>
        <v>n/a</v>
      </c>
      <c r="K847" s="9" t="str">
        <f>IF(ISNUMBER(Data!Z846),Data!Z846/100,"n/a")</f>
        <v>n/a</v>
      </c>
      <c r="L847" s="10">
        <f>Data!AA846</f>
        <v>0</v>
      </c>
      <c r="M847" s="10">
        <f>Data!AF846</f>
        <v>0</v>
      </c>
      <c r="N847" s="28" t="str">
        <f>IF(ISNUMBER(Data!AG846),Data!AG846/100,"n/a")</f>
        <v>n/a</v>
      </c>
      <c r="O847" s="28" t="str">
        <f>IF(ISNUMBER(Data!AJ846),Data!AJ846/100,"n/a")</f>
        <v>n/a</v>
      </c>
      <c r="P847" s="9" t="str">
        <f>IF(ISNUMBER(Data!AK846),Data!AK846/100,"n/a")</f>
        <v>n/a</v>
      </c>
      <c r="Q847" s="8">
        <f>Data!AN846</f>
        <v>0</v>
      </c>
      <c r="R847" s="8">
        <f>Data!AP846</f>
        <v>0</v>
      </c>
      <c r="S847" s="8"/>
      <c r="T847" s="8"/>
      <c r="U847" s="8"/>
      <c r="V847" s="1">
        <f t="shared" si="28"/>
        <v>2</v>
      </c>
      <c r="W847" s="1">
        <f t="shared" si="29"/>
        <v>0</v>
      </c>
    </row>
    <row r="848" spans="1:23" hidden="1" x14ac:dyDescent="0.2">
      <c r="A848" s="7">
        <f>Data!A847</f>
        <v>0</v>
      </c>
      <c r="B848" s="7">
        <f>Data!B847</f>
        <v>0</v>
      </c>
      <c r="C848" s="7">
        <f>Data!C847</f>
        <v>0</v>
      </c>
      <c r="D848" s="8" t="str">
        <f>IF(ISNUMBER(Data!AL847),Data!AL847/1000,"n/a")</f>
        <v>n/a</v>
      </c>
      <c r="E848" s="1">
        <f>Data!E847</f>
        <v>0</v>
      </c>
      <c r="F848" s="28">
        <f>Data!J847/100</f>
        <v>0</v>
      </c>
      <c r="G848" s="28" t="str">
        <f>IF(ISNUMBER(Data!S847),Data!S847/100,"n/a")</f>
        <v>n/a</v>
      </c>
      <c r="H848" s="28" t="str">
        <f>IF(ISNUMBER(Data!T847),Data!T847/100,"n/a")</f>
        <v>n/a</v>
      </c>
      <c r="I848" s="28" t="str">
        <f>IF(ISNUMBER(Data!U847),Data!U847/100,"n/a")</f>
        <v>n/a</v>
      </c>
      <c r="J848" s="28" t="str">
        <f>IF(ISNUMBER(Data!V847),Data!V847/100,"n/a")</f>
        <v>n/a</v>
      </c>
      <c r="K848" s="9" t="str">
        <f>IF(ISNUMBER(Data!Z847),Data!Z847/100,"n/a")</f>
        <v>n/a</v>
      </c>
      <c r="L848" s="10">
        <f>Data!AA847</f>
        <v>0</v>
      </c>
      <c r="M848" s="10">
        <f>Data!AF847</f>
        <v>0</v>
      </c>
      <c r="N848" s="28" t="str">
        <f>IF(ISNUMBER(Data!AG847),Data!AG847/100,"n/a")</f>
        <v>n/a</v>
      </c>
      <c r="O848" s="28" t="str">
        <f>IF(ISNUMBER(Data!AJ847),Data!AJ847/100,"n/a")</f>
        <v>n/a</v>
      </c>
      <c r="P848" s="9" t="str">
        <f>IF(ISNUMBER(Data!AK847),Data!AK847/100,"n/a")</f>
        <v>n/a</v>
      </c>
      <c r="Q848" s="8">
        <f>Data!AN847</f>
        <v>0</v>
      </c>
      <c r="R848" s="8">
        <f>Data!AP847</f>
        <v>0</v>
      </c>
      <c r="S848" s="8"/>
      <c r="T848" s="8"/>
      <c r="U848" s="8"/>
      <c r="V848" s="1">
        <f t="shared" si="28"/>
        <v>2</v>
      </c>
      <c r="W848" s="1">
        <f t="shared" si="29"/>
        <v>0</v>
      </c>
    </row>
    <row r="849" spans="1:23" hidden="1" x14ac:dyDescent="0.2">
      <c r="A849" s="7">
        <f>Data!A848</f>
        <v>0</v>
      </c>
      <c r="B849" s="7">
        <f>Data!B848</f>
        <v>0</v>
      </c>
      <c r="C849" s="7">
        <f>Data!C848</f>
        <v>0</v>
      </c>
      <c r="D849" s="8" t="str">
        <f>IF(ISNUMBER(Data!AL848),Data!AL848/1000,"n/a")</f>
        <v>n/a</v>
      </c>
      <c r="E849" s="1">
        <f>Data!E848</f>
        <v>0</v>
      </c>
      <c r="F849" s="28">
        <f>Data!J848/100</f>
        <v>0</v>
      </c>
      <c r="G849" s="28" t="str">
        <f>IF(ISNUMBER(Data!S848),Data!S848/100,"n/a")</f>
        <v>n/a</v>
      </c>
      <c r="H849" s="28" t="str">
        <f>IF(ISNUMBER(Data!T848),Data!T848/100,"n/a")</f>
        <v>n/a</v>
      </c>
      <c r="I849" s="28" t="str">
        <f>IF(ISNUMBER(Data!U848),Data!U848/100,"n/a")</f>
        <v>n/a</v>
      </c>
      <c r="J849" s="28" t="str">
        <f>IF(ISNUMBER(Data!V848),Data!V848/100,"n/a")</f>
        <v>n/a</v>
      </c>
      <c r="K849" s="9" t="str">
        <f>IF(ISNUMBER(Data!Z848),Data!Z848/100,"n/a")</f>
        <v>n/a</v>
      </c>
      <c r="L849" s="10">
        <f>Data!AA848</f>
        <v>0</v>
      </c>
      <c r="M849" s="10">
        <f>Data!AF848</f>
        <v>0</v>
      </c>
      <c r="N849" s="28" t="str">
        <f>IF(ISNUMBER(Data!AG848),Data!AG848/100,"n/a")</f>
        <v>n/a</v>
      </c>
      <c r="O849" s="28" t="str">
        <f>IF(ISNUMBER(Data!AJ848),Data!AJ848/100,"n/a")</f>
        <v>n/a</v>
      </c>
      <c r="P849" s="9" t="str">
        <f>IF(ISNUMBER(Data!AK848),Data!AK848/100,"n/a")</f>
        <v>n/a</v>
      </c>
      <c r="Q849" s="8">
        <f>Data!AN848</f>
        <v>0</v>
      </c>
      <c r="R849" s="8">
        <f>Data!AP848</f>
        <v>0</v>
      </c>
      <c r="S849" s="8"/>
      <c r="T849" s="8"/>
      <c r="U849" s="8"/>
      <c r="V849" s="1">
        <f t="shared" si="28"/>
        <v>2</v>
      </c>
      <c r="W849" s="1">
        <f t="shared" si="29"/>
        <v>0</v>
      </c>
    </row>
    <row r="850" spans="1:23" hidden="1" x14ac:dyDescent="0.2">
      <c r="A850" s="7">
        <f>Data!A849</f>
        <v>0</v>
      </c>
      <c r="B850" s="7">
        <f>Data!B849</f>
        <v>0</v>
      </c>
      <c r="C850" s="7">
        <f>Data!C849</f>
        <v>0</v>
      </c>
      <c r="D850" s="8" t="str">
        <f>IF(ISNUMBER(Data!AL849),Data!AL849/1000,"n/a")</f>
        <v>n/a</v>
      </c>
      <c r="E850" s="1">
        <f>Data!E849</f>
        <v>0</v>
      </c>
      <c r="F850" s="28">
        <f>Data!J849/100</f>
        <v>0</v>
      </c>
      <c r="G850" s="28" t="str">
        <f>IF(ISNUMBER(Data!S849),Data!S849/100,"n/a")</f>
        <v>n/a</v>
      </c>
      <c r="H850" s="28" t="str">
        <f>IF(ISNUMBER(Data!T849),Data!T849/100,"n/a")</f>
        <v>n/a</v>
      </c>
      <c r="I850" s="28" t="str">
        <f>IF(ISNUMBER(Data!U849),Data!U849/100,"n/a")</f>
        <v>n/a</v>
      </c>
      <c r="J850" s="28" t="str">
        <f>IF(ISNUMBER(Data!V849),Data!V849/100,"n/a")</f>
        <v>n/a</v>
      </c>
      <c r="K850" s="9" t="str">
        <f>IF(ISNUMBER(Data!Z849),Data!Z849/100,"n/a")</f>
        <v>n/a</v>
      </c>
      <c r="L850" s="10">
        <f>Data!AA849</f>
        <v>0</v>
      </c>
      <c r="M850" s="10">
        <f>Data!AF849</f>
        <v>0</v>
      </c>
      <c r="N850" s="28" t="str">
        <f>IF(ISNUMBER(Data!AG849),Data!AG849/100,"n/a")</f>
        <v>n/a</v>
      </c>
      <c r="O850" s="28" t="str">
        <f>IF(ISNUMBER(Data!AJ849),Data!AJ849/100,"n/a")</f>
        <v>n/a</v>
      </c>
      <c r="P850" s="9" t="str">
        <f>IF(ISNUMBER(Data!AK849),Data!AK849/100,"n/a")</f>
        <v>n/a</v>
      </c>
      <c r="Q850" s="8">
        <f>Data!AN849</f>
        <v>0</v>
      </c>
      <c r="R850" s="8">
        <f>Data!AP849</f>
        <v>0</v>
      </c>
      <c r="S850" s="8"/>
      <c r="T850" s="8"/>
      <c r="U850" s="8"/>
      <c r="V850" s="1">
        <f t="shared" si="28"/>
        <v>2</v>
      </c>
      <c r="W850" s="1">
        <f t="shared" si="29"/>
        <v>0</v>
      </c>
    </row>
    <row r="851" spans="1:23" hidden="1" x14ac:dyDescent="0.2">
      <c r="A851" s="7">
        <f>Data!A850</f>
        <v>0</v>
      </c>
      <c r="B851" s="7">
        <f>Data!B850</f>
        <v>0</v>
      </c>
      <c r="C851" s="7">
        <f>Data!C850</f>
        <v>0</v>
      </c>
      <c r="D851" s="8" t="str">
        <f>IF(ISNUMBER(Data!AL850),Data!AL850/1000,"n/a")</f>
        <v>n/a</v>
      </c>
      <c r="E851" s="1">
        <f>Data!E850</f>
        <v>0</v>
      </c>
      <c r="F851" s="28">
        <f>Data!J850/100</f>
        <v>0</v>
      </c>
      <c r="G851" s="28" t="str">
        <f>IF(ISNUMBER(Data!S850),Data!S850/100,"n/a")</f>
        <v>n/a</v>
      </c>
      <c r="H851" s="28" t="str">
        <f>IF(ISNUMBER(Data!T850),Data!T850/100,"n/a")</f>
        <v>n/a</v>
      </c>
      <c r="I851" s="28" t="str">
        <f>IF(ISNUMBER(Data!U850),Data!U850/100,"n/a")</f>
        <v>n/a</v>
      </c>
      <c r="J851" s="28" t="str">
        <f>IF(ISNUMBER(Data!V850),Data!V850/100,"n/a")</f>
        <v>n/a</v>
      </c>
      <c r="K851" s="9" t="str">
        <f>IF(ISNUMBER(Data!Z850),Data!Z850/100,"n/a")</f>
        <v>n/a</v>
      </c>
      <c r="L851" s="10">
        <f>Data!AA850</f>
        <v>0</v>
      </c>
      <c r="M851" s="10">
        <f>Data!AF850</f>
        <v>0</v>
      </c>
      <c r="N851" s="28" t="str">
        <f>IF(ISNUMBER(Data!AG850),Data!AG850/100,"n/a")</f>
        <v>n/a</v>
      </c>
      <c r="O851" s="28" t="str">
        <f>IF(ISNUMBER(Data!AJ850),Data!AJ850/100,"n/a")</f>
        <v>n/a</v>
      </c>
      <c r="P851" s="9" t="str">
        <f>IF(ISNUMBER(Data!AK850),Data!AK850/100,"n/a")</f>
        <v>n/a</v>
      </c>
      <c r="Q851" s="8">
        <f>Data!AN850</f>
        <v>0</v>
      </c>
      <c r="R851" s="8">
        <f>Data!AP850</f>
        <v>0</v>
      </c>
      <c r="S851" s="8"/>
      <c r="T851" s="8"/>
      <c r="U851" s="8"/>
      <c r="V851" s="1">
        <f t="shared" si="28"/>
        <v>2</v>
      </c>
      <c r="W851" s="1">
        <f t="shared" si="29"/>
        <v>0</v>
      </c>
    </row>
    <row r="852" spans="1:23" hidden="1" x14ac:dyDescent="0.2">
      <c r="A852" s="7">
        <f>Data!A851</f>
        <v>0</v>
      </c>
      <c r="B852" s="7">
        <f>Data!B851</f>
        <v>0</v>
      </c>
      <c r="C852" s="7">
        <f>Data!C851</f>
        <v>0</v>
      </c>
      <c r="D852" s="8" t="str">
        <f>IF(ISNUMBER(Data!AL851),Data!AL851/1000,"n/a")</f>
        <v>n/a</v>
      </c>
      <c r="E852" s="1">
        <f>Data!E851</f>
        <v>0</v>
      </c>
      <c r="F852" s="28">
        <f>Data!J851/100</f>
        <v>0</v>
      </c>
      <c r="G852" s="28" t="str">
        <f>IF(ISNUMBER(Data!S851),Data!S851/100,"n/a")</f>
        <v>n/a</v>
      </c>
      <c r="H852" s="28" t="str">
        <f>IF(ISNUMBER(Data!T851),Data!T851/100,"n/a")</f>
        <v>n/a</v>
      </c>
      <c r="I852" s="28" t="str">
        <f>IF(ISNUMBER(Data!U851),Data!U851/100,"n/a")</f>
        <v>n/a</v>
      </c>
      <c r="J852" s="28" t="str">
        <f>IF(ISNUMBER(Data!V851),Data!V851/100,"n/a")</f>
        <v>n/a</v>
      </c>
      <c r="K852" s="9" t="str">
        <f>IF(ISNUMBER(Data!Z851),Data!Z851/100,"n/a")</f>
        <v>n/a</v>
      </c>
      <c r="L852" s="10">
        <f>Data!AA851</f>
        <v>0</v>
      </c>
      <c r="M852" s="10">
        <f>Data!AF851</f>
        <v>0</v>
      </c>
      <c r="N852" s="28" t="str">
        <f>IF(ISNUMBER(Data!AG851),Data!AG851/100,"n/a")</f>
        <v>n/a</v>
      </c>
      <c r="O852" s="28" t="str">
        <f>IF(ISNUMBER(Data!AJ851),Data!AJ851/100,"n/a")</f>
        <v>n/a</v>
      </c>
      <c r="P852" s="9" t="str">
        <f>IF(ISNUMBER(Data!AK851),Data!AK851/100,"n/a")</f>
        <v>n/a</v>
      </c>
      <c r="Q852" s="8">
        <f>Data!AN851</f>
        <v>0</v>
      </c>
      <c r="R852" s="8">
        <f>Data!AP851</f>
        <v>0</v>
      </c>
      <c r="S852" s="8"/>
      <c r="T852" s="8"/>
      <c r="U852" s="8"/>
      <c r="V852" s="1">
        <f t="shared" si="28"/>
        <v>2</v>
      </c>
      <c r="W852" s="1">
        <f t="shared" si="29"/>
        <v>0</v>
      </c>
    </row>
    <row r="853" spans="1:23" hidden="1" x14ac:dyDescent="0.2">
      <c r="A853" s="7">
        <f>Data!A853</f>
        <v>0</v>
      </c>
      <c r="B853" s="7">
        <f>Data!B853</f>
        <v>0</v>
      </c>
      <c r="C853" s="7">
        <f>Data!C853</f>
        <v>0</v>
      </c>
      <c r="D853" s="8" t="str">
        <f>IF(ISNUMBER(Data!AL853),Data!AL853/1000,"n/a")</f>
        <v>n/a</v>
      </c>
      <c r="E853" s="1">
        <f>Data!E853</f>
        <v>0</v>
      </c>
      <c r="F853" s="28">
        <f>Data!J853/100</f>
        <v>0</v>
      </c>
      <c r="G853" s="28" t="str">
        <f>IF(ISNUMBER(Data!S853),Data!S853/100,"n/a")</f>
        <v>n/a</v>
      </c>
      <c r="H853" s="28" t="str">
        <f>IF(ISNUMBER(Data!T853),Data!T853/100,"n/a")</f>
        <v>n/a</v>
      </c>
      <c r="I853" s="28" t="str">
        <f>IF(ISNUMBER(Data!U853),Data!U853/100,"n/a")</f>
        <v>n/a</v>
      </c>
      <c r="J853" s="28" t="str">
        <f>IF(ISNUMBER(Data!V853),Data!V853/100,"n/a")</f>
        <v>n/a</v>
      </c>
      <c r="K853" s="9" t="str">
        <f>IF(ISNUMBER(Data!Z853),Data!Z853/100,"n/a")</f>
        <v>n/a</v>
      </c>
      <c r="L853" s="10">
        <f>Data!AA853</f>
        <v>0</v>
      </c>
      <c r="M853" s="10">
        <f>Data!AF853</f>
        <v>0</v>
      </c>
      <c r="N853" s="28" t="str">
        <f>IF(ISNUMBER(Data!AG853),Data!AG853/100,"n/a")</f>
        <v>n/a</v>
      </c>
      <c r="O853" s="28" t="str">
        <f>IF(ISNUMBER(Data!AJ853),Data!AJ853/100,"n/a")</f>
        <v>n/a</v>
      </c>
      <c r="P853" s="9" t="str">
        <f>IF(ISNUMBER(Data!AK853),Data!AK853/100,"n/a")</f>
        <v>n/a</v>
      </c>
      <c r="Q853" s="8">
        <f>Data!AN853</f>
        <v>0</v>
      </c>
      <c r="R853" s="8">
        <f>Data!AP853</f>
        <v>0</v>
      </c>
      <c r="S853" s="8"/>
      <c r="T853" s="8"/>
      <c r="U853" s="8"/>
      <c r="V853" s="1">
        <f t="shared" si="28"/>
        <v>2</v>
      </c>
      <c r="W853" s="1">
        <f t="shared" si="29"/>
        <v>0</v>
      </c>
    </row>
    <row r="854" spans="1:23" hidden="1" x14ac:dyDescent="0.2">
      <c r="A854" s="7">
        <f>Data!A854</f>
        <v>0</v>
      </c>
      <c r="B854" s="7">
        <f>Data!B854</f>
        <v>0</v>
      </c>
      <c r="C854" s="7">
        <f>Data!C854</f>
        <v>0</v>
      </c>
      <c r="D854" s="8" t="str">
        <f>IF(ISNUMBER(Data!AL854),Data!AL854/1000,"n/a")</f>
        <v>n/a</v>
      </c>
      <c r="E854" s="1">
        <f>Data!E854</f>
        <v>0</v>
      </c>
      <c r="F854" s="28">
        <f>Data!J854/100</f>
        <v>0</v>
      </c>
      <c r="G854" s="28" t="str">
        <f>IF(ISNUMBER(Data!S854),Data!S854/100,"n/a")</f>
        <v>n/a</v>
      </c>
      <c r="H854" s="28" t="str">
        <f>IF(ISNUMBER(Data!T854),Data!T854/100,"n/a")</f>
        <v>n/a</v>
      </c>
      <c r="I854" s="28" t="str">
        <f>IF(ISNUMBER(Data!U854),Data!U854/100,"n/a")</f>
        <v>n/a</v>
      </c>
      <c r="J854" s="28" t="str">
        <f>IF(ISNUMBER(Data!V854),Data!V854/100,"n/a")</f>
        <v>n/a</v>
      </c>
      <c r="K854" s="9" t="str">
        <f>IF(ISNUMBER(Data!Z854),Data!Z854/100,"n/a")</f>
        <v>n/a</v>
      </c>
      <c r="L854" s="10">
        <f>Data!AA854</f>
        <v>0</v>
      </c>
      <c r="M854" s="10">
        <f>Data!AF854</f>
        <v>0</v>
      </c>
      <c r="N854" s="28" t="str">
        <f>IF(ISNUMBER(Data!AG854),Data!AG854/100,"n/a")</f>
        <v>n/a</v>
      </c>
      <c r="O854" s="28" t="str">
        <f>IF(ISNUMBER(Data!AJ854),Data!AJ854/100,"n/a")</f>
        <v>n/a</v>
      </c>
      <c r="P854" s="9" t="str">
        <f>IF(ISNUMBER(Data!AK854),Data!AK854/100,"n/a")</f>
        <v>n/a</v>
      </c>
      <c r="Q854" s="8">
        <f>Data!AN854</f>
        <v>0</v>
      </c>
      <c r="R854" s="8">
        <f>Data!AP854</f>
        <v>0</v>
      </c>
      <c r="S854" s="8"/>
      <c r="T854" s="8"/>
      <c r="U854" s="8"/>
      <c r="V854" s="1">
        <f t="shared" si="28"/>
        <v>2</v>
      </c>
      <c r="W854" s="1">
        <f t="shared" si="29"/>
        <v>0</v>
      </c>
    </row>
    <row r="855" spans="1:23" hidden="1" x14ac:dyDescent="0.2">
      <c r="A855" s="7">
        <f>Data!A855</f>
        <v>0</v>
      </c>
      <c r="B855" s="7">
        <f>Data!B855</f>
        <v>0</v>
      </c>
      <c r="C855" s="7">
        <f>Data!C855</f>
        <v>0</v>
      </c>
      <c r="D855" s="8" t="str">
        <f>IF(ISNUMBER(Data!AL855),Data!AL855/1000,"n/a")</f>
        <v>n/a</v>
      </c>
      <c r="E855" s="1">
        <f>Data!E855</f>
        <v>0</v>
      </c>
      <c r="F855" s="28">
        <f>Data!J855/100</f>
        <v>0</v>
      </c>
      <c r="G855" s="28" t="str">
        <f>IF(ISNUMBER(Data!S855),Data!S855/100,"n/a")</f>
        <v>n/a</v>
      </c>
      <c r="H855" s="28" t="str">
        <f>IF(ISNUMBER(Data!T855),Data!T855/100,"n/a")</f>
        <v>n/a</v>
      </c>
      <c r="I855" s="28" t="str">
        <f>IF(ISNUMBER(Data!U855),Data!U855/100,"n/a")</f>
        <v>n/a</v>
      </c>
      <c r="J855" s="28" t="str">
        <f>IF(ISNUMBER(Data!V855),Data!V855/100,"n/a")</f>
        <v>n/a</v>
      </c>
      <c r="K855" s="9" t="str">
        <f>IF(ISNUMBER(Data!Z855),Data!Z855/100,"n/a")</f>
        <v>n/a</v>
      </c>
      <c r="L855" s="10">
        <f>Data!AA855</f>
        <v>0</v>
      </c>
      <c r="M855" s="10">
        <f>Data!AF855</f>
        <v>0</v>
      </c>
      <c r="N855" s="28" t="str">
        <f>IF(ISNUMBER(Data!AG855),Data!AG855/100,"n/a")</f>
        <v>n/a</v>
      </c>
      <c r="O855" s="28" t="str">
        <f>IF(ISNUMBER(Data!AJ855),Data!AJ855/100,"n/a")</f>
        <v>n/a</v>
      </c>
      <c r="P855" s="9" t="str">
        <f>IF(ISNUMBER(Data!AK855),Data!AK855/100,"n/a")</f>
        <v>n/a</v>
      </c>
      <c r="Q855" s="8">
        <f>Data!AN855</f>
        <v>0</v>
      </c>
      <c r="R855" s="8">
        <f>Data!AP855</f>
        <v>0</v>
      </c>
      <c r="S855" s="8"/>
      <c r="T855" s="8"/>
      <c r="U855" s="8"/>
      <c r="V855" s="1">
        <f t="shared" si="28"/>
        <v>2</v>
      </c>
      <c r="W855" s="1">
        <f t="shared" si="29"/>
        <v>0</v>
      </c>
    </row>
    <row r="856" spans="1:23" hidden="1" x14ac:dyDescent="0.2">
      <c r="A856" s="7">
        <f>Data!A856</f>
        <v>0</v>
      </c>
      <c r="B856" s="7">
        <f>Data!B856</f>
        <v>0</v>
      </c>
      <c r="C856" s="7">
        <f>Data!C856</f>
        <v>0</v>
      </c>
      <c r="D856" s="8" t="str">
        <f>IF(ISNUMBER(Data!AL856),Data!AL856/1000,"n/a")</f>
        <v>n/a</v>
      </c>
      <c r="E856" s="1">
        <f>Data!E856</f>
        <v>0</v>
      </c>
      <c r="F856" s="28">
        <f>Data!J856/100</f>
        <v>0</v>
      </c>
      <c r="G856" s="28" t="str">
        <f>IF(ISNUMBER(Data!S856),Data!S856/100,"n/a")</f>
        <v>n/a</v>
      </c>
      <c r="H856" s="28" t="str">
        <f>IF(ISNUMBER(Data!T856),Data!T856/100,"n/a")</f>
        <v>n/a</v>
      </c>
      <c r="I856" s="28" t="str">
        <f>IF(ISNUMBER(Data!U856),Data!U856/100,"n/a")</f>
        <v>n/a</v>
      </c>
      <c r="J856" s="28" t="str">
        <f>IF(ISNUMBER(Data!V856),Data!V856/100,"n/a")</f>
        <v>n/a</v>
      </c>
      <c r="K856" s="9" t="str">
        <f>IF(ISNUMBER(Data!Z856),Data!Z856/100,"n/a")</f>
        <v>n/a</v>
      </c>
      <c r="L856" s="10">
        <f>Data!AA856</f>
        <v>0</v>
      </c>
      <c r="M856" s="10">
        <f>Data!AF856</f>
        <v>0</v>
      </c>
      <c r="N856" s="28" t="str">
        <f>IF(ISNUMBER(Data!AG856),Data!AG856/100,"n/a")</f>
        <v>n/a</v>
      </c>
      <c r="O856" s="28" t="str">
        <f>IF(ISNUMBER(Data!AJ856),Data!AJ856/100,"n/a")</f>
        <v>n/a</v>
      </c>
      <c r="P856" s="9" t="str">
        <f>IF(ISNUMBER(Data!AK856),Data!AK856/100,"n/a")</f>
        <v>n/a</v>
      </c>
      <c r="Q856" s="8">
        <f>Data!AN856</f>
        <v>0</v>
      </c>
      <c r="R856" s="8">
        <f>Data!AP856</f>
        <v>0</v>
      </c>
      <c r="S856" s="8"/>
      <c r="T856" s="8"/>
      <c r="U856" s="8"/>
      <c r="V856" s="1">
        <f t="shared" si="28"/>
        <v>2</v>
      </c>
      <c r="W856" s="1">
        <f t="shared" si="29"/>
        <v>0</v>
      </c>
    </row>
    <row r="857" spans="1:23" hidden="1" x14ac:dyDescent="0.2">
      <c r="A857" s="7">
        <f>Data!A857</f>
        <v>0</v>
      </c>
      <c r="B857" s="7">
        <f>Data!B857</f>
        <v>0</v>
      </c>
      <c r="C857" s="7">
        <f>Data!C857</f>
        <v>0</v>
      </c>
      <c r="D857" s="8" t="str">
        <f>IF(ISNUMBER(Data!AL857),Data!AL857/1000,"n/a")</f>
        <v>n/a</v>
      </c>
      <c r="E857" s="1">
        <f>Data!E857</f>
        <v>0</v>
      </c>
      <c r="F857" s="28">
        <f>Data!J857/100</f>
        <v>0</v>
      </c>
      <c r="G857" s="28" t="str">
        <f>IF(ISNUMBER(Data!S857),Data!S857/100,"n/a")</f>
        <v>n/a</v>
      </c>
      <c r="H857" s="28" t="str">
        <f>IF(ISNUMBER(Data!T857),Data!T857/100,"n/a")</f>
        <v>n/a</v>
      </c>
      <c r="I857" s="28" t="str">
        <f>IF(ISNUMBER(Data!U857),Data!U857/100,"n/a")</f>
        <v>n/a</v>
      </c>
      <c r="J857" s="28" t="str">
        <f>IF(ISNUMBER(Data!V857),Data!V857/100,"n/a")</f>
        <v>n/a</v>
      </c>
      <c r="K857" s="9" t="str">
        <f>IF(ISNUMBER(Data!Z857),Data!Z857/100,"n/a")</f>
        <v>n/a</v>
      </c>
      <c r="L857" s="10">
        <f>Data!AA857</f>
        <v>0</v>
      </c>
      <c r="M857" s="10">
        <f>Data!AF857</f>
        <v>0</v>
      </c>
      <c r="N857" s="28" t="str">
        <f>IF(ISNUMBER(Data!AG857),Data!AG857/100,"n/a")</f>
        <v>n/a</v>
      </c>
      <c r="O857" s="28" t="str">
        <f>IF(ISNUMBER(Data!AJ857),Data!AJ857/100,"n/a")</f>
        <v>n/a</v>
      </c>
      <c r="P857" s="9" t="str">
        <f>IF(ISNUMBER(Data!AK857),Data!AK857/100,"n/a")</f>
        <v>n/a</v>
      </c>
      <c r="Q857" s="8">
        <f>Data!AN857</f>
        <v>0</v>
      </c>
      <c r="R857" s="8">
        <f>Data!AP857</f>
        <v>0</v>
      </c>
      <c r="S857" s="8"/>
      <c r="T857" s="8"/>
      <c r="U857" s="8"/>
      <c r="V857" s="1">
        <f t="shared" si="28"/>
        <v>2</v>
      </c>
      <c r="W857" s="1">
        <f t="shared" si="29"/>
        <v>0</v>
      </c>
    </row>
    <row r="858" spans="1:23" hidden="1" x14ac:dyDescent="0.2">
      <c r="A858" s="7">
        <f>Data!A858</f>
        <v>0</v>
      </c>
      <c r="B858" s="7">
        <f>Data!B858</f>
        <v>0</v>
      </c>
      <c r="C858" s="7">
        <f>Data!C858</f>
        <v>0</v>
      </c>
      <c r="D858" s="8" t="str">
        <f>IF(ISNUMBER(Data!AL858),Data!AL858/1000,"n/a")</f>
        <v>n/a</v>
      </c>
      <c r="E858" s="1">
        <f>Data!E858</f>
        <v>0</v>
      </c>
      <c r="F858" s="28">
        <f>Data!J858/100</f>
        <v>0</v>
      </c>
      <c r="G858" s="28" t="str">
        <f>IF(ISNUMBER(Data!S858),Data!S858/100,"n/a")</f>
        <v>n/a</v>
      </c>
      <c r="H858" s="28" t="str">
        <f>IF(ISNUMBER(Data!T858),Data!T858/100,"n/a")</f>
        <v>n/a</v>
      </c>
      <c r="I858" s="28" t="str">
        <f>IF(ISNUMBER(Data!U858),Data!U858/100,"n/a")</f>
        <v>n/a</v>
      </c>
      <c r="J858" s="28" t="str">
        <f>IF(ISNUMBER(Data!V858),Data!V858/100,"n/a")</f>
        <v>n/a</v>
      </c>
      <c r="K858" s="9" t="str">
        <f>IF(ISNUMBER(Data!Z858),Data!Z858/100,"n/a")</f>
        <v>n/a</v>
      </c>
      <c r="L858" s="10">
        <f>Data!AA858</f>
        <v>0</v>
      </c>
      <c r="M858" s="10">
        <f>Data!AF858</f>
        <v>0</v>
      </c>
      <c r="N858" s="28" t="str">
        <f>IF(ISNUMBER(Data!AG858),Data!AG858/100,"n/a")</f>
        <v>n/a</v>
      </c>
      <c r="O858" s="28" t="str">
        <f>IF(ISNUMBER(Data!AJ858),Data!AJ858/100,"n/a")</f>
        <v>n/a</v>
      </c>
      <c r="P858" s="9" t="str">
        <f>IF(ISNUMBER(Data!AK858),Data!AK858/100,"n/a")</f>
        <v>n/a</v>
      </c>
      <c r="Q858" s="8">
        <f>Data!AN858</f>
        <v>0</v>
      </c>
      <c r="R858" s="8">
        <f>Data!AP858</f>
        <v>0</v>
      </c>
      <c r="S858" s="8"/>
      <c r="T858" s="8"/>
      <c r="U858" s="8"/>
      <c r="V858" s="1">
        <f t="shared" si="28"/>
        <v>2</v>
      </c>
      <c r="W858" s="1">
        <f t="shared" si="29"/>
        <v>0</v>
      </c>
    </row>
    <row r="859" spans="1:23" hidden="1" x14ac:dyDescent="0.2">
      <c r="A859" s="7">
        <f>Data!A859</f>
        <v>0</v>
      </c>
      <c r="B859" s="7">
        <f>Data!B859</f>
        <v>0</v>
      </c>
      <c r="C859" s="7">
        <f>Data!C859</f>
        <v>0</v>
      </c>
      <c r="D859" s="8" t="str">
        <f>IF(ISNUMBER(Data!AL859),Data!AL859/1000,"n/a")</f>
        <v>n/a</v>
      </c>
      <c r="E859" s="1">
        <f>Data!E859</f>
        <v>0</v>
      </c>
      <c r="F859" s="28">
        <f>Data!J859/100</f>
        <v>0</v>
      </c>
      <c r="G859" s="28" t="str">
        <f>IF(ISNUMBER(Data!S859),Data!S859/100,"n/a")</f>
        <v>n/a</v>
      </c>
      <c r="H859" s="28" t="str">
        <f>IF(ISNUMBER(Data!T859),Data!T859/100,"n/a")</f>
        <v>n/a</v>
      </c>
      <c r="I859" s="28" t="str">
        <f>IF(ISNUMBER(Data!U859),Data!U859/100,"n/a")</f>
        <v>n/a</v>
      </c>
      <c r="J859" s="28" t="str">
        <f>IF(ISNUMBER(Data!V859),Data!V859/100,"n/a")</f>
        <v>n/a</v>
      </c>
      <c r="K859" s="9" t="str">
        <f>IF(ISNUMBER(Data!Z859),Data!Z859/100,"n/a")</f>
        <v>n/a</v>
      </c>
      <c r="L859" s="10">
        <f>Data!AA859</f>
        <v>0</v>
      </c>
      <c r="M859" s="10">
        <f>Data!AF859</f>
        <v>0</v>
      </c>
      <c r="N859" s="28" t="str">
        <f>IF(ISNUMBER(Data!AG859),Data!AG859/100,"n/a")</f>
        <v>n/a</v>
      </c>
      <c r="O859" s="28" t="str">
        <f>IF(ISNUMBER(Data!AJ859),Data!AJ859/100,"n/a")</f>
        <v>n/a</v>
      </c>
      <c r="P859" s="9" t="str">
        <f>IF(ISNUMBER(Data!AK859),Data!AK859/100,"n/a")</f>
        <v>n/a</v>
      </c>
      <c r="Q859" s="8">
        <f>Data!AN859</f>
        <v>0</v>
      </c>
      <c r="R859" s="8">
        <f>Data!AP859</f>
        <v>0</v>
      </c>
      <c r="S859" s="8"/>
      <c r="T859" s="8"/>
      <c r="U859" s="8"/>
      <c r="V859" s="1">
        <f t="shared" si="28"/>
        <v>2</v>
      </c>
      <c r="W859" s="1">
        <f t="shared" si="29"/>
        <v>0</v>
      </c>
    </row>
    <row r="860" spans="1:23" hidden="1" x14ac:dyDescent="0.2">
      <c r="A860" s="7">
        <f>Data!A860</f>
        <v>0</v>
      </c>
      <c r="B860" s="7">
        <f>Data!B860</f>
        <v>0</v>
      </c>
      <c r="C860" s="7">
        <f>Data!C860</f>
        <v>0</v>
      </c>
      <c r="D860" s="8" t="str">
        <f>IF(ISNUMBER(Data!AL860),Data!AL860/1000,"n/a")</f>
        <v>n/a</v>
      </c>
      <c r="E860" s="1">
        <f>Data!E860</f>
        <v>0</v>
      </c>
      <c r="F860" s="28">
        <f>Data!J860/100</f>
        <v>0</v>
      </c>
      <c r="G860" s="28" t="str">
        <f>IF(ISNUMBER(Data!S860),Data!S860/100,"n/a")</f>
        <v>n/a</v>
      </c>
      <c r="H860" s="28" t="str">
        <f>IF(ISNUMBER(Data!T860),Data!T860/100,"n/a")</f>
        <v>n/a</v>
      </c>
      <c r="I860" s="28" t="str">
        <f>IF(ISNUMBER(Data!U860),Data!U860/100,"n/a")</f>
        <v>n/a</v>
      </c>
      <c r="J860" s="28" t="str">
        <f>IF(ISNUMBER(Data!V860),Data!V860/100,"n/a")</f>
        <v>n/a</v>
      </c>
      <c r="K860" s="9" t="str">
        <f>IF(ISNUMBER(Data!Z860),Data!Z860/100,"n/a")</f>
        <v>n/a</v>
      </c>
      <c r="L860" s="10">
        <f>Data!AA860</f>
        <v>0</v>
      </c>
      <c r="M860" s="10">
        <f>Data!AF860</f>
        <v>0</v>
      </c>
      <c r="N860" s="28" t="str">
        <f>IF(ISNUMBER(Data!AG860),Data!AG860/100,"n/a")</f>
        <v>n/a</v>
      </c>
      <c r="O860" s="28" t="str">
        <f>IF(ISNUMBER(Data!AJ860),Data!AJ860/100,"n/a")</f>
        <v>n/a</v>
      </c>
      <c r="P860" s="9" t="str">
        <f>IF(ISNUMBER(Data!AK860),Data!AK860/100,"n/a")</f>
        <v>n/a</v>
      </c>
      <c r="Q860" s="8">
        <f>Data!AN860</f>
        <v>0</v>
      </c>
      <c r="R860" s="8">
        <f>Data!AP860</f>
        <v>0</v>
      </c>
      <c r="S860" s="8"/>
      <c r="T860" s="8"/>
      <c r="U860" s="8"/>
      <c r="V860" s="1">
        <f t="shared" si="28"/>
        <v>2</v>
      </c>
      <c r="W860" s="1">
        <f t="shared" si="29"/>
        <v>0</v>
      </c>
    </row>
    <row r="861" spans="1:23" hidden="1" x14ac:dyDescent="0.2">
      <c r="A861" s="7">
        <f>Data!A861</f>
        <v>0</v>
      </c>
      <c r="B861" s="7">
        <f>Data!B861</f>
        <v>0</v>
      </c>
      <c r="C861" s="7">
        <f>Data!C861</f>
        <v>0</v>
      </c>
      <c r="D861" s="8" t="str">
        <f>IF(ISNUMBER(Data!AL861),Data!AL861/1000,"n/a")</f>
        <v>n/a</v>
      </c>
      <c r="E861" s="1">
        <f>Data!E861</f>
        <v>0</v>
      </c>
      <c r="F861" s="28">
        <f>Data!J861/100</f>
        <v>0</v>
      </c>
      <c r="G861" s="28" t="str">
        <f>IF(ISNUMBER(Data!S861),Data!S861/100,"n/a")</f>
        <v>n/a</v>
      </c>
      <c r="H861" s="28" t="str">
        <f>IF(ISNUMBER(Data!T861),Data!T861/100,"n/a")</f>
        <v>n/a</v>
      </c>
      <c r="I861" s="28" t="str">
        <f>IF(ISNUMBER(Data!U861),Data!U861/100,"n/a")</f>
        <v>n/a</v>
      </c>
      <c r="J861" s="28" t="str">
        <f>IF(ISNUMBER(Data!V861),Data!V861/100,"n/a")</f>
        <v>n/a</v>
      </c>
      <c r="K861" s="9" t="str">
        <f>IF(ISNUMBER(Data!Z861),Data!Z861/100,"n/a")</f>
        <v>n/a</v>
      </c>
      <c r="L861" s="10">
        <f>Data!AA861</f>
        <v>0</v>
      </c>
      <c r="M861" s="10">
        <f>Data!AF861</f>
        <v>0</v>
      </c>
      <c r="N861" s="28" t="str">
        <f>IF(ISNUMBER(Data!AG861),Data!AG861/100,"n/a")</f>
        <v>n/a</v>
      </c>
      <c r="O861" s="28" t="str">
        <f>IF(ISNUMBER(Data!AJ861),Data!AJ861/100,"n/a")</f>
        <v>n/a</v>
      </c>
      <c r="P861" s="9" t="str">
        <f>IF(ISNUMBER(Data!AK861),Data!AK861/100,"n/a")</f>
        <v>n/a</v>
      </c>
      <c r="Q861" s="8">
        <f>Data!AN861</f>
        <v>0</v>
      </c>
      <c r="R861" s="8">
        <f>Data!AP861</f>
        <v>0</v>
      </c>
      <c r="S861" s="8"/>
      <c r="T861" s="8"/>
      <c r="U861" s="8"/>
      <c r="V861" s="1">
        <f t="shared" si="28"/>
        <v>2</v>
      </c>
      <c r="W861" s="1">
        <f t="shared" si="29"/>
        <v>0</v>
      </c>
    </row>
    <row r="862" spans="1:23" hidden="1" x14ac:dyDescent="0.2">
      <c r="A862" s="7">
        <f>Data!A862</f>
        <v>0</v>
      </c>
      <c r="B862" s="7">
        <f>Data!B862</f>
        <v>0</v>
      </c>
      <c r="C862" s="7">
        <f>Data!C862</f>
        <v>0</v>
      </c>
      <c r="D862" s="8" t="str">
        <f>IF(ISNUMBER(Data!AL862),Data!AL862/1000,"n/a")</f>
        <v>n/a</v>
      </c>
      <c r="E862" s="1">
        <f>Data!E862</f>
        <v>0</v>
      </c>
      <c r="F862" s="28">
        <f>Data!J862/100</f>
        <v>0</v>
      </c>
      <c r="G862" s="28" t="str">
        <f>IF(ISNUMBER(Data!S862),Data!S862/100,"n/a")</f>
        <v>n/a</v>
      </c>
      <c r="H862" s="28" t="str">
        <f>IF(ISNUMBER(Data!T862),Data!T862/100,"n/a")</f>
        <v>n/a</v>
      </c>
      <c r="I862" s="28" t="str">
        <f>IF(ISNUMBER(Data!U862),Data!U862/100,"n/a")</f>
        <v>n/a</v>
      </c>
      <c r="J862" s="28" t="str">
        <f>IF(ISNUMBER(Data!V862),Data!V862/100,"n/a")</f>
        <v>n/a</v>
      </c>
      <c r="K862" s="9" t="str">
        <f>IF(ISNUMBER(Data!Z862),Data!Z862/100,"n/a")</f>
        <v>n/a</v>
      </c>
      <c r="L862" s="10">
        <f>Data!AA862</f>
        <v>0</v>
      </c>
      <c r="M862" s="10">
        <f>Data!AF862</f>
        <v>0</v>
      </c>
      <c r="N862" s="28" t="str">
        <f>IF(ISNUMBER(Data!AG862),Data!AG862/100,"n/a")</f>
        <v>n/a</v>
      </c>
      <c r="O862" s="28" t="str">
        <f>IF(ISNUMBER(Data!AJ862),Data!AJ862/100,"n/a")</f>
        <v>n/a</v>
      </c>
      <c r="P862" s="9" t="str">
        <f>IF(ISNUMBER(Data!AK862),Data!AK862/100,"n/a")</f>
        <v>n/a</v>
      </c>
      <c r="Q862" s="8">
        <f>Data!AN862</f>
        <v>0</v>
      </c>
      <c r="R862" s="8">
        <f>Data!AP862</f>
        <v>0</v>
      </c>
      <c r="S862" s="8"/>
      <c r="T862" s="8"/>
      <c r="U862" s="8"/>
      <c r="V862" s="1">
        <f t="shared" si="28"/>
        <v>2</v>
      </c>
      <c r="W862" s="1">
        <f t="shared" si="29"/>
        <v>0</v>
      </c>
    </row>
    <row r="863" spans="1:23" hidden="1" x14ac:dyDescent="0.2">
      <c r="A863" s="7">
        <f>Data!A863</f>
        <v>0</v>
      </c>
      <c r="B863" s="7">
        <f>Data!B863</f>
        <v>0</v>
      </c>
      <c r="C863" s="7">
        <f>Data!C863</f>
        <v>0</v>
      </c>
      <c r="D863" s="8" t="str">
        <f>IF(ISNUMBER(Data!AL863),Data!AL863/1000,"n/a")</f>
        <v>n/a</v>
      </c>
      <c r="E863" s="1">
        <f>Data!E863</f>
        <v>0</v>
      </c>
      <c r="F863" s="28">
        <f>Data!J863/100</f>
        <v>0</v>
      </c>
      <c r="G863" s="28" t="str">
        <f>IF(ISNUMBER(Data!S863),Data!S863/100,"n/a")</f>
        <v>n/a</v>
      </c>
      <c r="H863" s="28" t="str">
        <f>IF(ISNUMBER(Data!T863),Data!T863/100,"n/a")</f>
        <v>n/a</v>
      </c>
      <c r="I863" s="28" t="str">
        <f>IF(ISNUMBER(Data!U863),Data!U863/100,"n/a")</f>
        <v>n/a</v>
      </c>
      <c r="J863" s="28" t="str">
        <f>IF(ISNUMBER(Data!V863),Data!V863/100,"n/a")</f>
        <v>n/a</v>
      </c>
      <c r="K863" s="9" t="str">
        <f>IF(ISNUMBER(Data!Z863),Data!Z863/100,"n/a")</f>
        <v>n/a</v>
      </c>
      <c r="L863" s="10">
        <f>Data!AA863</f>
        <v>0</v>
      </c>
      <c r="M863" s="10">
        <f>Data!AF863</f>
        <v>0</v>
      </c>
      <c r="N863" s="28" t="str">
        <f>IF(ISNUMBER(Data!AG863),Data!AG863/100,"n/a")</f>
        <v>n/a</v>
      </c>
      <c r="O863" s="28" t="str">
        <f>IF(ISNUMBER(Data!AJ863),Data!AJ863/100,"n/a")</f>
        <v>n/a</v>
      </c>
      <c r="P863" s="9" t="str">
        <f>IF(ISNUMBER(Data!AK863),Data!AK863/100,"n/a")</f>
        <v>n/a</v>
      </c>
      <c r="Q863" s="8">
        <f>Data!AN863</f>
        <v>0</v>
      </c>
      <c r="R863" s="8">
        <f>Data!AP863</f>
        <v>0</v>
      </c>
      <c r="S863" s="8"/>
      <c r="T863" s="8"/>
      <c r="U863" s="8"/>
      <c r="V863" s="1">
        <f t="shared" si="28"/>
        <v>2</v>
      </c>
      <c r="W863" s="1">
        <f t="shared" si="29"/>
        <v>0</v>
      </c>
    </row>
    <row r="864" spans="1:23" hidden="1" x14ac:dyDescent="0.2">
      <c r="A864" s="7">
        <f>Data!A864</f>
        <v>0</v>
      </c>
      <c r="B864" s="7">
        <f>Data!B864</f>
        <v>0</v>
      </c>
      <c r="C864" s="7">
        <f>Data!C864</f>
        <v>0</v>
      </c>
      <c r="D864" s="8" t="str">
        <f>IF(ISNUMBER(Data!AL864),Data!AL864/1000,"n/a")</f>
        <v>n/a</v>
      </c>
      <c r="E864" s="1">
        <f>Data!E864</f>
        <v>0</v>
      </c>
      <c r="F864" s="28">
        <f>Data!J864/100</f>
        <v>0</v>
      </c>
      <c r="G864" s="28" t="str">
        <f>IF(ISNUMBER(Data!S864),Data!S864/100,"n/a")</f>
        <v>n/a</v>
      </c>
      <c r="H864" s="28" t="str">
        <f>IF(ISNUMBER(Data!T864),Data!T864/100,"n/a")</f>
        <v>n/a</v>
      </c>
      <c r="I864" s="28" t="str">
        <f>IF(ISNUMBER(Data!U864),Data!U864/100,"n/a")</f>
        <v>n/a</v>
      </c>
      <c r="J864" s="28" t="str">
        <f>IF(ISNUMBER(Data!V864),Data!V864/100,"n/a")</f>
        <v>n/a</v>
      </c>
      <c r="K864" s="9" t="str">
        <f>IF(ISNUMBER(Data!Z864),Data!Z864/100,"n/a")</f>
        <v>n/a</v>
      </c>
      <c r="L864" s="10">
        <f>Data!AA864</f>
        <v>0</v>
      </c>
      <c r="M864" s="10">
        <f>Data!AF864</f>
        <v>0</v>
      </c>
      <c r="N864" s="28" t="str">
        <f>IF(ISNUMBER(Data!AG864),Data!AG864/100,"n/a")</f>
        <v>n/a</v>
      </c>
      <c r="O864" s="28" t="str">
        <f>IF(ISNUMBER(Data!AJ864),Data!AJ864/100,"n/a")</f>
        <v>n/a</v>
      </c>
      <c r="P864" s="9" t="str">
        <f>IF(ISNUMBER(Data!AK864),Data!AK864/100,"n/a")</f>
        <v>n/a</v>
      </c>
      <c r="Q864" s="8">
        <f>Data!AN864</f>
        <v>0</v>
      </c>
      <c r="R864" s="8">
        <f>Data!AP864</f>
        <v>0</v>
      </c>
      <c r="S864" s="8"/>
      <c r="T864" s="8"/>
      <c r="U864" s="8"/>
      <c r="V864" s="1">
        <f t="shared" si="28"/>
        <v>2</v>
      </c>
      <c r="W864" s="1">
        <f t="shared" si="29"/>
        <v>0</v>
      </c>
    </row>
    <row r="865" spans="1:23" hidden="1" x14ac:dyDescent="0.2">
      <c r="A865" s="7">
        <f>Data!A865</f>
        <v>0</v>
      </c>
      <c r="B865" s="7">
        <f>Data!B865</f>
        <v>0</v>
      </c>
      <c r="C865" s="7">
        <f>Data!C865</f>
        <v>0</v>
      </c>
      <c r="D865" s="8" t="str">
        <f>IF(ISNUMBER(Data!AL865),Data!AL865/1000,"n/a")</f>
        <v>n/a</v>
      </c>
      <c r="E865" s="1">
        <f>Data!E865</f>
        <v>0</v>
      </c>
      <c r="F865" s="28">
        <f>Data!J865/100</f>
        <v>0</v>
      </c>
      <c r="G865" s="28" t="str">
        <f>IF(ISNUMBER(Data!S865),Data!S865/100,"n/a")</f>
        <v>n/a</v>
      </c>
      <c r="H865" s="28" t="str">
        <f>IF(ISNUMBER(Data!T865),Data!T865/100,"n/a")</f>
        <v>n/a</v>
      </c>
      <c r="I865" s="28" t="str">
        <f>IF(ISNUMBER(Data!U865),Data!U865/100,"n/a")</f>
        <v>n/a</v>
      </c>
      <c r="J865" s="28" t="str">
        <f>IF(ISNUMBER(Data!V865),Data!V865/100,"n/a")</f>
        <v>n/a</v>
      </c>
      <c r="K865" s="9" t="str">
        <f>IF(ISNUMBER(Data!Z865),Data!Z865/100,"n/a")</f>
        <v>n/a</v>
      </c>
      <c r="L865" s="10">
        <f>Data!AA865</f>
        <v>0</v>
      </c>
      <c r="M865" s="10">
        <f>Data!AF865</f>
        <v>0</v>
      </c>
      <c r="N865" s="28" t="str">
        <f>IF(ISNUMBER(Data!AG865),Data!AG865/100,"n/a")</f>
        <v>n/a</v>
      </c>
      <c r="O865" s="28" t="str">
        <f>IF(ISNUMBER(Data!AJ865),Data!AJ865/100,"n/a")</f>
        <v>n/a</v>
      </c>
      <c r="P865" s="9" t="str">
        <f>IF(ISNUMBER(Data!AK865),Data!AK865/100,"n/a")</f>
        <v>n/a</v>
      </c>
      <c r="Q865" s="8">
        <f>Data!AN865</f>
        <v>0</v>
      </c>
      <c r="R865" s="8">
        <f>Data!AP865</f>
        <v>0</v>
      </c>
      <c r="S865" s="8"/>
      <c r="T865" s="8"/>
      <c r="U865" s="8"/>
      <c r="V865" s="1">
        <f t="shared" si="28"/>
        <v>2</v>
      </c>
      <c r="W865" s="1">
        <f t="shared" si="29"/>
        <v>0</v>
      </c>
    </row>
    <row r="866" spans="1:23" hidden="1" x14ac:dyDescent="0.2">
      <c r="A866" s="7">
        <f>Data!A866</f>
        <v>0</v>
      </c>
      <c r="B866" s="7">
        <f>Data!B866</f>
        <v>0</v>
      </c>
      <c r="C866" s="7">
        <f>Data!C866</f>
        <v>0</v>
      </c>
      <c r="D866" s="8" t="str">
        <f>IF(ISNUMBER(Data!AL866),Data!AL866/1000,"n/a")</f>
        <v>n/a</v>
      </c>
      <c r="E866" s="1">
        <f>Data!E866</f>
        <v>0</v>
      </c>
      <c r="F866" s="28">
        <f>Data!J866/100</f>
        <v>0</v>
      </c>
      <c r="G866" s="28" t="str">
        <f>IF(ISNUMBER(Data!S866),Data!S866/100,"n/a")</f>
        <v>n/a</v>
      </c>
      <c r="H866" s="28" t="str">
        <f>IF(ISNUMBER(Data!T866),Data!T866/100,"n/a")</f>
        <v>n/a</v>
      </c>
      <c r="I866" s="28" t="str">
        <f>IF(ISNUMBER(Data!U866),Data!U866/100,"n/a")</f>
        <v>n/a</v>
      </c>
      <c r="J866" s="28" t="str">
        <f>IF(ISNUMBER(Data!V866),Data!V866/100,"n/a")</f>
        <v>n/a</v>
      </c>
      <c r="K866" s="9" t="str">
        <f>IF(ISNUMBER(Data!Z866),Data!Z866/100,"n/a")</f>
        <v>n/a</v>
      </c>
      <c r="L866" s="10">
        <f>Data!AA866</f>
        <v>0</v>
      </c>
      <c r="M866" s="10">
        <f>Data!AF866</f>
        <v>0</v>
      </c>
      <c r="N866" s="28" t="str">
        <f>IF(ISNUMBER(Data!AG866),Data!AG866/100,"n/a")</f>
        <v>n/a</v>
      </c>
      <c r="O866" s="28" t="str">
        <f>IF(ISNUMBER(Data!AJ866),Data!AJ866/100,"n/a")</f>
        <v>n/a</v>
      </c>
      <c r="P866" s="9" t="str">
        <f>IF(ISNUMBER(Data!AK866),Data!AK866/100,"n/a")</f>
        <v>n/a</v>
      </c>
      <c r="Q866" s="8">
        <f>Data!AN866</f>
        <v>0</v>
      </c>
      <c r="R866" s="8">
        <f>Data!AP866</f>
        <v>0</v>
      </c>
      <c r="S866" s="8"/>
      <c r="T866" s="8"/>
      <c r="U866" s="8"/>
      <c r="V866" s="1">
        <f t="shared" si="28"/>
        <v>2</v>
      </c>
      <c r="W866" s="1">
        <f t="shared" si="29"/>
        <v>0</v>
      </c>
    </row>
    <row r="867" spans="1:23" hidden="1" x14ac:dyDescent="0.2">
      <c r="A867" s="7">
        <f>Data!A867</f>
        <v>0</v>
      </c>
      <c r="B867" s="7">
        <f>Data!B867</f>
        <v>0</v>
      </c>
      <c r="C867" s="7">
        <f>Data!C867</f>
        <v>0</v>
      </c>
      <c r="D867" s="8" t="str">
        <f>IF(ISNUMBER(Data!AL867),Data!AL867/1000,"n/a")</f>
        <v>n/a</v>
      </c>
      <c r="E867" s="1">
        <f>Data!E867</f>
        <v>0</v>
      </c>
      <c r="F867" s="28">
        <f>Data!J867/100</f>
        <v>0</v>
      </c>
      <c r="G867" s="28" t="str">
        <f>IF(ISNUMBER(Data!S867),Data!S867/100,"n/a")</f>
        <v>n/a</v>
      </c>
      <c r="H867" s="28" t="str">
        <f>IF(ISNUMBER(Data!T867),Data!T867/100,"n/a")</f>
        <v>n/a</v>
      </c>
      <c r="I867" s="28" t="str">
        <f>IF(ISNUMBER(Data!U867),Data!U867/100,"n/a")</f>
        <v>n/a</v>
      </c>
      <c r="J867" s="28" t="str">
        <f>IF(ISNUMBER(Data!V867),Data!V867/100,"n/a")</f>
        <v>n/a</v>
      </c>
      <c r="K867" s="9" t="str">
        <f>IF(ISNUMBER(Data!Z867),Data!Z867/100,"n/a")</f>
        <v>n/a</v>
      </c>
      <c r="L867" s="10">
        <f>Data!AA867</f>
        <v>0</v>
      </c>
      <c r="M867" s="10">
        <f>Data!AF867</f>
        <v>0</v>
      </c>
      <c r="N867" s="28" t="str">
        <f>IF(ISNUMBER(Data!AG867),Data!AG867/100,"n/a")</f>
        <v>n/a</v>
      </c>
      <c r="O867" s="28" t="str">
        <f>IF(ISNUMBER(Data!AJ867),Data!AJ867/100,"n/a")</f>
        <v>n/a</v>
      </c>
      <c r="P867" s="9" t="str">
        <f>IF(ISNUMBER(Data!AK867),Data!AK867/100,"n/a")</f>
        <v>n/a</v>
      </c>
      <c r="Q867" s="8">
        <f>Data!AN867</f>
        <v>0</v>
      </c>
      <c r="R867" s="8">
        <f>Data!AP867</f>
        <v>0</v>
      </c>
      <c r="S867" s="8"/>
      <c r="T867" s="8"/>
      <c r="U867" s="8"/>
      <c r="V867" s="1">
        <f t="shared" si="28"/>
        <v>2</v>
      </c>
      <c r="W867" s="1">
        <f t="shared" si="29"/>
        <v>0</v>
      </c>
    </row>
    <row r="868" spans="1:23" hidden="1" x14ac:dyDescent="0.2">
      <c r="A868" s="7">
        <f>Data!A868</f>
        <v>0</v>
      </c>
      <c r="B868" s="7">
        <f>Data!B868</f>
        <v>0</v>
      </c>
      <c r="C868" s="7">
        <f>Data!C868</f>
        <v>0</v>
      </c>
      <c r="D868" s="8" t="str">
        <f>IF(ISNUMBER(Data!AL868),Data!AL868/1000,"n/a")</f>
        <v>n/a</v>
      </c>
      <c r="E868" s="1">
        <f>Data!E868</f>
        <v>0</v>
      </c>
      <c r="F868" s="28">
        <f>Data!J868/100</f>
        <v>0</v>
      </c>
      <c r="G868" s="28" t="str">
        <f>IF(ISNUMBER(Data!S868),Data!S868/100,"n/a")</f>
        <v>n/a</v>
      </c>
      <c r="H868" s="28" t="str">
        <f>IF(ISNUMBER(Data!T868),Data!T868/100,"n/a")</f>
        <v>n/a</v>
      </c>
      <c r="I868" s="28" t="str">
        <f>IF(ISNUMBER(Data!U868),Data!U868/100,"n/a")</f>
        <v>n/a</v>
      </c>
      <c r="J868" s="28" t="str">
        <f>IF(ISNUMBER(Data!V868),Data!V868/100,"n/a")</f>
        <v>n/a</v>
      </c>
      <c r="K868" s="9" t="str">
        <f>IF(ISNUMBER(Data!Z868),Data!Z868/100,"n/a")</f>
        <v>n/a</v>
      </c>
      <c r="L868" s="10">
        <f>Data!AA868</f>
        <v>0</v>
      </c>
      <c r="M868" s="10">
        <f>Data!AF868</f>
        <v>0</v>
      </c>
      <c r="N868" s="28" t="str">
        <f>IF(ISNUMBER(Data!AG868),Data!AG868/100,"n/a")</f>
        <v>n/a</v>
      </c>
      <c r="O868" s="28" t="str">
        <f>IF(ISNUMBER(Data!AJ868),Data!AJ868/100,"n/a")</f>
        <v>n/a</v>
      </c>
      <c r="P868" s="9" t="str">
        <f>IF(ISNUMBER(Data!AK868),Data!AK868/100,"n/a")</f>
        <v>n/a</v>
      </c>
      <c r="Q868" s="8">
        <f>Data!AN868</f>
        <v>0</v>
      </c>
      <c r="R868" s="8">
        <f>Data!AP868</f>
        <v>0</v>
      </c>
      <c r="S868" s="8"/>
      <c r="T868" s="8"/>
      <c r="U868" s="8"/>
      <c r="V868" s="1">
        <f t="shared" si="28"/>
        <v>2</v>
      </c>
      <c r="W868" s="1">
        <f t="shared" si="29"/>
        <v>0</v>
      </c>
    </row>
    <row r="869" spans="1:23" hidden="1" x14ac:dyDescent="0.2">
      <c r="A869" s="7">
        <f>Data!A869</f>
        <v>0</v>
      </c>
      <c r="B869" s="7">
        <f>Data!B869</f>
        <v>0</v>
      </c>
      <c r="C869" s="7">
        <f>Data!C869</f>
        <v>0</v>
      </c>
      <c r="D869" s="8" t="str">
        <f>IF(ISNUMBER(Data!AL869),Data!AL869/1000,"n/a")</f>
        <v>n/a</v>
      </c>
      <c r="E869" s="1">
        <f>Data!E869</f>
        <v>0</v>
      </c>
      <c r="F869" s="28">
        <f>Data!J869/100</f>
        <v>0</v>
      </c>
      <c r="G869" s="28" t="str">
        <f>IF(ISNUMBER(Data!S869),Data!S869/100,"n/a")</f>
        <v>n/a</v>
      </c>
      <c r="H869" s="28" t="str">
        <f>IF(ISNUMBER(Data!T869),Data!T869/100,"n/a")</f>
        <v>n/a</v>
      </c>
      <c r="I869" s="28" t="str">
        <f>IF(ISNUMBER(Data!U869),Data!U869/100,"n/a")</f>
        <v>n/a</v>
      </c>
      <c r="J869" s="28" t="str">
        <f>IF(ISNUMBER(Data!V869),Data!V869/100,"n/a")</f>
        <v>n/a</v>
      </c>
      <c r="K869" s="9" t="str">
        <f>IF(ISNUMBER(Data!Z869),Data!Z869/100,"n/a")</f>
        <v>n/a</v>
      </c>
      <c r="L869" s="10">
        <f>Data!AA869</f>
        <v>0</v>
      </c>
      <c r="M869" s="10">
        <f>Data!AF869</f>
        <v>0</v>
      </c>
      <c r="N869" s="28" t="str">
        <f>IF(ISNUMBER(Data!AG869),Data!AG869/100,"n/a")</f>
        <v>n/a</v>
      </c>
      <c r="O869" s="28" t="str">
        <f>IF(ISNUMBER(Data!AJ869),Data!AJ869/100,"n/a")</f>
        <v>n/a</v>
      </c>
      <c r="P869" s="9" t="str">
        <f>IF(ISNUMBER(Data!AK869),Data!AK869/100,"n/a")</f>
        <v>n/a</v>
      </c>
      <c r="Q869" s="8">
        <f>Data!AN869</f>
        <v>0</v>
      </c>
      <c r="R869" s="8">
        <f>Data!AP869</f>
        <v>0</v>
      </c>
      <c r="S869" s="8"/>
      <c r="T869" s="8"/>
      <c r="U869" s="8"/>
      <c r="V869" s="1">
        <f t="shared" si="28"/>
        <v>2</v>
      </c>
      <c r="W869" s="1">
        <f t="shared" si="29"/>
        <v>0</v>
      </c>
    </row>
    <row r="870" spans="1:23" hidden="1" x14ac:dyDescent="0.2">
      <c r="A870" s="7">
        <f>Data!A870</f>
        <v>0</v>
      </c>
      <c r="B870" s="7">
        <f>Data!B870</f>
        <v>0</v>
      </c>
      <c r="C870" s="7">
        <f>Data!C870</f>
        <v>0</v>
      </c>
      <c r="D870" s="8" t="str">
        <f>IF(ISNUMBER(Data!AL870),Data!AL870/1000,"n/a")</f>
        <v>n/a</v>
      </c>
      <c r="E870" s="1">
        <f>Data!E870</f>
        <v>0</v>
      </c>
      <c r="F870" s="28">
        <f>Data!J870/100</f>
        <v>0</v>
      </c>
      <c r="G870" s="28" t="str">
        <f>IF(ISNUMBER(Data!S870),Data!S870/100,"n/a")</f>
        <v>n/a</v>
      </c>
      <c r="H870" s="28" t="str">
        <f>IF(ISNUMBER(Data!T870),Data!T870/100,"n/a")</f>
        <v>n/a</v>
      </c>
      <c r="I870" s="28" t="str">
        <f>IF(ISNUMBER(Data!U870),Data!U870/100,"n/a")</f>
        <v>n/a</v>
      </c>
      <c r="J870" s="28" t="str">
        <f>IF(ISNUMBER(Data!V870),Data!V870/100,"n/a")</f>
        <v>n/a</v>
      </c>
      <c r="K870" s="9" t="str">
        <f>IF(ISNUMBER(Data!Z870),Data!Z870/100,"n/a")</f>
        <v>n/a</v>
      </c>
      <c r="L870" s="10">
        <f>Data!AA870</f>
        <v>0</v>
      </c>
      <c r="M870" s="10">
        <f>Data!AF870</f>
        <v>0</v>
      </c>
      <c r="N870" s="28" t="str">
        <f>IF(ISNUMBER(Data!AG870),Data!AG870/100,"n/a")</f>
        <v>n/a</v>
      </c>
      <c r="O870" s="28" t="str">
        <f>IF(ISNUMBER(Data!AJ870),Data!AJ870/100,"n/a")</f>
        <v>n/a</v>
      </c>
      <c r="P870" s="9" t="str">
        <f>IF(ISNUMBER(Data!AK870),Data!AK870/100,"n/a")</f>
        <v>n/a</v>
      </c>
      <c r="Q870" s="8">
        <f>Data!AN870</f>
        <v>0</v>
      </c>
      <c r="R870" s="8">
        <f>Data!AP870</f>
        <v>0</v>
      </c>
      <c r="S870" s="8"/>
      <c r="T870" s="8"/>
      <c r="U870" s="8"/>
      <c r="V870" s="1">
        <f t="shared" si="28"/>
        <v>2</v>
      </c>
      <c r="W870" s="1">
        <f t="shared" si="29"/>
        <v>0</v>
      </c>
    </row>
    <row r="871" spans="1:23" hidden="1" x14ac:dyDescent="0.2">
      <c r="A871" s="7">
        <f>Data!A871</f>
        <v>0</v>
      </c>
      <c r="B871" s="7">
        <f>Data!B871</f>
        <v>0</v>
      </c>
      <c r="C871" s="7">
        <f>Data!C871</f>
        <v>0</v>
      </c>
      <c r="D871" s="8" t="str">
        <f>IF(ISNUMBER(Data!AL871),Data!AL871/1000,"n/a")</f>
        <v>n/a</v>
      </c>
      <c r="E871" s="1">
        <f>Data!E871</f>
        <v>0</v>
      </c>
      <c r="F871" s="28">
        <f>Data!J871/100</f>
        <v>0</v>
      </c>
      <c r="G871" s="28" t="str">
        <f>IF(ISNUMBER(Data!S871),Data!S871/100,"n/a")</f>
        <v>n/a</v>
      </c>
      <c r="H871" s="28" t="str">
        <f>IF(ISNUMBER(Data!T871),Data!T871/100,"n/a")</f>
        <v>n/a</v>
      </c>
      <c r="I871" s="28" t="str">
        <f>IF(ISNUMBER(Data!U871),Data!U871/100,"n/a")</f>
        <v>n/a</v>
      </c>
      <c r="J871" s="28" t="str">
        <f>IF(ISNUMBER(Data!V871),Data!V871/100,"n/a")</f>
        <v>n/a</v>
      </c>
      <c r="K871" s="9" t="str">
        <f>IF(ISNUMBER(Data!Z871),Data!Z871/100,"n/a")</f>
        <v>n/a</v>
      </c>
      <c r="L871" s="10">
        <f>Data!AA871</f>
        <v>0</v>
      </c>
      <c r="M871" s="10">
        <f>Data!AF871</f>
        <v>0</v>
      </c>
      <c r="N871" s="28" t="str">
        <f>IF(ISNUMBER(Data!AG871),Data!AG871/100,"n/a")</f>
        <v>n/a</v>
      </c>
      <c r="O871" s="28" t="str">
        <f>IF(ISNUMBER(Data!AJ871),Data!AJ871/100,"n/a")</f>
        <v>n/a</v>
      </c>
      <c r="P871" s="9" t="str">
        <f>IF(ISNUMBER(Data!AK871),Data!AK871/100,"n/a")</f>
        <v>n/a</v>
      </c>
      <c r="Q871" s="8">
        <f>Data!AN871</f>
        <v>0</v>
      </c>
      <c r="R871" s="8">
        <f>Data!AP871</f>
        <v>0</v>
      </c>
      <c r="S871" s="8"/>
      <c r="T871" s="8"/>
      <c r="U871" s="8"/>
      <c r="V871" s="1">
        <f t="shared" si="28"/>
        <v>2</v>
      </c>
      <c r="W871" s="1">
        <f t="shared" si="29"/>
        <v>0</v>
      </c>
    </row>
    <row r="872" spans="1:23" hidden="1" x14ac:dyDescent="0.2">
      <c r="A872" s="7">
        <f>Data!A872</f>
        <v>0</v>
      </c>
      <c r="B872" s="7">
        <f>Data!B872</f>
        <v>0</v>
      </c>
      <c r="C872" s="7">
        <f>Data!C872</f>
        <v>0</v>
      </c>
      <c r="D872" s="8" t="str">
        <f>IF(ISNUMBER(Data!AL872),Data!AL872/1000,"n/a")</f>
        <v>n/a</v>
      </c>
      <c r="E872" s="1">
        <f>Data!E872</f>
        <v>0</v>
      </c>
      <c r="F872" s="28">
        <f>Data!J872/100</f>
        <v>0</v>
      </c>
      <c r="G872" s="28" t="str">
        <f>IF(ISNUMBER(Data!S872),Data!S872/100,"n/a")</f>
        <v>n/a</v>
      </c>
      <c r="H872" s="28" t="str">
        <f>IF(ISNUMBER(Data!T872),Data!T872/100,"n/a")</f>
        <v>n/a</v>
      </c>
      <c r="I872" s="28" t="str">
        <f>IF(ISNUMBER(Data!U872),Data!U872/100,"n/a")</f>
        <v>n/a</v>
      </c>
      <c r="J872" s="28" t="str">
        <f>IF(ISNUMBER(Data!V872),Data!V872/100,"n/a")</f>
        <v>n/a</v>
      </c>
      <c r="K872" s="9" t="str">
        <f>IF(ISNUMBER(Data!Z872),Data!Z872/100,"n/a")</f>
        <v>n/a</v>
      </c>
      <c r="L872" s="10">
        <f>Data!AA872</f>
        <v>0</v>
      </c>
      <c r="M872" s="10">
        <f>Data!AF872</f>
        <v>0</v>
      </c>
      <c r="N872" s="28" t="str">
        <f>IF(ISNUMBER(Data!AG872),Data!AG872/100,"n/a")</f>
        <v>n/a</v>
      </c>
      <c r="O872" s="28" t="str">
        <f>IF(ISNUMBER(Data!AJ872),Data!AJ872/100,"n/a")</f>
        <v>n/a</v>
      </c>
      <c r="P872" s="9" t="str">
        <f>IF(ISNUMBER(Data!AK872),Data!AK872/100,"n/a")</f>
        <v>n/a</v>
      </c>
      <c r="Q872" s="8">
        <f>Data!AN872</f>
        <v>0</v>
      </c>
      <c r="R872" s="8">
        <f>Data!AP872</f>
        <v>0</v>
      </c>
      <c r="S872" s="8"/>
      <c r="T872" s="8"/>
      <c r="U872" s="8"/>
      <c r="V872" s="1">
        <f t="shared" si="28"/>
        <v>2</v>
      </c>
      <c r="W872" s="1">
        <f t="shared" si="29"/>
        <v>0</v>
      </c>
    </row>
    <row r="873" spans="1:23" hidden="1" x14ac:dyDescent="0.2">
      <c r="A873" s="7">
        <f>Data!A873</f>
        <v>0</v>
      </c>
      <c r="B873" s="7">
        <f>Data!B873</f>
        <v>0</v>
      </c>
      <c r="C873" s="7">
        <f>Data!C873</f>
        <v>0</v>
      </c>
      <c r="D873" s="8" t="str">
        <f>IF(ISNUMBER(Data!AL873),Data!AL873/1000,"n/a")</f>
        <v>n/a</v>
      </c>
      <c r="E873" s="1">
        <f>Data!E873</f>
        <v>0</v>
      </c>
      <c r="F873" s="28">
        <f>Data!J873/100</f>
        <v>0</v>
      </c>
      <c r="G873" s="28" t="str">
        <f>IF(ISNUMBER(Data!S873),Data!S873/100,"n/a")</f>
        <v>n/a</v>
      </c>
      <c r="H873" s="28" t="str">
        <f>IF(ISNUMBER(Data!T873),Data!T873/100,"n/a")</f>
        <v>n/a</v>
      </c>
      <c r="I873" s="28" t="str">
        <f>IF(ISNUMBER(Data!U873),Data!U873/100,"n/a")</f>
        <v>n/a</v>
      </c>
      <c r="J873" s="28" t="str">
        <f>IF(ISNUMBER(Data!V873),Data!V873/100,"n/a")</f>
        <v>n/a</v>
      </c>
      <c r="K873" s="9" t="str">
        <f>IF(ISNUMBER(Data!Z873),Data!Z873/100,"n/a")</f>
        <v>n/a</v>
      </c>
      <c r="L873" s="10">
        <f>Data!AA873</f>
        <v>0</v>
      </c>
      <c r="M873" s="10">
        <f>Data!AF873</f>
        <v>0</v>
      </c>
      <c r="N873" s="28" t="str">
        <f>IF(ISNUMBER(Data!AG873),Data!AG873/100,"n/a")</f>
        <v>n/a</v>
      </c>
      <c r="O873" s="28" t="str">
        <f>IF(ISNUMBER(Data!AJ873),Data!AJ873/100,"n/a")</f>
        <v>n/a</v>
      </c>
      <c r="P873" s="9" t="str">
        <f>IF(ISNUMBER(Data!AK873),Data!AK873/100,"n/a")</f>
        <v>n/a</v>
      </c>
      <c r="Q873" s="8">
        <f>Data!AN873</f>
        <v>0</v>
      </c>
      <c r="R873" s="8">
        <f>Data!AP873</f>
        <v>0</v>
      </c>
      <c r="S873" s="8"/>
      <c r="T873" s="8"/>
      <c r="U873" s="8"/>
      <c r="V873" s="1">
        <f t="shared" si="28"/>
        <v>2</v>
      </c>
      <c r="W873" s="1">
        <f t="shared" si="29"/>
        <v>0</v>
      </c>
    </row>
    <row r="874" spans="1:23" hidden="1" x14ac:dyDescent="0.2">
      <c r="A874" s="7">
        <f>Data!A874</f>
        <v>0</v>
      </c>
      <c r="B874" s="7">
        <f>Data!B874</f>
        <v>0</v>
      </c>
      <c r="C874" s="7">
        <f>Data!C874</f>
        <v>0</v>
      </c>
      <c r="D874" s="8" t="str">
        <f>IF(ISNUMBER(Data!AL874),Data!AL874/1000,"n/a")</f>
        <v>n/a</v>
      </c>
      <c r="E874" s="1">
        <f>Data!E874</f>
        <v>0</v>
      </c>
      <c r="F874" s="28">
        <f>Data!J874/100</f>
        <v>0</v>
      </c>
      <c r="G874" s="28" t="str">
        <f>IF(ISNUMBER(Data!S874),Data!S874/100,"n/a")</f>
        <v>n/a</v>
      </c>
      <c r="H874" s="28" t="str">
        <f>IF(ISNUMBER(Data!T874),Data!T874/100,"n/a")</f>
        <v>n/a</v>
      </c>
      <c r="I874" s="28" t="str">
        <f>IF(ISNUMBER(Data!U874),Data!U874/100,"n/a")</f>
        <v>n/a</v>
      </c>
      <c r="J874" s="28" t="str">
        <f>IF(ISNUMBER(Data!V874),Data!V874/100,"n/a")</f>
        <v>n/a</v>
      </c>
      <c r="K874" s="9" t="str">
        <f>IF(ISNUMBER(Data!Z874),Data!Z874/100,"n/a")</f>
        <v>n/a</v>
      </c>
      <c r="L874" s="10">
        <f>Data!AA874</f>
        <v>0</v>
      </c>
      <c r="M874" s="10">
        <f>Data!AF874</f>
        <v>0</v>
      </c>
      <c r="N874" s="28" t="str">
        <f>IF(ISNUMBER(Data!AG874),Data!AG874/100,"n/a")</f>
        <v>n/a</v>
      </c>
      <c r="O874" s="28" t="str">
        <f>IF(ISNUMBER(Data!AJ874),Data!AJ874/100,"n/a")</f>
        <v>n/a</v>
      </c>
      <c r="P874" s="9" t="str">
        <f>IF(ISNUMBER(Data!AK874),Data!AK874/100,"n/a")</f>
        <v>n/a</v>
      </c>
      <c r="Q874" s="8">
        <f>Data!AN874</f>
        <v>0</v>
      </c>
      <c r="R874" s="8">
        <f>Data!AP874</f>
        <v>0</v>
      </c>
      <c r="S874" s="8"/>
      <c r="T874" s="8"/>
      <c r="U874" s="8"/>
      <c r="V874" s="1">
        <f t="shared" si="28"/>
        <v>2</v>
      </c>
      <c r="W874" s="1">
        <f t="shared" si="29"/>
        <v>0</v>
      </c>
    </row>
    <row r="875" spans="1:23" hidden="1" x14ac:dyDescent="0.2">
      <c r="A875" s="7">
        <f>Data!A875</f>
        <v>0</v>
      </c>
      <c r="B875" s="7">
        <f>Data!B875</f>
        <v>0</v>
      </c>
      <c r="C875" s="7">
        <f>Data!C875</f>
        <v>0</v>
      </c>
      <c r="D875" s="8" t="str">
        <f>IF(ISNUMBER(Data!AL875),Data!AL875/1000,"n/a")</f>
        <v>n/a</v>
      </c>
      <c r="E875" s="1">
        <f>Data!E875</f>
        <v>0</v>
      </c>
      <c r="F875" s="28">
        <f>Data!J875/100</f>
        <v>0</v>
      </c>
      <c r="G875" s="28" t="str">
        <f>IF(ISNUMBER(Data!S875),Data!S875/100,"n/a")</f>
        <v>n/a</v>
      </c>
      <c r="H875" s="28" t="str">
        <f>IF(ISNUMBER(Data!T875),Data!T875/100,"n/a")</f>
        <v>n/a</v>
      </c>
      <c r="I875" s="28" t="str">
        <f>IF(ISNUMBER(Data!U875),Data!U875/100,"n/a")</f>
        <v>n/a</v>
      </c>
      <c r="J875" s="28" t="str">
        <f>IF(ISNUMBER(Data!V875),Data!V875/100,"n/a")</f>
        <v>n/a</v>
      </c>
      <c r="K875" s="9" t="str">
        <f>IF(ISNUMBER(Data!Z875),Data!Z875/100,"n/a")</f>
        <v>n/a</v>
      </c>
      <c r="L875" s="10">
        <f>Data!AA875</f>
        <v>0</v>
      </c>
      <c r="M875" s="10">
        <f>Data!AF875</f>
        <v>0</v>
      </c>
      <c r="N875" s="28" t="str">
        <f>IF(ISNUMBER(Data!AG875),Data!AG875/100,"n/a")</f>
        <v>n/a</v>
      </c>
      <c r="O875" s="28" t="str">
        <f>IF(ISNUMBER(Data!AJ875),Data!AJ875/100,"n/a")</f>
        <v>n/a</v>
      </c>
      <c r="P875" s="9" t="str">
        <f>IF(ISNUMBER(Data!AK875),Data!AK875/100,"n/a")</f>
        <v>n/a</v>
      </c>
      <c r="Q875" s="8">
        <f>Data!AN875</f>
        <v>0</v>
      </c>
      <c r="R875" s="8">
        <f>Data!AP875</f>
        <v>0</v>
      </c>
      <c r="S875" s="8"/>
      <c r="T875" s="8"/>
      <c r="U875" s="8"/>
      <c r="V875" s="1">
        <f t="shared" si="28"/>
        <v>2</v>
      </c>
      <c r="W875" s="1">
        <f t="shared" si="29"/>
        <v>0</v>
      </c>
    </row>
    <row r="876" spans="1:23" hidden="1" x14ac:dyDescent="0.2">
      <c r="A876" s="7">
        <f>Data!A876</f>
        <v>0</v>
      </c>
      <c r="B876" s="7">
        <f>Data!B876</f>
        <v>0</v>
      </c>
      <c r="C876" s="7">
        <f>Data!C876</f>
        <v>0</v>
      </c>
      <c r="D876" s="8" t="str">
        <f>IF(ISNUMBER(Data!AL876),Data!AL876/1000,"n/a")</f>
        <v>n/a</v>
      </c>
      <c r="E876" s="1">
        <f>Data!E876</f>
        <v>0</v>
      </c>
      <c r="F876" s="28">
        <f>Data!J876/100</f>
        <v>0</v>
      </c>
      <c r="G876" s="28" t="str">
        <f>IF(ISNUMBER(Data!S876),Data!S876/100,"n/a")</f>
        <v>n/a</v>
      </c>
      <c r="H876" s="28" t="str">
        <f>IF(ISNUMBER(Data!T876),Data!T876/100,"n/a")</f>
        <v>n/a</v>
      </c>
      <c r="I876" s="28" t="str">
        <f>IF(ISNUMBER(Data!U876),Data!U876/100,"n/a")</f>
        <v>n/a</v>
      </c>
      <c r="J876" s="28" t="str">
        <f>IF(ISNUMBER(Data!V876),Data!V876/100,"n/a")</f>
        <v>n/a</v>
      </c>
      <c r="K876" s="9" t="str">
        <f>IF(ISNUMBER(Data!Z876),Data!Z876/100,"n/a")</f>
        <v>n/a</v>
      </c>
      <c r="L876" s="10">
        <f>Data!AA876</f>
        <v>0</v>
      </c>
      <c r="M876" s="10">
        <f>Data!AF876</f>
        <v>0</v>
      </c>
      <c r="N876" s="28" t="str">
        <f>IF(ISNUMBER(Data!AG876),Data!AG876/100,"n/a")</f>
        <v>n/a</v>
      </c>
      <c r="O876" s="28" t="str">
        <f>IF(ISNUMBER(Data!AJ876),Data!AJ876/100,"n/a")</f>
        <v>n/a</v>
      </c>
      <c r="P876" s="9" t="str">
        <f>IF(ISNUMBER(Data!AK876),Data!AK876/100,"n/a")</f>
        <v>n/a</v>
      </c>
      <c r="Q876" s="8">
        <f>Data!AN876</f>
        <v>0</v>
      </c>
      <c r="R876" s="8">
        <f>Data!AP876</f>
        <v>0</v>
      </c>
      <c r="S876" s="8"/>
      <c r="T876" s="8"/>
      <c r="U876" s="8"/>
      <c r="V876" s="1">
        <f t="shared" si="28"/>
        <v>2</v>
      </c>
      <c r="W876" s="1">
        <f t="shared" si="29"/>
        <v>0</v>
      </c>
    </row>
    <row r="877" spans="1:23" hidden="1" x14ac:dyDescent="0.2">
      <c r="A877" s="7">
        <f>Data!A877</f>
        <v>0</v>
      </c>
      <c r="B877" s="7">
        <f>Data!B877</f>
        <v>0</v>
      </c>
      <c r="C877" s="7">
        <f>Data!C877</f>
        <v>0</v>
      </c>
      <c r="D877" s="8" t="str">
        <f>IF(ISNUMBER(Data!AL877),Data!AL877/1000,"n/a")</f>
        <v>n/a</v>
      </c>
      <c r="E877" s="1">
        <f>Data!E877</f>
        <v>0</v>
      </c>
      <c r="F877" s="28">
        <f>Data!J877/100</f>
        <v>0</v>
      </c>
      <c r="G877" s="28" t="str">
        <f>IF(ISNUMBER(Data!S877),Data!S877/100,"n/a")</f>
        <v>n/a</v>
      </c>
      <c r="H877" s="28" t="str">
        <f>IF(ISNUMBER(Data!T877),Data!T877/100,"n/a")</f>
        <v>n/a</v>
      </c>
      <c r="I877" s="28" t="str">
        <f>IF(ISNUMBER(Data!U877),Data!U877/100,"n/a")</f>
        <v>n/a</v>
      </c>
      <c r="J877" s="28" t="str">
        <f>IF(ISNUMBER(Data!V877),Data!V877/100,"n/a")</f>
        <v>n/a</v>
      </c>
      <c r="K877" s="9" t="str">
        <f>IF(ISNUMBER(Data!Z877),Data!Z877/100,"n/a")</f>
        <v>n/a</v>
      </c>
      <c r="L877" s="10">
        <f>Data!AA877</f>
        <v>0</v>
      </c>
      <c r="M877" s="10">
        <f>Data!AF877</f>
        <v>0</v>
      </c>
      <c r="N877" s="28" t="str">
        <f>IF(ISNUMBER(Data!AG877),Data!AG877/100,"n/a")</f>
        <v>n/a</v>
      </c>
      <c r="O877" s="28" t="str">
        <f>IF(ISNUMBER(Data!AJ877),Data!AJ877/100,"n/a")</f>
        <v>n/a</v>
      </c>
      <c r="P877" s="9" t="str">
        <f>IF(ISNUMBER(Data!AK877),Data!AK877/100,"n/a")</f>
        <v>n/a</v>
      </c>
      <c r="Q877" s="8">
        <f>Data!AN877</f>
        <v>0</v>
      </c>
      <c r="R877" s="8">
        <f>Data!AP877</f>
        <v>0</v>
      </c>
      <c r="S877" s="8"/>
      <c r="T877" s="8"/>
      <c r="U877" s="8"/>
      <c r="V877" s="1">
        <f t="shared" si="28"/>
        <v>2</v>
      </c>
      <c r="W877" s="1">
        <f t="shared" si="29"/>
        <v>0</v>
      </c>
    </row>
    <row r="878" spans="1:23" hidden="1" x14ac:dyDescent="0.2">
      <c r="A878" s="7">
        <f>Data!A879</f>
        <v>0</v>
      </c>
      <c r="B878" s="7">
        <f>Data!B879</f>
        <v>0</v>
      </c>
      <c r="C878" s="7">
        <f>Data!C879</f>
        <v>0</v>
      </c>
      <c r="D878" s="8" t="str">
        <f>IF(ISNUMBER(Data!AL879),Data!AL879/1000,"n/a")</f>
        <v>n/a</v>
      </c>
      <c r="E878" s="1">
        <f>Data!E879</f>
        <v>0</v>
      </c>
      <c r="F878" s="28">
        <f>Data!J879/100</f>
        <v>0</v>
      </c>
      <c r="G878" s="28" t="str">
        <f>IF(ISNUMBER(Data!S879),Data!S879/100,"n/a")</f>
        <v>n/a</v>
      </c>
      <c r="H878" s="28" t="str">
        <f>IF(ISNUMBER(Data!T879),Data!T879/100,"n/a")</f>
        <v>n/a</v>
      </c>
      <c r="I878" s="28" t="str">
        <f>IF(ISNUMBER(Data!U879),Data!U879/100,"n/a")</f>
        <v>n/a</v>
      </c>
      <c r="J878" s="28" t="str">
        <f>IF(ISNUMBER(Data!V879),Data!V879/100,"n/a")</f>
        <v>n/a</v>
      </c>
      <c r="K878" s="9" t="str">
        <f>IF(ISNUMBER(Data!Z879),Data!Z879/100,"n/a")</f>
        <v>n/a</v>
      </c>
      <c r="L878" s="10">
        <f>Data!AA879</f>
        <v>0</v>
      </c>
      <c r="M878" s="10">
        <f>Data!AF879</f>
        <v>0</v>
      </c>
      <c r="N878" s="28" t="str">
        <f>IF(ISNUMBER(Data!AG879),Data!AG879/100,"n/a")</f>
        <v>n/a</v>
      </c>
      <c r="O878" s="28" t="str">
        <f>IF(ISNUMBER(Data!AJ879),Data!AJ879/100,"n/a")</f>
        <v>n/a</v>
      </c>
      <c r="P878" s="9" t="str">
        <f>IF(ISNUMBER(Data!AK879),Data!AK879/100,"n/a")</f>
        <v>n/a</v>
      </c>
      <c r="Q878" s="8">
        <f>Data!AN879</f>
        <v>0</v>
      </c>
      <c r="R878" s="8">
        <f>Data!AP879</f>
        <v>0</v>
      </c>
      <c r="S878" s="8"/>
      <c r="T878" s="8"/>
      <c r="U878" s="8"/>
      <c r="V878" s="1">
        <f t="shared" si="28"/>
        <v>2</v>
      </c>
      <c r="W878" s="1">
        <f t="shared" si="29"/>
        <v>0</v>
      </c>
    </row>
    <row r="879" spans="1:23" hidden="1" x14ac:dyDescent="0.2">
      <c r="A879" s="7">
        <f>Data!A880</f>
        <v>0</v>
      </c>
      <c r="B879" s="7">
        <f>Data!B880</f>
        <v>0</v>
      </c>
      <c r="C879" s="7">
        <f>Data!C880</f>
        <v>0</v>
      </c>
      <c r="D879" s="8" t="str">
        <f>IF(ISNUMBER(Data!AL880),Data!AL880/1000,"n/a")</f>
        <v>n/a</v>
      </c>
      <c r="E879" s="1">
        <f>Data!E880</f>
        <v>0</v>
      </c>
      <c r="F879" s="28">
        <f>Data!J880/100</f>
        <v>0</v>
      </c>
      <c r="G879" s="28" t="str">
        <f>IF(ISNUMBER(Data!S880),Data!S880/100,"n/a")</f>
        <v>n/a</v>
      </c>
      <c r="H879" s="28" t="str">
        <f>IF(ISNUMBER(Data!T880),Data!T880/100,"n/a")</f>
        <v>n/a</v>
      </c>
      <c r="I879" s="28" t="str">
        <f>IF(ISNUMBER(Data!U880),Data!U880/100,"n/a")</f>
        <v>n/a</v>
      </c>
      <c r="J879" s="28" t="str">
        <f>IF(ISNUMBER(Data!V880),Data!V880/100,"n/a")</f>
        <v>n/a</v>
      </c>
      <c r="K879" s="9" t="str">
        <f>IF(ISNUMBER(Data!Z880),Data!Z880/100,"n/a")</f>
        <v>n/a</v>
      </c>
      <c r="L879" s="10">
        <f>Data!AA880</f>
        <v>0</v>
      </c>
      <c r="M879" s="10">
        <f>Data!AF880</f>
        <v>0</v>
      </c>
      <c r="N879" s="28" t="str">
        <f>IF(ISNUMBER(Data!AG880),Data!AG880/100,"n/a")</f>
        <v>n/a</v>
      </c>
      <c r="O879" s="28" t="str">
        <f>IF(ISNUMBER(Data!AJ880),Data!AJ880/100,"n/a")</f>
        <v>n/a</v>
      </c>
      <c r="P879" s="9" t="str">
        <f>IF(ISNUMBER(Data!AK880),Data!AK880/100,"n/a")</f>
        <v>n/a</v>
      </c>
      <c r="Q879" s="8">
        <f>Data!AN880</f>
        <v>0</v>
      </c>
      <c r="R879" s="8">
        <f>Data!AP880</f>
        <v>0</v>
      </c>
      <c r="S879" s="8"/>
      <c r="T879" s="8"/>
      <c r="U879" s="8"/>
      <c r="V879" s="1">
        <f t="shared" si="28"/>
        <v>2</v>
      </c>
      <c r="W879" s="1">
        <f t="shared" si="29"/>
        <v>0</v>
      </c>
    </row>
    <row r="880" spans="1:23" hidden="1" x14ac:dyDescent="0.2">
      <c r="A880" s="7">
        <f>Data!A881</f>
        <v>0</v>
      </c>
      <c r="B880" s="7">
        <f>Data!B881</f>
        <v>0</v>
      </c>
      <c r="C880" s="7">
        <f>Data!C881</f>
        <v>0</v>
      </c>
      <c r="D880" s="8" t="str">
        <f>IF(ISNUMBER(Data!AL881),Data!AL881/1000,"n/a")</f>
        <v>n/a</v>
      </c>
      <c r="E880" s="1">
        <f>Data!E881</f>
        <v>0</v>
      </c>
      <c r="F880" s="28">
        <f>Data!J881/100</f>
        <v>0</v>
      </c>
      <c r="G880" s="28" t="str">
        <f>IF(ISNUMBER(Data!S881),Data!S881/100,"n/a")</f>
        <v>n/a</v>
      </c>
      <c r="H880" s="28" t="str">
        <f>IF(ISNUMBER(Data!T881),Data!T881/100,"n/a")</f>
        <v>n/a</v>
      </c>
      <c r="I880" s="28" t="str">
        <f>IF(ISNUMBER(Data!U881),Data!U881/100,"n/a")</f>
        <v>n/a</v>
      </c>
      <c r="J880" s="28" t="str">
        <f>IF(ISNUMBER(Data!V881),Data!V881/100,"n/a")</f>
        <v>n/a</v>
      </c>
      <c r="K880" s="9" t="str">
        <f>IF(ISNUMBER(Data!Z881),Data!Z881/100,"n/a")</f>
        <v>n/a</v>
      </c>
      <c r="L880" s="10">
        <f>Data!AA881</f>
        <v>0</v>
      </c>
      <c r="M880" s="10">
        <f>Data!AF881</f>
        <v>0</v>
      </c>
      <c r="N880" s="28" t="str">
        <f>IF(ISNUMBER(Data!AG881),Data!AG881/100,"n/a")</f>
        <v>n/a</v>
      </c>
      <c r="O880" s="28" t="str">
        <f>IF(ISNUMBER(Data!AJ881),Data!AJ881/100,"n/a")</f>
        <v>n/a</v>
      </c>
      <c r="P880" s="9" t="str">
        <f>IF(ISNUMBER(Data!AK881),Data!AK881/100,"n/a")</f>
        <v>n/a</v>
      </c>
      <c r="Q880" s="8">
        <f>Data!AN881</f>
        <v>0</v>
      </c>
      <c r="R880" s="8">
        <f>Data!AP881</f>
        <v>0</v>
      </c>
      <c r="S880" s="8"/>
      <c r="T880" s="8"/>
      <c r="U880" s="8"/>
      <c r="V880" s="1">
        <f t="shared" si="28"/>
        <v>2</v>
      </c>
      <c r="W880" s="1">
        <f t="shared" si="29"/>
        <v>0</v>
      </c>
    </row>
    <row r="881" spans="1:23" hidden="1" x14ac:dyDescent="0.2">
      <c r="A881" s="7">
        <f>Data!A882</f>
        <v>0</v>
      </c>
      <c r="B881" s="7">
        <f>Data!B882</f>
        <v>0</v>
      </c>
      <c r="C881" s="7">
        <f>Data!C882</f>
        <v>0</v>
      </c>
      <c r="D881" s="8" t="str">
        <f>IF(ISNUMBER(Data!AL882),Data!AL882/1000,"n/a")</f>
        <v>n/a</v>
      </c>
      <c r="E881" s="1">
        <f>Data!E882</f>
        <v>0</v>
      </c>
      <c r="F881" s="28">
        <f>Data!J882/100</f>
        <v>0</v>
      </c>
      <c r="G881" s="28" t="str">
        <f>IF(ISNUMBER(Data!S882),Data!S882/100,"n/a")</f>
        <v>n/a</v>
      </c>
      <c r="H881" s="28" t="str">
        <f>IF(ISNUMBER(Data!T882),Data!T882/100,"n/a")</f>
        <v>n/a</v>
      </c>
      <c r="I881" s="28" t="str">
        <f>IF(ISNUMBER(Data!U882),Data!U882/100,"n/a")</f>
        <v>n/a</v>
      </c>
      <c r="J881" s="28" t="str">
        <f>IF(ISNUMBER(Data!V882),Data!V882/100,"n/a")</f>
        <v>n/a</v>
      </c>
      <c r="K881" s="9" t="str">
        <f>IF(ISNUMBER(Data!Z882),Data!Z882/100,"n/a")</f>
        <v>n/a</v>
      </c>
      <c r="L881" s="10">
        <f>Data!AA882</f>
        <v>0</v>
      </c>
      <c r="M881" s="10">
        <f>Data!AF882</f>
        <v>0</v>
      </c>
      <c r="N881" s="28" t="str">
        <f>IF(ISNUMBER(Data!AG882),Data!AG882/100,"n/a")</f>
        <v>n/a</v>
      </c>
      <c r="O881" s="28" t="str">
        <f>IF(ISNUMBER(Data!AJ882),Data!AJ882/100,"n/a")</f>
        <v>n/a</v>
      </c>
      <c r="P881" s="9" t="str">
        <f>IF(ISNUMBER(Data!AK882),Data!AK882/100,"n/a")</f>
        <v>n/a</v>
      </c>
      <c r="Q881" s="8">
        <f>Data!AN882</f>
        <v>0</v>
      </c>
      <c r="R881" s="8">
        <f>Data!AP882</f>
        <v>0</v>
      </c>
      <c r="S881" s="8"/>
      <c r="T881" s="8"/>
      <c r="U881" s="8"/>
      <c r="V881" s="1">
        <f t="shared" si="28"/>
        <v>2</v>
      </c>
      <c r="W881" s="1">
        <f t="shared" si="29"/>
        <v>0</v>
      </c>
    </row>
    <row r="882" spans="1:23" hidden="1" x14ac:dyDescent="0.2">
      <c r="A882" s="7">
        <f>Data!A883</f>
        <v>0</v>
      </c>
      <c r="B882" s="7">
        <f>Data!B883</f>
        <v>0</v>
      </c>
      <c r="C882" s="7">
        <f>Data!C883</f>
        <v>0</v>
      </c>
      <c r="D882" s="8" t="str">
        <f>IF(ISNUMBER(Data!AL883),Data!AL883/1000,"n/a")</f>
        <v>n/a</v>
      </c>
      <c r="E882" s="1">
        <f>Data!E883</f>
        <v>0</v>
      </c>
      <c r="F882" s="28">
        <f>Data!J883/100</f>
        <v>0</v>
      </c>
      <c r="G882" s="28" t="str">
        <f>IF(ISNUMBER(Data!S883),Data!S883/100,"n/a")</f>
        <v>n/a</v>
      </c>
      <c r="H882" s="28" t="str">
        <f>IF(ISNUMBER(Data!T883),Data!T883/100,"n/a")</f>
        <v>n/a</v>
      </c>
      <c r="I882" s="28" t="str">
        <f>IF(ISNUMBER(Data!U883),Data!U883/100,"n/a")</f>
        <v>n/a</v>
      </c>
      <c r="J882" s="28" t="str">
        <f>IF(ISNUMBER(Data!V883),Data!V883/100,"n/a")</f>
        <v>n/a</v>
      </c>
      <c r="K882" s="9" t="str">
        <f>IF(ISNUMBER(Data!Z883),Data!Z883/100,"n/a")</f>
        <v>n/a</v>
      </c>
      <c r="L882" s="10">
        <f>Data!AA883</f>
        <v>0</v>
      </c>
      <c r="M882" s="10">
        <f>Data!AF883</f>
        <v>0</v>
      </c>
      <c r="N882" s="28" t="str">
        <f>IF(ISNUMBER(Data!AG883),Data!AG883/100,"n/a")</f>
        <v>n/a</v>
      </c>
      <c r="O882" s="28" t="str">
        <f>IF(ISNUMBER(Data!AJ883),Data!AJ883/100,"n/a")</f>
        <v>n/a</v>
      </c>
      <c r="P882" s="9" t="str">
        <f>IF(ISNUMBER(Data!AK883),Data!AK883/100,"n/a")</f>
        <v>n/a</v>
      </c>
      <c r="Q882" s="8">
        <f>Data!AN883</f>
        <v>0</v>
      </c>
      <c r="R882" s="8">
        <f>Data!AP883</f>
        <v>0</v>
      </c>
      <c r="S882" s="8"/>
      <c r="T882" s="8"/>
      <c r="U882" s="8"/>
      <c r="V882" s="1">
        <f t="shared" si="28"/>
        <v>2</v>
      </c>
      <c r="W882" s="1">
        <f t="shared" si="29"/>
        <v>0</v>
      </c>
    </row>
    <row r="883" spans="1:23" hidden="1" x14ac:dyDescent="0.2">
      <c r="A883" s="7">
        <f>Data!A884</f>
        <v>0</v>
      </c>
      <c r="B883" s="7">
        <f>Data!B884</f>
        <v>0</v>
      </c>
      <c r="C883" s="7">
        <f>Data!C884</f>
        <v>0</v>
      </c>
      <c r="D883" s="8" t="str">
        <f>IF(ISNUMBER(Data!AL884),Data!AL884/1000,"n/a")</f>
        <v>n/a</v>
      </c>
      <c r="E883" s="1">
        <f>Data!E884</f>
        <v>0</v>
      </c>
      <c r="F883" s="28">
        <f>Data!J884/100</f>
        <v>0</v>
      </c>
      <c r="G883" s="28" t="str">
        <f>IF(ISNUMBER(Data!S884),Data!S884/100,"n/a")</f>
        <v>n/a</v>
      </c>
      <c r="H883" s="28" t="str">
        <f>IF(ISNUMBER(Data!T884),Data!T884/100,"n/a")</f>
        <v>n/a</v>
      </c>
      <c r="I883" s="28" t="str">
        <f>IF(ISNUMBER(Data!U884),Data!U884/100,"n/a")</f>
        <v>n/a</v>
      </c>
      <c r="J883" s="28" t="str">
        <f>IF(ISNUMBER(Data!V884),Data!V884/100,"n/a")</f>
        <v>n/a</v>
      </c>
      <c r="K883" s="9" t="str">
        <f>IF(ISNUMBER(Data!Z884),Data!Z884/100,"n/a")</f>
        <v>n/a</v>
      </c>
      <c r="L883" s="10">
        <f>Data!AA884</f>
        <v>0</v>
      </c>
      <c r="M883" s="10">
        <f>Data!AF884</f>
        <v>0</v>
      </c>
      <c r="N883" s="28" t="str">
        <f>IF(ISNUMBER(Data!AG884),Data!AG884/100,"n/a")</f>
        <v>n/a</v>
      </c>
      <c r="O883" s="28" t="str">
        <f>IF(ISNUMBER(Data!AJ884),Data!AJ884/100,"n/a")</f>
        <v>n/a</v>
      </c>
      <c r="P883" s="9" t="str">
        <f>IF(ISNUMBER(Data!AK884),Data!AK884/100,"n/a")</f>
        <v>n/a</v>
      </c>
      <c r="Q883" s="8">
        <f>Data!AN884</f>
        <v>0</v>
      </c>
      <c r="R883" s="8">
        <f>Data!AP884</f>
        <v>0</v>
      </c>
      <c r="S883" s="8"/>
      <c r="T883" s="8"/>
      <c r="U883" s="8"/>
      <c r="V883" s="1">
        <f t="shared" si="28"/>
        <v>2</v>
      </c>
      <c r="W883" s="1">
        <f t="shared" si="29"/>
        <v>0</v>
      </c>
    </row>
    <row r="884" spans="1:23" hidden="1" x14ac:dyDescent="0.2">
      <c r="A884" s="7">
        <f>Data!A885</f>
        <v>0</v>
      </c>
      <c r="B884" s="7">
        <f>Data!B885</f>
        <v>0</v>
      </c>
      <c r="C884" s="7">
        <f>Data!C885</f>
        <v>0</v>
      </c>
      <c r="D884" s="8" t="str">
        <f>IF(ISNUMBER(Data!AL885),Data!AL885/1000,"n/a")</f>
        <v>n/a</v>
      </c>
      <c r="E884" s="1">
        <f>Data!E885</f>
        <v>0</v>
      </c>
      <c r="F884" s="28">
        <f>Data!J885/100</f>
        <v>0</v>
      </c>
      <c r="G884" s="28" t="str">
        <f>IF(ISNUMBER(Data!S885),Data!S885/100,"n/a")</f>
        <v>n/a</v>
      </c>
      <c r="H884" s="28" t="str">
        <f>IF(ISNUMBER(Data!T885),Data!T885/100,"n/a")</f>
        <v>n/a</v>
      </c>
      <c r="I884" s="28" t="str">
        <f>IF(ISNUMBER(Data!U885),Data!U885/100,"n/a")</f>
        <v>n/a</v>
      </c>
      <c r="J884" s="28" t="str">
        <f>IF(ISNUMBER(Data!V885),Data!V885/100,"n/a")</f>
        <v>n/a</v>
      </c>
      <c r="K884" s="9" t="str">
        <f>IF(ISNUMBER(Data!Z885),Data!Z885/100,"n/a")</f>
        <v>n/a</v>
      </c>
      <c r="L884" s="10">
        <f>Data!AA885</f>
        <v>0</v>
      </c>
      <c r="M884" s="10">
        <f>Data!AF885</f>
        <v>0</v>
      </c>
      <c r="N884" s="28" t="str">
        <f>IF(ISNUMBER(Data!AG885),Data!AG885/100,"n/a")</f>
        <v>n/a</v>
      </c>
      <c r="O884" s="28" t="str">
        <f>IF(ISNUMBER(Data!AJ885),Data!AJ885/100,"n/a")</f>
        <v>n/a</v>
      </c>
      <c r="P884" s="9" t="str">
        <f>IF(ISNUMBER(Data!AK885),Data!AK885/100,"n/a")</f>
        <v>n/a</v>
      </c>
      <c r="Q884" s="8">
        <f>Data!AN885</f>
        <v>0</v>
      </c>
      <c r="R884" s="8">
        <f>Data!AP885</f>
        <v>0</v>
      </c>
      <c r="S884" s="8"/>
      <c r="T884" s="8"/>
      <c r="U884" s="8"/>
      <c r="V884" s="1">
        <f t="shared" si="28"/>
        <v>2</v>
      </c>
      <c r="W884" s="1">
        <f t="shared" si="29"/>
        <v>0</v>
      </c>
    </row>
    <row r="885" spans="1:23" hidden="1" x14ac:dyDescent="0.2">
      <c r="A885" s="7">
        <f>Data!A886</f>
        <v>0</v>
      </c>
      <c r="B885" s="7">
        <f>Data!B886</f>
        <v>0</v>
      </c>
      <c r="C885" s="7">
        <f>Data!C886</f>
        <v>0</v>
      </c>
      <c r="D885" s="8" t="str">
        <f>IF(ISNUMBER(Data!AL886),Data!AL886/1000,"n/a")</f>
        <v>n/a</v>
      </c>
      <c r="E885" s="1">
        <f>Data!E886</f>
        <v>0</v>
      </c>
      <c r="F885" s="28">
        <f>Data!J886/100</f>
        <v>0</v>
      </c>
      <c r="G885" s="28" t="str">
        <f>IF(ISNUMBER(Data!S886),Data!S886/100,"n/a")</f>
        <v>n/a</v>
      </c>
      <c r="H885" s="28" t="str">
        <f>IF(ISNUMBER(Data!T886),Data!T886/100,"n/a")</f>
        <v>n/a</v>
      </c>
      <c r="I885" s="28" t="str">
        <f>IF(ISNUMBER(Data!U886),Data!U886/100,"n/a")</f>
        <v>n/a</v>
      </c>
      <c r="J885" s="28" t="str">
        <f>IF(ISNUMBER(Data!V886),Data!V886/100,"n/a")</f>
        <v>n/a</v>
      </c>
      <c r="K885" s="9" t="str">
        <f>IF(ISNUMBER(Data!Z886),Data!Z886/100,"n/a")</f>
        <v>n/a</v>
      </c>
      <c r="L885" s="10">
        <f>Data!AA886</f>
        <v>0</v>
      </c>
      <c r="M885" s="10">
        <f>Data!AF886</f>
        <v>0</v>
      </c>
      <c r="N885" s="28" t="str">
        <f>IF(ISNUMBER(Data!AG886),Data!AG886/100,"n/a")</f>
        <v>n/a</v>
      </c>
      <c r="O885" s="28" t="str">
        <f>IF(ISNUMBER(Data!AJ886),Data!AJ886/100,"n/a")</f>
        <v>n/a</v>
      </c>
      <c r="P885" s="9" t="str">
        <f>IF(ISNUMBER(Data!AK886),Data!AK886/100,"n/a")</f>
        <v>n/a</v>
      </c>
      <c r="Q885" s="8">
        <f>Data!AN886</f>
        <v>0</v>
      </c>
      <c r="R885" s="8">
        <f>Data!AP886</f>
        <v>0</v>
      </c>
      <c r="S885" s="8"/>
      <c r="T885" s="8"/>
      <c r="U885" s="8"/>
      <c r="V885" s="1">
        <f t="shared" si="28"/>
        <v>2</v>
      </c>
      <c r="W885" s="1">
        <f t="shared" si="29"/>
        <v>0</v>
      </c>
    </row>
    <row r="886" spans="1:23" hidden="1" x14ac:dyDescent="0.2">
      <c r="A886" s="7">
        <f>Data!A887</f>
        <v>0</v>
      </c>
      <c r="B886" s="7">
        <f>Data!B887</f>
        <v>0</v>
      </c>
      <c r="C886" s="7">
        <f>Data!C887</f>
        <v>0</v>
      </c>
      <c r="D886" s="8" t="str">
        <f>IF(ISNUMBER(Data!AL887),Data!AL887/1000,"n/a")</f>
        <v>n/a</v>
      </c>
      <c r="E886" s="1">
        <f>Data!E887</f>
        <v>0</v>
      </c>
      <c r="F886" s="28">
        <f>Data!J887/100</f>
        <v>0</v>
      </c>
      <c r="G886" s="28" t="str">
        <f>IF(ISNUMBER(Data!S887),Data!S887/100,"n/a")</f>
        <v>n/a</v>
      </c>
      <c r="H886" s="28" t="str">
        <f>IF(ISNUMBER(Data!T887),Data!T887/100,"n/a")</f>
        <v>n/a</v>
      </c>
      <c r="I886" s="28" t="str">
        <f>IF(ISNUMBER(Data!U887),Data!U887/100,"n/a")</f>
        <v>n/a</v>
      </c>
      <c r="J886" s="28" t="str">
        <f>IF(ISNUMBER(Data!V887),Data!V887/100,"n/a")</f>
        <v>n/a</v>
      </c>
      <c r="K886" s="9" t="str">
        <f>IF(ISNUMBER(Data!Z887),Data!Z887/100,"n/a")</f>
        <v>n/a</v>
      </c>
      <c r="L886" s="10">
        <f>Data!AA887</f>
        <v>0</v>
      </c>
      <c r="M886" s="10">
        <f>Data!AF887</f>
        <v>0</v>
      </c>
      <c r="N886" s="28" t="str">
        <f>IF(ISNUMBER(Data!AG887),Data!AG887/100,"n/a")</f>
        <v>n/a</v>
      </c>
      <c r="O886" s="28" t="str">
        <f>IF(ISNUMBER(Data!AJ887),Data!AJ887/100,"n/a")</f>
        <v>n/a</v>
      </c>
      <c r="P886" s="9" t="str">
        <f>IF(ISNUMBER(Data!AK887),Data!AK887/100,"n/a")</f>
        <v>n/a</v>
      </c>
      <c r="Q886" s="8">
        <f>Data!AN887</f>
        <v>0</v>
      </c>
      <c r="R886" s="8">
        <f>Data!AP887</f>
        <v>0</v>
      </c>
      <c r="S886" s="8"/>
      <c r="T886" s="8"/>
      <c r="U886" s="8"/>
      <c r="V886" s="1">
        <f t="shared" si="28"/>
        <v>2</v>
      </c>
      <c r="W886" s="1">
        <f t="shared" si="29"/>
        <v>0</v>
      </c>
    </row>
    <row r="887" spans="1:23" hidden="1" x14ac:dyDescent="0.2">
      <c r="A887" s="7">
        <f>Data!A888</f>
        <v>0</v>
      </c>
      <c r="B887" s="7">
        <f>Data!B888</f>
        <v>0</v>
      </c>
      <c r="C887" s="7">
        <f>Data!C888</f>
        <v>0</v>
      </c>
      <c r="D887" s="8" t="str">
        <f>IF(ISNUMBER(Data!AL888),Data!AL888/1000,"n/a")</f>
        <v>n/a</v>
      </c>
      <c r="E887" s="1">
        <f>Data!E888</f>
        <v>0</v>
      </c>
      <c r="F887" s="28">
        <f>Data!J888/100</f>
        <v>0</v>
      </c>
      <c r="G887" s="28" t="str">
        <f>IF(ISNUMBER(Data!S888),Data!S888/100,"n/a")</f>
        <v>n/a</v>
      </c>
      <c r="H887" s="28" t="str">
        <f>IF(ISNUMBER(Data!T888),Data!T888/100,"n/a")</f>
        <v>n/a</v>
      </c>
      <c r="I887" s="28" t="str">
        <f>IF(ISNUMBER(Data!U888),Data!U888/100,"n/a")</f>
        <v>n/a</v>
      </c>
      <c r="J887" s="28" t="str">
        <f>IF(ISNUMBER(Data!V888),Data!V888/100,"n/a")</f>
        <v>n/a</v>
      </c>
      <c r="K887" s="9" t="str">
        <f>IF(ISNUMBER(Data!Z888),Data!Z888/100,"n/a")</f>
        <v>n/a</v>
      </c>
      <c r="L887" s="10">
        <f>Data!AA888</f>
        <v>0</v>
      </c>
      <c r="M887" s="10">
        <f>Data!AF888</f>
        <v>0</v>
      </c>
      <c r="N887" s="28" t="str">
        <f>IF(ISNUMBER(Data!AG888),Data!AG888/100,"n/a")</f>
        <v>n/a</v>
      </c>
      <c r="O887" s="28" t="str">
        <f>IF(ISNUMBER(Data!AJ888),Data!AJ888/100,"n/a")</f>
        <v>n/a</v>
      </c>
      <c r="P887" s="9" t="str">
        <f>IF(ISNUMBER(Data!AK888),Data!AK888/100,"n/a")</f>
        <v>n/a</v>
      </c>
      <c r="Q887" s="8">
        <f>Data!AN888</f>
        <v>0</v>
      </c>
      <c r="R887" s="8">
        <f>Data!AP888</f>
        <v>0</v>
      </c>
      <c r="S887" s="8"/>
      <c r="T887" s="8"/>
      <c r="U887" s="8"/>
      <c r="V887" s="1">
        <f t="shared" si="28"/>
        <v>2</v>
      </c>
      <c r="W887" s="1">
        <f t="shared" si="29"/>
        <v>0</v>
      </c>
    </row>
    <row r="888" spans="1:23" hidden="1" x14ac:dyDescent="0.2">
      <c r="A888" s="7">
        <f>Data!A889</f>
        <v>0</v>
      </c>
      <c r="B888" s="7">
        <f>Data!B889</f>
        <v>0</v>
      </c>
      <c r="C888" s="7">
        <f>Data!C889</f>
        <v>0</v>
      </c>
      <c r="D888" s="8" t="str">
        <f>IF(ISNUMBER(Data!AL889),Data!AL889/1000,"n/a")</f>
        <v>n/a</v>
      </c>
      <c r="E888" s="1">
        <f>Data!E889</f>
        <v>0</v>
      </c>
      <c r="F888" s="28">
        <f>Data!J889/100</f>
        <v>0</v>
      </c>
      <c r="G888" s="28" t="str">
        <f>IF(ISNUMBER(Data!S889),Data!S889/100,"n/a")</f>
        <v>n/a</v>
      </c>
      <c r="H888" s="28" t="str">
        <f>IF(ISNUMBER(Data!T889),Data!T889/100,"n/a")</f>
        <v>n/a</v>
      </c>
      <c r="I888" s="28" t="str">
        <f>IF(ISNUMBER(Data!U889),Data!U889/100,"n/a")</f>
        <v>n/a</v>
      </c>
      <c r="J888" s="28" t="str">
        <f>IF(ISNUMBER(Data!V889),Data!V889/100,"n/a")</f>
        <v>n/a</v>
      </c>
      <c r="K888" s="9" t="str">
        <f>IF(ISNUMBER(Data!Z889),Data!Z889/100,"n/a")</f>
        <v>n/a</v>
      </c>
      <c r="L888" s="10">
        <f>Data!AA889</f>
        <v>0</v>
      </c>
      <c r="M888" s="10">
        <f>Data!AF889</f>
        <v>0</v>
      </c>
      <c r="N888" s="28" t="str">
        <f>IF(ISNUMBER(Data!AG889),Data!AG889/100,"n/a")</f>
        <v>n/a</v>
      </c>
      <c r="O888" s="28" t="str">
        <f>IF(ISNUMBER(Data!AJ889),Data!AJ889/100,"n/a")</f>
        <v>n/a</v>
      </c>
      <c r="P888" s="9" t="str">
        <f>IF(ISNUMBER(Data!AK889),Data!AK889/100,"n/a")</f>
        <v>n/a</v>
      </c>
      <c r="Q888" s="8">
        <f>Data!AN889</f>
        <v>0</v>
      </c>
      <c r="R888" s="8">
        <f>Data!AP889</f>
        <v>0</v>
      </c>
      <c r="S888" s="8"/>
      <c r="T888" s="8"/>
      <c r="U888" s="8"/>
      <c r="V888" s="1">
        <f t="shared" si="28"/>
        <v>2</v>
      </c>
      <c r="W888" s="1">
        <f t="shared" si="29"/>
        <v>0</v>
      </c>
    </row>
    <row r="889" spans="1:23" hidden="1" x14ac:dyDescent="0.2">
      <c r="A889" s="7">
        <f>Data!A890</f>
        <v>0</v>
      </c>
      <c r="B889" s="7">
        <f>Data!B890</f>
        <v>0</v>
      </c>
      <c r="C889" s="7">
        <f>Data!C890</f>
        <v>0</v>
      </c>
      <c r="D889" s="8" t="str">
        <f>IF(ISNUMBER(Data!AL890),Data!AL890/1000,"n/a")</f>
        <v>n/a</v>
      </c>
      <c r="E889" s="1">
        <f>Data!E890</f>
        <v>0</v>
      </c>
      <c r="F889" s="28">
        <f>Data!J890/100</f>
        <v>0</v>
      </c>
      <c r="G889" s="28" t="str">
        <f>IF(ISNUMBER(Data!S890),Data!S890/100,"n/a")</f>
        <v>n/a</v>
      </c>
      <c r="H889" s="28" t="str">
        <f>IF(ISNUMBER(Data!T890),Data!T890/100,"n/a")</f>
        <v>n/a</v>
      </c>
      <c r="I889" s="28" t="str">
        <f>IF(ISNUMBER(Data!U890),Data!U890/100,"n/a")</f>
        <v>n/a</v>
      </c>
      <c r="J889" s="28" t="str">
        <f>IF(ISNUMBER(Data!V890),Data!V890/100,"n/a")</f>
        <v>n/a</v>
      </c>
      <c r="K889" s="9" t="str">
        <f>IF(ISNUMBER(Data!Z890),Data!Z890/100,"n/a")</f>
        <v>n/a</v>
      </c>
      <c r="L889" s="10">
        <f>Data!AA890</f>
        <v>0</v>
      </c>
      <c r="M889" s="10">
        <f>Data!AF890</f>
        <v>0</v>
      </c>
      <c r="N889" s="28" t="str">
        <f>IF(ISNUMBER(Data!AG890),Data!AG890/100,"n/a")</f>
        <v>n/a</v>
      </c>
      <c r="O889" s="28" t="str">
        <f>IF(ISNUMBER(Data!AJ890),Data!AJ890/100,"n/a")</f>
        <v>n/a</v>
      </c>
      <c r="P889" s="9" t="str">
        <f>IF(ISNUMBER(Data!AK890),Data!AK890/100,"n/a")</f>
        <v>n/a</v>
      </c>
      <c r="Q889" s="8">
        <f>Data!AN890</f>
        <v>0</v>
      </c>
      <c r="R889" s="8">
        <f>Data!AP890</f>
        <v>0</v>
      </c>
      <c r="S889" s="8"/>
      <c r="T889" s="8"/>
      <c r="U889" s="8"/>
      <c r="V889" s="1">
        <f t="shared" si="28"/>
        <v>2</v>
      </c>
      <c r="W889" s="1">
        <f t="shared" si="29"/>
        <v>0</v>
      </c>
    </row>
    <row r="890" spans="1:23" hidden="1" x14ac:dyDescent="0.2">
      <c r="A890" s="7">
        <f>Data!A891</f>
        <v>0</v>
      </c>
      <c r="B890" s="7">
        <f>Data!B891</f>
        <v>0</v>
      </c>
      <c r="C890" s="7">
        <f>Data!C891</f>
        <v>0</v>
      </c>
      <c r="D890" s="8" t="str">
        <f>IF(ISNUMBER(Data!AL891),Data!AL891/1000,"n/a")</f>
        <v>n/a</v>
      </c>
      <c r="E890" s="1">
        <f>Data!E891</f>
        <v>0</v>
      </c>
      <c r="F890" s="28">
        <f>Data!J891/100</f>
        <v>0</v>
      </c>
      <c r="G890" s="28" t="str">
        <f>IF(ISNUMBER(Data!S891),Data!S891/100,"n/a")</f>
        <v>n/a</v>
      </c>
      <c r="H890" s="28" t="str">
        <f>IF(ISNUMBER(Data!T891),Data!T891/100,"n/a")</f>
        <v>n/a</v>
      </c>
      <c r="I890" s="28" t="str">
        <f>IF(ISNUMBER(Data!U891),Data!U891/100,"n/a")</f>
        <v>n/a</v>
      </c>
      <c r="J890" s="28" t="str">
        <f>IF(ISNUMBER(Data!V891),Data!V891/100,"n/a")</f>
        <v>n/a</v>
      </c>
      <c r="K890" s="9" t="str">
        <f>IF(ISNUMBER(Data!Z891),Data!Z891/100,"n/a")</f>
        <v>n/a</v>
      </c>
      <c r="L890" s="10">
        <f>Data!AA891</f>
        <v>0</v>
      </c>
      <c r="M890" s="10">
        <f>Data!AF891</f>
        <v>0</v>
      </c>
      <c r="N890" s="28" t="str">
        <f>IF(ISNUMBER(Data!AG891),Data!AG891/100,"n/a")</f>
        <v>n/a</v>
      </c>
      <c r="O890" s="28" t="str">
        <f>IF(ISNUMBER(Data!AJ891),Data!AJ891/100,"n/a")</f>
        <v>n/a</v>
      </c>
      <c r="P890" s="9" t="str">
        <f>IF(ISNUMBER(Data!AK891),Data!AK891/100,"n/a")</f>
        <v>n/a</v>
      </c>
      <c r="Q890" s="8">
        <f>Data!AN891</f>
        <v>0</v>
      </c>
      <c r="R890" s="8">
        <f>Data!AP891</f>
        <v>0</v>
      </c>
      <c r="S890" s="8"/>
      <c r="T890" s="8"/>
      <c r="U890" s="8"/>
      <c r="V890" s="1">
        <f t="shared" si="28"/>
        <v>2</v>
      </c>
      <c r="W890" s="1">
        <f t="shared" si="29"/>
        <v>0</v>
      </c>
    </row>
    <row r="891" spans="1:23" hidden="1" x14ac:dyDescent="0.2">
      <c r="A891" s="7">
        <f>Data!A892</f>
        <v>0</v>
      </c>
      <c r="B891" s="7">
        <f>Data!B892</f>
        <v>0</v>
      </c>
      <c r="C891" s="7">
        <f>Data!C892</f>
        <v>0</v>
      </c>
      <c r="D891" s="8" t="str">
        <f>IF(ISNUMBER(Data!AL892),Data!AL892/1000,"n/a")</f>
        <v>n/a</v>
      </c>
      <c r="E891" s="1">
        <f>Data!E892</f>
        <v>0</v>
      </c>
      <c r="F891" s="28">
        <f>Data!J892/100</f>
        <v>0</v>
      </c>
      <c r="G891" s="28" t="str">
        <f>IF(ISNUMBER(Data!S892),Data!S892/100,"n/a")</f>
        <v>n/a</v>
      </c>
      <c r="H891" s="28" t="str">
        <f>IF(ISNUMBER(Data!T892),Data!T892/100,"n/a")</f>
        <v>n/a</v>
      </c>
      <c r="I891" s="28" t="str">
        <f>IF(ISNUMBER(Data!U892),Data!U892/100,"n/a")</f>
        <v>n/a</v>
      </c>
      <c r="J891" s="28" t="str">
        <f>IF(ISNUMBER(Data!V892),Data!V892/100,"n/a")</f>
        <v>n/a</v>
      </c>
      <c r="K891" s="9" t="str">
        <f>IF(ISNUMBER(Data!Z892),Data!Z892/100,"n/a")</f>
        <v>n/a</v>
      </c>
      <c r="L891" s="10">
        <f>Data!AA892</f>
        <v>0</v>
      </c>
      <c r="M891" s="10">
        <f>Data!AF892</f>
        <v>0</v>
      </c>
      <c r="N891" s="28" t="str">
        <f>IF(ISNUMBER(Data!AG892),Data!AG892/100,"n/a")</f>
        <v>n/a</v>
      </c>
      <c r="O891" s="28" t="str">
        <f>IF(ISNUMBER(Data!AJ892),Data!AJ892/100,"n/a")</f>
        <v>n/a</v>
      </c>
      <c r="P891" s="9" t="str">
        <f>IF(ISNUMBER(Data!AK892),Data!AK892/100,"n/a")</f>
        <v>n/a</v>
      </c>
      <c r="Q891" s="8">
        <f>Data!AN892</f>
        <v>0</v>
      </c>
      <c r="R891" s="8">
        <f>Data!AP892</f>
        <v>0</v>
      </c>
      <c r="S891" s="8"/>
      <c r="T891" s="8"/>
      <c r="U891" s="8"/>
      <c r="V891" s="1">
        <f t="shared" si="28"/>
        <v>2</v>
      </c>
      <c r="W891" s="1">
        <f t="shared" si="29"/>
        <v>0</v>
      </c>
    </row>
    <row r="892" spans="1:23" hidden="1" x14ac:dyDescent="0.2">
      <c r="A892" s="7">
        <f>Data!A893</f>
        <v>0</v>
      </c>
      <c r="B892" s="7">
        <f>Data!B893</f>
        <v>0</v>
      </c>
      <c r="C892" s="7">
        <f>Data!C893</f>
        <v>0</v>
      </c>
      <c r="D892" s="8" t="str">
        <f>IF(ISNUMBER(Data!AL893),Data!AL893/1000,"n/a")</f>
        <v>n/a</v>
      </c>
      <c r="E892" s="1">
        <f>Data!E893</f>
        <v>0</v>
      </c>
      <c r="F892" s="28">
        <f>Data!J893/100</f>
        <v>0</v>
      </c>
      <c r="G892" s="28" t="str">
        <f>IF(ISNUMBER(Data!S893),Data!S893/100,"n/a")</f>
        <v>n/a</v>
      </c>
      <c r="H892" s="28" t="str">
        <f>IF(ISNUMBER(Data!T893),Data!T893/100,"n/a")</f>
        <v>n/a</v>
      </c>
      <c r="I892" s="28" t="str">
        <f>IF(ISNUMBER(Data!U893),Data!U893/100,"n/a")</f>
        <v>n/a</v>
      </c>
      <c r="J892" s="28" t="str">
        <f>IF(ISNUMBER(Data!V893),Data!V893/100,"n/a")</f>
        <v>n/a</v>
      </c>
      <c r="K892" s="9" t="str">
        <f>IF(ISNUMBER(Data!Z893),Data!Z893/100,"n/a")</f>
        <v>n/a</v>
      </c>
      <c r="L892" s="10">
        <f>Data!AA893</f>
        <v>0</v>
      </c>
      <c r="M892" s="10">
        <f>Data!AF893</f>
        <v>0</v>
      </c>
      <c r="N892" s="28" t="str">
        <f>IF(ISNUMBER(Data!AG893),Data!AG893/100,"n/a")</f>
        <v>n/a</v>
      </c>
      <c r="O892" s="28" t="str">
        <f>IF(ISNUMBER(Data!AJ893),Data!AJ893/100,"n/a")</f>
        <v>n/a</v>
      </c>
      <c r="P892" s="9" t="str">
        <f>IF(ISNUMBER(Data!AK893),Data!AK893/100,"n/a")</f>
        <v>n/a</v>
      </c>
      <c r="Q892" s="8">
        <f>Data!AN893</f>
        <v>0</v>
      </c>
      <c r="R892" s="8">
        <f>Data!AP893</f>
        <v>0</v>
      </c>
      <c r="S892" s="8"/>
      <c r="T892" s="8"/>
      <c r="U892" s="8"/>
      <c r="V892" s="1">
        <f t="shared" si="28"/>
        <v>2</v>
      </c>
      <c r="W892" s="1">
        <f t="shared" si="29"/>
        <v>0</v>
      </c>
    </row>
    <row r="893" spans="1:23" hidden="1" x14ac:dyDescent="0.2">
      <c r="A893" s="7">
        <f>Data!A894</f>
        <v>0</v>
      </c>
      <c r="B893" s="7">
        <f>Data!B894</f>
        <v>0</v>
      </c>
      <c r="C893" s="7">
        <f>Data!C894</f>
        <v>0</v>
      </c>
      <c r="D893" s="8" t="str">
        <f>IF(ISNUMBER(Data!AL894),Data!AL894/1000,"n/a")</f>
        <v>n/a</v>
      </c>
      <c r="E893" s="1">
        <f>Data!E894</f>
        <v>0</v>
      </c>
      <c r="F893" s="28">
        <f>Data!J894/100</f>
        <v>0</v>
      </c>
      <c r="G893" s="28" t="str">
        <f>IF(ISNUMBER(Data!S894),Data!S894/100,"n/a")</f>
        <v>n/a</v>
      </c>
      <c r="H893" s="28" t="str">
        <f>IF(ISNUMBER(Data!T894),Data!T894/100,"n/a")</f>
        <v>n/a</v>
      </c>
      <c r="I893" s="28" t="str">
        <f>IF(ISNUMBER(Data!U894),Data!U894/100,"n/a")</f>
        <v>n/a</v>
      </c>
      <c r="J893" s="28" t="str">
        <f>IF(ISNUMBER(Data!V894),Data!V894/100,"n/a")</f>
        <v>n/a</v>
      </c>
      <c r="K893" s="9" t="str">
        <f>IF(ISNUMBER(Data!Z894),Data!Z894/100,"n/a")</f>
        <v>n/a</v>
      </c>
      <c r="L893" s="10">
        <f>Data!AA894</f>
        <v>0</v>
      </c>
      <c r="M893" s="10">
        <f>Data!AF894</f>
        <v>0</v>
      </c>
      <c r="N893" s="28" t="str">
        <f>IF(ISNUMBER(Data!AG894),Data!AG894/100,"n/a")</f>
        <v>n/a</v>
      </c>
      <c r="O893" s="28" t="str">
        <f>IF(ISNUMBER(Data!AJ894),Data!AJ894/100,"n/a")</f>
        <v>n/a</v>
      </c>
      <c r="P893" s="9" t="str">
        <f>IF(ISNUMBER(Data!AK894),Data!AK894/100,"n/a")</f>
        <v>n/a</v>
      </c>
      <c r="Q893" s="8">
        <f>Data!AN894</f>
        <v>0</v>
      </c>
      <c r="R893" s="8">
        <f>Data!AP894</f>
        <v>0</v>
      </c>
      <c r="S893" s="8"/>
      <c r="T893" s="8"/>
      <c r="U893" s="8"/>
      <c r="V893" s="1">
        <f t="shared" si="28"/>
        <v>2</v>
      </c>
      <c r="W893" s="1">
        <f t="shared" si="29"/>
        <v>0</v>
      </c>
    </row>
    <row r="894" spans="1:23" hidden="1" x14ac:dyDescent="0.2">
      <c r="A894" s="7">
        <f>Data!A895</f>
        <v>0</v>
      </c>
      <c r="B894" s="7">
        <f>Data!B895</f>
        <v>0</v>
      </c>
      <c r="C894" s="7">
        <f>Data!C895</f>
        <v>0</v>
      </c>
      <c r="D894" s="8" t="str">
        <f>IF(ISNUMBER(Data!AL895),Data!AL895/1000,"n/a")</f>
        <v>n/a</v>
      </c>
      <c r="E894" s="1">
        <f>Data!E895</f>
        <v>0</v>
      </c>
      <c r="F894" s="28">
        <f>Data!J895/100</f>
        <v>0</v>
      </c>
      <c r="G894" s="28" t="str">
        <f>IF(ISNUMBER(Data!S895),Data!S895/100,"n/a")</f>
        <v>n/a</v>
      </c>
      <c r="H894" s="28" t="str">
        <f>IF(ISNUMBER(Data!T895),Data!T895/100,"n/a")</f>
        <v>n/a</v>
      </c>
      <c r="I894" s="28" t="str">
        <f>IF(ISNUMBER(Data!U895),Data!U895/100,"n/a")</f>
        <v>n/a</v>
      </c>
      <c r="J894" s="28" t="str">
        <f>IF(ISNUMBER(Data!V895),Data!V895/100,"n/a")</f>
        <v>n/a</v>
      </c>
      <c r="K894" s="9" t="str">
        <f>IF(ISNUMBER(Data!Z895),Data!Z895/100,"n/a")</f>
        <v>n/a</v>
      </c>
      <c r="L894" s="10">
        <f>Data!AA895</f>
        <v>0</v>
      </c>
      <c r="M894" s="10">
        <f>Data!AF895</f>
        <v>0</v>
      </c>
      <c r="N894" s="28" t="str">
        <f>IF(ISNUMBER(Data!AG895),Data!AG895/100,"n/a")</f>
        <v>n/a</v>
      </c>
      <c r="O894" s="28" t="str">
        <f>IF(ISNUMBER(Data!AJ895),Data!AJ895/100,"n/a")</f>
        <v>n/a</v>
      </c>
      <c r="P894" s="9" t="str">
        <f>IF(ISNUMBER(Data!AK895),Data!AK895/100,"n/a")</f>
        <v>n/a</v>
      </c>
      <c r="Q894" s="8">
        <f>Data!AN895</f>
        <v>0</v>
      </c>
      <c r="R894" s="8">
        <f>Data!AP895</f>
        <v>0</v>
      </c>
      <c r="S894" s="8"/>
      <c r="T894" s="8"/>
      <c r="U894" s="8"/>
      <c r="V894" s="1">
        <f t="shared" si="28"/>
        <v>2</v>
      </c>
      <c r="W894" s="1">
        <f t="shared" si="29"/>
        <v>0</v>
      </c>
    </row>
    <row r="895" spans="1:23" hidden="1" x14ac:dyDescent="0.2">
      <c r="A895" s="7">
        <f>Data!A896</f>
        <v>0</v>
      </c>
      <c r="B895" s="7">
        <f>Data!B896</f>
        <v>0</v>
      </c>
      <c r="C895" s="7">
        <f>Data!C896</f>
        <v>0</v>
      </c>
      <c r="D895" s="8" t="str">
        <f>IF(ISNUMBER(Data!AL896),Data!AL896/1000,"n/a")</f>
        <v>n/a</v>
      </c>
      <c r="E895" s="1">
        <f>Data!E896</f>
        <v>0</v>
      </c>
      <c r="F895" s="28">
        <f>Data!J896/100</f>
        <v>0</v>
      </c>
      <c r="G895" s="28" t="str">
        <f>IF(ISNUMBER(Data!S896),Data!S896/100,"n/a")</f>
        <v>n/a</v>
      </c>
      <c r="H895" s="28" t="str">
        <f>IF(ISNUMBER(Data!T896),Data!T896/100,"n/a")</f>
        <v>n/a</v>
      </c>
      <c r="I895" s="28" t="str">
        <f>IF(ISNUMBER(Data!U896),Data!U896/100,"n/a")</f>
        <v>n/a</v>
      </c>
      <c r="J895" s="28" t="str">
        <f>IF(ISNUMBER(Data!V896),Data!V896/100,"n/a")</f>
        <v>n/a</v>
      </c>
      <c r="K895" s="9" t="str">
        <f>IF(ISNUMBER(Data!Z896),Data!Z896/100,"n/a")</f>
        <v>n/a</v>
      </c>
      <c r="L895" s="10">
        <f>Data!AA896</f>
        <v>0</v>
      </c>
      <c r="M895" s="10">
        <f>Data!AF896</f>
        <v>0</v>
      </c>
      <c r="N895" s="28" t="str">
        <f>IF(ISNUMBER(Data!AG896),Data!AG896/100,"n/a")</f>
        <v>n/a</v>
      </c>
      <c r="O895" s="28" t="str">
        <f>IF(ISNUMBER(Data!AJ896),Data!AJ896/100,"n/a")</f>
        <v>n/a</v>
      </c>
      <c r="P895" s="9" t="str">
        <f>IF(ISNUMBER(Data!AK896),Data!AK896/100,"n/a")</f>
        <v>n/a</v>
      </c>
      <c r="Q895" s="8">
        <f>Data!AN896</f>
        <v>0</v>
      </c>
      <c r="R895" s="8">
        <f>Data!AP896</f>
        <v>0</v>
      </c>
      <c r="S895" s="8"/>
      <c r="T895" s="8"/>
      <c r="U895" s="8"/>
      <c r="V895" s="1">
        <f t="shared" si="28"/>
        <v>2</v>
      </c>
      <c r="W895" s="1">
        <f t="shared" si="29"/>
        <v>0</v>
      </c>
    </row>
    <row r="896" spans="1:23" hidden="1" x14ac:dyDescent="0.2">
      <c r="A896" s="7">
        <f>Data!A897</f>
        <v>0</v>
      </c>
      <c r="B896" s="7">
        <f>Data!B897</f>
        <v>0</v>
      </c>
      <c r="C896" s="7">
        <f>Data!C897</f>
        <v>0</v>
      </c>
      <c r="D896" s="8" t="str">
        <f>IF(ISNUMBER(Data!AL897),Data!AL897/1000,"n/a")</f>
        <v>n/a</v>
      </c>
      <c r="E896" s="1">
        <f>Data!E897</f>
        <v>0</v>
      </c>
      <c r="F896" s="28">
        <f>Data!J897/100</f>
        <v>0</v>
      </c>
      <c r="G896" s="28" t="str">
        <f>IF(ISNUMBER(Data!S897),Data!S897/100,"n/a")</f>
        <v>n/a</v>
      </c>
      <c r="H896" s="28" t="str">
        <f>IF(ISNUMBER(Data!T897),Data!T897/100,"n/a")</f>
        <v>n/a</v>
      </c>
      <c r="I896" s="28" t="str">
        <f>IF(ISNUMBER(Data!U897),Data!U897/100,"n/a")</f>
        <v>n/a</v>
      </c>
      <c r="J896" s="28" t="str">
        <f>IF(ISNUMBER(Data!V897),Data!V897/100,"n/a")</f>
        <v>n/a</v>
      </c>
      <c r="K896" s="9" t="str">
        <f>IF(ISNUMBER(Data!Z897),Data!Z897/100,"n/a")</f>
        <v>n/a</v>
      </c>
      <c r="L896" s="10">
        <f>Data!AA897</f>
        <v>0</v>
      </c>
      <c r="M896" s="10">
        <f>Data!AF897</f>
        <v>0</v>
      </c>
      <c r="N896" s="28" t="str">
        <f>IF(ISNUMBER(Data!AG897),Data!AG897/100,"n/a")</f>
        <v>n/a</v>
      </c>
      <c r="O896" s="28" t="str">
        <f>IF(ISNUMBER(Data!AJ897),Data!AJ897/100,"n/a")</f>
        <v>n/a</v>
      </c>
      <c r="P896" s="9" t="str">
        <f>IF(ISNUMBER(Data!AK897),Data!AK897/100,"n/a")</f>
        <v>n/a</v>
      </c>
      <c r="Q896" s="8">
        <f>Data!AN897</f>
        <v>0</v>
      </c>
      <c r="R896" s="8">
        <f>Data!AP897</f>
        <v>0</v>
      </c>
      <c r="S896" s="8"/>
      <c r="T896" s="8"/>
      <c r="U896" s="8"/>
      <c r="V896" s="1">
        <f t="shared" si="28"/>
        <v>2</v>
      </c>
      <c r="W896" s="1">
        <f t="shared" si="29"/>
        <v>0</v>
      </c>
    </row>
    <row r="897" spans="1:23" hidden="1" x14ac:dyDescent="0.2">
      <c r="A897" s="7">
        <f>Data!A898</f>
        <v>0</v>
      </c>
      <c r="B897" s="7">
        <f>Data!B898</f>
        <v>0</v>
      </c>
      <c r="C897" s="7">
        <f>Data!C898</f>
        <v>0</v>
      </c>
      <c r="D897" s="8" t="str">
        <f>IF(ISNUMBER(Data!AL898),Data!AL898/1000,"n/a")</f>
        <v>n/a</v>
      </c>
      <c r="E897" s="1">
        <f>Data!E898</f>
        <v>0</v>
      </c>
      <c r="F897" s="28">
        <f>Data!J898/100</f>
        <v>0</v>
      </c>
      <c r="G897" s="28" t="str">
        <f>IF(ISNUMBER(Data!S898),Data!S898/100,"n/a")</f>
        <v>n/a</v>
      </c>
      <c r="H897" s="28" t="str">
        <f>IF(ISNUMBER(Data!T898),Data!T898/100,"n/a")</f>
        <v>n/a</v>
      </c>
      <c r="I897" s="28" t="str">
        <f>IF(ISNUMBER(Data!U898),Data!U898/100,"n/a")</f>
        <v>n/a</v>
      </c>
      <c r="J897" s="28" t="str">
        <f>IF(ISNUMBER(Data!V898),Data!V898/100,"n/a")</f>
        <v>n/a</v>
      </c>
      <c r="K897" s="9" t="str">
        <f>IF(ISNUMBER(Data!Z898),Data!Z898/100,"n/a")</f>
        <v>n/a</v>
      </c>
      <c r="L897" s="10">
        <f>Data!AA898</f>
        <v>0</v>
      </c>
      <c r="M897" s="10">
        <f>Data!AF898</f>
        <v>0</v>
      </c>
      <c r="N897" s="28" t="str">
        <f>IF(ISNUMBER(Data!AG898),Data!AG898/100,"n/a")</f>
        <v>n/a</v>
      </c>
      <c r="O897" s="28" t="str">
        <f>IF(ISNUMBER(Data!AJ898),Data!AJ898/100,"n/a")</f>
        <v>n/a</v>
      </c>
      <c r="P897" s="9" t="str">
        <f>IF(ISNUMBER(Data!AK898),Data!AK898/100,"n/a")</f>
        <v>n/a</v>
      </c>
      <c r="Q897" s="8">
        <f>Data!AN898</f>
        <v>0</v>
      </c>
      <c r="R897" s="8">
        <f>Data!AP898</f>
        <v>0</v>
      </c>
      <c r="S897" s="8"/>
      <c r="T897" s="8"/>
      <c r="U897" s="8"/>
      <c r="V897" s="1">
        <f t="shared" si="28"/>
        <v>2</v>
      </c>
      <c r="W897" s="1">
        <f t="shared" si="29"/>
        <v>0</v>
      </c>
    </row>
    <row r="898" spans="1:23" hidden="1" x14ac:dyDescent="0.2">
      <c r="A898" s="7">
        <f>Data!A899</f>
        <v>0</v>
      </c>
      <c r="B898" s="7">
        <f>Data!B899</f>
        <v>0</v>
      </c>
      <c r="C898" s="7">
        <f>Data!C899</f>
        <v>0</v>
      </c>
      <c r="D898" s="8" t="str">
        <f>IF(ISNUMBER(Data!AL899),Data!AL899/1000,"n/a")</f>
        <v>n/a</v>
      </c>
      <c r="E898" s="1">
        <f>Data!E899</f>
        <v>0</v>
      </c>
      <c r="F898" s="28">
        <f>Data!J899/100</f>
        <v>0</v>
      </c>
      <c r="G898" s="28" t="str">
        <f>IF(ISNUMBER(Data!S899),Data!S899/100,"n/a")</f>
        <v>n/a</v>
      </c>
      <c r="H898" s="28" t="str">
        <f>IF(ISNUMBER(Data!T899),Data!T899/100,"n/a")</f>
        <v>n/a</v>
      </c>
      <c r="I898" s="28" t="str">
        <f>IF(ISNUMBER(Data!U899),Data!U899/100,"n/a")</f>
        <v>n/a</v>
      </c>
      <c r="J898" s="28" t="str">
        <f>IF(ISNUMBER(Data!V899),Data!V899/100,"n/a")</f>
        <v>n/a</v>
      </c>
      <c r="K898" s="9" t="str">
        <f>IF(ISNUMBER(Data!Z899),Data!Z899/100,"n/a")</f>
        <v>n/a</v>
      </c>
      <c r="L898" s="10">
        <f>Data!AA899</f>
        <v>0</v>
      </c>
      <c r="M898" s="10">
        <f>Data!AF899</f>
        <v>0</v>
      </c>
      <c r="N898" s="28" t="str">
        <f>IF(ISNUMBER(Data!AG899),Data!AG899/100,"n/a")</f>
        <v>n/a</v>
      </c>
      <c r="O898" s="28" t="str">
        <f>IF(ISNUMBER(Data!AJ899),Data!AJ899/100,"n/a")</f>
        <v>n/a</v>
      </c>
      <c r="P898" s="9" t="str">
        <f>IF(ISNUMBER(Data!AK899),Data!AK899/100,"n/a")</f>
        <v>n/a</v>
      </c>
      <c r="Q898" s="8">
        <f>Data!AN899</f>
        <v>0</v>
      </c>
      <c r="R898" s="8">
        <f>Data!AP899</f>
        <v>0</v>
      </c>
      <c r="S898" s="8"/>
      <c r="T898" s="8"/>
      <c r="U898" s="8"/>
      <c r="V898" s="1">
        <f t="shared" si="28"/>
        <v>2</v>
      </c>
      <c r="W898" s="1">
        <f t="shared" si="29"/>
        <v>0</v>
      </c>
    </row>
    <row r="899" spans="1:23" hidden="1" x14ac:dyDescent="0.2">
      <c r="A899" s="7">
        <f>Data!A900</f>
        <v>0</v>
      </c>
      <c r="B899" s="7">
        <f>Data!B900</f>
        <v>0</v>
      </c>
      <c r="C899" s="7">
        <f>Data!C900</f>
        <v>0</v>
      </c>
      <c r="D899" s="8" t="str">
        <f>IF(ISNUMBER(Data!AL900),Data!AL900/1000,"n/a")</f>
        <v>n/a</v>
      </c>
      <c r="E899" s="1">
        <f>Data!E900</f>
        <v>0</v>
      </c>
      <c r="F899" s="28">
        <f>Data!J900/100</f>
        <v>0</v>
      </c>
      <c r="G899" s="28" t="str">
        <f>IF(ISNUMBER(Data!S900),Data!S900/100,"n/a")</f>
        <v>n/a</v>
      </c>
      <c r="H899" s="28" t="str">
        <f>IF(ISNUMBER(Data!T900),Data!T900/100,"n/a")</f>
        <v>n/a</v>
      </c>
      <c r="I899" s="28" t="str">
        <f>IF(ISNUMBER(Data!U900),Data!U900/100,"n/a")</f>
        <v>n/a</v>
      </c>
      <c r="J899" s="28" t="str">
        <f>IF(ISNUMBER(Data!V900),Data!V900/100,"n/a")</f>
        <v>n/a</v>
      </c>
      <c r="K899" s="9" t="str">
        <f>IF(ISNUMBER(Data!Z900),Data!Z900/100,"n/a")</f>
        <v>n/a</v>
      </c>
      <c r="L899" s="10">
        <f>Data!AA900</f>
        <v>0</v>
      </c>
      <c r="M899" s="10">
        <f>Data!AF900</f>
        <v>0</v>
      </c>
      <c r="N899" s="28" t="str">
        <f>IF(ISNUMBER(Data!AG900),Data!AG900/100,"n/a")</f>
        <v>n/a</v>
      </c>
      <c r="O899" s="28" t="str">
        <f>IF(ISNUMBER(Data!AJ900),Data!AJ900/100,"n/a")</f>
        <v>n/a</v>
      </c>
      <c r="P899" s="9" t="str">
        <f>IF(ISNUMBER(Data!AK900),Data!AK900/100,"n/a")</f>
        <v>n/a</v>
      </c>
      <c r="Q899" s="8">
        <f>Data!AN900</f>
        <v>0</v>
      </c>
      <c r="R899" s="8">
        <f>Data!AP900</f>
        <v>0</v>
      </c>
      <c r="S899" s="8"/>
      <c r="T899" s="8"/>
      <c r="U899" s="8"/>
      <c r="V899" s="1">
        <f t="shared" si="28"/>
        <v>2</v>
      </c>
      <c r="W899" s="1">
        <f t="shared" si="29"/>
        <v>0</v>
      </c>
    </row>
    <row r="900" spans="1:23" x14ac:dyDescent="0.2">
      <c r="F900"/>
      <c r="G900"/>
      <c r="H900"/>
      <c r="I900"/>
      <c r="J900"/>
      <c r="N900"/>
      <c r="O900"/>
      <c r="P900"/>
      <c r="Q900"/>
      <c r="R900"/>
      <c r="S900"/>
      <c r="T900"/>
      <c r="U900"/>
    </row>
    <row r="901" spans="1:23" x14ac:dyDescent="0.2">
      <c r="F901"/>
      <c r="G901"/>
      <c r="H901"/>
      <c r="I901"/>
      <c r="J901"/>
      <c r="N901"/>
      <c r="O901"/>
      <c r="P901"/>
      <c r="Q901"/>
      <c r="R901"/>
      <c r="S901"/>
      <c r="T901"/>
      <c r="U901"/>
    </row>
    <row r="902" spans="1:23" x14ac:dyDescent="0.2">
      <c r="F902"/>
      <c r="G902"/>
      <c r="H902"/>
      <c r="I902"/>
      <c r="J902"/>
      <c r="N902"/>
      <c r="O902"/>
      <c r="P902"/>
      <c r="Q902"/>
      <c r="R902"/>
      <c r="S902"/>
      <c r="T902"/>
      <c r="U902"/>
    </row>
    <row r="903" spans="1:23" x14ac:dyDescent="0.2">
      <c r="F903"/>
      <c r="G903"/>
      <c r="H903"/>
      <c r="I903"/>
      <c r="J903"/>
      <c r="N903"/>
      <c r="O903"/>
      <c r="P903"/>
      <c r="Q903"/>
      <c r="R903"/>
      <c r="S903"/>
      <c r="T903"/>
      <c r="U903"/>
    </row>
    <row r="904" spans="1:23" x14ac:dyDescent="0.2">
      <c r="F904"/>
      <c r="G904"/>
      <c r="H904"/>
      <c r="I904"/>
      <c r="J904"/>
      <c r="N904"/>
      <c r="O904"/>
      <c r="P904"/>
      <c r="Q904"/>
      <c r="R904"/>
      <c r="S904"/>
      <c r="T904"/>
      <c r="U904"/>
    </row>
    <row r="905" spans="1:23" x14ac:dyDescent="0.2">
      <c r="F905"/>
      <c r="G905"/>
      <c r="H905"/>
      <c r="I905"/>
      <c r="J905"/>
      <c r="N905"/>
      <c r="O905"/>
      <c r="P905"/>
      <c r="Q905"/>
      <c r="R905"/>
      <c r="S905"/>
      <c r="T905"/>
      <c r="U905"/>
    </row>
    <row r="906" spans="1:23" x14ac:dyDescent="0.2">
      <c r="F906"/>
      <c r="G906"/>
      <c r="H906"/>
      <c r="I906"/>
      <c r="J906"/>
      <c r="N906"/>
      <c r="O906"/>
      <c r="P906"/>
      <c r="Q906"/>
      <c r="R906"/>
      <c r="S906"/>
      <c r="T906"/>
      <c r="U906"/>
    </row>
    <row r="907" spans="1:23" x14ac:dyDescent="0.2">
      <c r="F907"/>
      <c r="G907"/>
      <c r="H907"/>
      <c r="I907"/>
      <c r="J907"/>
      <c r="N907"/>
      <c r="O907"/>
      <c r="P907"/>
      <c r="Q907"/>
      <c r="R907"/>
      <c r="S907"/>
      <c r="T907"/>
      <c r="U907"/>
    </row>
    <row r="908" spans="1:23" x14ac:dyDescent="0.2">
      <c r="F908"/>
      <c r="G908"/>
      <c r="H908"/>
      <c r="I908"/>
      <c r="J908"/>
      <c r="N908"/>
      <c r="O908"/>
      <c r="P908"/>
      <c r="Q908"/>
      <c r="R908"/>
      <c r="S908"/>
      <c r="T908"/>
      <c r="U908"/>
    </row>
    <row r="909" spans="1:23" x14ac:dyDescent="0.2">
      <c r="F909"/>
      <c r="G909"/>
      <c r="H909"/>
      <c r="I909"/>
      <c r="J909"/>
      <c r="N909"/>
      <c r="O909"/>
      <c r="P909"/>
      <c r="Q909"/>
      <c r="R909"/>
      <c r="S909"/>
      <c r="T909"/>
      <c r="U909"/>
    </row>
    <row r="910" spans="1:23" x14ac:dyDescent="0.2">
      <c r="F910"/>
      <c r="G910"/>
      <c r="H910"/>
      <c r="I910"/>
      <c r="J910"/>
      <c r="N910"/>
      <c r="O910"/>
      <c r="P910"/>
      <c r="Q910"/>
      <c r="R910"/>
      <c r="S910"/>
      <c r="T910"/>
      <c r="U910"/>
    </row>
    <row r="911" spans="1:23" x14ac:dyDescent="0.2">
      <c r="F911"/>
      <c r="G911"/>
      <c r="H911"/>
      <c r="I911"/>
      <c r="J911"/>
      <c r="N911"/>
      <c r="O911"/>
      <c r="P911"/>
      <c r="Q911"/>
      <c r="R911"/>
      <c r="S911"/>
      <c r="T911"/>
      <c r="U911"/>
    </row>
    <row r="912" spans="1:23" x14ac:dyDescent="0.2">
      <c r="F912"/>
      <c r="G912"/>
      <c r="H912"/>
      <c r="I912"/>
      <c r="J912"/>
      <c r="N912"/>
      <c r="O912"/>
      <c r="P912"/>
      <c r="Q912"/>
      <c r="R912"/>
      <c r="S912"/>
      <c r="T912"/>
      <c r="U912"/>
    </row>
    <row r="913" customFormat="1" x14ac:dyDescent="0.2"/>
    <row r="914" customFormat="1" x14ac:dyDescent="0.2"/>
    <row r="915" customFormat="1" x14ac:dyDescent="0.2"/>
    <row r="916" customFormat="1" x14ac:dyDescent="0.2"/>
    <row r="917" customFormat="1" x14ac:dyDescent="0.2"/>
    <row r="918" customFormat="1" x14ac:dyDescent="0.2"/>
    <row r="919" customFormat="1" x14ac:dyDescent="0.2"/>
    <row r="920" customFormat="1" x14ac:dyDescent="0.2"/>
    <row r="921" customFormat="1" x14ac:dyDescent="0.2"/>
    <row r="922" customFormat="1" x14ac:dyDescent="0.2"/>
    <row r="923" customFormat="1" x14ac:dyDescent="0.2"/>
    <row r="924" customFormat="1" x14ac:dyDescent="0.2"/>
    <row r="925" customFormat="1" x14ac:dyDescent="0.2"/>
  </sheetData>
  <autoFilter ref="A5:AA899" xr:uid="{3883F064-4446-7949-85F9-73AACE03251B}">
    <sortState xmlns:xlrd2="http://schemas.microsoft.com/office/spreadsheetml/2017/richdata2" ref="A198:AA504">
      <sortCondition descending="1" ref="F5:F899"/>
    </sortState>
  </autoFilter>
  <mergeCells count="6">
    <mergeCell ref="AA3:AA4"/>
    <mergeCell ref="Z3:Z4"/>
    <mergeCell ref="A1:B2"/>
    <mergeCell ref="A3:B4"/>
    <mergeCell ref="G2:J2"/>
    <mergeCell ref="C1:C2"/>
  </mergeCells>
  <conditionalFormatting sqref="D6:V899">
    <cfRule type="cellIs" dxfId="84" priority="5" operator="equal">
      <formula>"n/a"</formula>
    </cfRule>
  </conditionalFormatting>
  <conditionalFormatting sqref="D4:U4">
    <cfRule type="cellIs" dxfId="83" priority="21" operator="equal">
      <formula>"+"</formula>
    </cfRule>
  </conditionalFormatting>
  <conditionalFormatting sqref="V6:W899">
    <cfRule type="cellIs" dxfId="82" priority="173" operator="lessThan">
      <formula>$V$2</formula>
    </cfRule>
    <cfRule type="cellIs" dxfId="81" priority="174" operator="greaterThanOrEqual">
      <formula>$V$2</formula>
    </cfRule>
  </conditionalFormatting>
  <conditionalFormatting sqref="A6:A899">
    <cfRule type="expression" dxfId="80" priority="175">
      <formula>V6&lt;$V$2</formula>
    </cfRule>
    <cfRule type="expression" dxfId="79" priority="176">
      <formula>V6&gt;=$V$2</formula>
    </cfRule>
  </conditionalFormatting>
  <conditionalFormatting sqref="B6:B899">
    <cfRule type="expression" dxfId="78" priority="177">
      <formula>V6&lt;$V$2</formula>
    </cfRule>
    <cfRule type="expression" dxfId="77" priority="178">
      <formula>V6&gt;=$V$2</formula>
    </cfRule>
  </conditionalFormatting>
  <conditionalFormatting sqref="C6:C899">
    <cfRule type="expression" dxfId="76" priority="179">
      <formula>V6&gt;=$V$2</formula>
    </cfRule>
  </conditionalFormatting>
  <conditionalFormatting sqref="C6:C899">
    <cfRule type="expression" dxfId="75" priority="180">
      <formula>V6&lt;$V$2</formula>
    </cfRule>
  </conditionalFormatting>
  <conditionalFormatting sqref="N6:N899">
    <cfRule type="cellIs" dxfId="74" priority="201" operator="lessThan">
      <formula>$N$5</formula>
    </cfRule>
    <cfRule type="cellIs" dxfId="73" priority="202" operator="greaterThanOrEqual">
      <formula>$N$5</formula>
    </cfRule>
  </conditionalFormatting>
  <conditionalFormatting sqref="E6:E899">
    <cfRule type="cellIs" dxfId="72" priority="203" operator="lessThan">
      <formula>$E$5</formula>
    </cfRule>
    <cfRule type="cellIs" dxfId="71" priority="204" operator="greaterThanOrEqual">
      <formula>$E$5</formula>
    </cfRule>
  </conditionalFormatting>
  <conditionalFormatting sqref="L6:L899">
    <cfRule type="cellIs" dxfId="70" priority="207" operator="greaterThan">
      <formula>$L$5</formula>
    </cfRule>
    <cfRule type="cellIs" dxfId="69" priority="208" operator="lessThanOrEqual">
      <formula>$L$5</formula>
    </cfRule>
  </conditionalFormatting>
  <conditionalFormatting sqref="M6:M899">
    <cfRule type="cellIs" dxfId="68" priority="209" operator="greaterThan">
      <formula>$M$5</formula>
    </cfRule>
    <cfRule type="cellIs" dxfId="67" priority="210" operator="lessThanOrEqual">
      <formula>$M$5</formula>
    </cfRule>
  </conditionalFormatting>
  <conditionalFormatting sqref="K6:K899">
    <cfRule type="cellIs" dxfId="66" priority="215" operator="greaterThan">
      <formula>$K$5</formula>
    </cfRule>
    <cfRule type="cellIs" dxfId="65" priority="216" operator="lessThanOrEqual">
      <formula>$K$5</formula>
    </cfRule>
  </conditionalFormatting>
  <conditionalFormatting sqref="D6:D899">
    <cfRule type="cellIs" dxfId="64" priority="217" operator="lessThan">
      <formula>$D$5</formula>
    </cfRule>
    <cfRule type="cellIs" dxfId="63" priority="218" operator="greaterThanOrEqual">
      <formula>$D$5</formula>
    </cfRule>
  </conditionalFormatting>
  <conditionalFormatting sqref="D4:U4">
    <cfRule type="cellIs" dxfId="62" priority="20" operator="notEqual">
      <formula>"+"</formula>
    </cfRule>
  </conditionalFormatting>
  <conditionalFormatting sqref="G6:G899">
    <cfRule type="cellIs" dxfId="61" priority="15" operator="lessThan">
      <formula>$G$5</formula>
    </cfRule>
    <cfRule type="cellIs" dxfId="60" priority="16" operator="greaterThanOrEqual">
      <formula>$G$5</formula>
    </cfRule>
  </conditionalFormatting>
  <conditionalFormatting sqref="F6:F899">
    <cfRule type="cellIs" dxfId="59" priority="205" operator="lessThan">
      <formula>$F$5</formula>
    </cfRule>
    <cfRule type="cellIs" dxfId="58" priority="206" operator="greaterThanOrEqual">
      <formula>$F$5</formula>
    </cfRule>
  </conditionalFormatting>
  <conditionalFormatting sqref="H6:H899">
    <cfRule type="cellIs" dxfId="57" priority="13" operator="lessThan">
      <formula>$H$5</formula>
    </cfRule>
    <cfRule type="cellIs" dxfId="56" priority="14" operator="greaterThanOrEqual">
      <formula>$H$5</formula>
    </cfRule>
  </conditionalFormatting>
  <conditionalFormatting sqref="I6:I899">
    <cfRule type="cellIs" dxfId="55" priority="11" operator="lessThan">
      <formula>$I$5</formula>
    </cfRule>
    <cfRule type="cellIs" dxfId="54" priority="12" operator="greaterThanOrEqual">
      <formula>$I$5</formula>
    </cfRule>
  </conditionalFormatting>
  <conditionalFormatting sqref="J6:J899">
    <cfRule type="cellIs" dxfId="53" priority="9" operator="lessThan">
      <formula>$J$5</formula>
    </cfRule>
    <cfRule type="cellIs" dxfId="52" priority="10" operator="greaterThanOrEqual">
      <formula>$J$5</formula>
    </cfRule>
  </conditionalFormatting>
  <conditionalFormatting sqref="O6:O899">
    <cfRule type="cellIs" dxfId="51" priority="211" operator="lessThan">
      <formula>$O$5</formula>
    </cfRule>
    <cfRule type="cellIs" dxfId="50" priority="212" operator="greaterThanOrEqual">
      <formula>$O$5</formula>
    </cfRule>
  </conditionalFormatting>
  <conditionalFormatting sqref="P6:P899">
    <cfRule type="cellIs" dxfId="49" priority="7" operator="lessThan">
      <formula>$P$5</formula>
    </cfRule>
    <cfRule type="cellIs" dxfId="48" priority="8" operator="greaterThanOrEqual">
      <formula>$P$5</formula>
    </cfRule>
  </conditionalFormatting>
  <conditionalFormatting sqref="R6:R899">
    <cfRule type="cellIs" dxfId="47" priority="6" operator="greaterThanOrEqual">
      <formula>$R$5</formula>
    </cfRule>
    <cfRule type="cellIs" dxfId="46" priority="22" operator="lessThan">
      <formula>$R$5</formula>
    </cfRule>
  </conditionalFormatting>
  <conditionalFormatting sqref="Q6:Q899">
    <cfRule type="cellIs" dxfId="45" priority="213" operator="greaterThan">
      <formula>$Q$5</formula>
    </cfRule>
    <cfRule type="cellIs" dxfId="44" priority="214" operator="lessThanOrEqual">
      <formula>$Q$5</formula>
    </cfRule>
  </conditionalFormatting>
  <pageMargins left="0.7" right="0.7" top="0.75" bottom="0.75" header="0.3" footer="0.3"/>
  <pageSetup paperSize="9" scale="4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URows">
                <anchor moveWithCells="1" sizeWithCells="1">
                  <from>
                    <xdr:col>27</xdr:col>
                    <xdr:colOff>63500</xdr:colOff>
                    <xdr:row>0</xdr:row>
                    <xdr:rowOff>76200</xdr:rowOff>
                  </from>
                  <to>
                    <xdr:col>27</xdr:col>
                    <xdr:colOff>1257300</xdr:colOff>
                    <xdr:row>2</xdr:row>
                    <xdr:rowOff>50800</xdr:rowOff>
                  </to>
                </anchor>
              </controlPr>
            </control>
          </mc:Choice>
        </mc:AlternateContent>
        <mc:AlternateContent xmlns:mc="http://schemas.openxmlformats.org/markup-compatibility/2006">
          <mc:Choice Requires="x14">
            <control shapeId="1026" r:id="rId5" name="Button 2">
              <controlPr defaultSize="0" print="0" autoFill="0" autoPict="0" macro="[0]!_xludf.Unhide">
                <anchor moveWithCells="1" sizeWithCells="1">
                  <from>
                    <xdr:col>27</xdr:col>
                    <xdr:colOff>63500</xdr:colOff>
                    <xdr:row>2</xdr:row>
                    <xdr:rowOff>114300</xdr:rowOff>
                  </from>
                  <to>
                    <xdr:col>27</xdr:col>
                    <xdr:colOff>1257300</xdr:colOff>
                    <xdr:row>4</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L751"/>
  <sheetViews>
    <sheetView zoomScale="115" zoomScaleNormal="115" workbookViewId="0">
      <selection activeCell="N4" sqref="N4"/>
    </sheetView>
  </sheetViews>
  <sheetFormatPr baseColWidth="10" defaultColWidth="8.83203125" defaultRowHeight="15" x14ac:dyDescent="0.2"/>
  <cols>
    <col min="1" max="1" width="25.5" customWidth="1"/>
    <col min="2" max="2" width="6" style="74" customWidth="1"/>
    <col min="3" max="3" width="12.33203125" customWidth="1"/>
    <col min="4" max="4" width="13.83203125" customWidth="1"/>
    <col min="5" max="5" width="4.83203125" style="77" customWidth="1"/>
    <col min="6" max="6" width="3.6640625" style="77" customWidth="1"/>
    <col min="7" max="7" width="3.83203125" customWidth="1"/>
    <col min="8" max="8" width="4" customWidth="1"/>
    <col min="9" max="9" width="7.1640625" customWidth="1"/>
    <col min="10" max="10" width="5.5" style="106" customWidth="1"/>
    <col min="11" max="11" width="8.5" customWidth="1"/>
    <col min="12" max="12" width="7.5" style="80" customWidth="1"/>
    <col min="13" max="13" width="8.6640625" style="77" customWidth="1"/>
    <col min="14" max="14" width="4.5" style="77" customWidth="1"/>
    <col min="15" max="15" width="7.5" customWidth="1"/>
    <col min="16" max="17" width="7.6640625" customWidth="1"/>
    <col min="18" max="18" width="6.5" style="77" customWidth="1"/>
    <col min="19" max="22" width="6" style="85" customWidth="1"/>
    <col min="23" max="24" width="7.5" style="85" customWidth="1"/>
    <col min="25" max="25" width="12.5" customWidth="1"/>
    <col min="26" max="26" width="7.83203125" style="106" customWidth="1"/>
    <col min="27" max="27" width="6.1640625" customWidth="1"/>
    <col min="28" max="28" width="4.5" customWidth="1"/>
    <col min="29" max="29" width="5.1640625" style="87" customWidth="1"/>
    <col min="30" max="30" width="6.1640625" style="87" customWidth="1"/>
    <col min="31" max="31" width="7.1640625" style="87" customWidth="1"/>
    <col min="32" max="32" width="7.6640625" style="87" customWidth="1"/>
    <col min="33" max="33" width="8.6640625" style="87" customWidth="1"/>
    <col min="34" max="35" width="8.5" style="87" customWidth="1"/>
    <col min="36" max="37" width="8" style="87" customWidth="1"/>
    <col min="38" max="38" width="9.6640625" style="87" customWidth="1"/>
    <col min="39" max="39" width="6" style="87" customWidth="1"/>
    <col min="40" max="40" width="6.5" style="87" customWidth="1"/>
    <col min="41" max="41" width="6.83203125" style="106" customWidth="1"/>
    <col min="42" max="43" width="7" customWidth="1"/>
    <col min="44" max="44" width="5.33203125" style="280" customWidth="1"/>
    <col min="45" max="48" width="5.33203125" style="281" customWidth="1"/>
    <col min="49" max="49" width="5.5" style="281" customWidth="1"/>
    <col min="50" max="50" width="5.83203125" style="281" customWidth="1"/>
    <col min="51" max="51" width="5.33203125" style="106" customWidth="1"/>
    <col min="52" max="55" width="6.6640625" customWidth="1"/>
    <col min="56" max="56" width="8.83203125" style="100"/>
    <col min="57" max="58" width="8.83203125" style="77"/>
  </cols>
  <sheetData>
    <row r="1" spans="1:61" ht="12.75" customHeight="1" x14ac:dyDescent="0.2">
      <c r="A1" s="73" t="s">
        <v>0</v>
      </c>
      <c r="C1" s="75" t="s">
        <v>928</v>
      </c>
      <c r="E1" s="76"/>
      <c r="G1" s="68"/>
      <c r="H1" s="78"/>
      <c r="I1" s="78"/>
      <c r="J1" s="79" t="s">
        <v>882</v>
      </c>
      <c r="N1" s="81"/>
      <c r="Q1" s="82"/>
      <c r="R1" s="83"/>
      <c r="S1" s="84"/>
      <c r="T1" s="84"/>
      <c r="W1" s="84"/>
      <c r="Z1" s="79" t="s">
        <v>1</v>
      </c>
      <c r="AC1" s="86" t="s">
        <v>883</v>
      </c>
      <c r="AG1" s="69"/>
      <c r="AJ1" s="86"/>
      <c r="AK1" s="86"/>
      <c r="AL1" s="70"/>
      <c r="AO1" s="88" t="s">
        <v>884</v>
      </c>
      <c r="AP1" s="78"/>
      <c r="AQ1" s="89"/>
      <c r="AR1" s="90" t="s">
        <v>2</v>
      </c>
      <c r="AS1" s="91"/>
      <c r="AT1" s="91"/>
      <c r="AU1" s="91"/>
      <c r="AV1" s="91"/>
      <c r="AW1" s="91"/>
      <c r="AX1" s="91"/>
      <c r="AY1" s="92" t="s">
        <v>3</v>
      </c>
      <c r="BD1" s="93" t="s">
        <v>929</v>
      </c>
    </row>
    <row r="2" spans="1:61" ht="12.75" customHeight="1" x14ac:dyDescent="0.2">
      <c r="A2" s="94" t="s">
        <v>4</v>
      </c>
      <c r="C2" s="68" t="s">
        <v>1835</v>
      </c>
      <c r="D2" s="94"/>
      <c r="G2" s="78"/>
      <c r="H2" s="78"/>
      <c r="I2" s="78"/>
      <c r="J2" s="95" t="s">
        <v>885</v>
      </c>
      <c r="N2" s="81"/>
      <c r="Q2" s="83"/>
      <c r="S2" s="96"/>
      <c r="T2" s="97"/>
      <c r="W2" s="96"/>
      <c r="Z2" s="95" t="s">
        <v>886</v>
      </c>
      <c r="AO2" s="98" t="s">
        <v>6</v>
      </c>
      <c r="AP2" s="78"/>
      <c r="AR2" s="98" t="s">
        <v>7</v>
      </c>
      <c r="AS2" s="91"/>
      <c r="AT2" s="91"/>
      <c r="AU2" s="91"/>
      <c r="AV2" s="91"/>
      <c r="AW2" s="91"/>
      <c r="AX2" s="91"/>
      <c r="AY2" s="99" t="s">
        <v>10</v>
      </c>
    </row>
    <row r="3" spans="1:61" ht="12.75" customHeight="1" x14ac:dyDescent="0.2">
      <c r="A3" s="101">
        <v>44865</v>
      </c>
      <c r="B3" s="71"/>
      <c r="D3" s="94"/>
      <c r="G3" s="78"/>
      <c r="H3" s="78"/>
      <c r="I3" s="78"/>
      <c r="J3" s="102" t="s">
        <v>8</v>
      </c>
      <c r="L3"/>
      <c r="Q3" s="103" t="s">
        <v>5</v>
      </c>
      <c r="S3" s="104"/>
      <c r="T3" s="104"/>
      <c r="W3" s="104"/>
      <c r="X3" s="105"/>
      <c r="AE3" s="107"/>
      <c r="AF3" s="107"/>
      <c r="AG3" s="107"/>
      <c r="AH3" s="107"/>
      <c r="AI3" s="107"/>
      <c r="AJ3" s="107"/>
      <c r="AK3" s="107"/>
      <c r="AL3" s="107"/>
      <c r="AM3" s="107"/>
      <c r="AN3" s="107"/>
      <c r="AO3" s="108"/>
      <c r="AP3" s="78"/>
      <c r="AR3" s="109" t="s">
        <v>9</v>
      </c>
      <c r="AS3" s="91"/>
      <c r="AT3" s="91"/>
      <c r="AU3" s="91"/>
      <c r="AV3" s="91"/>
      <c r="AW3" s="91"/>
      <c r="AX3" s="91"/>
      <c r="BA3" s="110"/>
      <c r="BB3" s="110"/>
      <c r="BC3" s="110"/>
    </row>
    <row r="4" spans="1:61" ht="12.75" customHeight="1" x14ac:dyDescent="0.2">
      <c r="A4" s="111"/>
      <c r="B4"/>
      <c r="C4" s="112"/>
      <c r="E4" s="113"/>
      <c r="F4" s="113"/>
      <c r="J4" s="114" t="s">
        <v>1748</v>
      </c>
      <c r="K4" s="112"/>
      <c r="L4"/>
      <c r="N4" s="298"/>
      <c r="O4" s="112"/>
      <c r="P4" s="112"/>
      <c r="R4" s="298"/>
      <c r="T4" s="104"/>
      <c r="W4" s="104"/>
      <c r="Y4" s="112"/>
      <c r="Z4" s="115" t="s">
        <v>11</v>
      </c>
      <c r="AA4" s="112"/>
      <c r="AB4" s="112"/>
      <c r="AC4" s="116"/>
      <c r="AD4" s="116"/>
      <c r="AE4" s="116"/>
      <c r="AF4" s="116"/>
      <c r="AG4" s="116"/>
      <c r="AH4" s="116"/>
      <c r="AI4" s="116"/>
      <c r="AJ4" s="116"/>
      <c r="AK4" s="116"/>
      <c r="AL4" s="116"/>
      <c r="AM4" s="116"/>
      <c r="AN4" s="116"/>
      <c r="AO4" s="108"/>
      <c r="AP4" s="78"/>
      <c r="AQ4" s="117"/>
      <c r="AR4" s="118" t="s">
        <v>1749</v>
      </c>
      <c r="AS4" s="119"/>
      <c r="AT4" s="119"/>
      <c r="AU4" s="119"/>
      <c r="AV4" s="119"/>
      <c r="AW4" s="120" t="s">
        <v>12</v>
      </c>
      <c r="AX4" s="119"/>
      <c r="AZ4" s="313" t="s">
        <v>13</v>
      </c>
      <c r="BA4" s="314"/>
      <c r="BB4" s="314"/>
      <c r="BC4" s="315"/>
    </row>
    <row r="5" spans="1:61" ht="12.75" customHeight="1" x14ac:dyDescent="0.2">
      <c r="A5" s="112" t="s">
        <v>14</v>
      </c>
      <c r="B5" s="121" t="s">
        <v>15</v>
      </c>
      <c r="C5" s="122"/>
      <c r="D5" s="112"/>
      <c r="E5" s="123" t="s">
        <v>16</v>
      </c>
      <c r="F5" s="123" t="s">
        <v>17</v>
      </c>
      <c r="G5" s="120" t="s">
        <v>18</v>
      </c>
      <c r="H5" s="122"/>
      <c r="I5" s="124">
        <v>44865</v>
      </c>
      <c r="J5" s="125" t="s">
        <v>19</v>
      </c>
      <c r="K5" s="298" t="s">
        <v>887</v>
      </c>
      <c r="L5" s="126" t="s">
        <v>888</v>
      </c>
      <c r="M5" s="122"/>
      <c r="N5" s="298" t="s">
        <v>21</v>
      </c>
      <c r="O5" s="298" t="s">
        <v>889</v>
      </c>
      <c r="P5" s="316" t="s">
        <v>890</v>
      </c>
      <c r="Q5" s="316"/>
      <c r="R5" s="298" t="s">
        <v>20</v>
      </c>
      <c r="S5" s="127" t="s">
        <v>35</v>
      </c>
      <c r="T5" s="127" t="s">
        <v>35</v>
      </c>
      <c r="U5" s="127" t="s">
        <v>35</v>
      </c>
      <c r="V5" s="127" t="s">
        <v>35</v>
      </c>
      <c r="W5" s="127" t="s">
        <v>34</v>
      </c>
      <c r="X5" s="127" t="s">
        <v>29</v>
      </c>
      <c r="Y5" s="128" t="s">
        <v>22</v>
      </c>
      <c r="Z5" s="125" t="s">
        <v>23</v>
      </c>
      <c r="AA5" s="298" t="s">
        <v>25</v>
      </c>
      <c r="AB5" s="298" t="s">
        <v>26</v>
      </c>
      <c r="AC5" s="129" t="s">
        <v>25</v>
      </c>
      <c r="AD5" s="129"/>
      <c r="AE5" s="129" t="s">
        <v>25</v>
      </c>
      <c r="AF5" s="129" t="s">
        <v>28</v>
      </c>
      <c r="AG5" s="129" t="s">
        <v>25</v>
      </c>
      <c r="AH5" s="129" t="s">
        <v>25</v>
      </c>
      <c r="AI5" s="129" t="s">
        <v>891</v>
      </c>
      <c r="AJ5" s="129" t="s">
        <v>29</v>
      </c>
      <c r="AK5" s="129" t="s">
        <v>892</v>
      </c>
      <c r="AL5" s="129" t="s">
        <v>31</v>
      </c>
      <c r="AM5" s="129" t="s">
        <v>32</v>
      </c>
      <c r="AN5" s="129" t="s">
        <v>33</v>
      </c>
      <c r="AO5" s="130" t="s">
        <v>36</v>
      </c>
      <c r="AP5" s="122" t="s">
        <v>37</v>
      </c>
      <c r="AQ5" s="298" t="s">
        <v>24</v>
      </c>
      <c r="AR5" s="95" t="s">
        <v>38</v>
      </c>
      <c r="AS5" s="119"/>
      <c r="AT5" s="119"/>
      <c r="AU5" s="119"/>
      <c r="AV5" s="119"/>
      <c r="AW5" s="120" t="s">
        <v>39</v>
      </c>
      <c r="AX5" s="119"/>
      <c r="AY5" s="131" t="s">
        <v>40</v>
      </c>
      <c r="AZ5" s="132" t="s">
        <v>41</v>
      </c>
      <c r="BA5" s="133" t="s">
        <v>41</v>
      </c>
      <c r="BB5" s="133" t="s">
        <v>42</v>
      </c>
      <c r="BC5" s="134" t="s">
        <v>43</v>
      </c>
      <c r="BE5" s="122" t="s">
        <v>930</v>
      </c>
      <c r="BF5" s="122" t="s">
        <v>931</v>
      </c>
      <c r="BG5" s="77" t="s">
        <v>25</v>
      </c>
      <c r="BH5" t="s">
        <v>58</v>
      </c>
    </row>
    <row r="6" spans="1:61" s="152" customFormat="1" ht="12.75" customHeight="1" thickBot="1" x14ac:dyDescent="0.25">
      <c r="A6" s="135" t="s">
        <v>44</v>
      </c>
      <c r="B6" s="136" t="s">
        <v>45</v>
      </c>
      <c r="C6" s="137" t="s">
        <v>78</v>
      </c>
      <c r="D6" s="137" t="s">
        <v>46</v>
      </c>
      <c r="E6" s="138" t="s">
        <v>47</v>
      </c>
      <c r="F6" s="138" t="s">
        <v>48</v>
      </c>
      <c r="G6" s="139" t="s">
        <v>49</v>
      </c>
      <c r="H6" s="139" t="s">
        <v>50</v>
      </c>
      <c r="I6" s="137" t="s">
        <v>51</v>
      </c>
      <c r="J6" s="140" t="s">
        <v>52</v>
      </c>
      <c r="K6" s="137" t="s">
        <v>58</v>
      </c>
      <c r="L6" s="141" t="s">
        <v>893</v>
      </c>
      <c r="M6" s="139" t="s">
        <v>894</v>
      </c>
      <c r="N6" s="139" t="s">
        <v>57</v>
      </c>
      <c r="O6" s="137" t="s">
        <v>59</v>
      </c>
      <c r="P6" s="137" t="s">
        <v>54</v>
      </c>
      <c r="Q6" s="137" t="s">
        <v>56</v>
      </c>
      <c r="R6" s="137" t="s">
        <v>53</v>
      </c>
      <c r="S6" s="142" t="s">
        <v>75</v>
      </c>
      <c r="T6" s="142" t="s">
        <v>76</v>
      </c>
      <c r="U6" s="142" t="s">
        <v>40</v>
      </c>
      <c r="V6" s="142" t="s">
        <v>77</v>
      </c>
      <c r="W6" s="142" t="s">
        <v>74</v>
      </c>
      <c r="X6" s="142" t="s">
        <v>73</v>
      </c>
      <c r="Y6" s="135" t="s">
        <v>895</v>
      </c>
      <c r="Z6" s="140" t="s">
        <v>59</v>
      </c>
      <c r="AA6" s="137" t="s">
        <v>61</v>
      </c>
      <c r="AB6" s="137" t="s">
        <v>62</v>
      </c>
      <c r="AC6" s="143" t="s">
        <v>63</v>
      </c>
      <c r="AD6" s="143" t="s">
        <v>27</v>
      </c>
      <c r="AE6" s="143" t="s">
        <v>65</v>
      </c>
      <c r="AF6" s="143" t="s">
        <v>66</v>
      </c>
      <c r="AG6" s="143" t="s">
        <v>67</v>
      </c>
      <c r="AH6" s="143" t="s">
        <v>68</v>
      </c>
      <c r="AI6" s="143" t="s">
        <v>68</v>
      </c>
      <c r="AJ6" s="143" t="s">
        <v>68</v>
      </c>
      <c r="AK6" s="143" t="s">
        <v>68</v>
      </c>
      <c r="AL6" s="143" t="s">
        <v>70</v>
      </c>
      <c r="AM6" s="143" t="s">
        <v>71</v>
      </c>
      <c r="AN6" s="143" t="s">
        <v>72</v>
      </c>
      <c r="AO6" s="144" t="s">
        <v>79</v>
      </c>
      <c r="AP6" s="139" t="s">
        <v>80</v>
      </c>
      <c r="AQ6" s="137" t="s">
        <v>60</v>
      </c>
      <c r="AR6" s="145">
        <v>2022</v>
      </c>
      <c r="AS6" s="146">
        <v>2023</v>
      </c>
      <c r="AT6" s="145">
        <v>2024</v>
      </c>
      <c r="AU6" s="146">
        <v>2025</v>
      </c>
      <c r="AV6" s="145">
        <v>2026</v>
      </c>
      <c r="AW6" s="139" t="s">
        <v>81</v>
      </c>
      <c r="AX6" s="139" t="s">
        <v>82</v>
      </c>
      <c r="AY6" s="147" t="s">
        <v>83</v>
      </c>
      <c r="AZ6" s="148" t="s">
        <v>84</v>
      </c>
      <c r="BA6" s="149" t="s">
        <v>85</v>
      </c>
      <c r="BB6" s="149" t="s">
        <v>86</v>
      </c>
      <c r="BC6" s="150" t="s">
        <v>86</v>
      </c>
      <c r="BD6" s="140" t="s">
        <v>932</v>
      </c>
      <c r="BE6" s="139" t="s">
        <v>933</v>
      </c>
      <c r="BF6" s="139" t="s">
        <v>934</v>
      </c>
      <c r="BG6" s="151" t="s">
        <v>935</v>
      </c>
      <c r="BH6" s="152" t="s">
        <v>936</v>
      </c>
      <c r="BI6" s="152" t="s">
        <v>937</v>
      </c>
    </row>
    <row r="7" spans="1:61" ht="11.25" customHeight="1" x14ac:dyDescent="0.2">
      <c r="A7" s="112" t="s">
        <v>1229</v>
      </c>
      <c r="B7" s="153" t="s">
        <v>69</v>
      </c>
      <c r="C7" s="154" t="s">
        <v>137</v>
      </c>
      <c r="D7" s="154" t="s">
        <v>938</v>
      </c>
      <c r="E7" s="155">
        <v>11</v>
      </c>
      <c r="F7" s="298">
        <v>401</v>
      </c>
      <c r="G7" s="298" t="s">
        <v>88</v>
      </c>
      <c r="H7" s="298" t="s">
        <v>88</v>
      </c>
      <c r="I7" s="156">
        <v>138.35</v>
      </c>
      <c r="J7" s="157">
        <f t="shared" ref="J7:J70" si="0">(M7/I7)*100</f>
        <v>0.60715576436573904</v>
      </c>
      <c r="K7" s="158">
        <v>0.21</v>
      </c>
      <c r="L7" s="126">
        <v>4</v>
      </c>
      <c r="M7" s="82">
        <f t="shared" ref="M7:M70" si="1">K7*L7</f>
        <v>0.84</v>
      </c>
      <c r="N7" s="159" t="s">
        <v>131</v>
      </c>
      <c r="O7" s="160">
        <v>0.19400000000000001</v>
      </c>
      <c r="P7" s="161">
        <v>44564</v>
      </c>
      <c r="Q7" s="161">
        <v>44587</v>
      </c>
      <c r="R7" s="82">
        <f t="shared" ref="R7:R70" si="2">(K7-O7)/O7*100</f>
        <v>8.2474226804123631</v>
      </c>
      <c r="S7" s="162">
        <f>IF(INDEX([1]Historical!$D$7:$D$1229,MATCH(B7,[1]Historical!$B$7:$B$1253,0))=0,"n/a",(INDEX([1]Historical!$C$7:$C$1231,MATCH(B7,[1]Historical!$B$7:$B$1253,0))/INDEX([1]Historical!$D$7:$D$1229,MATCH(B7,[1]Historical!$B$7:$B$1253,0))-1)*100)</f>
        <v>7.7777777777777946</v>
      </c>
      <c r="T7" s="162">
        <f>IF(INDEX([1]Historical!$F$7:$F$1222,MATCH(B7,[1]Historical!$B$7:$B$1253,0))=0,"n/a",((INDEX([1]Historical!$C$7:$C$1231,MATCH(B7,[1]Historical!$B$7:$B$1253,0))/INDEX([1]Historical!$F$7:$F$1222,MATCH(B7,[1]Historical!$B$7:$B$1253,0)))^(1/3)-1)*100)</f>
        <v>9.195603738346648</v>
      </c>
      <c r="U7" s="162">
        <f>IF(INDEX([1]Historical!$H$7:$H$1222,MATCH(B7,[1]Historical!$B$7:$B$1253,0))=0,"n/a",((INDEX([1]Historical!$C$7:$C$1231,MATCH(B7,[1]Historical!$B$7:$B$1253,0))/INDEX([1]Historical!$H$7:$H$1222,MATCH(B7,[1]Historical!$B$7:$B$1253,0)))^(1/5)-1)*100)</f>
        <v>11.024998995217206</v>
      </c>
      <c r="V7" s="162" t="str">
        <f>IF(INDEX([1]Historical!$N$7:$N$1222,MATCH(B7,[1]Historical!$B$7:$B$1253,0))=0,"n/a",((INDEX([1]Historical!$C$7:$C$1231,MATCH(B7,[1]Historical!$B$7:$B$1253,0))/INDEX([1]Historical!$N$7:$N$1222,MATCH(B7,[1]Historical!$B$7:$B$1253,0)))^(1/10)-1)*100)</f>
        <v>n/a</v>
      </c>
      <c r="W7" s="163" t="str">
        <f t="shared" ref="W7:W70" si="3">IF(OR(U7&lt;=0,U7="n/a",V7&lt;=0,V7="n/a"),"n/a",U7/V7)</f>
        <v>n/a</v>
      </c>
      <c r="X7" s="164">
        <f t="shared" ref="X7:X70" si="4">IF(OR(AJ7&lt;=0,AJ7="n/a",U7&lt;=0,U7="n/a"),"n/a",U7/AJ7)</f>
        <v>0.4814410041579566</v>
      </c>
      <c r="Y7" s="165"/>
      <c r="Z7" s="157">
        <f t="shared" ref="Z7:Z70" si="5">IF(OR(AC7&lt;0.01,AC7="n/a"),"n/a",M7/AC7*100)</f>
        <v>19.17808219178082</v>
      </c>
      <c r="AA7" s="166">
        <f t="shared" ref="AA7:AA70" si="6">IF(OR(AC7&lt;0.01,AC7="n/a"),"n/a",I7/AC7)</f>
        <v>31.586757990867579</v>
      </c>
      <c r="AB7" s="126">
        <v>10</v>
      </c>
      <c r="AC7" s="167">
        <v>4.38</v>
      </c>
      <c r="AD7" s="167">
        <v>2.67</v>
      </c>
      <c r="AE7" s="167">
        <v>6.07</v>
      </c>
      <c r="AF7" s="167">
        <v>8.1199999999999992</v>
      </c>
      <c r="AG7" s="167">
        <v>25.6</v>
      </c>
      <c r="AH7" s="167">
        <v>71</v>
      </c>
      <c r="AI7" s="167">
        <v>7.95</v>
      </c>
      <c r="AJ7" s="167">
        <v>22.900000000000002</v>
      </c>
      <c r="AK7" s="167">
        <v>11.84</v>
      </c>
      <c r="AL7" s="168">
        <v>40410</v>
      </c>
      <c r="AM7" s="169">
        <v>0.2</v>
      </c>
      <c r="AN7" s="167">
        <v>0.56999999999999995</v>
      </c>
      <c r="AO7" s="170">
        <f t="shared" ref="AO7:AO70" si="7">IF(U7="n/a","n/a",IF(AA7&lt;0,"n/a",IF(AA7="n/a","n/a",J7+U7-AA7)))</f>
        <v>-19.954603231284633</v>
      </c>
      <c r="AP7" s="171">
        <f t="shared" ref="AP7:AP70" si="8">IF(U7="n/a","n/a",J7+U7)</f>
        <v>11.632154759582946</v>
      </c>
      <c r="AQ7" s="172">
        <f t="shared" ref="AQ7:AQ70" si="9">IF(OR(AC7&lt;0.01,AC7="n/a",AF7="n/a"),"n/a",(I7/SQRT(22.5*AC7*(I7/AF7))-1)*100)</f>
        <v>237.62864207478654</v>
      </c>
      <c r="AR7" s="157">
        <f>INDEX([1]Historical!$C$7:$C$1231,MATCH(B7,[1]Historical!$B$7:$B$1253,0))*IF(AH7="n/a",1.03,IF(AH7&lt;0,1.01,IF(AH7&gt;10,1.1,(1+AH7/100))))</f>
        <v>0.85360000000000014</v>
      </c>
      <c r="AS7" s="166">
        <f t="shared" ref="AS7:AS70" si="10">IF($AI7="n/a",1.03*AR7,IF($AI7&lt;0,1.01*AR7,IF($AI7&gt;10,1.1*AR7,(1+$AI7/100)*AR7)))</f>
        <v>0.92146120000000009</v>
      </c>
      <c r="AT7" s="166">
        <f t="shared" ref="AT7:AV22" si="11">IF($AK7="n/a",1.03*AS7,IF($AK7&lt;0,1.01*AS7,IF($AK7&gt;10,1.1*AS7,(1+$AK7/100)*AS7)))</f>
        <v>1.0136073200000002</v>
      </c>
      <c r="AU7" s="166">
        <f t="shared" si="11"/>
        <v>1.1149680520000003</v>
      </c>
      <c r="AV7" s="166">
        <f t="shared" si="11"/>
        <v>1.2264648572000003</v>
      </c>
      <c r="AW7" s="157">
        <f t="shared" ref="AW7:AW70" si="12">SUM(AR7:AV7)</f>
        <v>5.1301014292000016</v>
      </c>
      <c r="AX7" s="173">
        <f t="shared" ref="AX7:AX70" si="13">AW7/I7*100</f>
        <v>3.7080603029996397</v>
      </c>
      <c r="AY7" s="174">
        <v>1.06</v>
      </c>
      <c r="AZ7" s="169">
        <v>22.96</v>
      </c>
      <c r="BA7" s="169">
        <v>-16.5</v>
      </c>
      <c r="BB7" s="169">
        <v>6.39</v>
      </c>
      <c r="BC7" s="169">
        <v>7.28</v>
      </c>
      <c r="BE7" s="77">
        <v>2012</v>
      </c>
      <c r="BF7" s="77">
        <f t="shared" ref="BF7:BF70" si="14">IF(BE7&gt;2020,0,IF(BE7&gt;2008,1,IF(BE7&gt;2001,2,IF(BE7&gt;1990,3,IF(BE7&gt;1980,4,IF(BE7&gt;1973,5,IF(BE7&gt;1970,6,IF(BE7&gt;1960,7,IF(BE7&gt;1958,8,IF(BE7&gt;1953,9,10))))))))))</f>
        <v>1</v>
      </c>
      <c r="BG7" s="175">
        <v>12.7</v>
      </c>
      <c r="BH7" t="s">
        <v>939</v>
      </c>
      <c r="BI7" t="s">
        <v>940</v>
      </c>
    </row>
    <row r="8" spans="1:61" ht="11.25" customHeight="1" x14ac:dyDescent="0.2">
      <c r="A8" s="176" t="s">
        <v>712</v>
      </c>
      <c r="B8" s="153" t="s">
        <v>713</v>
      </c>
      <c r="C8" s="154" t="s">
        <v>922</v>
      </c>
      <c r="D8" s="154" t="s">
        <v>941</v>
      </c>
      <c r="E8" s="155">
        <v>11</v>
      </c>
      <c r="F8" s="298">
        <v>424</v>
      </c>
      <c r="G8" s="298" t="s">
        <v>88</v>
      </c>
      <c r="H8" s="298" t="s">
        <v>88</v>
      </c>
      <c r="I8" s="156">
        <v>153.34</v>
      </c>
      <c r="J8" s="157">
        <f t="shared" si="0"/>
        <v>0.59997391417764445</v>
      </c>
      <c r="K8" s="158">
        <v>0.23</v>
      </c>
      <c r="L8" s="126">
        <v>4</v>
      </c>
      <c r="M8" s="82">
        <f t="shared" si="1"/>
        <v>0.92</v>
      </c>
      <c r="N8" s="159" t="s">
        <v>98</v>
      </c>
      <c r="O8" s="160">
        <v>0.22</v>
      </c>
      <c r="P8" s="161">
        <v>44687</v>
      </c>
      <c r="Q8" s="161">
        <v>44693</v>
      </c>
      <c r="R8" s="82">
        <f t="shared" si="2"/>
        <v>4.5454545454545494</v>
      </c>
      <c r="S8" s="162">
        <f>IF(INDEX([1]Historical!$D$7:$D$1229,MATCH(B8,[1]Historical!$B$7:$B$1253,0))=0,"n/a",(INDEX([1]Historical!$C$7:$C$1231,MATCH(B8,[1]Historical!$B$7:$B$1253,0))/INDEX([1]Historical!$D$7:$D$1229,MATCH(B8,[1]Historical!$B$7:$B$1253,0))-1)*100)</f>
        <v>7.120743034055721</v>
      </c>
      <c r="T8" s="162">
        <f>IF(INDEX([1]Historical!$F$7:$F$1222,MATCH(B8,[1]Historical!$B$7:$B$1253,0))=0,"n/a",((INDEX([1]Historical!$C$7:$C$1231,MATCH(B8,[1]Historical!$B$7:$B$1253,0))/INDEX([1]Historical!$F$7:$F$1222,MATCH(B8,[1]Historical!$B$7:$B$1253,0)))^(1/3)-1)*100)</f>
        <v>7.0555031172336191</v>
      </c>
      <c r="U8" s="162">
        <f>IF(INDEX([1]Historical!$H$7:$H$1222,MATCH(B8,[1]Historical!$B$7:$B$1253,0))=0,"n/a",((INDEX([1]Historical!$C$7:$C$1231,MATCH(B8,[1]Historical!$B$7:$B$1253,0))/INDEX([1]Historical!$H$7:$H$1222,MATCH(B8,[1]Historical!$B$7:$B$1253,0)))^(1/5)-1)*100)</f>
        <v>9.1828049088792163</v>
      </c>
      <c r="V8" s="162" t="str">
        <f>IF(INDEX([1]Historical!$N$7:$N$1222,MATCH(B8,[1]Historical!$B$7:$B$1253,0))=0,"n/a",((INDEX([1]Historical!$C$7:$C$1231,MATCH(B8,[1]Historical!$B$7:$B$1253,0))/INDEX([1]Historical!$N$7:$N$1222,MATCH(B8,[1]Historical!$B$7:$B$1253,0)))^(1/10)-1)*100)</f>
        <v>n/a</v>
      </c>
      <c r="W8" s="163" t="str">
        <f t="shared" si="3"/>
        <v>n/a</v>
      </c>
      <c r="X8" s="164">
        <f t="shared" si="4"/>
        <v>0.42512985689255628</v>
      </c>
      <c r="Y8" s="177" t="s">
        <v>901</v>
      </c>
      <c r="Z8" s="157">
        <f t="shared" si="5"/>
        <v>15.081967213114755</v>
      </c>
      <c r="AA8" s="166">
        <f t="shared" si="6"/>
        <v>25.137704918032789</v>
      </c>
      <c r="AB8" s="126">
        <v>9</v>
      </c>
      <c r="AC8" s="167">
        <v>6.1</v>
      </c>
      <c r="AD8" s="167">
        <v>2.87</v>
      </c>
      <c r="AE8" s="167">
        <v>5.9</v>
      </c>
      <c r="AF8" s="167">
        <v>49.28</v>
      </c>
      <c r="AG8" s="167">
        <v>160.9</v>
      </c>
      <c r="AH8" s="167">
        <v>8.9</v>
      </c>
      <c r="AI8" s="167">
        <v>7.8299999999999992</v>
      </c>
      <c r="AJ8" s="167">
        <v>21.6</v>
      </c>
      <c r="AK8" s="167">
        <v>8.89</v>
      </c>
      <c r="AL8" s="168">
        <v>2327050</v>
      </c>
      <c r="AM8" s="169">
        <v>6.9999999999999993E-2</v>
      </c>
      <c r="AN8" s="167">
        <v>2.37</v>
      </c>
      <c r="AO8" s="170">
        <f t="shared" si="7"/>
        <v>-15.354926094975928</v>
      </c>
      <c r="AP8" s="171">
        <f t="shared" si="8"/>
        <v>9.7827788230568604</v>
      </c>
      <c r="AQ8" s="172">
        <f t="shared" si="9"/>
        <v>642.00512078516181</v>
      </c>
      <c r="AR8" s="157">
        <f>INDEX([1]Historical!$C$7:$C$1231,MATCH(B8,[1]Historical!$B$7:$B$1253,0))*IF(AH8="n/a",1.03,IF(AH8&lt;0,1.01,IF(AH8&gt;10,1.1,(1+AH8/100))))</f>
        <v>0.94198499999999996</v>
      </c>
      <c r="AS8" s="166">
        <f t="shared" si="10"/>
        <v>1.0157424255</v>
      </c>
      <c r="AT8" s="166">
        <f t="shared" si="11"/>
        <v>1.1060419271269499</v>
      </c>
      <c r="AU8" s="166">
        <f t="shared" si="11"/>
        <v>1.2043690544485357</v>
      </c>
      <c r="AV8" s="166">
        <f t="shared" si="11"/>
        <v>1.3114374633890105</v>
      </c>
      <c r="AW8" s="157">
        <f t="shared" si="12"/>
        <v>5.5795758704644953</v>
      </c>
      <c r="AX8" s="173">
        <f t="shared" si="13"/>
        <v>3.6386956244062185</v>
      </c>
      <c r="AY8" s="174">
        <v>1.23</v>
      </c>
      <c r="AZ8" s="169">
        <v>18.829999999999998</v>
      </c>
      <c r="BA8" s="169">
        <v>-16.18</v>
      </c>
      <c r="BB8" s="169">
        <v>1.01</v>
      </c>
      <c r="BC8" s="169">
        <v>-2.17</v>
      </c>
      <c r="BE8" s="77">
        <v>2012</v>
      </c>
      <c r="BF8" s="77">
        <f t="shared" si="14"/>
        <v>1</v>
      </c>
      <c r="BG8" s="175">
        <v>28.1</v>
      </c>
      <c r="BH8" t="s">
        <v>939</v>
      </c>
      <c r="BI8" t="s">
        <v>940</v>
      </c>
    </row>
    <row r="9" spans="1:61" ht="11.25" customHeight="1" x14ac:dyDescent="0.2">
      <c r="A9" t="s">
        <v>743</v>
      </c>
      <c r="B9" s="153" t="s">
        <v>744</v>
      </c>
      <c r="C9" s="154" t="s">
        <v>137</v>
      </c>
      <c r="D9" s="154" t="s">
        <v>522</v>
      </c>
      <c r="E9" s="155">
        <v>11</v>
      </c>
      <c r="F9" s="298">
        <v>459</v>
      </c>
      <c r="G9" s="298" t="s">
        <v>30</v>
      </c>
      <c r="H9" s="298" t="s">
        <v>30</v>
      </c>
      <c r="I9" s="156">
        <v>146.4</v>
      </c>
      <c r="J9" s="157">
        <f t="shared" si="0"/>
        <v>4.0437158469945356</v>
      </c>
      <c r="K9" s="158">
        <v>1.48</v>
      </c>
      <c r="L9" s="126">
        <v>4</v>
      </c>
      <c r="M9" s="82">
        <f t="shared" si="1"/>
        <v>5.92</v>
      </c>
      <c r="N9" s="159" t="s">
        <v>89</v>
      </c>
      <c r="O9" s="160">
        <v>1.41</v>
      </c>
      <c r="P9" s="161">
        <v>44928</v>
      </c>
      <c r="Q9" s="161">
        <v>44972</v>
      </c>
      <c r="R9" s="82">
        <f t="shared" si="2"/>
        <v>4.9645390070922026</v>
      </c>
      <c r="S9" s="162">
        <f>IF(INDEX([1]Historical!$D$7:$D$1229,MATCH(B9,[1]Historical!$B$7:$B$1253,0))=0,"n/a",(INDEX([1]Historical!$C$7:$C$1231,MATCH(B9,[1]Historical!$B$7:$B$1253,0))/INDEX([1]Historical!$D$7:$D$1229,MATCH(B9,[1]Historical!$B$7:$B$1253,0))-1)*100)</f>
        <v>10.169491525423746</v>
      </c>
      <c r="T9" s="162">
        <f>IF(INDEX([1]Historical!$F$7:$F$1222,MATCH(B9,[1]Historical!$B$7:$B$1253,0))=0,"n/a",((INDEX([1]Historical!$C$7:$C$1231,MATCH(B9,[1]Historical!$B$7:$B$1253,0))/INDEX([1]Historical!$F$7:$F$1222,MATCH(B9,[1]Historical!$B$7:$B$1253,0)))^(1/3)-1)*100)</f>
        <v>13.145242701201699</v>
      </c>
      <c r="U9" s="162">
        <f>IF(INDEX([1]Historical!$H$7:$H$1222,MATCH(B9,[1]Historical!$B$7:$B$1253,0))=0,"n/a",((INDEX([1]Historical!$C$7:$C$1231,MATCH(B9,[1]Historical!$B$7:$B$1253,0))/INDEX([1]Historical!$H$7:$H$1222,MATCH(B9,[1]Historical!$B$7:$B$1253,0)))^(1/5)-1)*100)</f>
        <v>17.927121883941943</v>
      </c>
      <c r="V9" s="162" t="str">
        <f>IF(INDEX([1]Historical!$N$7:$N$1222,MATCH(B9,[1]Historical!$B$7:$B$1253,0))=0,"n/a",((INDEX([1]Historical!$C$7:$C$1231,MATCH(B9,[1]Historical!$B$7:$B$1253,0))/INDEX([1]Historical!$N$7:$N$1222,MATCH(B9,[1]Historical!$B$7:$B$1253,0)))^(1/10)-1)*100)</f>
        <v>n/a</v>
      </c>
      <c r="W9" s="163" t="str">
        <f t="shared" si="3"/>
        <v>n/a</v>
      </c>
      <c r="X9" s="164">
        <f t="shared" si="4"/>
        <v>1.4694362199952413</v>
      </c>
      <c r="Y9" s="178"/>
      <c r="Z9" s="157">
        <f t="shared" si="5"/>
        <v>83.734087694483733</v>
      </c>
      <c r="AA9" s="166">
        <f t="shared" si="6"/>
        <v>20.707213578500706</v>
      </c>
      <c r="AB9" s="126">
        <v>12</v>
      </c>
      <c r="AC9" s="167">
        <v>7.07</v>
      </c>
      <c r="AD9" s="167" t="s">
        <v>95</v>
      </c>
      <c r="AE9" s="167">
        <v>4.7300000000000004</v>
      </c>
      <c r="AF9" s="167">
        <v>17.829999999999998</v>
      </c>
      <c r="AG9" s="179">
        <v>82.8</v>
      </c>
      <c r="AH9" s="167">
        <v>137</v>
      </c>
      <c r="AI9" s="167">
        <v>-14.87</v>
      </c>
      <c r="AJ9" s="167">
        <v>12.2</v>
      </c>
      <c r="AK9" s="167">
        <v>-0.2</v>
      </c>
      <c r="AL9" s="168">
        <v>271400</v>
      </c>
      <c r="AM9" s="169">
        <v>0.11</v>
      </c>
      <c r="AN9" s="167">
        <v>4.9800000000000004</v>
      </c>
      <c r="AO9" s="170">
        <f t="shared" si="7"/>
        <v>1.2636241524357743</v>
      </c>
      <c r="AP9" s="171">
        <f t="shared" si="8"/>
        <v>21.970837730936481</v>
      </c>
      <c r="AQ9" s="172">
        <f t="shared" si="9"/>
        <v>305.08414385418058</v>
      </c>
      <c r="AR9" s="157">
        <f>INDEX([1]Historical!$C$7:$C$1231,MATCH(B9,[1]Historical!$B$7:$B$1253,0))*IF(AH9="n/a",1.03,IF(AH9&lt;0,1.01,IF(AH9&gt;10,1.1,(1+AH9/100))))</f>
        <v>5.7200000000000006</v>
      </c>
      <c r="AS9" s="166">
        <f t="shared" si="10"/>
        <v>5.7772000000000006</v>
      </c>
      <c r="AT9" s="166">
        <f t="shared" si="11"/>
        <v>5.8349720000000005</v>
      </c>
      <c r="AU9" s="166">
        <f t="shared" si="11"/>
        <v>5.8933217200000003</v>
      </c>
      <c r="AV9" s="166">
        <f t="shared" si="11"/>
        <v>5.9522549372000002</v>
      </c>
      <c r="AW9" s="157">
        <f t="shared" si="12"/>
        <v>29.177748657199999</v>
      </c>
      <c r="AX9" s="173">
        <f t="shared" si="13"/>
        <v>19.93015618661202</v>
      </c>
      <c r="AY9" s="174">
        <v>0.68</v>
      </c>
      <c r="AZ9" s="169">
        <v>31.39</v>
      </c>
      <c r="BA9" s="169">
        <v>-16.78</v>
      </c>
      <c r="BB9" s="169">
        <v>3.38</v>
      </c>
      <c r="BC9" s="169">
        <v>-0.62</v>
      </c>
      <c r="BE9" s="77">
        <v>2013</v>
      </c>
      <c r="BF9" s="77">
        <f t="shared" si="14"/>
        <v>1</v>
      </c>
      <c r="BG9" s="175">
        <v>8.5</v>
      </c>
      <c r="BH9" t="s">
        <v>939</v>
      </c>
      <c r="BI9" t="s">
        <v>940</v>
      </c>
    </row>
    <row r="10" spans="1:61" ht="11.25" customHeight="1" x14ac:dyDescent="0.2">
      <c r="A10" s="176" t="s">
        <v>1230</v>
      </c>
      <c r="B10" s="153" t="s">
        <v>136</v>
      </c>
      <c r="C10" s="154" t="s">
        <v>137</v>
      </c>
      <c r="D10" s="154" t="s">
        <v>942</v>
      </c>
      <c r="E10" s="155">
        <v>17</v>
      </c>
      <c r="F10" s="298">
        <v>228</v>
      </c>
      <c r="G10" s="298" t="s">
        <v>88</v>
      </c>
      <c r="H10" s="298" t="s">
        <v>88</v>
      </c>
      <c r="I10" s="156">
        <v>157.22</v>
      </c>
      <c r="J10" s="157">
        <f t="shared" si="0"/>
        <v>1.1703345630326931</v>
      </c>
      <c r="K10" s="158">
        <v>0.46</v>
      </c>
      <c r="L10" s="126">
        <v>4</v>
      </c>
      <c r="M10" s="82">
        <f t="shared" si="1"/>
        <v>1.84</v>
      </c>
      <c r="N10" s="159" t="s">
        <v>157</v>
      </c>
      <c r="O10" s="160">
        <v>0.44</v>
      </c>
      <c r="P10" s="224">
        <v>44512</v>
      </c>
      <c r="Q10" s="224">
        <v>44529</v>
      </c>
      <c r="R10" s="82">
        <f t="shared" si="2"/>
        <v>4.5454545454545494</v>
      </c>
      <c r="S10" s="162">
        <f>IF(INDEX([1]Historical!$D$7:$D$1229,MATCH(B10,[1]Historical!$B$7:$B$1253,0))=0,"n/a",(INDEX([1]Historical!$C$7:$C$1231,MATCH(B10,[1]Historical!$B$7:$B$1253,0))/INDEX([1]Historical!$D$7:$D$1229,MATCH(B10,[1]Historical!$B$7:$B$1253,0))-1)*100)</f>
        <v>4.705882352941182</v>
      </c>
      <c r="T10" s="162">
        <f>IF(INDEX([1]Historical!$F$7:$F$1222,MATCH(B10,[1]Historical!$B$7:$B$1253,0))=0,"n/a",((INDEX([1]Historical!$C$7:$C$1231,MATCH(B10,[1]Historical!$B$7:$B$1253,0))/INDEX([1]Historical!$F$7:$F$1222,MATCH(B10,[1]Historical!$B$7:$B$1253,0)))^(1/3)-1)*100)</f>
        <v>4.9461297617438449</v>
      </c>
      <c r="U10" s="162">
        <f>IF(INDEX([1]Historical!$H$7:$H$1222,MATCH(B10,[1]Historical!$B$7:$B$1253,0))=0,"n/a",((INDEX([1]Historical!$C$7:$C$1231,MATCH(B10,[1]Historical!$B$7:$B$1253,0))/INDEX([1]Historical!$H$7:$H$1222,MATCH(B10,[1]Historical!$B$7:$B$1253,0)))^(1/5)-1)*100)</f>
        <v>5.1463123250755638</v>
      </c>
      <c r="V10" s="162">
        <f>IF(INDEX([1]Historical!$N$7:$N$1222,MATCH(B10,[1]Historical!$B$7:$B$1253,0))=0,"n/a",((INDEX([1]Historical!$C$7:$C$1231,MATCH(B10,[1]Historical!$B$7:$B$1253,0))/INDEX([1]Historical!$N$7:$N$1222,MATCH(B10,[1]Historical!$B$7:$B$1253,0)))^(1/10)-1)*100)</f>
        <v>14.489647191899913</v>
      </c>
      <c r="W10" s="163">
        <f t="shared" si="3"/>
        <v>0.35517167926300408</v>
      </c>
      <c r="X10" s="164">
        <f t="shared" si="4"/>
        <v>1.6082226015861136</v>
      </c>
      <c r="Y10" s="180"/>
      <c r="Z10" s="157">
        <f t="shared" si="5"/>
        <v>21.125143513203213</v>
      </c>
      <c r="AA10" s="166">
        <f t="shared" si="6"/>
        <v>18.05051664753157</v>
      </c>
      <c r="AB10" s="126">
        <v>9</v>
      </c>
      <c r="AC10" s="167">
        <v>8.7100000000000009</v>
      </c>
      <c r="AD10" s="167">
        <v>1.83</v>
      </c>
      <c r="AE10" s="167">
        <v>0.14000000000000001</v>
      </c>
      <c r="AF10" s="167">
        <v>148.88999999999999</v>
      </c>
      <c r="AG10" s="179">
        <v>594.4</v>
      </c>
      <c r="AH10" s="179">
        <v>144.4</v>
      </c>
      <c r="AI10" s="179">
        <v>4.1000000000000005</v>
      </c>
      <c r="AJ10" s="167">
        <v>3.2</v>
      </c>
      <c r="AK10" s="167">
        <v>9.98</v>
      </c>
      <c r="AL10" s="168">
        <v>32310.000000000004</v>
      </c>
      <c r="AM10" s="169">
        <v>0.1</v>
      </c>
      <c r="AN10" s="167">
        <v>27.02</v>
      </c>
      <c r="AO10" s="170">
        <f t="shared" si="7"/>
        <v>-11.733869759423314</v>
      </c>
      <c r="AP10" s="171">
        <f t="shared" si="8"/>
        <v>6.3166468881082567</v>
      </c>
      <c r="AQ10" s="172">
        <f t="shared" si="9"/>
        <v>992.91484341461342</v>
      </c>
      <c r="AR10" s="157">
        <f>INDEX([1]Historical!$C$7:$C$1231,MATCH(B10,[1]Historical!$B$7:$B$1253,0))*IF(AH10="n/a",1.03,IF(AH10&lt;0,1.01,IF(AH10&gt;10,1.1,(1+AH10/100))))</f>
        <v>1.9580000000000002</v>
      </c>
      <c r="AS10" s="166">
        <f t="shared" si="10"/>
        <v>2.038278</v>
      </c>
      <c r="AT10" s="166">
        <f t="shared" si="11"/>
        <v>2.2416981444000004</v>
      </c>
      <c r="AU10" s="166">
        <f t="shared" si="11"/>
        <v>2.4654196192111208</v>
      </c>
      <c r="AV10" s="166">
        <f t="shared" si="11"/>
        <v>2.7114684972083909</v>
      </c>
      <c r="AW10" s="157">
        <f t="shared" si="12"/>
        <v>11.414864260819513</v>
      </c>
      <c r="AX10" s="173">
        <f t="shared" si="13"/>
        <v>7.2604403134585382</v>
      </c>
      <c r="AY10" s="174">
        <v>0.53</v>
      </c>
      <c r="AZ10" s="169">
        <v>38.299999999999997</v>
      </c>
      <c r="BA10" s="169">
        <v>-5.96</v>
      </c>
      <c r="BB10" s="169">
        <v>9.1999999999999993</v>
      </c>
      <c r="BC10" s="169">
        <v>7.3999999999999995</v>
      </c>
      <c r="BE10" s="77">
        <v>2006</v>
      </c>
      <c r="BF10" s="77">
        <f t="shared" si="14"/>
        <v>2</v>
      </c>
      <c r="BG10" s="175">
        <v>3.2</v>
      </c>
      <c r="BH10" t="s">
        <v>939</v>
      </c>
      <c r="BI10" t="s">
        <v>940</v>
      </c>
    </row>
    <row r="11" spans="1:61" ht="11.25" customHeight="1" x14ac:dyDescent="0.2">
      <c r="A11" s="112" t="s">
        <v>1231</v>
      </c>
      <c r="B11" s="153" t="s">
        <v>103</v>
      </c>
      <c r="C11" s="154" t="s">
        <v>94</v>
      </c>
      <c r="D11" s="154" t="s">
        <v>943</v>
      </c>
      <c r="E11" s="155">
        <v>55</v>
      </c>
      <c r="F11" s="298">
        <v>17</v>
      </c>
      <c r="G11" s="298" t="s">
        <v>104</v>
      </c>
      <c r="H11" s="298" t="s">
        <v>30</v>
      </c>
      <c r="I11" s="167">
        <v>44.51</v>
      </c>
      <c r="J11" s="157">
        <f t="shared" si="0"/>
        <v>1.7524151875982927</v>
      </c>
      <c r="K11" s="158">
        <v>0.19500000000000001</v>
      </c>
      <c r="L11" s="126">
        <v>4</v>
      </c>
      <c r="M11" s="82">
        <f t="shared" si="1"/>
        <v>0.78</v>
      </c>
      <c r="N11" s="159" t="s">
        <v>246</v>
      </c>
      <c r="O11" s="160">
        <v>0.19</v>
      </c>
      <c r="P11" s="161">
        <v>44566</v>
      </c>
      <c r="Q11" s="161">
        <v>44599</v>
      </c>
      <c r="R11" s="82">
        <f t="shared" si="2"/>
        <v>2.6315789473684235</v>
      </c>
      <c r="S11" s="162">
        <f>IF(INDEX([1]Historical!$D$7:$D$1229,MATCH(B11,[1]Historical!$B$7:$B$1253,0))=0,"n/a",(INDEX([1]Historical!$C$7:$C$1231,MATCH(B11,[1]Historical!$B$7:$B$1253,0))/INDEX([1]Historical!$D$7:$D$1229,MATCH(B11,[1]Historical!$B$7:$B$1253,0))-1)*100)</f>
        <v>2.7027027027026973</v>
      </c>
      <c r="T11" s="162">
        <f>IF(INDEX([1]Historical!$F$7:$F$1222,MATCH(B11,[1]Historical!$B$7:$B$1253,0))=0,"n/a",((INDEX([1]Historical!$C$7:$C$1231,MATCH(B11,[1]Historical!$B$7:$B$1253,0))/INDEX([1]Historical!$F$7:$F$1222,MATCH(B11,[1]Historical!$B$7:$B$1253,0)))^(1/3)-1)*100)</f>
        <v>2.7791884355023111</v>
      </c>
      <c r="U11" s="162">
        <f>IF(INDEX([1]Historical!$H$7:$H$1222,MATCH(B11,[1]Historical!$B$7:$B$1253,0))=0,"n/a",((INDEX([1]Historical!$C$7:$C$1231,MATCH(B11,[1]Historical!$B$7:$B$1253,0))/INDEX([1]Historical!$H$7:$H$1222,MATCH(B11,[1]Historical!$B$7:$B$1253,0)))^(1/5)-1)*100)</f>
        <v>2.8617553510468241</v>
      </c>
      <c r="V11" s="162">
        <f>IF(INDEX([1]Historical!$N$7:$N$1222,MATCH(B11,[1]Historical!$B$7:$B$1253,0))=0,"n/a",((INDEX([1]Historical!$C$7:$C$1231,MATCH(B11,[1]Historical!$B$7:$B$1253,0))/INDEX([1]Historical!$N$7:$N$1222,MATCH(B11,[1]Historical!$B$7:$B$1253,0)))^(1/10)-1)*100)</f>
        <v>3.1009237719209048</v>
      </c>
      <c r="W11" s="163">
        <f t="shared" si="3"/>
        <v>0.92287187997339093</v>
      </c>
      <c r="X11" s="164">
        <f t="shared" si="4"/>
        <v>0.25781579739160576</v>
      </c>
      <c r="Y11" s="181"/>
      <c r="Z11" s="157">
        <f t="shared" si="5"/>
        <v>24.528301886792452</v>
      </c>
      <c r="AA11" s="166">
        <f t="shared" si="6"/>
        <v>13.996855345911948</v>
      </c>
      <c r="AB11" s="126">
        <v>10</v>
      </c>
      <c r="AC11" s="167">
        <v>3.18</v>
      </c>
      <c r="AD11" s="167">
        <v>2.56</v>
      </c>
      <c r="AE11" s="167">
        <v>0.39</v>
      </c>
      <c r="AF11" s="167">
        <v>1.78</v>
      </c>
      <c r="AG11" s="167">
        <v>13.100000000000001</v>
      </c>
      <c r="AH11" s="167">
        <v>2.1999999999999997</v>
      </c>
      <c r="AI11" s="167">
        <v>1.37</v>
      </c>
      <c r="AJ11" s="167">
        <v>11.1</v>
      </c>
      <c r="AK11" s="167">
        <v>5.5100000000000007</v>
      </c>
      <c r="AL11" s="168">
        <v>2940</v>
      </c>
      <c r="AM11" s="169">
        <v>1.0999999999999999</v>
      </c>
      <c r="AN11" s="167">
        <v>0.71</v>
      </c>
      <c r="AO11" s="170">
        <f t="shared" si="7"/>
        <v>-9.3826848072668305</v>
      </c>
      <c r="AP11" s="171">
        <f t="shared" si="8"/>
        <v>4.6141705386451166</v>
      </c>
      <c r="AQ11" s="172">
        <f t="shared" si="9"/>
        <v>5.2286452671794992</v>
      </c>
      <c r="AR11" s="157">
        <f>INDEX([1]Historical!$C$7:$C$1231,MATCH(B11,[1]Historical!$B$7:$B$1253,0))*IF(AH11="n/a",1.03,IF(AH11&lt;0,1.01,IF(AH11&gt;10,1.1,(1+AH11/100))))</f>
        <v>0.77672000000000008</v>
      </c>
      <c r="AS11" s="166">
        <f t="shared" si="10"/>
        <v>0.78736106400000017</v>
      </c>
      <c r="AT11" s="166">
        <f t="shared" si="11"/>
        <v>0.83074465862640012</v>
      </c>
      <c r="AU11" s="166">
        <f t="shared" si="11"/>
        <v>0.87651868931671473</v>
      </c>
      <c r="AV11" s="166">
        <f t="shared" si="11"/>
        <v>0.92481486909806565</v>
      </c>
      <c r="AW11" s="157">
        <f t="shared" si="12"/>
        <v>4.1961592810411812</v>
      </c>
      <c r="AX11" s="173">
        <f t="shared" si="13"/>
        <v>9.4274528893308958</v>
      </c>
      <c r="AY11" s="174">
        <v>1.1200000000000001</v>
      </c>
      <c r="AZ11" s="169">
        <v>18.13</v>
      </c>
      <c r="BA11" s="169">
        <v>-17.57</v>
      </c>
      <c r="BB11" s="169">
        <v>4.47</v>
      </c>
      <c r="BC11" s="169">
        <v>0.47000000000000003</v>
      </c>
      <c r="BE11" s="77">
        <v>1968</v>
      </c>
      <c r="BF11" s="77">
        <f t="shared" si="14"/>
        <v>7</v>
      </c>
      <c r="BG11" s="175">
        <v>4.8</v>
      </c>
      <c r="BH11" t="s">
        <v>939</v>
      </c>
      <c r="BI11" t="s">
        <v>940</v>
      </c>
    </row>
    <row r="12" spans="1:61" ht="11.25" customHeight="1" x14ac:dyDescent="0.2">
      <c r="A12" s="176" t="s">
        <v>1232</v>
      </c>
      <c r="B12" s="153" t="s">
        <v>714</v>
      </c>
      <c r="C12" s="154" t="s">
        <v>90</v>
      </c>
      <c r="D12" s="154" t="s">
        <v>944</v>
      </c>
      <c r="E12" s="155">
        <v>11</v>
      </c>
      <c r="F12" s="298">
        <v>433</v>
      </c>
      <c r="G12" s="298" t="s">
        <v>88</v>
      </c>
      <c r="H12" s="298" t="s">
        <v>88</v>
      </c>
      <c r="I12" s="156">
        <v>13.77</v>
      </c>
      <c r="J12" s="157">
        <f t="shared" si="0"/>
        <v>11.328976034858389</v>
      </c>
      <c r="K12" s="158">
        <v>0.39</v>
      </c>
      <c r="L12" s="126">
        <v>4</v>
      </c>
      <c r="M12" s="82">
        <f t="shared" si="1"/>
        <v>1.56</v>
      </c>
      <c r="N12" s="159" t="s">
        <v>668</v>
      </c>
      <c r="O12" s="160">
        <v>0.38</v>
      </c>
      <c r="P12" s="161">
        <v>44785</v>
      </c>
      <c r="Q12" s="161">
        <v>44804</v>
      </c>
      <c r="R12" s="82">
        <f t="shared" si="2"/>
        <v>2.6315789473684235</v>
      </c>
      <c r="S12" s="162">
        <f>IF(INDEX([1]Historical!$D$7:$D$1229,MATCH(B12,[1]Historical!$B$7:$B$1253,0))=0,"n/a",(INDEX([1]Historical!$C$7:$C$1231,MATCH(B12,[1]Historical!$B$7:$B$1253,0))/INDEX([1]Historical!$D$7:$D$1229,MATCH(B12,[1]Historical!$B$7:$B$1253,0))-1)*100)</f>
        <v>12.195121951219502</v>
      </c>
      <c r="T12" s="162">
        <f>IF(INDEX([1]Historical!$F$7:$F$1222,MATCH(B12,[1]Historical!$B$7:$B$1253,0))=0,"n/a",((INDEX([1]Historical!$C$7:$C$1231,MATCH(B12,[1]Historical!$B$7:$B$1253,0))/INDEX([1]Historical!$F$7:$F$1222,MATCH(B12,[1]Historical!$B$7:$B$1253,0)))^(1/3)-1)*100)</f>
        <v>12.085905216063498</v>
      </c>
      <c r="U12" s="162">
        <f>IF(INDEX([1]Historical!$H$7:$H$1222,MATCH(B12,[1]Historical!$B$7:$B$1253,0))=0,"n/a",((INDEX([1]Historical!$C$7:$C$1231,MATCH(B12,[1]Historical!$B$7:$B$1253,0))/INDEX([1]Historical!$H$7:$H$1222,MATCH(B12,[1]Historical!$B$7:$B$1253,0)))^(1/5)-1)*100)</f>
        <v>17.353887132154821</v>
      </c>
      <c r="V12" s="162" t="str">
        <f>IF(INDEX([1]Historical!$N$7:$N$1222,MATCH(B12,[1]Historical!$B$7:$B$1253,0))=0,"n/a",((INDEX([1]Historical!$C$7:$C$1231,MATCH(B12,[1]Historical!$B$7:$B$1253,0))/INDEX([1]Historical!$N$7:$N$1222,MATCH(B12,[1]Historical!$B$7:$B$1253,0)))^(1/10)-1)*100)</f>
        <v>n/a</v>
      </c>
      <c r="W12" s="163" t="str">
        <f t="shared" si="3"/>
        <v>n/a</v>
      </c>
      <c r="X12" s="164">
        <f t="shared" si="4"/>
        <v>0.86769435660774108</v>
      </c>
      <c r="Y12" s="178"/>
      <c r="Z12" s="157">
        <f t="shared" si="5"/>
        <v>86.666666666666671</v>
      </c>
      <c r="AA12" s="166">
        <f t="shared" si="6"/>
        <v>7.6499999999999995</v>
      </c>
      <c r="AB12" s="126">
        <v>12</v>
      </c>
      <c r="AC12" s="167">
        <v>1.8</v>
      </c>
      <c r="AD12" s="167">
        <v>0.96</v>
      </c>
      <c r="AE12" s="167">
        <v>2.4900000000000002</v>
      </c>
      <c r="AF12" s="167">
        <v>1.05</v>
      </c>
      <c r="AG12" s="167">
        <v>16.3</v>
      </c>
      <c r="AH12" s="167">
        <v>66.7</v>
      </c>
      <c r="AI12" s="167">
        <v>2.27</v>
      </c>
      <c r="AJ12" s="167">
        <v>20</v>
      </c>
      <c r="AK12" s="167">
        <v>8</v>
      </c>
      <c r="AL12" s="168">
        <v>2290</v>
      </c>
      <c r="AM12" s="169">
        <v>1</v>
      </c>
      <c r="AN12" s="167">
        <v>6.67</v>
      </c>
      <c r="AO12" s="170">
        <f t="shared" si="7"/>
        <v>21.032863167013211</v>
      </c>
      <c r="AP12" s="171">
        <f t="shared" si="8"/>
        <v>28.68286316701321</v>
      </c>
      <c r="AQ12" s="172">
        <f t="shared" si="9"/>
        <v>-40.250523014841377</v>
      </c>
      <c r="AR12" s="157">
        <f>INDEX([1]Historical!$C$7:$C$1231,MATCH(B12,[1]Historical!$B$7:$B$1253,0))*IF(AH12="n/a",1.03,IF(AH12&lt;0,1.01,IF(AH12&gt;10,1.1,(1+AH12/100))))</f>
        <v>1.518</v>
      </c>
      <c r="AS12" s="166">
        <f t="shared" si="10"/>
        <v>1.5524586</v>
      </c>
      <c r="AT12" s="166">
        <f t="shared" si="11"/>
        <v>1.6766552880000001</v>
      </c>
      <c r="AU12" s="166">
        <f t="shared" si="11"/>
        <v>1.8107877110400001</v>
      </c>
      <c r="AV12" s="166">
        <f t="shared" si="11"/>
        <v>1.9556507279232003</v>
      </c>
      <c r="AW12" s="157">
        <f t="shared" si="12"/>
        <v>8.5135523269632003</v>
      </c>
      <c r="AX12" s="173">
        <f t="shared" si="13"/>
        <v>61.826814284409593</v>
      </c>
      <c r="AY12" s="174">
        <v>1.87</v>
      </c>
      <c r="AZ12" s="169">
        <v>23.39</v>
      </c>
      <c r="BA12" s="169">
        <v>-33.61</v>
      </c>
      <c r="BB12" s="169">
        <v>1.38</v>
      </c>
      <c r="BC12" s="169">
        <v>-11.91</v>
      </c>
      <c r="BE12" s="77">
        <v>2012</v>
      </c>
      <c r="BF12" s="77">
        <f t="shared" si="14"/>
        <v>1</v>
      </c>
      <c r="BG12" s="175">
        <v>2</v>
      </c>
      <c r="BH12" t="s">
        <v>939</v>
      </c>
      <c r="BI12" t="s">
        <v>945</v>
      </c>
    </row>
    <row r="13" spans="1:61" ht="11.25" customHeight="1" x14ac:dyDescent="0.2">
      <c r="A13" s="112" t="s">
        <v>788</v>
      </c>
      <c r="B13" s="153" t="s">
        <v>789</v>
      </c>
      <c r="C13" s="154" t="s">
        <v>137</v>
      </c>
      <c r="D13" s="154" t="s">
        <v>946</v>
      </c>
      <c r="E13" s="155">
        <v>9</v>
      </c>
      <c r="F13" s="298">
        <v>516</v>
      </c>
      <c r="G13" s="298" t="s">
        <v>30</v>
      </c>
      <c r="H13" s="298" t="s">
        <v>30</v>
      </c>
      <c r="I13" s="156">
        <v>98.94</v>
      </c>
      <c r="J13" s="157">
        <f t="shared" si="0"/>
        <v>1.9001414998989286</v>
      </c>
      <c r="K13" s="158">
        <v>0.47</v>
      </c>
      <c r="L13" s="126">
        <v>4</v>
      </c>
      <c r="M13" s="82">
        <f t="shared" si="1"/>
        <v>1.88</v>
      </c>
      <c r="N13" s="159" t="s">
        <v>89</v>
      </c>
      <c r="O13" s="160">
        <v>0.45</v>
      </c>
      <c r="P13" s="161">
        <v>44574</v>
      </c>
      <c r="Q13" s="161">
        <v>44607</v>
      </c>
      <c r="R13" s="82">
        <f t="shared" si="2"/>
        <v>4.4444444444444366</v>
      </c>
      <c r="S13" s="162">
        <f>IF(INDEX([1]Historical!$D$7:$D$1229,MATCH(B13,[1]Historical!$B$7:$B$1253,0))=0,"n/a",(INDEX([1]Historical!$C$7:$C$1231,MATCH(B13,[1]Historical!$B$7:$B$1253,0))/INDEX([1]Historical!$D$7:$D$1229,MATCH(B13,[1]Historical!$B$7:$B$1253,0))-1)*100)</f>
        <v>25</v>
      </c>
      <c r="T13" s="162">
        <f>IF(INDEX([1]Historical!$F$7:$F$1222,MATCH(B13,[1]Historical!$B$7:$B$1253,0))=0,"n/a",((INDEX([1]Historical!$C$7:$C$1231,MATCH(B13,[1]Historical!$B$7:$B$1253,0))/INDEX([1]Historical!$F$7:$F$1222,MATCH(B13,[1]Historical!$B$7:$B$1253,0)))^(1/3)-1)*100)</f>
        <v>17.134499842861995</v>
      </c>
      <c r="U13" s="162">
        <f>IF(INDEX([1]Historical!$H$7:$H$1222,MATCH(B13,[1]Historical!$B$7:$B$1253,0))=0,"n/a",((INDEX([1]Historical!$C$7:$C$1231,MATCH(B13,[1]Historical!$B$7:$B$1253,0))/INDEX([1]Historical!$H$7:$H$1222,MATCH(B13,[1]Historical!$B$7:$B$1253,0)))^(1/5)-1)*100)</f>
        <v>11.595795704392353</v>
      </c>
      <c r="V13" s="162">
        <f>IF(INDEX([1]Historical!$N$7:$N$1222,MATCH(B13,[1]Historical!$B$7:$B$1253,0))=0,"n/a",((INDEX([1]Historical!$C$7:$C$1231,MATCH(B13,[1]Historical!$B$7:$B$1253,0))/INDEX([1]Historical!$N$7:$N$1222,MATCH(B13,[1]Historical!$B$7:$B$1253,0)))^(1/10)-1)*100)</f>
        <v>7.1534393354706127</v>
      </c>
      <c r="W13" s="163">
        <f t="shared" si="3"/>
        <v>1.6210098612137718</v>
      </c>
      <c r="X13" s="164">
        <f t="shared" si="4"/>
        <v>0.28490898536590553</v>
      </c>
      <c r="Y13" s="165"/>
      <c r="Z13" s="157">
        <f t="shared" si="5"/>
        <v>42.247191011235955</v>
      </c>
      <c r="AA13" s="166">
        <f t="shared" si="6"/>
        <v>22.233707865168537</v>
      </c>
      <c r="AB13" s="126">
        <v>12</v>
      </c>
      <c r="AC13" s="167">
        <v>4.45</v>
      </c>
      <c r="AD13" s="167">
        <v>2.69</v>
      </c>
      <c r="AE13" s="167">
        <v>3.77</v>
      </c>
      <c r="AF13" s="167">
        <v>4.78</v>
      </c>
      <c r="AG13" s="167">
        <v>21.7</v>
      </c>
      <c r="AH13" s="167">
        <v>56.999999999999993</v>
      </c>
      <c r="AI13" s="167">
        <v>-16.16</v>
      </c>
      <c r="AJ13" s="167">
        <v>40.699999999999996</v>
      </c>
      <c r="AK13" s="167">
        <v>8.3000000000000007</v>
      </c>
      <c r="AL13" s="168">
        <v>169750</v>
      </c>
      <c r="AM13" s="169">
        <v>0.5</v>
      </c>
      <c r="AN13" s="167">
        <v>0.46</v>
      </c>
      <c r="AO13" s="170">
        <f t="shared" si="7"/>
        <v>-8.7377706608772545</v>
      </c>
      <c r="AP13" s="171">
        <f t="shared" si="8"/>
        <v>13.495937204291282</v>
      </c>
      <c r="AQ13" s="172">
        <f t="shared" si="9"/>
        <v>117.3344822009569</v>
      </c>
      <c r="AR13" s="157">
        <f>INDEX([1]Historical!$C$7:$C$1231,MATCH(B13,[1]Historical!$B$7:$B$1253,0))*IF(AH13="n/a",1.03,IF(AH13&lt;0,1.01,IF(AH13&gt;10,1.1,(1+AH13/100))))</f>
        <v>1.9800000000000002</v>
      </c>
      <c r="AS13" s="166">
        <f t="shared" si="10"/>
        <v>1.9998000000000002</v>
      </c>
      <c r="AT13" s="166">
        <f t="shared" si="11"/>
        <v>2.1657834</v>
      </c>
      <c r="AU13" s="166">
        <f t="shared" si="11"/>
        <v>2.3455434222</v>
      </c>
      <c r="AV13" s="166">
        <f t="shared" si="11"/>
        <v>2.5402235262425998</v>
      </c>
      <c r="AW13" s="157">
        <f t="shared" si="12"/>
        <v>11.031350348442601</v>
      </c>
      <c r="AX13" s="173">
        <f t="shared" si="13"/>
        <v>11.149535423936326</v>
      </c>
      <c r="AY13" s="174">
        <v>0.69</v>
      </c>
      <c r="AZ13" s="169">
        <v>6.1</v>
      </c>
      <c r="BA13" s="169">
        <v>-30.620000000000005</v>
      </c>
      <c r="BB13" s="169">
        <v>-3.17</v>
      </c>
      <c r="BC13" s="169">
        <v>-11.93</v>
      </c>
      <c r="BE13" s="77">
        <v>2014</v>
      </c>
      <c r="BF13" s="77">
        <f t="shared" si="14"/>
        <v>1</v>
      </c>
      <c r="BG13" s="175">
        <v>10.4</v>
      </c>
      <c r="BH13" t="s">
        <v>939</v>
      </c>
      <c r="BI13" t="s">
        <v>940</v>
      </c>
    </row>
    <row r="14" spans="1:61" ht="11.25" customHeight="1" x14ac:dyDescent="0.2">
      <c r="A14" s="176" t="s">
        <v>105</v>
      </c>
      <c r="B14" s="178" t="s">
        <v>106</v>
      </c>
      <c r="C14" s="154" t="s">
        <v>922</v>
      </c>
      <c r="D14" s="154" t="s">
        <v>949</v>
      </c>
      <c r="E14" s="155">
        <v>18</v>
      </c>
      <c r="F14" s="298">
        <v>227</v>
      </c>
      <c r="G14" s="298" t="s">
        <v>88</v>
      </c>
      <c r="H14" s="298" t="s">
        <v>88</v>
      </c>
      <c r="I14" s="156">
        <v>283.89999999999998</v>
      </c>
      <c r="J14" s="157">
        <f t="shared" si="0"/>
        <v>1.5780204297287781</v>
      </c>
      <c r="K14" s="158">
        <v>1.1200000000000001</v>
      </c>
      <c r="L14" s="126">
        <v>4</v>
      </c>
      <c r="M14" s="82">
        <f t="shared" si="1"/>
        <v>4.4800000000000004</v>
      </c>
      <c r="N14" s="159" t="s">
        <v>167</v>
      </c>
      <c r="O14" s="160">
        <v>0.97</v>
      </c>
      <c r="P14" s="161">
        <v>44846</v>
      </c>
      <c r="Q14" s="161">
        <v>44880</v>
      </c>
      <c r="R14" s="82">
        <f t="shared" si="2"/>
        <v>15.46391752577321</v>
      </c>
      <c r="S14" s="162">
        <f>IF(INDEX([1]Historical!$D$7:$D$1229,MATCH(B14,[1]Historical!$B$7:$B$1253,0))=0,"n/a",(INDEX([1]Historical!$C$7:$C$1231,MATCH(B14,[1]Historical!$B$7:$B$1253,0))/INDEX([1]Historical!$D$7:$D$1229,MATCH(B14,[1]Historical!$B$7:$B$1253,0))-1)*100)</f>
        <v>10.060975609756095</v>
      </c>
      <c r="T14" s="162">
        <f>IF(INDEX([1]Historical!$F$7:$F$1222,MATCH(B14,[1]Historical!$B$7:$B$1253,0))=0,"n/a",((INDEX([1]Historical!$C$7:$C$1231,MATCH(B14,[1]Historical!$B$7:$B$1253,0))/INDEX([1]Historical!$F$7:$F$1222,MATCH(B14,[1]Historical!$B$7:$B$1253,0)))^(1/3)-1)*100)</f>
        <v>8.9685067401780838</v>
      </c>
      <c r="U14" s="162">
        <f>IF(INDEX([1]Historical!$H$7:$H$1222,MATCH(B14,[1]Historical!$B$7:$B$1253,0))=0,"n/a",((INDEX([1]Historical!$C$7:$C$1231,MATCH(B14,[1]Historical!$B$7:$B$1253,0))/INDEX([1]Historical!$H$7:$H$1222,MATCH(B14,[1]Historical!$B$7:$B$1253,0)))^(1/5)-1)*100)</f>
        <v>9.33999366740521</v>
      </c>
      <c r="V14" s="162">
        <f>IF(INDEX([1]Historical!$N$7:$N$1222,MATCH(B14,[1]Historical!$B$7:$B$1253,0))=0,"n/a",((INDEX([1]Historical!$C$7:$C$1231,MATCH(B14,[1]Historical!$B$7:$B$1253,0))/INDEX([1]Historical!$N$7:$N$1222,MATCH(B14,[1]Historical!$B$7:$B$1253,0)))^(1/10)-1)*100)</f>
        <v>12.366141475648185</v>
      </c>
      <c r="W14" s="163">
        <f t="shared" si="3"/>
        <v>0.75528762838415153</v>
      </c>
      <c r="X14" s="164">
        <f t="shared" si="4"/>
        <v>0.64413749430380762</v>
      </c>
      <c r="Y14" s="178" t="s">
        <v>701</v>
      </c>
      <c r="Z14" s="157">
        <f t="shared" si="5"/>
        <v>41.830065359477125</v>
      </c>
      <c r="AA14" s="166">
        <f t="shared" si="6"/>
        <v>26.507936507936503</v>
      </c>
      <c r="AB14" s="126">
        <v>8</v>
      </c>
      <c r="AC14" s="167">
        <v>10.71</v>
      </c>
      <c r="AD14" s="167">
        <v>2.41</v>
      </c>
      <c r="AE14" s="167">
        <v>3.01</v>
      </c>
      <c r="AF14" s="167">
        <v>8.23</v>
      </c>
      <c r="AG14" s="167">
        <v>32.6</v>
      </c>
      <c r="AH14" s="167">
        <v>17</v>
      </c>
      <c r="AI14" s="167">
        <v>10.9</v>
      </c>
      <c r="AJ14" s="167">
        <v>14.499999999999998</v>
      </c>
      <c r="AK14" s="167">
        <v>11.16</v>
      </c>
      <c r="AL14" s="168">
        <v>185370</v>
      </c>
      <c r="AM14" s="169">
        <v>0.1</v>
      </c>
      <c r="AN14" s="167">
        <v>0</v>
      </c>
      <c r="AO14" s="170">
        <f t="shared" si="7"/>
        <v>-15.589922410802515</v>
      </c>
      <c r="AP14" s="171">
        <f t="shared" si="8"/>
        <v>10.918014097133987</v>
      </c>
      <c r="AQ14" s="172">
        <f t="shared" si="9"/>
        <v>211.3842338550146</v>
      </c>
      <c r="AR14" s="157">
        <f>INDEX([1]Historical!$C$7:$C$1231,MATCH(B14,[1]Historical!$B$7:$B$1253,0))*IF(AH14="n/a",1.03,IF(AH14&lt;0,1.01,IF(AH14&gt;10,1.1,(1+AH14/100))))</f>
        <v>3.9710000000000001</v>
      </c>
      <c r="AS14" s="166">
        <f t="shared" si="10"/>
        <v>4.3681000000000001</v>
      </c>
      <c r="AT14" s="166">
        <f t="shared" si="11"/>
        <v>4.8049100000000005</v>
      </c>
      <c r="AU14" s="166">
        <f t="shared" si="11"/>
        <v>5.2854010000000011</v>
      </c>
      <c r="AV14" s="166">
        <f t="shared" si="11"/>
        <v>5.8139411000000019</v>
      </c>
      <c r="AW14" s="157">
        <f t="shared" si="12"/>
        <v>24.243352100000003</v>
      </c>
      <c r="AX14" s="173">
        <f t="shared" si="13"/>
        <v>8.539398414934837</v>
      </c>
      <c r="AY14" s="174">
        <v>1.21</v>
      </c>
      <c r="AZ14" s="169">
        <v>16.86</v>
      </c>
      <c r="BA14" s="169">
        <v>-31.979999999999997</v>
      </c>
      <c r="BB14" s="169">
        <v>2.8000000000000003</v>
      </c>
      <c r="BC14" s="169">
        <v>-5.82</v>
      </c>
      <c r="BE14" s="77">
        <v>2006</v>
      </c>
      <c r="BF14" s="77">
        <f t="shared" si="14"/>
        <v>2</v>
      </c>
      <c r="BG14" s="175">
        <v>15.2</v>
      </c>
      <c r="BH14" t="s">
        <v>939</v>
      </c>
      <c r="BI14" t="s">
        <v>940</v>
      </c>
    </row>
    <row r="15" spans="1:61" ht="11.25" customHeight="1" x14ac:dyDescent="0.2">
      <c r="A15" s="112" t="s">
        <v>1233</v>
      </c>
      <c r="B15" s="153" t="s">
        <v>746</v>
      </c>
      <c r="C15" s="154" t="s">
        <v>947</v>
      </c>
      <c r="D15" s="154" t="s">
        <v>948</v>
      </c>
      <c r="E15" s="155">
        <v>10</v>
      </c>
      <c r="F15" s="298">
        <v>487</v>
      </c>
      <c r="G15" s="298" t="s">
        <v>30</v>
      </c>
      <c r="H15" s="298" t="s">
        <v>30</v>
      </c>
      <c r="I15" s="156">
        <v>68.7</v>
      </c>
      <c r="J15" s="157">
        <f t="shared" si="0"/>
        <v>4.1921397379912664</v>
      </c>
      <c r="K15" s="158">
        <v>0.24</v>
      </c>
      <c r="L15" s="126">
        <v>12</v>
      </c>
      <c r="M15" s="82">
        <f t="shared" si="1"/>
        <v>2.88</v>
      </c>
      <c r="N15" s="159" t="s">
        <v>453</v>
      </c>
      <c r="O15" s="160">
        <v>0.23400000000000001</v>
      </c>
      <c r="P15" s="161">
        <v>44862</v>
      </c>
      <c r="Q15" s="161">
        <v>44879</v>
      </c>
      <c r="R15" s="82">
        <f t="shared" si="2"/>
        <v>2.5641025641025541</v>
      </c>
      <c r="S15" s="162">
        <f>IF(INDEX([1]Historical!$D$7:$D$1229,MATCH(B15,[1]Historical!$B$7:$B$1253,0))=0,"n/a",(INDEX([1]Historical!$C$7:$C$1231,MATCH(B15,[1]Historical!$B$7:$B$1253,0))/INDEX([1]Historical!$D$7:$D$1229,MATCH(B15,[1]Historical!$B$7:$B$1253,0))-1)*100)</f>
        <v>9.0295358649789002</v>
      </c>
      <c r="T15" s="162">
        <f>IF(INDEX([1]Historical!$F$7:$F$1222,MATCH(B15,[1]Historical!$B$7:$B$1253,0))=0,"n/a",((INDEX([1]Historical!$C$7:$C$1231,MATCH(B15,[1]Historical!$B$7:$B$1253,0))/INDEX([1]Historical!$F$7:$F$1222,MATCH(B15,[1]Historical!$B$7:$B$1253,0)))^(1/3)-1)*100)</f>
        <v>6.8199120681563752</v>
      </c>
      <c r="U15" s="162">
        <f>IF(INDEX([1]Historical!$H$7:$H$1222,MATCH(B15,[1]Historical!$B$7:$B$1253,0))=0,"n/a",((INDEX([1]Historical!$C$7:$C$1231,MATCH(B15,[1]Historical!$B$7:$B$1253,0))/INDEX([1]Historical!$H$7:$H$1222,MATCH(B15,[1]Historical!$B$7:$B$1253,0)))^(1/5)-1)*100)</f>
        <v>6.1202479703297508</v>
      </c>
      <c r="V15" s="162">
        <f>IF(INDEX([1]Historical!$N$7:$N$1222,MATCH(B15,[1]Historical!$B$7:$B$1253,0))=0,"n/a",((INDEX([1]Historical!$C$7:$C$1231,MATCH(B15,[1]Historical!$B$7:$B$1253,0))/INDEX([1]Historical!$N$7:$N$1222,MATCH(B15,[1]Historical!$B$7:$B$1253,0)))^(1/10)-1)*100)</f>
        <v>4.2148577085874273</v>
      </c>
      <c r="W15" s="163">
        <f t="shared" si="3"/>
        <v>1.4520651451317672</v>
      </c>
      <c r="X15" s="164" t="str">
        <f t="shared" si="4"/>
        <v>n/a</v>
      </c>
      <c r="Y15" s="165"/>
      <c r="Z15" s="157">
        <f t="shared" si="5"/>
        <v>150</v>
      </c>
      <c r="AA15" s="166">
        <f t="shared" si="6"/>
        <v>35.78125</v>
      </c>
      <c r="AB15" s="126">
        <v>12</v>
      </c>
      <c r="AC15" s="167">
        <v>1.92</v>
      </c>
      <c r="AD15" s="167">
        <v>14.04</v>
      </c>
      <c r="AE15" s="167">
        <v>14.05</v>
      </c>
      <c r="AF15" s="167">
        <v>1.35</v>
      </c>
      <c r="AG15" s="167">
        <v>4</v>
      </c>
      <c r="AH15" s="167">
        <v>2.6</v>
      </c>
      <c r="AI15" s="167">
        <v>4.93</v>
      </c>
      <c r="AJ15" s="167">
        <v>-1.7000000000000002</v>
      </c>
      <c r="AK15" s="167">
        <v>2.5299999999999998</v>
      </c>
      <c r="AL15" s="168">
        <v>5370</v>
      </c>
      <c r="AM15" s="169">
        <v>1.78</v>
      </c>
      <c r="AN15" s="167">
        <v>0.51</v>
      </c>
      <c r="AO15" s="170">
        <f t="shared" si="7"/>
        <v>-25.468862291678981</v>
      </c>
      <c r="AP15" s="171">
        <f t="shared" si="8"/>
        <v>10.312387708321017</v>
      </c>
      <c r="AQ15" s="172">
        <f t="shared" si="9"/>
        <v>46.522182620926067</v>
      </c>
      <c r="AR15" s="157">
        <f>INDEX([1]Historical!$C$7:$C$1231,MATCH(B15,[1]Historical!$B$7:$B$1253,0))*IF(AH15="n/a",1.03,IF(AH15&lt;0,1.01,IF(AH15&gt;10,1.1,(1+AH15/100))))</f>
        <v>2.6511840000000002</v>
      </c>
      <c r="AS15" s="166">
        <f t="shared" si="10"/>
        <v>2.7818873711999998</v>
      </c>
      <c r="AT15" s="166">
        <f t="shared" si="11"/>
        <v>2.8522691216913603</v>
      </c>
      <c r="AU15" s="166">
        <f t="shared" si="11"/>
        <v>2.924431530470152</v>
      </c>
      <c r="AV15" s="166">
        <f t="shared" si="11"/>
        <v>2.9984196481910472</v>
      </c>
      <c r="AW15" s="157">
        <f t="shared" si="12"/>
        <v>14.20819167155256</v>
      </c>
      <c r="AX15" s="173">
        <f t="shared" si="13"/>
        <v>20.681501705316681</v>
      </c>
      <c r="AY15" s="174">
        <v>0.46</v>
      </c>
      <c r="AZ15" s="169">
        <v>11.49</v>
      </c>
      <c r="BA15" s="169">
        <v>-14.59</v>
      </c>
      <c r="BB15" s="169">
        <v>-2.5499999999999998</v>
      </c>
      <c r="BC15" s="169">
        <v>-1.17</v>
      </c>
      <c r="BE15" s="77">
        <v>2013</v>
      </c>
      <c r="BF15" s="77">
        <f t="shared" si="14"/>
        <v>1</v>
      </c>
      <c r="BG15" s="175">
        <v>2.5</v>
      </c>
      <c r="BH15" t="s">
        <v>939</v>
      </c>
      <c r="BI15" t="s">
        <v>945</v>
      </c>
    </row>
    <row r="16" spans="1:61" ht="11.25" customHeight="1" x14ac:dyDescent="0.2">
      <c r="A16" s="176" t="s">
        <v>1234</v>
      </c>
      <c r="B16" s="153" t="s">
        <v>139</v>
      </c>
      <c r="C16" s="154" t="s">
        <v>922</v>
      </c>
      <c r="D16" s="154" t="s">
        <v>950</v>
      </c>
      <c r="E16" s="155">
        <v>20</v>
      </c>
      <c r="F16" s="298">
        <v>174</v>
      </c>
      <c r="G16" s="298" t="s">
        <v>88</v>
      </c>
      <c r="H16" s="298" t="s">
        <v>88</v>
      </c>
      <c r="I16" s="156">
        <v>142.62</v>
      </c>
      <c r="J16" s="157">
        <f t="shared" si="0"/>
        <v>2.1315383536670875</v>
      </c>
      <c r="K16" s="158">
        <v>0.76</v>
      </c>
      <c r="L16" s="126">
        <v>4</v>
      </c>
      <c r="M16" s="82">
        <f t="shared" si="1"/>
        <v>3.04</v>
      </c>
      <c r="N16" s="159" t="s">
        <v>231</v>
      </c>
      <c r="O16" s="160">
        <v>0.69</v>
      </c>
      <c r="P16" s="161">
        <v>44616</v>
      </c>
      <c r="Q16" s="161">
        <v>44628</v>
      </c>
      <c r="R16" s="82">
        <f t="shared" si="2"/>
        <v>10.144927536231894</v>
      </c>
      <c r="S16" s="162">
        <f>IF(INDEX([1]Historical!$D$7:$D$1229,MATCH(B16,[1]Historical!$B$7:$B$1253,0))=0,"n/a",(INDEX([1]Historical!$C$7:$C$1231,MATCH(B16,[1]Historical!$B$7:$B$1253,0))/INDEX([1]Historical!$D$7:$D$1229,MATCH(B16,[1]Historical!$B$7:$B$1253,0))-1)*100)</f>
        <v>11.290322580645151</v>
      </c>
      <c r="T16" s="162">
        <f>IF(INDEX([1]Historical!$F$7:$F$1222,MATCH(B16,[1]Historical!$B$7:$B$1253,0))=0,"n/a",((INDEX([1]Historical!$C$7:$C$1231,MATCH(B16,[1]Historical!$B$7:$B$1253,0))/INDEX([1]Historical!$F$7:$F$1222,MATCH(B16,[1]Historical!$B$7:$B$1253,0)))^(1/3)-1)*100)</f>
        <v>12.858935886850031</v>
      </c>
      <c r="U16" s="162">
        <f>IF(INDEX([1]Historical!$H$7:$H$1222,MATCH(B16,[1]Historical!$B$7:$B$1253,0))=0,"n/a",((INDEX([1]Historical!$C$7:$C$1231,MATCH(B16,[1]Historical!$B$7:$B$1253,0))/INDEX([1]Historical!$H$7:$H$1222,MATCH(B16,[1]Historical!$B$7:$B$1253,0)))^(1/5)-1)*100)</f>
        <v>10.438362870438155</v>
      </c>
      <c r="V16" s="162">
        <f>IF(INDEX([1]Historical!$N$7:$N$1222,MATCH(B16,[1]Historical!$B$7:$B$1253,0))=0,"n/a",((INDEX([1]Historical!$C$7:$C$1231,MATCH(B16,[1]Historical!$B$7:$B$1253,0))/INDEX([1]Historical!$N$7:$N$1222,MATCH(B16,[1]Historical!$B$7:$B$1253,0)))^(1/10)-1)*100)</f>
        <v>11.023198470929074</v>
      </c>
      <c r="W16" s="163">
        <f t="shared" si="3"/>
        <v>0.94694501763410355</v>
      </c>
      <c r="X16" s="164">
        <f t="shared" si="4"/>
        <v>2.2209282703059903</v>
      </c>
      <c r="Y16" s="153"/>
      <c r="Z16" s="157">
        <f t="shared" si="5"/>
        <v>84.21052631578948</v>
      </c>
      <c r="AA16" s="166">
        <f t="shared" si="6"/>
        <v>39.506925207756233</v>
      </c>
      <c r="AB16" s="126">
        <v>10</v>
      </c>
      <c r="AC16" s="167">
        <v>3.61</v>
      </c>
      <c r="AD16" s="167">
        <v>2.73</v>
      </c>
      <c r="AE16" s="167">
        <v>6.52</v>
      </c>
      <c r="AF16" s="167">
        <v>2.04</v>
      </c>
      <c r="AG16" s="167">
        <v>5.0999999999999996</v>
      </c>
      <c r="AH16" s="167">
        <v>5.6000000000000005</v>
      </c>
      <c r="AI16" s="167">
        <v>0.8</v>
      </c>
      <c r="AJ16" s="167">
        <v>4.7</v>
      </c>
      <c r="AK16" s="167">
        <v>14.680000000000001</v>
      </c>
      <c r="AL16" s="168">
        <v>72360</v>
      </c>
      <c r="AM16" s="169">
        <v>0.91999999999999993</v>
      </c>
      <c r="AN16" s="167">
        <v>0.17</v>
      </c>
      <c r="AO16" s="170">
        <f t="shared" si="7"/>
        <v>-26.937023983650988</v>
      </c>
      <c r="AP16" s="171">
        <f t="shared" si="8"/>
        <v>12.569901224105243</v>
      </c>
      <c r="AQ16" s="172">
        <f t="shared" si="9"/>
        <v>89.260699006332686</v>
      </c>
      <c r="AR16" s="157">
        <f>INDEX([1]Historical!$C$7:$C$1231,MATCH(B16,[1]Historical!$B$7:$B$1253,0))*IF(AH16="n/a",1.03,IF(AH16&lt;0,1.01,IF(AH16&gt;10,1.1,(1+AH16/100))))</f>
        <v>2.9145599999999998</v>
      </c>
      <c r="AS16" s="166">
        <f t="shared" si="10"/>
        <v>2.9378764799999999</v>
      </c>
      <c r="AT16" s="166">
        <f t="shared" si="11"/>
        <v>3.2316641280000002</v>
      </c>
      <c r="AU16" s="166">
        <f t="shared" si="11"/>
        <v>3.5548305408000007</v>
      </c>
      <c r="AV16" s="166">
        <f t="shared" si="11"/>
        <v>3.9103135948800012</v>
      </c>
      <c r="AW16" s="157">
        <f t="shared" si="12"/>
        <v>16.549244743680003</v>
      </c>
      <c r="AX16" s="173">
        <f t="shared" si="13"/>
        <v>11.60373351821624</v>
      </c>
      <c r="AY16" s="174">
        <v>1.1200000000000001</v>
      </c>
      <c r="AZ16" s="169">
        <v>6.8500000000000005</v>
      </c>
      <c r="BA16" s="169">
        <v>-25.7</v>
      </c>
      <c r="BB16" s="169">
        <v>-3.82</v>
      </c>
      <c r="BC16" s="169">
        <v>-9.19</v>
      </c>
      <c r="BE16" s="77">
        <v>2003</v>
      </c>
      <c r="BF16" s="77">
        <f t="shared" si="14"/>
        <v>2</v>
      </c>
      <c r="BG16" s="175">
        <v>3.6999999999999997</v>
      </c>
      <c r="BH16" t="s">
        <v>939</v>
      </c>
      <c r="BI16" t="s">
        <v>940</v>
      </c>
    </row>
    <row r="17" spans="1:64" ht="11.25" customHeight="1" x14ac:dyDescent="0.2">
      <c r="A17" s="112" t="s">
        <v>1235</v>
      </c>
      <c r="B17" s="153" t="s">
        <v>146</v>
      </c>
      <c r="C17" s="154" t="s">
        <v>127</v>
      </c>
      <c r="D17" s="154" t="s">
        <v>951</v>
      </c>
      <c r="E17" s="155">
        <v>47</v>
      </c>
      <c r="F17" s="298">
        <v>53</v>
      </c>
      <c r="G17" s="298" t="s">
        <v>30</v>
      </c>
      <c r="H17" s="298" t="s">
        <v>104</v>
      </c>
      <c r="I17" s="167">
        <v>96.98</v>
      </c>
      <c r="J17" s="157">
        <f t="shared" si="0"/>
        <v>1.6498247061249742</v>
      </c>
      <c r="K17" s="158">
        <v>0.4</v>
      </c>
      <c r="L17" s="126">
        <v>4</v>
      </c>
      <c r="M17" s="82">
        <f t="shared" si="1"/>
        <v>1.6</v>
      </c>
      <c r="N17" s="159" t="s">
        <v>147</v>
      </c>
      <c r="O17" s="160">
        <v>0.37</v>
      </c>
      <c r="P17" s="161">
        <v>44599</v>
      </c>
      <c r="Q17" s="161">
        <v>44621</v>
      </c>
      <c r="R17" s="82">
        <f t="shared" si="2"/>
        <v>8.1081081081081159</v>
      </c>
      <c r="S17" s="162">
        <f>IF(INDEX([1]Historical!$D$7:$D$1229,MATCH(B17,[1]Historical!$B$7:$B$1253,0))=0,"n/a",(INDEX([1]Historical!$C$7:$C$1231,MATCH(B17,[1]Historical!$B$7:$B$1253,0))/INDEX([1]Historical!$D$7:$D$1229,MATCH(B17,[1]Historical!$B$7:$B$1253,0))-1)*100)</f>
        <v>2.7777777777777901</v>
      </c>
      <c r="T17" s="162">
        <f>IF(INDEX([1]Historical!$F$7:$F$1222,MATCH(B17,[1]Historical!$B$7:$B$1253,0))=0,"n/a",((INDEX([1]Historical!$C$7:$C$1231,MATCH(B17,[1]Historical!$B$7:$B$1253,0))/INDEX([1]Historical!$F$7:$F$1222,MATCH(B17,[1]Historical!$B$7:$B$1253,0)))^(1/3)-1)*100)</f>
        <v>3.3678870711322473</v>
      </c>
      <c r="U17" s="162">
        <f>IF(INDEX([1]Historical!$H$7:$H$1222,MATCH(B17,[1]Historical!$B$7:$B$1253,0))=0,"n/a",((INDEX([1]Historical!$C$7:$C$1231,MATCH(B17,[1]Historical!$B$7:$B$1253,0))/INDEX([1]Historical!$H$7:$H$1222,MATCH(B17,[1]Historical!$B$7:$B$1253,0)))^(1/5)-1)*100)</f>
        <v>4.2836189040638795</v>
      </c>
      <c r="V17" s="162">
        <f>IF(INDEX([1]Historical!$N$7:$N$1222,MATCH(B17,[1]Historical!$B$7:$B$1253,0))=0,"n/a",((INDEX([1]Historical!$C$7:$C$1231,MATCH(B17,[1]Historical!$B$7:$B$1253,0))/INDEX([1]Historical!$N$7:$N$1222,MATCH(B17,[1]Historical!$B$7:$B$1253,0)))^(1/10)-1)*100)</f>
        <v>8.493080754641591</v>
      </c>
      <c r="W17" s="163">
        <f t="shared" si="3"/>
        <v>0.50436573344988156</v>
      </c>
      <c r="X17" s="164">
        <f t="shared" si="4"/>
        <v>0.24904761070138834</v>
      </c>
      <c r="Y17" s="178"/>
      <c r="Z17" s="157">
        <f t="shared" si="5"/>
        <v>22.068965517241381</v>
      </c>
      <c r="AA17" s="166">
        <f t="shared" si="6"/>
        <v>13.376551724137931</v>
      </c>
      <c r="AB17" s="126">
        <v>6</v>
      </c>
      <c r="AC17" s="167">
        <v>7.25</v>
      </c>
      <c r="AD17" s="167">
        <v>1.47</v>
      </c>
      <c r="AE17" s="167">
        <v>0.52</v>
      </c>
      <c r="AF17" s="167">
        <v>2.2200000000000002</v>
      </c>
      <c r="AG17" s="167">
        <v>17.399999999999999</v>
      </c>
      <c r="AH17" s="167">
        <v>52.5</v>
      </c>
      <c r="AI17" s="167">
        <v>-11.469999999999999</v>
      </c>
      <c r="AJ17" s="167">
        <v>17.2</v>
      </c>
      <c r="AK17" s="167">
        <v>8.9</v>
      </c>
      <c r="AL17" s="168">
        <v>51710</v>
      </c>
      <c r="AM17" s="169">
        <v>0.2</v>
      </c>
      <c r="AN17" s="167">
        <v>0.36</v>
      </c>
      <c r="AO17" s="170">
        <f t="shared" si="7"/>
        <v>-7.4431081139490773</v>
      </c>
      <c r="AP17" s="171">
        <f t="shared" si="8"/>
        <v>5.9334436101888537</v>
      </c>
      <c r="AQ17" s="172">
        <f t="shared" si="9"/>
        <v>14.883409164027794</v>
      </c>
      <c r="AR17" s="157">
        <f>INDEX([1]Historical!$C$7:$C$1231,MATCH(B17,[1]Historical!$B$7:$B$1253,0))*IF(AH17="n/a",1.03,IF(AH17&lt;0,1.01,IF(AH17&gt;10,1.1,(1+AH17/100))))</f>
        <v>1.6280000000000001</v>
      </c>
      <c r="AS17" s="166">
        <f t="shared" si="10"/>
        <v>1.6442800000000002</v>
      </c>
      <c r="AT17" s="166">
        <f t="shared" si="11"/>
        <v>1.7906209200000001</v>
      </c>
      <c r="AU17" s="166">
        <f t="shared" si="11"/>
        <v>1.9499861818799999</v>
      </c>
      <c r="AV17" s="166">
        <f t="shared" si="11"/>
        <v>2.1235349520673199</v>
      </c>
      <c r="AW17" s="157">
        <f t="shared" si="12"/>
        <v>9.1364220539473209</v>
      </c>
      <c r="AX17" s="173">
        <f t="shared" si="13"/>
        <v>9.4209342688671072</v>
      </c>
      <c r="AY17" s="174">
        <v>0.83</v>
      </c>
      <c r="AZ17" s="169">
        <v>56.93</v>
      </c>
      <c r="BA17" s="169">
        <v>-1.92</v>
      </c>
      <c r="BB17" s="169">
        <v>11.42</v>
      </c>
      <c r="BC17" s="169">
        <v>15.989999999999998</v>
      </c>
      <c r="BE17" s="77">
        <v>1976</v>
      </c>
      <c r="BF17" s="77">
        <f t="shared" si="14"/>
        <v>5</v>
      </c>
      <c r="BG17" s="175">
        <v>6.8000000000000007</v>
      </c>
      <c r="BH17" t="s">
        <v>939</v>
      </c>
      <c r="BI17" t="s">
        <v>940</v>
      </c>
    </row>
    <row r="18" spans="1:64" ht="11.25" customHeight="1" x14ac:dyDescent="0.2">
      <c r="A18" s="112" t="s">
        <v>1236</v>
      </c>
      <c r="B18" s="153" t="s">
        <v>158</v>
      </c>
      <c r="C18" s="154" t="s">
        <v>922</v>
      </c>
      <c r="D18" s="154" t="s">
        <v>949</v>
      </c>
      <c r="E18" s="155">
        <v>46</v>
      </c>
      <c r="F18" s="298">
        <v>58</v>
      </c>
      <c r="G18" s="298" t="s">
        <v>30</v>
      </c>
      <c r="H18" s="298" t="s">
        <v>104</v>
      </c>
      <c r="I18" s="167">
        <v>241.7</v>
      </c>
      <c r="J18" s="157">
        <f t="shared" si="0"/>
        <v>1.7211419114604882</v>
      </c>
      <c r="K18" s="158">
        <v>1.04</v>
      </c>
      <c r="L18" s="126">
        <v>4</v>
      </c>
      <c r="M18" s="82">
        <f t="shared" si="1"/>
        <v>4.16</v>
      </c>
      <c r="N18" s="159" t="s">
        <v>121</v>
      </c>
      <c r="O18" s="160">
        <v>0.93</v>
      </c>
      <c r="P18" s="161">
        <v>44539</v>
      </c>
      <c r="Q18" s="161">
        <v>44562</v>
      </c>
      <c r="R18" s="82">
        <f t="shared" si="2"/>
        <v>11.82795698924731</v>
      </c>
      <c r="S18" s="162">
        <f>IF(INDEX([1]Historical!$D$7:$D$1229,MATCH(B18,[1]Historical!$B$7:$B$1253,0))=0,"n/a",(INDEX([1]Historical!$C$7:$C$1231,MATCH(B18,[1]Historical!$B$7:$B$1253,0))/INDEX([1]Historical!$D$7:$D$1229,MATCH(B18,[1]Historical!$B$7:$B$1253,0))-1)*100)</f>
        <v>2.19780219780219</v>
      </c>
      <c r="T18" s="162">
        <f>IF(INDEX([1]Historical!$F$7:$F$1222,MATCH(B18,[1]Historical!$B$7:$B$1253,0))=0,"n/a",((INDEX([1]Historical!$C$7:$C$1231,MATCH(B18,[1]Historical!$B$7:$B$1253,0))/INDEX([1]Historical!$F$7:$F$1222,MATCH(B18,[1]Historical!$B$7:$B$1253,0)))^(1/3)-1)*100)</f>
        <v>12.110512440831279</v>
      </c>
      <c r="U18" s="162">
        <f>IF(INDEX([1]Historical!$H$7:$H$1222,MATCH(B18,[1]Historical!$B$7:$B$1253,0))=0,"n/a",((INDEX([1]Historical!$C$7:$C$1231,MATCH(B18,[1]Historical!$B$7:$B$1253,0))/INDEX([1]Historical!$H$7:$H$1222,MATCH(B18,[1]Historical!$B$7:$B$1253,0)))^(1/5)-1)*100)</f>
        <v>11.902919127544953</v>
      </c>
      <c r="V18" s="162">
        <f>IF(INDEX([1]Historical!$N$7:$N$1222,MATCH(B18,[1]Historical!$B$7:$B$1253,0))=0,"n/a",((INDEX([1]Historical!$C$7:$C$1231,MATCH(B18,[1]Historical!$B$7:$B$1253,0))/INDEX([1]Historical!$N$7:$N$1222,MATCH(B18,[1]Historical!$B$7:$B$1253,0)))^(1/10)-1)*100)</f>
        <v>11.451721807144999</v>
      </c>
      <c r="W18" s="163">
        <f t="shared" si="3"/>
        <v>1.0393999546966328</v>
      </c>
      <c r="X18" s="164">
        <f t="shared" si="4"/>
        <v>0.99190992729541272</v>
      </c>
      <c r="Y18" s="153"/>
      <c r="Z18" s="157">
        <f t="shared" si="5"/>
        <v>57.61772853185596</v>
      </c>
      <c r="AA18" s="166">
        <f t="shared" si="6"/>
        <v>33.476454293628805</v>
      </c>
      <c r="AB18" s="126">
        <v>6</v>
      </c>
      <c r="AC18" s="167">
        <v>7.22</v>
      </c>
      <c r="AD18" s="167">
        <v>2.31</v>
      </c>
      <c r="AE18" s="167">
        <v>5.78</v>
      </c>
      <c r="AF18" s="167">
        <v>31.27</v>
      </c>
      <c r="AG18" s="167">
        <v>64.2</v>
      </c>
      <c r="AH18" s="167">
        <v>15.4</v>
      </c>
      <c r="AI18" s="167">
        <v>11.05</v>
      </c>
      <c r="AJ18" s="167">
        <v>12</v>
      </c>
      <c r="AK18" s="167">
        <v>14.580000000000002</v>
      </c>
      <c r="AL18" s="168">
        <v>97560</v>
      </c>
      <c r="AM18" s="169">
        <v>0.1</v>
      </c>
      <c r="AN18" s="167">
        <v>0.93</v>
      </c>
      <c r="AO18" s="170">
        <f t="shared" si="7"/>
        <v>-19.852393254623365</v>
      </c>
      <c r="AP18" s="171">
        <f t="shared" si="8"/>
        <v>13.624061039005442</v>
      </c>
      <c r="AQ18" s="172">
        <f t="shared" si="9"/>
        <v>582.09113948268532</v>
      </c>
      <c r="AR18" s="157">
        <f>INDEX([1]Historical!$C$7:$C$1231,MATCH(B18,[1]Historical!$B$7:$B$1253,0))*IF(AH18="n/a",1.03,IF(AH18&lt;0,1.01,IF(AH18&gt;10,1.1,(1+AH18/100))))</f>
        <v>4.0920000000000005</v>
      </c>
      <c r="AS18" s="166">
        <f t="shared" si="10"/>
        <v>4.5012000000000008</v>
      </c>
      <c r="AT18" s="166">
        <f t="shared" si="11"/>
        <v>4.9513200000000008</v>
      </c>
      <c r="AU18" s="166">
        <f t="shared" si="11"/>
        <v>5.4464520000000016</v>
      </c>
      <c r="AV18" s="166">
        <f t="shared" si="11"/>
        <v>5.9910972000000022</v>
      </c>
      <c r="AW18" s="157">
        <f t="shared" si="12"/>
        <v>24.982069200000005</v>
      </c>
      <c r="AX18" s="173">
        <f t="shared" si="13"/>
        <v>10.335982292097643</v>
      </c>
      <c r="AY18" s="174">
        <v>0.82</v>
      </c>
      <c r="AZ18" s="169">
        <v>25.72</v>
      </c>
      <c r="BA18" s="169">
        <v>-7.6</v>
      </c>
      <c r="BB18" s="169">
        <v>1.8800000000000001</v>
      </c>
      <c r="BC18" s="169">
        <v>8.14</v>
      </c>
      <c r="BE18" s="77">
        <v>1976</v>
      </c>
      <c r="BF18" s="77">
        <f t="shared" si="14"/>
        <v>5</v>
      </c>
      <c r="BG18" s="175">
        <v>4.5</v>
      </c>
      <c r="BH18" t="s">
        <v>939</v>
      </c>
      <c r="BI18" t="s">
        <v>940</v>
      </c>
    </row>
    <row r="19" spans="1:64" ht="11.25" customHeight="1" x14ac:dyDescent="0.2">
      <c r="A19" s="204" t="s">
        <v>1237</v>
      </c>
      <c r="B19" s="153" t="s">
        <v>952</v>
      </c>
      <c r="C19" s="154" t="s">
        <v>117</v>
      </c>
      <c r="D19" s="154" t="s">
        <v>953</v>
      </c>
      <c r="E19" s="155">
        <v>9</v>
      </c>
      <c r="F19" s="298">
        <v>528</v>
      </c>
      <c r="G19" s="298" t="s">
        <v>88</v>
      </c>
      <c r="H19" s="298" t="s">
        <v>88</v>
      </c>
      <c r="I19" s="156">
        <v>81.52</v>
      </c>
      <c r="J19" s="157">
        <f t="shared" si="0"/>
        <v>2.8949950932286557</v>
      </c>
      <c r="K19" s="158">
        <v>0.59</v>
      </c>
      <c r="L19" s="126">
        <v>4</v>
      </c>
      <c r="M19" s="82">
        <f t="shared" si="1"/>
        <v>2.36</v>
      </c>
      <c r="N19" s="159" t="s">
        <v>119</v>
      </c>
      <c r="O19" s="160">
        <v>0.55000000000000004</v>
      </c>
      <c r="P19" s="161">
        <v>44628</v>
      </c>
      <c r="Q19" s="161">
        <v>44651</v>
      </c>
      <c r="R19" s="82">
        <f t="shared" si="2"/>
        <v>7.2727272727272583</v>
      </c>
      <c r="S19" s="162">
        <f>IF(INDEX([1]Historical!$D$7:$D$1229,MATCH(B19,[1]Historical!$B$7:$B$1253,0))=0,"n/a",(INDEX([1]Historical!$C$7:$C$1231,MATCH(B19,[1]Historical!$B$7:$B$1253,0))/INDEX([1]Historical!$D$7:$D$1229,MATCH(B19,[1]Historical!$B$7:$B$1253,0))-1)*100)</f>
        <v>10.000000000000009</v>
      </c>
      <c r="T19" s="162">
        <f>IF(INDEX([1]Historical!$F$7:$F$1222,MATCH(B19,[1]Historical!$B$7:$B$1253,0))=0,"n/a",((INDEX([1]Historical!$C$7:$C$1231,MATCH(B19,[1]Historical!$B$7:$B$1253,0))/INDEX([1]Historical!$F$7:$F$1222,MATCH(B19,[1]Historical!$B$7:$B$1253,0)))^(1/3)-1)*100)</f>
        <v>5.9935434593527459</v>
      </c>
      <c r="U19" s="162">
        <f>IF(INDEX([1]Historical!$H$7:$H$1222,MATCH(B19,[1]Historical!$B$7:$B$1253,0))=0,"n/a",((INDEX([1]Historical!$C$7:$C$1231,MATCH(B19,[1]Historical!$B$7:$B$1253,0))/INDEX([1]Historical!$H$7:$H$1222,MATCH(B19,[1]Historical!$B$7:$B$1253,0)))^(1/5)-1)*100)</f>
        <v>5.1070171363672978</v>
      </c>
      <c r="V19" s="162">
        <f>IF(INDEX([1]Historical!$N$7:$N$1222,MATCH(B19,[1]Historical!$B$7:$B$1253,0))=0,"n/a",((INDEX([1]Historical!$C$7:$C$1231,MATCH(B19,[1]Historical!$B$7:$B$1253,0))/INDEX([1]Historical!$N$7:$N$1222,MATCH(B19,[1]Historical!$B$7:$B$1253,0)))^(1/10)-1)*100)</f>
        <v>3.5307186749744091</v>
      </c>
      <c r="W19" s="163">
        <f t="shared" si="3"/>
        <v>1.4464525799140069</v>
      </c>
      <c r="X19" s="164">
        <f t="shared" si="4"/>
        <v>0.68093561818230641</v>
      </c>
      <c r="Y19" s="165"/>
      <c r="Z19" s="157">
        <f t="shared" si="5"/>
        <v>60.512820512820511</v>
      </c>
      <c r="AA19" s="166">
        <f t="shared" si="6"/>
        <v>20.902564102564103</v>
      </c>
      <c r="AB19" s="126">
        <v>12</v>
      </c>
      <c r="AC19" s="167">
        <v>3.9</v>
      </c>
      <c r="AD19" s="167">
        <v>3.37</v>
      </c>
      <c r="AE19" s="167">
        <v>2.98</v>
      </c>
      <c r="AF19" s="167">
        <v>2.15</v>
      </c>
      <c r="AG19" s="167">
        <v>10.299999999999999</v>
      </c>
      <c r="AH19" s="167">
        <v>9.7000000000000011</v>
      </c>
      <c r="AI19" s="167">
        <v>7.22</v>
      </c>
      <c r="AJ19" s="167">
        <v>7.5</v>
      </c>
      <c r="AK19" s="167">
        <v>6.2600000000000007</v>
      </c>
      <c r="AL19" s="168">
        <v>20740</v>
      </c>
      <c r="AM19" s="169">
        <v>0.3</v>
      </c>
      <c r="AN19" s="167">
        <v>1.48</v>
      </c>
      <c r="AO19" s="170">
        <f t="shared" si="7"/>
        <v>-12.900551872968149</v>
      </c>
      <c r="AP19" s="171">
        <f t="shared" si="8"/>
        <v>8.0020122295959535</v>
      </c>
      <c r="AQ19" s="172">
        <f t="shared" si="9"/>
        <v>41.327850240358678</v>
      </c>
      <c r="AR19" s="157">
        <f>INDEX([1]Historical!$C$7:$C$1231,MATCH(B19,[1]Historical!$B$7:$B$1253,0))*IF(AH19="n/a",1.03,IF(AH19&lt;0,1.01,IF(AH19&gt;10,1.1,(1+AH19/100))))</f>
        <v>2.4134000000000002</v>
      </c>
      <c r="AS19" s="166">
        <f t="shared" si="10"/>
        <v>2.5876474800000002</v>
      </c>
      <c r="AT19" s="166">
        <f t="shared" si="11"/>
        <v>2.7496342122480004</v>
      </c>
      <c r="AU19" s="166">
        <f t="shared" si="11"/>
        <v>2.9217613139347254</v>
      </c>
      <c r="AV19" s="166">
        <f t="shared" si="11"/>
        <v>3.104663572187039</v>
      </c>
      <c r="AW19" s="157">
        <f t="shared" si="12"/>
        <v>13.777106578369766</v>
      </c>
      <c r="AX19" s="173">
        <f t="shared" si="13"/>
        <v>16.90027794206301</v>
      </c>
      <c r="AY19" s="174">
        <v>0.41</v>
      </c>
      <c r="AZ19" s="169">
        <v>11.24</v>
      </c>
      <c r="BA19" s="169">
        <v>-17.82</v>
      </c>
      <c r="BB19" s="169">
        <v>-6.0600000000000005</v>
      </c>
      <c r="BC19" s="169">
        <v>-8.84</v>
      </c>
      <c r="BE19" s="77">
        <v>2014</v>
      </c>
      <c r="BF19" s="77">
        <f t="shared" si="14"/>
        <v>1</v>
      </c>
      <c r="BG19" s="175">
        <v>2.8000000000000003</v>
      </c>
      <c r="BH19" t="s">
        <v>939</v>
      </c>
      <c r="BI19" t="s">
        <v>940</v>
      </c>
    </row>
    <row r="20" spans="1:64" s="252" customFormat="1" ht="11.25" customHeight="1" x14ac:dyDescent="0.2">
      <c r="A20" s="183" t="s">
        <v>1238</v>
      </c>
      <c r="B20" s="184" t="s">
        <v>128</v>
      </c>
      <c r="C20" s="154" t="s">
        <v>90</v>
      </c>
      <c r="D20" s="154" t="s">
        <v>110</v>
      </c>
      <c r="E20" s="185">
        <v>19</v>
      </c>
      <c r="F20" s="298">
        <v>185</v>
      </c>
      <c r="G20" s="297" t="s">
        <v>88</v>
      </c>
      <c r="H20" s="297" t="s">
        <v>88</v>
      </c>
      <c r="I20" s="186">
        <v>43.08</v>
      </c>
      <c r="J20" s="187">
        <f t="shared" si="0"/>
        <v>0.7892293407613743</v>
      </c>
      <c r="K20" s="188">
        <v>0.34</v>
      </c>
      <c r="L20" s="189">
        <v>1</v>
      </c>
      <c r="M20" s="190">
        <f t="shared" si="1"/>
        <v>0.34</v>
      </c>
      <c r="N20" s="191" t="s">
        <v>129</v>
      </c>
      <c r="O20" s="192">
        <v>0.32</v>
      </c>
      <c r="P20" s="247">
        <v>44526</v>
      </c>
      <c r="Q20" s="247">
        <v>44543</v>
      </c>
      <c r="R20" s="190">
        <f t="shared" si="2"/>
        <v>6.2500000000000053</v>
      </c>
      <c r="S20" s="162">
        <f>IF(INDEX([1]Historical!$D$7:$D$1229,MATCH(B20,[1]Historical!$B$7:$B$1253,0))=0,"n/a",(INDEX([1]Historical!$C$7:$C$1231,MATCH(B20,[1]Historical!$B$7:$B$1253,0))/INDEX([1]Historical!$D$7:$D$1229,MATCH(B20,[1]Historical!$B$7:$B$1253,0))-1)*100)</f>
        <v>6.25</v>
      </c>
      <c r="T20" s="162">
        <f>IF(INDEX([1]Historical!$F$7:$F$1222,MATCH(B20,[1]Historical!$B$7:$B$1253,0))=0,"n/a",((INDEX([1]Historical!$C$7:$C$1231,MATCH(B20,[1]Historical!$B$7:$B$1253,0))/INDEX([1]Historical!$F$7:$F$1222,MATCH(B20,[1]Historical!$B$7:$B$1253,0)))^(1/3)-1)*100)</f>
        <v>6.6858844342181811</v>
      </c>
      <c r="U20" s="162">
        <f>IF(INDEX([1]Historical!$H$7:$H$1222,MATCH(B20,[1]Historical!$B$7:$B$1253,0))=0,"n/a",((INDEX([1]Historical!$C$7:$C$1231,MATCH(B20,[1]Historical!$B$7:$B$1253,0))/INDEX([1]Historical!$H$7:$H$1222,MATCH(B20,[1]Historical!$B$7:$B$1253,0)))^(1/5)-1)*100)</f>
        <v>7.2145025900850923</v>
      </c>
      <c r="V20" s="162">
        <f>IF(INDEX([1]Historical!$N$7:$N$1222,MATCH(B20,[1]Historical!$B$7:$B$1253,0))=0,"n/a",((INDEX([1]Historical!$C$7:$C$1231,MATCH(B20,[1]Historical!$B$7:$B$1253,0))/INDEX([1]Historical!$N$7:$N$1222,MATCH(B20,[1]Historical!$B$7:$B$1253,0)))^(1/10)-1)*100)</f>
        <v>10.97617886603237</v>
      </c>
      <c r="W20" s="163">
        <f t="shared" si="3"/>
        <v>0.65728726528059622</v>
      </c>
      <c r="X20" s="164">
        <f t="shared" si="4"/>
        <v>0.1992956516598092</v>
      </c>
      <c r="Y20" s="221"/>
      <c r="Z20" s="187">
        <f t="shared" si="5"/>
        <v>2.8764805414551611</v>
      </c>
      <c r="AA20" s="194">
        <f t="shared" si="6"/>
        <v>3.6446700507614209</v>
      </c>
      <c r="AB20" s="189">
        <v>12</v>
      </c>
      <c r="AC20" s="195">
        <v>11.82</v>
      </c>
      <c r="AD20" s="195">
        <v>0.14000000000000001</v>
      </c>
      <c r="AE20" s="195">
        <v>1.88</v>
      </c>
      <c r="AF20" s="195">
        <v>1.02</v>
      </c>
      <c r="AG20" s="195">
        <v>20.8</v>
      </c>
      <c r="AH20" s="195">
        <v>-34</v>
      </c>
      <c r="AI20" s="195">
        <v>38.81</v>
      </c>
      <c r="AJ20" s="195">
        <v>36.199999999999996</v>
      </c>
      <c r="AK20" s="195">
        <v>24.94</v>
      </c>
      <c r="AL20" s="196">
        <v>3620</v>
      </c>
      <c r="AM20" s="197">
        <v>14.2</v>
      </c>
      <c r="AN20" s="195">
        <v>0.15</v>
      </c>
      <c r="AO20" s="198">
        <f t="shared" si="7"/>
        <v>4.3590618800850454</v>
      </c>
      <c r="AP20" s="199">
        <f t="shared" si="8"/>
        <v>8.0037319308464667</v>
      </c>
      <c r="AQ20" s="172">
        <f t="shared" si="9"/>
        <v>-59.352116623225704</v>
      </c>
      <c r="AR20" s="157">
        <f>INDEX([1]Historical!$C$7:$C$1231,MATCH(B20,[1]Historical!$B$7:$B$1253,0))*IF(AH20="n/a",1.03,IF(AH20&lt;0,1.01,IF(AH20&gt;10,1.1,(1+AH20/100))))</f>
        <v>0.34340000000000004</v>
      </c>
      <c r="AS20" s="194">
        <f t="shared" si="10"/>
        <v>0.37774000000000008</v>
      </c>
      <c r="AT20" s="194">
        <f t="shared" si="11"/>
        <v>0.41551400000000011</v>
      </c>
      <c r="AU20" s="194">
        <f t="shared" si="11"/>
        <v>0.45706540000000018</v>
      </c>
      <c r="AV20" s="194">
        <f t="shared" si="11"/>
        <v>0.50277194000000025</v>
      </c>
      <c r="AW20" s="187">
        <f t="shared" si="12"/>
        <v>2.0964913400000005</v>
      </c>
      <c r="AX20" s="200">
        <f t="shared" si="13"/>
        <v>4.8665072887650895</v>
      </c>
      <c r="AY20" s="201">
        <v>0.99</v>
      </c>
      <c r="AZ20" s="197">
        <v>35.6</v>
      </c>
      <c r="BA20" s="197">
        <v>-3.17</v>
      </c>
      <c r="BB20" s="197">
        <v>11.61</v>
      </c>
      <c r="BC20" s="197">
        <v>11.52</v>
      </c>
      <c r="BD20" s="202"/>
      <c r="BE20" s="77">
        <v>2005</v>
      </c>
      <c r="BF20" s="77">
        <f t="shared" si="14"/>
        <v>2</v>
      </c>
      <c r="BG20" s="203">
        <v>1.5</v>
      </c>
      <c r="BH20" t="s">
        <v>939</v>
      </c>
      <c r="BI20" t="s">
        <v>940</v>
      </c>
    </row>
    <row r="21" spans="1:64" ht="11.25" customHeight="1" x14ac:dyDescent="0.2">
      <c r="A21" s="205" t="s">
        <v>954</v>
      </c>
      <c r="B21" s="153" t="s">
        <v>955</v>
      </c>
      <c r="C21" s="154" t="s">
        <v>96</v>
      </c>
      <c r="D21" s="154" t="s">
        <v>956</v>
      </c>
      <c r="E21" s="155">
        <v>7</v>
      </c>
      <c r="F21" s="298">
        <v>624</v>
      </c>
      <c r="G21" s="298" t="s">
        <v>88</v>
      </c>
      <c r="H21" s="298" t="s">
        <v>88</v>
      </c>
      <c r="I21" s="156">
        <v>43.96</v>
      </c>
      <c r="J21" s="157">
        <f t="shared" si="0"/>
        <v>3.6396724294813469</v>
      </c>
      <c r="K21" s="158">
        <v>0.4</v>
      </c>
      <c r="L21" s="126">
        <v>4</v>
      </c>
      <c r="M21" s="82">
        <f t="shared" si="1"/>
        <v>1.6</v>
      </c>
      <c r="N21" s="159" t="s">
        <v>677</v>
      </c>
      <c r="O21" s="160">
        <v>0.35</v>
      </c>
      <c r="P21" s="161">
        <v>44624</v>
      </c>
      <c r="Q21" s="161">
        <v>44635</v>
      </c>
      <c r="R21" s="82">
        <f t="shared" si="2"/>
        <v>14.285714285714299</v>
      </c>
      <c r="S21" s="162">
        <f>IF(INDEX([1]Historical!$D$7:$D$1229,MATCH(B21,[1]Historical!$B$7:$B$1253,0))=0,"n/a",(INDEX([1]Historical!$C$7:$C$1231,MATCH(B21,[1]Historical!$B$7:$B$1253,0))/INDEX([1]Historical!$D$7:$D$1229,MATCH(B21,[1]Historical!$B$7:$B$1253,0))-1)*100)</f>
        <v>47.368421052631568</v>
      </c>
      <c r="T21" s="162">
        <f>IF(INDEX([1]Historical!$F$7:$F$1222,MATCH(B21,[1]Historical!$B$7:$B$1253,0))=0,"n/a",((INDEX([1]Historical!$C$7:$C$1231,MATCH(B21,[1]Historical!$B$7:$B$1253,0))/INDEX([1]Historical!$F$7:$F$1222,MATCH(B21,[1]Historical!$B$7:$B$1253,0)))^(1/3)-1)*100)</f>
        <v>47.081636389614935</v>
      </c>
      <c r="U21" s="162">
        <f>IF(INDEX([1]Historical!$H$7:$H$1222,MATCH(B21,[1]Historical!$B$7:$B$1253,0))=0,"n/a",((INDEX([1]Historical!$C$7:$C$1231,MATCH(B21,[1]Historical!$B$7:$B$1253,0))/INDEX([1]Historical!$H$7:$H$1222,MATCH(B21,[1]Historical!$B$7:$B$1253,0)))^(1/5)-1)*100)</f>
        <v>31.20944756784505</v>
      </c>
      <c r="V21" s="162">
        <f>IF(INDEX([1]Historical!$N$7:$N$1222,MATCH(B21,[1]Historical!$B$7:$B$1253,0))=0,"n/a",((INDEX([1]Historical!$C$7:$C$1231,MATCH(B21,[1]Historical!$B$7:$B$1253,0))/INDEX([1]Historical!$N$7:$N$1222,MATCH(B21,[1]Historical!$B$7:$B$1253,0)))^(1/10)-1)*100)</f>
        <v>8.1421018250528618</v>
      </c>
      <c r="W21" s="163">
        <f t="shared" si="3"/>
        <v>3.8330947264519657</v>
      </c>
      <c r="X21" s="164">
        <f t="shared" si="4"/>
        <v>1.209668510381591</v>
      </c>
      <c r="Y21" s="180" t="s">
        <v>1750</v>
      </c>
      <c r="Z21" s="157">
        <f t="shared" si="5"/>
        <v>108.10810810810811</v>
      </c>
      <c r="AA21" s="166">
        <f t="shared" si="6"/>
        <v>29.702702702702705</v>
      </c>
      <c r="AB21" s="126">
        <v>12</v>
      </c>
      <c r="AC21" s="167">
        <v>1.48</v>
      </c>
      <c r="AD21" s="167" t="s">
        <v>95</v>
      </c>
      <c r="AE21" s="167">
        <v>3.86</v>
      </c>
      <c r="AF21" s="167">
        <v>1.28</v>
      </c>
      <c r="AG21" s="167">
        <v>4.2</v>
      </c>
      <c r="AH21" s="167">
        <v>5.4</v>
      </c>
      <c r="AI21" s="167">
        <v>-7.8100000000000005</v>
      </c>
      <c r="AJ21" s="167">
        <v>25.8</v>
      </c>
      <c r="AK21" s="167">
        <v>-8.74</v>
      </c>
      <c r="AL21" s="168">
        <v>20470</v>
      </c>
      <c r="AM21" s="169">
        <v>0.2</v>
      </c>
      <c r="AN21" s="167">
        <v>0.09</v>
      </c>
      <c r="AO21" s="170">
        <f t="shared" si="7"/>
        <v>5.1464172946236921</v>
      </c>
      <c r="AP21" s="171">
        <f t="shared" si="8"/>
        <v>34.849119997326397</v>
      </c>
      <c r="AQ21" s="172">
        <f t="shared" si="9"/>
        <v>29.99052864550378</v>
      </c>
      <c r="AR21" s="157">
        <f>INDEX([1]Historical!$C$7:$C$1231,MATCH(B21,[1]Historical!$B$7:$B$1253,0))*IF(AH21="n/a",1.03,IF(AH21&lt;0,1.01,IF(AH21&gt;10,1.1,(1+AH21/100))))</f>
        <v>1.4756</v>
      </c>
      <c r="AS21" s="166">
        <f t="shared" si="10"/>
        <v>1.490356</v>
      </c>
      <c r="AT21" s="166">
        <f t="shared" si="11"/>
        <v>1.5052595600000001</v>
      </c>
      <c r="AU21" s="166">
        <f t="shared" si="11"/>
        <v>1.5203121556000001</v>
      </c>
      <c r="AV21" s="166">
        <f t="shared" si="11"/>
        <v>1.5355152771560001</v>
      </c>
      <c r="AW21" s="157">
        <f t="shared" si="12"/>
        <v>7.5270429927559999</v>
      </c>
      <c r="AX21" s="173">
        <f t="shared" si="13"/>
        <v>17.122481785159234</v>
      </c>
      <c r="AY21" s="174">
        <v>0.77</v>
      </c>
      <c r="AZ21" s="169">
        <v>19.830000000000002</v>
      </c>
      <c r="BA21" s="169">
        <v>-34.520000000000003</v>
      </c>
      <c r="BB21" s="169">
        <v>3.61</v>
      </c>
      <c r="BC21" s="169">
        <v>-12.01</v>
      </c>
      <c r="BE21" s="77">
        <v>2016</v>
      </c>
      <c r="BF21" s="77">
        <f t="shared" si="14"/>
        <v>1</v>
      </c>
      <c r="BG21" s="175">
        <v>2.8000000000000003</v>
      </c>
      <c r="BH21" t="s">
        <v>939</v>
      </c>
      <c r="BI21" t="s">
        <v>940</v>
      </c>
      <c r="BJ21" s="112"/>
      <c r="BK21" s="112"/>
      <c r="BL21" s="112"/>
    </row>
    <row r="22" spans="1:64" ht="11.25" customHeight="1" x14ac:dyDescent="0.2">
      <c r="A22" s="112" t="s">
        <v>1239</v>
      </c>
      <c r="B22" s="153" t="s">
        <v>519</v>
      </c>
      <c r="C22" s="154" t="s">
        <v>117</v>
      </c>
      <c r="D22" s="154" t="s">
        <v>957</v>
      </c>
      <c r="E22" s="155">
        <v>13</v>
      </c>
      <c r="F22" s="298">
        <v>314</v>
      </c>
      <c r="G22" s="298" t="s">
        <v>30</v>
      </c>
      <c r="H22" s="298" t="s">
        <v>30</v>
      </c>
      <c r="I22" s="156">
        <v>87.92</v>
      </c>
      <c r="J22" s="157">
        <f t="shared" si="0"/>
        <v>3.7761601455868967</v>
      </c>
      <c r="K22" s="158">
        <v>0.83</v>
      </c>
      <c r="L22" s="126">
        <v>4</v>
      </c>
      <c r="M22" s="82">
        <f t="shared" si="1"/>
        <v>3.32</v>
      </c>
      <c r="N22" s="159" t="s">
        <v>251</v>
      </c>
      <c r="O22" s="160">
        <v>0.78</v>
      </c>
      <c r="P22" s="161">
        <v>44874</v>
      </c>
      <c r="Q22" s="161">
        <v>44904</v>
      </c>
      <c r="R22" s="82">
        <f t="shared" si="2"/>
        <v>6.4102564102564017</v>
      </c>
      <c r="S22" s="162">
        <f>IF(INDEX([1]Historical!$D$7:$D$1229,MATCH(B22,[1]Historical!$B$7:$B$1253,0))=0,"n/a",(INDEX([1]Historical!$C$7:$C$1231,MATCH(B22,[1]Historical!$B$7:$B$1253,0))/INDEX([1]Historical!$D$7:$D$1229,MATCH(B22,[1]Historical!$B$7:$B$1253,0))-1)*100)</f>
        <v>5.6338028169014231</v>
      </c>
      <c r="T22" s="162">
        <f>IF(INDEX([1]Historical!$F$7:$F$1222,MATCH(B22,[1]Historical!$B$7:$B$1253,0))=0,"n/a",((INDEX([1]Historical!$C$7:$C$1231,MATCH(B22,[1]Historical!$B$7:$B$1253,0))/INDEX([1]Historical!$F$7:$F$1222,MATCH(B22,[1]Historical!$B$7:$B$1253,0)))^(1/3)-1)*100)</f>
        <v>5.8441625740549341</v>
      </c>
      <c r="U22" s="162">
        <f>IF(INDEX([1]Historical!$H$7:$H$1222,MATCH(B22,[1]Historical!$B$7:$B$1253,0))=0,"n/a",((INDEX([1]Historical!$C$7:$C$1231,MATCH(B22,[1]Historical!$B$7:$B$1253,0))/INDEX([1]Historical!$H$7:$H$1222,MATCH(B22,[1]Historical!$B$7:$B$1253,0)))^(1/5)-1)*100)</f>
        <v>5.7350754450265606</v>
      </c>
      <c r="V22" s="162">
        <f>IF(INDEX([1]Historical!$N$7:$N$1222,MATCH(B22,[1]Historical!$B$7:$B$1253,0))=0,"n/a",((INDEX([1]Historical!$C$7:$C$1231,MATCH(B22,[1]Historical!$B$7:$B$1253,0))/INDEX([1]Historical!$N$7:$N$1222,MATCH(B22,[1]Historical!$B$7:$B$1253,0)))^(1/10)-1)*100)</f>
        <v>4.9530230946253528</v>
      </c>
      <c r="W22" s="163">
        <f t="shared" si="3"/>
        <v>1.157893943852156</v>
      </c>
      <c r="X22" s="164">
        <f t="shared" si="4"/>
        <v>0.1803482844347975</v>
      </c>
      <c r="Y22" s="153"/>
      <c r="Z22" s="157">
        <f t="shared" si="5"/>
        <v>68.879668049792514</v>
      </c>
      <c r="AA22" s="166">
        <f t="shared" si="6"/>
        <v>18.240663900414937</v>
      </c>
      <c r="AB22" s="126">
        <v>12</v>
      </c>
      <c r="AC22" s="167">
        <v>4.82</v>
      </c>
      <c r="AD22" s="167">
        <v>2.98</v>
      </c>
      <c r="AE22" s="167">
        <v>2.38</v>
      </c>
      <c r="AF22" s="167">
        <v>1.89</v>
      </c>
      <c r="AG22" s="167">
        <v>10.4</v>
      </c>
      <c r="AH22" s="167">
        <v>14.6</v>
      </c>
      <c r="AI22" s="167">
        <v>5.66</v>
      </c>
      <c r="AJ22" s="167">
        <v>31.8</v>
      </c>
      <c r="AK22" s="167">
        <v>6.23</v>
      </c>
      <c r="AL22" s="168">
        <v>44790</v>
      </c>
      <c r="AM22" s="169">
        <v>0.1</v>
      </c>
      <c r="AN22" s="167">
        <v>1.55</v>
      </c>
      <c r="AO22" s="170">
        <f t="shared" si="7"/>
        <v>-8.7294283098014791</v>
      </c>
      <c r="AP22" s="171">
        <f t="shared" si="8"/>
        <v>9.5112355906134578</v>
      </c>
      <c r="AQ22" s="172">
        <f t="shared" si="9"/>
        <v>23.782703461947975</v>
      </c>
      <c r="AR22" s="157">
        <f>INDEX([1]Historical!$C$7:$C$1231,MATCH(B22,[1]Historical!$B$7:$B$1253,0))*IF(AH22="n/a",1.03,IF(AH22&lt;0,1.01,IF(AH22&gt;10,1.1,(1+AH22/100))))</f>
        <v>3.3000000000000003</v>
      </c>
      <c r="AS22" s="166">
        <f t="shared" si="10"/>
        <v>3.4867800000000004</v>
      </c>
      <c r="AT22" s="166">
        <f t="shared" si="11"/>
        <v>3.7040063940000008</v>
      </c>
      <c r="AU22" s="166">
        <f t="shared" si="11"/>
        <v>3.9347659923462008</v>
      </c>
      <c r="AV22" s="166">
        <f t="shared" si="11"/>
        <v>4.1799019136693696</v>
      </c>
      <c r="AW22" s="157">
        <f t="shared" si="12"/>
        <v>18.60545430001557</v>
      </c>
      <c r="AX22" s="173">
        <f t="shared" si="13"/>
        <v>21.161799704294324</v>
      </c>
      <c r="AY22" s="174">
        <v>0.41</v>
      </c>
      <c r="AZ22" s="169">
        <v>9.6</v>
      </c>
      <c r="BA22" s="169">
        <v>-16.739999999999998</v>
      </c>
      <c r="BB22" s="169">
        <v>-6.9599999999999991</v>
      </c>
      <c r="BC22" s="169">
        <v>-8.1199999999999992</v>
      </c>
      <c r="BE22" s="77">
        <v>2011</v>
      </c>
      <c r="BF22" s="77">
        <f t="shared" si="14"/>
        <v>1</v>
      </c>
      <c r="BG22" s="175">
        <v>2.7</v>
      </c>
      <c r="BH22" t="s">
        <v>939</v>
      </c>
      <c r="BI22" t="s">
        <v>940</v>
      </c>
    </row>
    <row r="23" spans="1:64" ht="11.25" customHeight="1" x14ac:dyDescent="0.2">
      <c r="A23" s="112" t="s">
        <v>1240</v>
      </c>
      <c r="B23" s="153" t="s">
        <v>661</v>
      </c>
      <c r="C23" s="154" t="s">
        <v>117</v>
      </c>
      <c r="D23" s="154" t="s">
        <v>958</v>
      </c>
      <c r="E23" s="155">
        <v>11</v>
      </c>
      <c r="F23" s="298">
        <v>406</v>
      </c>
      <c r="G23" s="298" t="s">
        <v>88</v>
      </c>
      <c r="H23" s="298" t="s">
        <v>88</v>
      </c>
      <c r="I23" s="156">
        <v>26.16</v>
      </c>
      <c r="J23" s="157">
        <f t="shared" si="0"/>
        <v>2.4159021406727827</v>
      </c>
      <c r="K23" s="158">
        <v>0.158</v>
      </c>
      <c r="L23" s="126">
        <v>4</v>
      </c>
      <c r="M23" s="82">
        <f t="shared" si="1"/>
        <v>0.63200000000000001</v>
      </c>
      <c r="N23" s="159" t="s">
        <v>89</v>
      </c>
      <c r="O23" s="160">
        <v>0.15049999999999999</v>
      </c>
      <c r="P23" s="161">
        <v>44592</v>
      </c>
      <c r="Q23" s="161">
        <v>44607</v>
      </c>
      <c r="R23" s="82">
        <f t="shared" si="2"/>
        <v>4.9833887043189415</v>
      </c>
      <c r="S23" s="162">
        <f>IF(INDEX([1]Historical!$D$7:$D$1229,MATCH(B23,[1]Historical!$B$7:$B$1253,0))=0,"n/a",(INDEX([1]Historical!$C$7:$C$1231,MATCH(B23,[1]Historical!$B$7:$B$1253,0))/INDEX([1]Historical!$D$7:$D$1229,MATCH(B23,[1]Historical!$B$7:$B$1253,0))-1)*100)</f>
        <v>5.0244242847173659</v>
      </c>
      <c r="T23" s="162">
        <f>IF(INDEX([1]Historical!$F$7:$F$1222,MATCH(B23,[1]Historical!$B$7:$B$1253,0))=0,"n/a",((INDEX([1]Historical!$C$7:$C$1231,MATCH(B23,[1]Historical!$B$7:$B$1253,0))/INDEX([1]Historical!$F$7:$F$1222,MATCH(B23,[1]Historical!$B$7:$B$1253,0)))^(1/3)-1)*100)</f>
        <v>5.002034962595947</v>
      </c>
      <c r="U23" s="162">
        <f>IF(INDEX([1]Historical!$H$7:$H$1222,MATCH(B23,[1]Historical!$B$7:$B$1253,0))=0,"n/a",((INDEX([1]Historical!$C$7:$C$1231,MATCH(B23,[1]Historical!$B$7:$B$1253,0))/INDEX([1]Historical!$H$7:$H$1222,MATCH(B23,[1]Historical!$B$7:$B$1253,0)))^(1/5)-1)*100)</f>
        <v>6.4703699137160342</v>
      </c>
      <c r="V23" s="162" t="str">
        <f>IF(INDEX([1]Historical!$N$7:$N$1222,MATCH(B23,[1]Historical!$B$7:$B$1253,0))=0,"n/a",((INDEX([1]Historical!$C$7:$C$1231,MATCH(B23,[1]Historical!$B$7:$B$1253,0))/INDEX([1]Historical!$N$7:$N$1222,MATCH(B23,[1]Historical!$B$7:$B$1253,0)))^(1/10)-1)*100)</f>
        <v>n/a</v>
      </c>
      <c r="W23" s="163" t="str">
        <f t="shared" si="3"/>
        <v>n/a</v>
      </c>
      <c r="X23" s="164">
        <f t="shared" si="4"/>
        <v>1.4772534049579986</v>
      </c>
      <c r="Y23" s="165"/>
      <c r="Z23" s="157" t="str">
        <f t="shared" si="5"/>
        <v>n/a</v>
      </c>
      <c r="AA23" s="166" t="str">
        <f t="shared" si="6"/>
        <v>n/a</v>
      </c>
      <c r="AB23" s="126">
        <v>12</v>
      </c>
      <c r="AC23" s="167">
        <v>-0.74</v>
      </c>
      <c r="AD23" s="167" t="s">
        <v>95</v>
      </c>
      <c r="AE23" s="167">
        <v>1.47</v>
      </c>
      <c r="AF23" s="167">
        <v>8.19</v>
      </c>
      <c r="AG23" s="167">
        <v>-16.100000000000001</v>
      </c>
      <c r="AH23" s="167">
        <v>5.8999999999999995</v>
      </c>
      <c r="AI23" s="167">
        <v>9.2899999999999991</v>
      </c>
      <c r="AJ23" s="167">
        <v>4.38</v>
      </c>
      <c r="AK23" s="167">
        <v>8</v>
      </c>
      <c r="AL23" s="168">
        <v>17210</v>
      </c>
      <c r="AM23" s="169">
        <v>0.33999999999999997</v>
      </c>
      <c r="AN23" s="167">
        <v>9.91</v>
      </c>
      <c r="AO23" s="170" t="str">
        <f t="shared" si="7"/>
        <v>n/a</v>
      </c>
      <c r="AP23" s="171">
        <f t="shared" si="8"/>
        <v>8.886272054388817</v>
      </c>
      <c r="AQ23" s="172" t="str">
        <f t="shared" si="9"/>
        <v>n/a</v>
      </c>
      <c r="AR23" s="157">
        <f>INDEX([1]Historical!$C$7:$C$1231,MATCH(B23,[1]Historical!$B$7:$B$1253,0))*IF(AH23="n/a",1.03,IF(AH23&lt;0,1.01,IF(AH23&gt;10,1.1,(1+AH23/100))))</f>
        <v>0.63751799999999992</v>
      </c>
      <c r="AS23" s="166">
        <f t="shared" si="10"/>
        <v>0.69674342219999985</v>
      </c>
      <c r="AT23" s="166">
        <f t="shared" ref="AT23:AV38" si="15">IF($AK23="n/a",1.03*AS23,IF($AK23&lt;0,1.01*AS23,IF($AK23&gt;10,1.1*AS23,(1+$AK23/100)*AS23)))</f>
        <v>0.75248289597599993</v>
      </c>
      <c r="AU23" s="166">
        <f t="shared" si="15"/>
        <v>0.81268152765407997</v>
      </c>
      <c r="AV23" s="166">
        <f t="shared" si="15"/>
        <v>0.87769604986640648</v>
      </c>
      <c r="AW23" s="157">
        <f t="shared" si="12"/>
        <v>3.777121895696486</v>
      </c>
      <c r="AX23" s="173">
        <f t="shared" si="13"/>
        <v>14.438539356637945</v>
      </c>
      <c r="AY23" s="174">
        <v>0.95</v>
      </c>
      <c r="AZ23" s="169">
        <v>40.489999999999995</v>
      </c>
      <c r="BA23" s="169">
        <v>-5.8500000000000005</v>
      </c>
      <c r="BB23" s="169">
        <v>3.9800000000000004</v>
      </c>
      <c r="BC23" s="169">
        <v>14.299999999999999</v>
      </c>
      <c r="BE23" s="77">
        <v>2012</v>
      </c>
      <c r="BF23" s="77">
        <f t="shared" si="14"/>
        <v>1</v>
      </c>
      <c r="BG23" s="175">
        <v>-1</v>
      </c>
      <c r="BH23" t="s">
        <v>939</v>
      </c>
      <c r="BI23" t="s">
        <v>940</v>
      </c>
    </row>
    <row r="24" spans="1:64" ht="11.25" customHeight="1" x14ac:dyDescent="0.2">
      <c r="A24" s="176" t="s">
        <v>1241</v>
      </c>
      <c r="B24" s="153" t="s">
        <v>130</v>
      </c>
      <c r="C24" s="154" t="s">
        <v>90</v>
      </c>
      <c r="D24" s="154" t="s">
        <v>110</v>
      </c>
      <c r="E24" s="155">
        <v>17</v>
      </c>
      <c r="F24" s="298">
        <v>240</v>
      </c>
      <c r="G24" s="298" t="s">
        <v>88</v>
      </c>
      <c r="H24" s="298" t="s">
        <v>88</v>
      </c>
      <c r="I24" s="156">
        <v>145.11000000000001</v>
      </c>
      <c r="J24" s="157">
        <f t="shared" si="0"/>
        <v>1.7366136034732269</v>
      </c>
      <c r="K24" s="158">
        <v>0.63</v>
      </c>
      <c r="L24" s="126">
        <v>4</v>
      </c>
      <c r="M24" s="82">
        <f t="shared" si="1"/>
        <v>2.52</v>
      </c>
      <c r="N24" s="159" t="s">
        <v>662</v>
      </c>
      <c r="O24" s="160">
        <v>0.56000000000000005</v>
      </c>
      <c r="P24" s="161">
        <v>44847</v>
      </c>
      <c r="Q24" s="161">
        <v>44859</v>
      </c>
      <c r="R24" s="82">
        <f t="shared" si="2"/>
        <v>12.499999999999991</v>
      </c>
      <c r="S24" s="162">
        <f>IF(INDEX([1]Historical!$D$7:$D$1229,MATCH(B24,[1]Historical!$B$7:$B$1253,0))=0,"n/a",(INDEX([1]Historical!$C$7:$C$1231,MATCH(B24,[1]Historical!$B$7:$B$1253,0))/INDEX([1]Historical!$D$7:$D$1229,MATCH(B24,[1]Historical!$B$7:$B$1253,0))-1)*100)</f>
        <v>11.351351351351347</v>
      </c>
      <c r="T24" s="162">
        <f>IF(INDEX([1]Historical!$F$7:$F$1222,MATCH(B24,[1]Historical!$B$7:$B$1253,0))=0,"n/a",((INDEX([1]Historical!$C$7:$C$1231,MATCH(B24,[1]Historical!$B$7:$B$1253,0))/INDEX([1]Historical!$F$7:$F$1222,MATCH(B24,[1]Historical!$B$7:$B$1253,0)))^(1/3)-1)*100)</f>
        <v>12.41727990402941</v>
      </c>
      <c r="U24" s="162">
        <f>IF(INDEX([1]Historical!$H$7:$H$1222,MATCH(B24,[1]Historical!$B$7:$B$1253,0))=0,"n/a",((INDEX([1]Historical!$C$7:$C$1231,MATCH(B24,[1]Historical!$B$7:$B$1253,0))/INDEX([1]Historical!$H$7:$H$1222,MATCH(B24,[1]Historical!$B$7:$B$1253,0)))^(1/5)-1)*100)</f>
        <v>12.316938545946243</v>
      </c>
      <c r="V24" s="162">
        <f>IF(INDEX([1]Historical!$N$7:$N$1222,MATCH(B24,[1]Historical!$B$7:$B$1253,0))=0,"n/a",((INDEX([1]Historical!$C$7:$C$1231,MATCH(B24,[1]Historical!$B$7:$B$1253,0))/INDEX([1]Historical!$N$7:$N$1222,MATCH(B24,[1]Historical!$B$7:$B$1253,0)))^(1/10)-1)*100)</f>
        <v>12.012923875152914</v>
      </c>
      <c r="W24" s="163">
        <f t="shared" si="3"/>
        <v>1.0253073002004234</v>
      </c>
      <c r="X24" s="164">
        <f t="shared" si="4"/>
        <v>1.0710381344301081</v>
      </c>
      <c r="Y24" s="165"/>
      <c r="Z24" s="157">
        <f t="shared" si="5"/>
        <v>20.809248554913296</v>
      </c>
      <c r="AA24" s="166">
        <f t="shared" si="6"/>
        <v>11.982658959537574</v>
      </c>
      <c r="AB24" s="126">
        <v>12</v>
      </c>
      <c r="AC24" s="167">
        <v>12.11</v>
      </c>
      <c r="AD24" s="167">
        <v>4.53</v>
      </c>
      <c r="AE24" s="167">
        <v>1.75</v>
      </c>
      <c r="AF24" s="167">
        <v>3.01</v>
      </c>
      <c r="AG24" s="167">
        <v>21.5</v>
      </c>
      <c r="AH24" s="167">
        <v>246.60000000000002</v>
      </c>
      <c r="AI24" s="167">
        <v>3.16</v>
      </c>
      <c r="AJ24" s="167">
        <v>11.5</v>
      </c>
      <c r="AK24" s="167">
        <v>2.62</v>
      </c>
      <c r="AL24" s="168">
        <v>11590</v>
      </c>
      <c r="AM24" s="169">
        <v>0.4</v>
      </c>
      <c r="AN24" s="167">
        <v>0.38</v>
      </c>
      <c r="AO24" s="170">
        <f t="shared" si="7"/>
        <v>2.0708931898818967</v>
      </c>
      <c r="AP24" s="171">
        <f t="shared" si="8"/>
        <v>14.05355214941947</v>
      </c>
      <c r="AQ24" s="172">
        <f t="shared" si="9"/>
        <v>26.610168923191768</v>
      </c>
      <c r="AR24" s="157">
        <f>INDEX([1]Historical!$C$7:$C$1231,MATCH(B24,[1]Historical!$B$7:$B$1253,0))*IF(AH24="n/a",1.03,IF(AH24&lt;0,1.01,IF(AH24&gt;10,1.1,(1+AH24/100))))</f>
        <v>2.2660000000000005</v>
      </c>
      <c r="AS24" s="166">
        <f t="shared" si="10"/>
        <v>2.3376056000000007</v>
      </c>
      <c r="AT24" s="166">
        <f t="shared" si="15"/>
        <v>2.3988508667200006</v>
      </c>
      <c r="AU24" s="166">
        <f t="shared" si="15"/>
        <v>2.4617007594280644</v>
      </c>
      <c r="AV24" s="166">
        <f t="shared" si="15"/>
        <v>2.5261973193250795</v>
      </c>
      <c r="AW24" s="157">
        <f t="shared" si="12"/>
        <v>11.990354545473146</v>
      </c>
      <c r="AX24" s="173">
        <f t="shared" si="13"/>
        <v>8.2629415929109946</v>
      </c>
      <c r="AY24" s="174">
        <v>0.81</v>
      </c>
      <c r="AZ24" s="169">
        <v>27.150000000000002</v>
      </c>
      <c r="BA24" s="169">
        <v>0.80999999999999994</v>
      </c>
      <c r="BB24" s="169">
        <v>12.2</v>
      </c>
      <c r="BC24" s="169">
        <v>10.199999999999999</v>
      </c>
      <c r="BE24" s="77">
        <v>2007</v>
      </c>
      <c r="BF24" s="77">
        <f t="shared" si="14"/>
        <v>2</v>
      </c>
      <c r="BG24" s="175">
        <v>3.5999999999999996</v>
      </c>
      <c r="BH24" t="s">
        <v>939</v>
      </c>
      <c r="BI24" t="s">
        <v>940</v>
      </c>
    </row>
    <row r="25" spans="1:64" ht="11.25" customHeight="1" x14ac:dyDescent="0.2">
      <c r="A25" s="112" t="s">
        <v>1242</v>
      </c>
      <c r="B25" s="153" t="s">
        <v>114</v>
      </c>
      <c r="C25" s="154" t="s">
        <v>90</v>
      </c>
      <c r="D25" s="154" t="s">
        <v>110</v>
      </c>
      <c r="E25" s="155">
        <v>40</v>
      </c>
      <c r="F25" s="298">
        <v>67</v>
      </c>
      <c r="G25" s="298" t="s">
        <v>30</v>
      </c>
      <c r="H25" s="298" t="s">
        <v>30</v>
      </c>
      <c r="I25" s="167">
        <v>65.11</v>
      </c>
      <c r="J25" s="157">
        <f t="shared" si="0"/>
        <v>2.4573798187682385</v>
      </c>
      <c r="K25" s="158">
        <v>0.4</v>
      </c>
      <c r="L25" s="126">
        <v>4</v>
      </c>
      <c r="M25" s="82">
        <f t="shared" si="1"/>
        <v>1.6</v>
      </c>
      <c r="N25" s="159" t="s">
        <v>116</v>
      </c>
      <c r="O25" s="160">
        <v>0.33</v>
      </c>
      <c r="P25" s="161">
        <v>44607</v>
      </c>
      <c r="Q25" s="161">
        <v>44621</v>
      </c>
      <c r="R25" s="82">
        <f t="shared" si="2"/>
        <v>21.212121212121211</v>
      </c>
      <c r="S25" s="162">
        <f>IF(INDEX([1]Historical!$D$7:$D$1229,MATCH(B25,[1]Historical!$B$7:$B$1253,0))=0,"n/a",(INDEX([1]Historical!$C$7:$C$1231,MATCH(B25,[1]Historical!$B$7:$B$1253,0))/INDEX([1]Historical!$D$7:$D$1229,MATCH(B25,[1]Historical!$B$7:$B$1253,0))-1)*100)</f>
        <v>17.857142857142861</v>
      </c>
      <c r="T25" s="162">
        <f>IF(INDEX([1]Historical!$F$7:$F$1222,MATCH(B25,[1]Historical!$B$7:$B$1253,0))=0,"n/a",((INDEX([1]Historical!$C$7:$C$1231,MATCH(B25,[1]Historical!$B$7:$B$1253,0))/INDEX([1]Historical!$F$7:$F$1222,MATCH(B25,[1]Historical!$B$7:$B$1253,0)))^(1/3)-1)*100)</f>
        <v>8.2713447015707828</v>
      </c>
      <c r="U25" s="162">
        <f>IF(INDEX([1]Historical!$H$7:$H$1222,MATCH(B25,[1]Historical!$B$7:$B$1253,0))=0,"n/a",((INDEX([1]Historical!$C$7:$C$1231,MATCH(B25,[1]Historical!$B$7:$B$1253,0))/INDEX([1]Historical!$H$7:$H$1222,MATCH(B25,[1]Historical!$B$7:$B$1253,0)))^(1/5)-1)*100)</f>
        <v>9.7233775492103991</v>
      </c>
      <c r="V25" s="162">
        <f>IF(INDEX([1]Historical!$N$7:$N$1222,MATCH(B25,[1]Historical!$B$7:$B$1253,0))=0,"n/a",((INDEX([1]Historical!$C$7:$C$1231,MATCH(B25,[1]Historical!$B$7:$B$1253,0))/INDEX([1]Historical!$N$7:$N$1222,MATCH(B25,[1]Historical!$B$7:$B$1253,0)))^(1/10)-1)*100)</f>
        <v>7.9368852824238445</v>
      </c>
      <c r="W25" s="163">
        <f t="shared" si="3"/>
        <v>1.2250873237065332</v>
      </c>
      <c r="X25" s="164">
        <f t="shared" si="4"/>
        <v>0.65698496954124319</v>
      </c>
      <c r="Y25" s="207"/>
      <c r="Z25" s="157">
        <f t="shared" si="5"/>
        <v>24.132730015082959</v>
      </c>
      <c r="AA25" s="166">
        <f t="shared" si="6"/>
        <v>9.8205128205128212</v>
      </c>
      <c r="AB25" s="126">
        <v>12</v>
      </c>
      <c r="AC25" s="167">
        <v>6.63</v>
      </c>
      <c r="AD25" s="167" t="s">
        <v>95</v>
      </c>
      <c r="AE25" s="167">
        <v>1.86</v>
      </c>
      <c r="AF25" s="167">
        <v>1.57</v>
      </c>
      <c r="AG25" s="167">
        <v>14.2</v>
      </c>
      <c r="AH25" s="167">
        <v>-4.2</v>
      </c>
      <c r="AI25" s="167">
        <v>1.22</v>
      </c>
      <c r="AJ25" s="167">
        <v>14.799999999999999</v>
      </c>
      <c r="AK25" s="167">
        <v>-0.26</v>
      </c>
      <c r="AL25" s="168">
        <v>39620</v>
      </c>
      <c r="AM25" s="169">
        <v>0.1</v>
      </c>
      <c r="AN25" s="167">
        <v>0.28000000000000003</v>
      </c>
      <c r="AO25" s="170">
        <f t="shared" si="7"/>
        <v>2.3602445474658165</v>
      </c>
      <c r="AP25" s="171">
        <f t="shared" si="8"/>
        <v>12.180757367978638</v>
      </c>
      <c r="AQ25" s="172">
        <f t="shared" si="9"/>
        <v>-17.219956435529639</v>
      </c>
      <c r="AR25" s="157">
        <f>INDEX([1]Historical!$C$7:$C$1231,MATCH(B25,[1]Historical!$B$7:$B$1253,0))*IF(AH25="n/a",1.03,IF(AH25&lt;0,1.01,IF(AH25&gt;10,1.1,(1+AH25/100))))</f>
        <v>1.3332000000000002</v>
      </c>
      <c r="AS25" s="166">
        <f t="shared" si="10"/>
        <v>1.3494650400000001</v>
      </c>
      <c r="AT25" s="166">
        <f t="shared" si="15"/>
        <v>1.3629596904000001</v>
      </c>
      <c r="AU25" s="166">
        <f t="shared" si="15"/>
        <v>1.3765892873040002</v>
      </c>
      <c r="AV25" s="166">
        <f t="shared" si="15"/>
        <v>1.3903551801770402</v>
      </c>
      <c r="AW25" s="157">
        <f t="shared" si="12"/>
        <v>6.8125691978810403</v>
      </c>
      <c r="AX25" s="173">
        <f t="shared" si="13"/>
        <v>10.463168788021871</v>
      </c>
      <c r="AY25" s="174">
        <v>0.91</v>
      </c>
      <c r="AZ25" s="169">
        <v>25.040000000000003</v>
      </c>
      <c r="BA25" s="169">
        <v>-3.11</v>
      </c>
      <c r="BB25" s="169">
        <v>8.57</v>
      </c>
      <c r="BC25" s="169">
        <v>8.3699999999999992</v>
      </c>
      <c r="BE25" s="77">
        <v>1983</v>
      </c>
      <c r="BF25" s="77">
        <f t="shared" si="14"/>
        <v>4</v>
      </c>
      <c r="BG25" s="175">
        <v>2.9000000000000004</v>
      </c>
      <c r="BH25" t="s">
        <v>939</v>
      </c>
      <c r="BI25" t="s">
        <v>940</v>
      </c>
    </row>
    <row r="26" spans="1:64" ht="11.25" customHeight="1" x14ac:dyDescent="0.2">
      <c r="A26" s="112" t="s">
        <v>1243</v>
      </c>
      <c r="B26" s="153" t="s">
        <v>745</v>
      </c>
      <c r="C26" s="154" t="s">
        <v>94</v>
      </c>
      <c r="D26" s="154" t="s">
        <v>101</v>
      </c>
      <c r="E26" s="155">
        <v>10</v>
      </c>
      <c r="F26" s="298">
        <v>491</v>
      </c>
      <c r="G26" s="298" t="s">
        <v>88</v>
      </c>
      <c r="H26" s="298" t="s">
        <v>88</v>
      </c>
      <c r="I26" s="156">
        <v>124.17</v>
      </c>
      <c r="J26" s="157">
        <f t="shared" si="0"/>
        <v>0.77313360715148582</v>
      </c>
      <c r="K26" s="158">
        <v>0.24</v>
      </c>
      <c r="L26" s="126">
        <v>4</v>
      </c>
      <c r="M26" s="82">
        <f t="shared" si="1"/>
        <v>0.96</v>
      </c>
      <c r="N26" s="159" t="s">
        <v>167</v>
      </c>
      <c r="O26" s="160">
        <v>0.2</v>
      </c>
      <c r="P26" s="161">
        <v>44694</v>
      </c>
      <c r="Q26" s="161">
        <v>44727</v>
      </c>
      <c r="R26" s="82">
        <f t="shared" si="2"/>
        <v>19.999999999999989</v>
      </c>
      <c r="S26" s="162">
        <f>IF(INDEX([1]Historical!$D$7:$D$1229,MATCH(B26,[1]Historical!$B$7:$B$1253,0))=0,"n/a",(INDEX([1]Historical!$C$7:$C$1231,MATCH(B26,[1]Historical!$B$7:$B$1253,0))/INDEX([1]Historical!$D$7:$D$1229,MATCH(B26,[1]Historical!$B$7:$B$1253,0))-1)*100)</f>
        <v>18.75</v>
      </c>
      <c r="T26" s="162">
        <f>IF(INDEX([1]Historical!$F$7:$F$1222,MATCH(B26,[1]Historical!$B$7:$B$1253,0))=0,"n/a",((INDEX([1]Historical!$C$7:$C$1231,MATCH(B26,[1]Historical!$B$7:$B$1253,0))/INDEX([1]Historical!$F$7:$F$1222,MATCH(B26,[1]Historical!$B$7:$B$1253,0)))^(1/3)-1)*100)</f>
        <v>8.1983855523197757</v>
      </c>
      <c r="U26" s="162">
        <f>IF(INDEX([1]Historical!$H$7:$H$1222,MATCH(B26,[1]Historical!$B$7:$B$1253,0))=0,"n/a",((INDEX([1]Historical!$C$7:$C$1231,MATCH(B26,[1]Historical!$B$7:$B$1253,0))/INDEX([1]Historical!$H$7:$H$1222,MATCH(B26,[1]Historical!$B$7:$B$1253,0)))^(1/5)-1)*100)</f>
        <v>7.8852443962371455</v>
      </c>
      <c r="V26" s="162" t="str">
        <f>IF(INDEX([1]Historical!$N$7:$N$1222,MATCH(B26,[1]Historical!$B$7:$B$1253,0))=0,"n/a",((INDEX([1]Historical!$C$7:$C$1231,MATCH(B26,[1]Historical!$B$7:$B$1253,0))/INDEX([1]Historical!$N$7:$N$1222,MATCH(B26,[1]Historical!$B$7:$B$1253,0)))^(1/10)-1)*100)</f>
        <v>n/a</v>
      </c>
      <c r="W26" s="163" t="str">
        <f t="shared" si="3"/>
        <v>n/a</v>
      </c>
      <c r="X26" s="164">
        <f t="shared" si="4"/>
        <v>0.18210726088307497</v>
      </c>
      <c r="Y26" s="180"/>
      <c r="Z26" s="157">
        <f t="shared" si="5"/>
        <v>9.1081593927893731</v>
      </c>
      <c r="AA26" s="166">
        <f t="shared" si="6"/>
        <v>11.780834914611006</v>
      </c>
      <c r="AB26" s="126">
        <v>12</v>
      </c>
      <c r="AC26" s="167">
        <v>10.54</v>
      </c>
      <c r="AD26" s="167">
        <v>1.67</v>
      </c>
      <c r="AE26" s="167">
        <v>0.79</v>
      </c>
      <c r="AF26" s="167">
        <v>2.73</v>
      </c>
      <c r="AG26" s="167">
        <v>23.200000000000003</v>
      </c>
      <c r="AH26" s="167">
        <v>109.7</v>
      </c>
      <c r="AI26" s="167">
        <v>7.5</v>
      </c>
      <c r="AJ26" s="167">
        <v>43.3</v>
      </c>
      <c r="AK26" s="167">
        <v>7.04</v>
      </c>
      <c r="AL26" s="168">
        <v>9050</v>
      </c>
      <c r="AM26" s="169">
        <v>0.5</v>
      </c>
      <c r="AN26" s="167">
        <v>0.69</v>
      </c>
      <c r="AO26" s="170">
        <f t="shared" si="7"/>
        <v>-3.1224569112223755</v>
      </c>
      <c r="AP26" s="171">
        <f t="shared" si="8"/>
        <v>8.6583780033886306</v>
      </c>
      <c r="AQ26" s="172">
        <f t="shared" si="9"/>
        <v>19.557850835462443</v>
      </c>
      <c r="AR26" s="157">
        <f>INDEX([1]Historical!$C$7:$C$1231,MATCH(B26,[1]Historical!$B$7:$B$1253,0))*IF(AH26="n/a",1.03,IF(AH26&lt;0,1.01,IF(AH26&gt;10,1.1,(1+AH26/100))))</f>
        <v>0.83600000000000008</v>
      </c>
      <c r="AS26" s="166">
        <f t="shared" si="10"/>
        <v>0.89870000000000005</v>
      </c>
      <c r="AT26" s="166">
        <f t="shared" si="15"/>
        <v>0.96196848000000013</v>
      </c>
      <c r="AU26" s="166">
        <f t="shared" si="15"/>
        <v>1.0296910609920003</v>
      </c>
      <c r="AV26" s="166">
        <f t="shared" si="15"/>
        <v>1.102181311685837</v>
      </c>
      <c r="AW26" s="157">
        <f t="shared" si="12"/>
        <v>4.8285408526778379</v>
      </c>
      <c r="AX26" s="173">
        <f t="shared" si="13"/>
        <v>3.8886533403220085</v>
      </c>
      <c r="AY26" s="174">
        <v>1.42</v>
      </c>
      <c r="AZ26" s="169">
        <v>40.229999999999997</v>
      </c>
      <c r="BA26" s="169">
        <v>-14.26</v>
      </c>
      <c r="BB26" s="169">
        <v>14.829999999999998</v>
      </c>
      <c r="BC26" s="169">
        <v>7.71</v>
      </c>
      <c r="BE26" s="77">
        <v>2013</v>
      </c>
      <c r="BF26" s="77">
        <f t="shared" si="14"/>
        <v>1</v>
      </c>
      <c r="BG26" s="175">
        <v>8.4</v>
      </c>
      <c r="BH26" t="s">
        <v>939</v>
      </c>
      <c r="BI26" t="s">
        <v>940</v>
      </c>
    </row>
    <row r="27" spans="1:64" s="252" customFormat="1" ht="11.25" customHeight="1" x14ac:dyDescent="0.2">
      <c r="A27" s="183" t="s">
        <v>1244</v>
      </c>
      <c r="B27" s="184" t="s">
        <v>695</v>
      </c>
      <c r="C27" s="154" t="s">
        <v>90</v>
      </c>
      <c r="D27" s="154" t="s">
        <v>959</v>
      </c>
      <c r="E27" s="185">
        <v>11</v>
      </c>
      <c r="F27" s="298">
        <v>414</v>
      </c>
      <c r="G27" s="297" t="s">
        <v>88</v>
      </c>
      <c r="H27" s="297" t="s">
        <v>88</v>
      </c>
      <c r="I27" s="186">
        <v>115.2</v>
      </c>
      <c r="J27" s="187">
        <f t="shared" si="0"/>
        <v>3.2986111111111112</v>
      </c>
      <c r="K27" s="188">
        <v>0.95</v>
      </c>
      <c r="L27" s="189">
        <v>4</v>
      </c>
      <c r="M27" s="190">
        <f t="shared" si="1"/>
        <v>3.8</v>
      </c>
      <c r="N27" s="191" t="s">
        <v>119</v>
      </c>
      <c r="O27" s="192">
        <v>0.88</v>
      </c>
      <c r="P27" s="193">
        <v>44635</v>
      </c>
      <c r="Q27" s="193">
        <v>44651</v>
      </c>
      <c r="R27" s="190">
        <f t="shared" si="2"/>
        <v>7.9545454545454488</v>
      </c>
      <c r="S27" s="162">
        <f>IF(INDEX([1]Historical!$D$7:$D$1229,MATCH(B27,[1]Historical!$B$7:$B$1253,0))=0,"n/a",(INDEX([1]Historical!$C$7:$C$1231,MATCH(B27,[1]Historical!$B$7:$B$1253,0))/INDEX([1]Historical!$D$7:$D$1229,MATCH(B27,[1]Historical!$B$7:$B$1253,0))-1)*100)</f>
        <v>9.9999999999999858</v>
      </c>
      <c r="T27" s="162">
        <f>IF(INDEX([1]Historical!$F$7:$F$1222,MATCH(B27,[1]Historical!$B$7:$B$1253,0))=0,"n/a",((INDEX([1]Historical!$C$7:$C$1231,MATCH(B27,[1]Historical!$B$7:$B$1253,0))/INDEX([1]Historical!$F$7:$F$1222,MATCH(B27,[1]Historical!$B$7:$B$1253,0)))^(1/3)-1)*100)</f>
        <v>14.90834232364584</v>
      </c>
      <c r="U27" s="162">
        <f>IF(INDEX([1]Historical!$H$7:$H$1222,MATCH(B27,[1]Historical!$B$7:$B$1253,0))=0,"n/a",((INDEX([1]Historical!$C$7:$C$1231,MATCH(B27,[1]Historical!$B$7:$B$1253,0))/INDEX([1]Historical!$H$7:$H$1222,MATCH(B27,[1]Historical!$B$7:$B$1253,0)))^(1/5)-1)*100)</f>
        <v>27.615041145487361</v>
      </c>
      <c r="V27" s="162">
        <f>IF(INDEX([1]Historical!$N$7:$N$1222,MATCH(B27,[1]Historical!$B$7:$B$1253,0))=0,"n/a",((INDEX([1]Historical!$C$7:$C$1231,MATCH(B27,[1]Historical!$B$7:$B$1253,0))/INDEX([1]Historical!$N$7:$N$1222,MATCH(B27,[1]Historical!$B$7:$B$1253,0)))^(1/10)-1)*100)</f>
        <v>33.214428750516809</v>
      </c>
      <c r="W27" s="163">
        <f t="shared" si="3"/>
        <v>0.83141701315750238</v>
      </c>
      <c r="X27" s="164">
        <f t="shared" si="4"/>
        <v>2.5808449668679776</v>
      </c>
      <c r="Y27" s="221" t="s">
        <v>696</v>
      </c>
      <c r="Z27" s="187">
        <f t="shared" si="5"/>
        <v>30.744336569579289</v>
      </c>
      <c r="AA27" s="194">
        <f t="shared" si="6"/>
        <v>9.3203883495145643</v>
      </c>
      <c r="AB27" s="189">
        <v>12</v>
      </c>
      <c r="AC27" s="195">
        <v>12.36</v>
      </c>
      <c r="AD27" s="195">
        <v>0.84</v>
      </c>
      <c r="AE27" s="195">
        <v>2.54</v>
      </c>
      <c r="AF27" s="195">
        <v>1.7</v>
      </c>
      <c r="AG27" s="195">
        <v>18.7</v>
      </c>
      <c r="AH27" s="195">
        <v>20</v>
      </c>
      <c r="AI27" s="195">
        <v>10.33</v>
      </c>
      <c r="AJ27" s="195">
        <v>10.7</v>
      </c>
      <c r="AK27" s="195">
        <v>11</v>
      </c>
      <c r="AL27" s="196">
        <v>1200</v>
      </c>
      <c r="AM27" s="197">
        <v>0.89999999999999991</v>
      </c>
      <c r="AN27" s="215">
        <v>33.44</v>
      </c>
      <c r="AO27" s="198">
        <f t="shared" si="7"/>
        <v>21.593263907083909</v>
      </c>
      <c r="AP27" s="199">
        <f t="shared" si="8"/>
        <v>30.913652256598471</v>
      </c>
      <c r="AQ27" s="172">
        <f t="shared" si="9"/>
        <v>-16.082950496272787</v>
      </c>
      <c r="AR27" s="157">
        <f>INDEX([1]Historical!$C$7:$C$1231,MATCH(B27,[1]Historical!$B$7:$B$1253,0))*IF(AH27="n/a",1.03,IF(AH27&lt;0,1.01,IF(AH27&gt;10,1.1,(1+AH27/100))))</f>
        <v>3.8720000000000003</v>
      </c>
      <c r="AS27" s="194">
        <f t="shared" si="10"/>
        <v>4.2592000000000008</v>
      </c>
      <c r="AT27" s="194">
        <f t="shared" si="15"/>
        <v>4.6851200000000013</v>
      </c>
      <c r="AU27" s="194">
        <f t="shared" si="15"/>
        <v>5.1536320000000018</v>
      </c>
      <c r="AV27" s="194">
        <f t="shared" si="15"/>
        <v>5.6689952000000021</v>
      </c>
      <c r="AW27" s="187">
        <f t="shared" si="12"/>
        <v>23.638947200000008</v>
      </c>
      <c r="AX27" s="200">
        <f t="shared" si="13"/>
        <v>20.519919444444451</v>
      </c>
      <c r="AY27" s="201">
        <v>0.97</v>
      </c>
      <c r="AZ27" s="197">
        <v>27.46</v>
      </c>
      <c r="BA27" s="197">
        <v>-15.920000000000002</v>
      </c>
      <c r="BB27" s="197">
        <v>7.85</v>
      </c>
      <c r="BC27" s="197">
        <v>5.4399999999999995</v>
      </c>
      <c r="BD27" s="202"/>
      <c r="BE27" s="77">
        <v>2012</v>
      </c>
      <c r="BF27" s="77">
        <f t="shared" si="14"/>
        <v>1</v>
      </c>
      <c r="BG27" s="203">
        <v>0.5</v>
      </c>
      <c r="BH27" t="s">
        <v>939</v>
      </c>
      <c r="BI27" t="s">
        <v>940</v>
      </c>
    </row>
    <row r="28" spans="1:64" ht="11.25" customHeight="1" x14ac:dyDescent="0.2">
      <c r="A28" s="112" t="s">
        <v>686</v>
      </c>
      <c r="B28" s="153" t="s">
        <v>687</v>
      </c>
      <c r="C28" s="154" t="s">
        <v>90</v>
      </c>
      <c r="D28" s="154" t="s">
        <v>110</v>
      </c>
      <c r="E28" s="155">
        <v>11</v>
      </c>
      <c r="F28" s="298">
        <v>411</v>
      </c>
      <c r="G28" s="298" t="s">
        <v>88</v>
      </c>
      <c r="H28" s="298" t="s">
        <v>88</v>
      </c>
      <c r="I28" s="156">
        <v>59.19</v>
      </c>
      <c r="J28" s="157">
        <f t="shared" si="0"/>
        <v>1.6894745734076702</v>
      </c>
      <c r="K28" s="158">
        <v>0.25</v>
      </c>
      <c r="L28" s="126">
        <v>4</v>
      </c>
      <c r="M28" s="82">
        <f t="shared" si="1"/>
        <v>1</v>
      </c>
      <c r="N28" s="159" t="s">
        <v>668</v>
      </c>
      <c r="O28" s="160">
        <v>0.22</v>
      </c>
      <c r="P28" s="161">
        <v>44628</v>
      </c>
      <c r="Q28" s="161">
        <v>44643</v>
      </c>
      <c r="R28" s="82">
        <f t="shared" si="2"/>
        <v>13.636363636363635</v>
      </c>
      <c r="S28" s="162">
        <f>IF(INDEX([1]Historical!$D$7:$D$1229,MATCH(B28,[1]Historical!$B$7:$B$1253,0))=0,"n/a",(INDEX([1]Historical!$C$7:$C$1231,MATCH(B28,[1]Historical!$B$7:$B$1253,0))/INDEX([1]Historical!$D$7:$D$1229,MATCH(B28,[1]Historical!$B$7:$B$1253,0))-1)*100)</f>
        <v>9.9999999999999858</v>
      </c>
      <c r="T28" s="162">
        <f>IF(INDEX([1]Historical!$F$7:$F$1222,MATCH(B28,[1]Historical!$B$7:$B$1253,0))=0,"n/a",((INDEX([1]Historical!$C$7:$C$1231,MATCH(B28,[1]Historical!$B$7:$B$1253,0))/INDEX([1]Historical!$F$7:$F$1222,MATCH(B28,[1]Historical!$B$7:$B$1253,0)))^(1/3)-1)*100)</f>
        <v>11.199004528465784</v>
      </c>
      <c r="U28" s="162">
        <f>IF(INDEX([1]Historical!$H$7:$H$1222,MATCH(B28,[1]Historical!$B$7:$B$1253,0))=0,"n/a",((INDEX([1]Historical!$C$7:$C$1231,MATCH(B28,[1]Historical!$B$7:$B$1253,0))/INDEX([1]Historical!$H$7:$H$1222,MATCH(B28,[1]Historical!$B$7:$B$1253,0)))^(1/5)-1)*100)</f>
        <v>11.09534595426207</v>
      </c>
      <c r="V28" s="162">
        <f>IF(INDEX([1]Historical!$N$7:$N$1222,MATCH(B28,[1]Historical!$B$7:$B$1253,0))=0,"n/a",((INDEX([1]Historical!$C$7:$C$1231,MATCH(B28,[1]Historical!$B$7:$B$1253,0))/INDEX([1]Historical!$N$7:$N$1222,MATCH(B28,[1]Historical!$B$7:$B$1253,0)))^(1/10)-1)*100)</f>
        <v>17.198220273309573</v>
      </c>
      <c r="W28" s="163">
        <f t="shared" si="3"/>
        <v>0.64514500790999085</v>
      </c>
      <c r="X28" s="164" t="str">
        <f t="shared" si="4"/>
        <v>n/a</v>
      </c>
      <c r="Y28" s="178" t="s">
        <v>195</v>
      </c>
      <c r="Z28" s="157">
        <f t="shared" si="5"/>
        <v>23.696682464454977</v>
      </c>
      <c r="AA28" s="166">
        <f t="shared" si="6"/>
        <v>14.0260663507109</v>
      </c>
      <c r="AB28" s="126">
        <v>12</v>
      </c>
      <c r="AC28" s="167">
        <v>4.22</v>
      </c>
      <c r="AD28" s="167">
        <v>4.63</v>
      </c>
      <c r="AE28" s="167">
        <v>4.63</v>
      </c>
      <c r="AF28" s="167">
        <v>0.71</v>
      </c>
      <c r="AG28" s="167">
        <v>5.0999999999999996</v>
      </c>
      <c r="AH28" s="167">
        <v>25</v>
      </c>
      <c r="AI28" s="167">
        <v>7.12</v>
      </c>
      <c r="AJ28" s="167">
        <v>-4.3999999999999995</v>
      </c>
      <c r="AK28" s="167">
        <v>3</v>
      </c>
      <c r="AL28" s="168">
        <v>3530</v>
      </c>
      <c r="AM28" s="169">
        <v>3.3000000000000003</v>
      </c>
      <c r="AN28" s="167">
        <v>0.32</v>
      </c>
      <c r="AO28" s="170">
        <f t="shared" si="7"/>
        <v>-1.2412458230411598</v>
      </c>
      <c r="AP28" s="171">
        <f t="shared" si="8"/>
        <v>12.784820527669741</v>
      </c>
      <c r="AQ28" s="172">
        <f t="shared" si="9"/>
        <v>-33.471786740077988</v>
      </c>
      <c r="AR28" s="157">
        <f>INDEX([1]Historical!$C$7:$C$1231,MATCH(B28,[1]Historical!$B$7:$B$1253,0))*IF(AH28="n/a",1.03,IF(AH28&lt;0,1.01,IF(AH28&gt;10,1.1,(1+AH28/100))))</f>
        <v>0.96800000000000008</v>
      </c>
      <c r="AS28" s="166">
        <f t="shared" si="10"/>
        <v>1.0369216000000001</v>
      </c>
      <c r="AT28" s="166">
        <f t="shared" si="15"/>
        <v>1.0680292480000002</v>
      </c>
      <c r="AU28" s="166">
        <f t="shared" si="15"/>
        <v>1.1000701254400003</v>
      </c>
      <c r="AV28" s="166">
        <f t="shared" si="15"/>
        <v>1.1330722292032003</v>
      </c>
      <c r="AW28" s="157">
        <f t="shared" si="12"/>
        <v>5.3060932026432006</v>
      </c>
      <c r="AX28" s="173">
        <f t="shared" si="13"/>
        <v>8.9645095499969596</v>
      </c>
      <c r="AY28" s="174">
        <v>1.0900000000000001</v>
      </c>
      <c r="AZ28" s="169">
        <v>31.71</v>
      </c>
      <c r="BA28" s="169">
        <v>-9.879999999999999</v>
      </c>
      <c r="BB28" s="169">
        <v>12.42</v>
      </c>
      <c r="BC28" s="169">
        <v>5.4899999999999993</v>
      </c>
      <c r="BE28" s="77">
        <v>2012</v>
      </c>
      <c r="BF28" s="77">
        <f t="shared" si="14"/>
        <v>1</v>
      </c>
      <c r="BG28" s="175">
        <v>1.7000000000000002</v>
      </c>
      <c r="BH28" t="s">
        <v>939</v>
      </c>
      <c r="BI28" t="s">
        <v>940</v>
      </c>
    </row>
    <row r="29" spans="1:64" ht="11.25" customHeight="1" x14ac:dyDescent="0.2">
      <c r="A29" s="176" t="s">
        <v>960</v>
      </c>
      <c r="B29" s="153" t="s">
        <v>961</v>
      </c>
      <c r="C29" s="154" t="s">
        <v>947</v>
      </c>
      <c r="D29" s="154" t="s">
        <v>948</v>
      </c>
      <c r="E29" s="155">
        <v>12</v>
      </c>
      <c r="F29" s="298">
        <v>335</v>
      </c>
      <c r="G29" s="298" t="s">
        <v>88</v>
      </c>
      <c r="H29" s="298" t="s">
        <v>88</v>
      </c>
      <c r="I29" s="156">
        <v>38.43</v>
      </c>
      <c r="J29" s="157">
        <f t="shared" si="0"/>
        <v>4.6838407494145207</v>
      </c>
      <c r="K29" s="158">
        <v>0.45</v>
      </c>
      <c r="L29" s="126">
        <v>4</v>
      </c>
      <c r="M29" s="82">
        <f t="shared" si="1"/>
        <v>1.8</v>
      </c>
      <c r="N29" s="159" t="s">
        <v>143</v>
      </c>
      <c r="O29" s="160">
        <v>0.44</v>
      </c>
      <c r="P29" s="161">
        <v>44608</v>
      </c>
      <c r="Q29" s="161">
        <v>44617</v>
      </c>
      <c r="R29" s="82">
        <f t="shared" si="2"/>
        <v>2.2727272727272747</v>
      </c>
      <c r="S29" s="162">
        <f>IF(INDEX([1]Historical!$D$7:$D$1229,MATCH(B29,[1]Historical!$B$7:$B$1253,0))=0,"n/a",(INDEX([1]Historical!$C$7:$C$1231,MATCH(B29,[1]Historical!$B$7:$B$1253,0))/INDEX([1]Historical!$D$7:$D$1229,MATCH(B29,[1]Historical!$B$7:$B$1253,0))-1)*100)</f>
        <v>6.0975609756097615</v>
      </c>
      <c r="T29" s="162">
        <f>IF(INDEX([1]Historical!$F$7:$F$1222,MATCH(B29,[1]Historical!$B$7:$B$1253,0))=0,"n/a",((INDEX([1]Historical!$C$7:$C$1231,MATCH(B29,[1]Historical!$B$7:$B$1253,0))/INDEX([1]Historical!$F$7:$F$1222,MATCH(B29,[1]Historical!$B$7:$B$1253,0)))^(1/3)-1)*100)</f>
        <v>4.6088802698113662</v>
      </c>
      <c r="U29" s="162">
        <f>IF(INDEX([1]Historical!$H$7:$H$1222,MATCH(B29,[1]Historical!$B$7:$B$1253,0))=0,"n/a",((INDEX([1]Historical!$C$7:$C$1231,MATCH(B29,[1]Historical!$B$7:$B$1253,0))/INDEX([1]Historical!$H$7:$H$1222,MATCH(B29,[1]Historical!$B$7:$B$1253,0)))^(1/5)-1)*100)</f>
        <v>5.6805496536407318</v>
      </c>
      <c r="V29" s="162">
        <f>IF(INDEX([1]Historical!$N$7:$N$1222,MATCH(B29,[1]Historical!$B$7:$B$1253,0))=0,"n/a",((INDEX([1]Historical!$C$7:$C$1231,MATCH(B29,[1]Historical!$B$7:$B$1253,0))/INDEX([1]Historical!$N$7:$N$1222,MATCH(B29,[1]Historical!$B$7:$B$1253,0)))^(1/10)-1)*100)</f>
        <v>13.744603485364815</v>
      </c>
      <c r="W29" s="163">
        <f t="shared" si="3"/>
        <v>0.41329309060747754</v>
      </c>
      <c r="X29" s="164" t="str">
        <f t="shared" si="4"/>
        <v>n/a</v>
      </c>
      <c r="Y29" s="178"/>
      <c r="Z29" s="157">
        <f t="shared" si="5"/>
        <v>29.605263157894733</v>
      </c>
      <c r="AA29" s="166">
        <f t="shared" si="6"/>
        <v>6.3207236842105265</v>
      </c>
      <c r="AB29" s="126">
        <v>12</v>
      </c>
      <c r="AC29" s="167">
        <v>6.08</v>
      </c>
      <c r="AD29" s="167" t="s">
        <v>95</v>
      </c>
      <c r="AE29" s="167">
        <v>7.68</v>
      </c>
      <c r="AF29" s="167">
        <v>2.79</v>
      </c>
      <c r="AG29" s="167">
        <v>50.4</v>
      </c>
      <c r="AH29" s="179">
        <v>473.09999999999997</v>
      </c>
      <c r="AI29" s="179">
        <v>-81.899999999999991</v>
      </c>
      <c r="AJ29" s="167" t="s">
        <v>95</v>
      </c>
      <c r="AK29" s="167" t="s">
        <v>95</v>
      </c>
      <c r="AL29" s="168">
        <v>5760</v>
      </c>
      <c r="AM29" s="169">
        <v>0.35000000000000003</v>
      </c>
      <c r="AN29" s="167">
        <v>1.58</v>
      </c>
      <c r="AO29" s="170">
        <f t="shared" si="7"/>
        <v>4.0436667188447268</v>
      </c>
      <c r="AP29" s="171">
        <f t="shared" si="8"/>
        <v>10.364390403055253</v>
      </c>
      <c r="AQ29" s="172">
        <f t="shared" si="9"/>
        <v>-11.469229256596591</v>
      </c>
      <c r="AR29" s="157">
        <f>INDEX([1]Historical!$C$7:$C$1231,MATCH(B29,[1]Historical!$B$7:$B$1253,0))*IF(AH29="n/a",1.03,IF(AH29&lt;0,1.01,IF(AH29&gt;10,1.1,(1+AH29/100))))</f>
        <v>1.9140000000000001</v>
      </c>
      <c r="AS29" s="166">
        <f t="shared" si="10"/>
        <v>1.9331400000000001</v>
      </c>
      <c r="AT29" s="166">
        <f t="shared" si="15"/>
        <v>1.9911342000000001</v>
      </c>
      <c r="AU29" s="166">
        <f t="shared" si="15"/>
        <v>2.050868226</v>
      </c>
      <c r="AV29" s="166">
        <f t="shared" si="15"/>
        <v>2.11239427278</v>
      </c>
      <c r="AW29" s="157">
        <f t="shared" si="12"/>
        <v>10.001536698780001</v>
      </c>
      <c r="AX29" s="173">
        <f t="shared" si="13"/>
        <v>26.025336192505854</v>
      </c>
      <c r="AY29" s="174" t="s">
        <v>95</v>
      </c>
      <c r="AZ29" s="169">
        <v>8.25</v>
      </c>
      <c r="BA29" s="169">
        <v>-31.15</v>
      </c>
      <c r="BB29" s="169">
        <v>-3.04</v>
      </c>
      <c r="BC29" s="169">
        <v>-16.18</v>
      </c>
      <c r="BE29" s="77">
        <v>2011</v>
      </c>
      <c r="BF29" s="77">
        <f t="shared" si="14"/>
        <v>1</v>
      </c>
      <c r="BG29" s="175">
        <v>14.899999999999999</v>
      </c>
      <c r="BH29" t="s">
        <v>939</v>
      </c>
      <c r="BI29" t="s">
        <v>945</v>
      </c>
    </row>
    <row r="30" spans="1:64" ht="11.25" customHeight="1" x14ac:dyDescent="0.2">
      <c r="A30" s="112" t="s">
        <v>1245</v>
      </c>
      <c r="B30" s="153" t="s">
        <v>142</v>
      </c>
      <c r="C30" s="154" t="s">
        <v>94</v>
      </c>
      <c r="D30" s="154" t="s">
        <v>962</v>
      </c>
      <c r="E30" s="155">
        <v>13</v>
      </c>
      <c r="F30" s="298">
        <v>276</v>
      </c>
      <c r="G30" s="298" t="s">
        <v>30</v>
      </c>
      <c r="H30" s="298" t="s">
        <v>104</v>
      </c>
      <c r="I30" s="156">
        <v>124.38</v>
      </c>
      <c r="J30" s="157">
        <f t="shared" si="0"/>
        <v>1.0934233799646247</v>
      </c>
      <c r="K30" s="158">
        <v>0.34</v>
      </c>
      <c r="L30" s="126">
        <v>4</v>
      </c>
      <c r="M30" s="82">
        <f t="shared" si="1"/>
        <v>1.36</v>
      </c>
      <c r="N30" s="159" t="s">
        <v>143</v>
      </c>
      <c r="O30" s="160">
        <v>0.33</v>
      </c>
      <c r="P30" s="161">
        <v>44606</v>
      </c>
      <c r="Q30" s="161">
        <v>44620</v>
      </c>
      <c r="R30" s="82">
        <f t="shared" si="2"/>
        <v>3.0303030303030329</v>
      </c>
      <c r="S30" s="162">
        <f>IF(INDEX([1]Historical!$D$7:$D$1229,MATCH(B30,[1]Historical!$B$7:$B$1253,0))=0,"n/a",(INDEX([1]Historical!$C$7:$C$1231,MATCH(B30,[1]Historical!$B$7:$B$1253,0))/INDEX([1]Historical!$D$7:$D$1229,MATCH(B30,[1]Historical!$B$7:$B$1253,0))-1)*100)</f>
        <v>3.125</v>
      </c>
      <c r="T30" s="162">
        <f>IF(INDEX([1]Historical!$F$7:$F$1222,MATCH(B30,[1]Historical!$B$7:$B$1253,0))=0,"n/a",((INDEX([1]Historical!$C$7:$C$1231,MATCH(B30,[1]Historical!$B$7:$B$1253,0))/INDEX([1]Historical!$F$7:$F$1222,MATCH(B30,[1]Historical!$B$7:$B$1253,0)))^(1/3)-1)*100)</f>
        <v>3.228011545636722</v>
      </c>
      <c r="U30" s="162">
        <f>IF(INDEX([1]Historical!$H$7:$H$1222,MATCH(B30,[1]Historical!$B$7:$B$1253,0))=0,"n/a",((INDEX([1]Historical!$C$7:$C$1231,MATCH(B30,[1]Historical!$B$7:$B$1253,0))/INDEX([1]Historical!$H$7:$H$1222,MATCH(B30,[1]Historical!$B$7:$B$1253,0)))^(1/5)-1)*100)</f>
        <v>3.3406482938779236</v>
      </c>
      <c r="V30" s="162">
        <f>IF(INDEX([1]Historical!$N$7:$N$1222,MATCH(B30,[1]Historical!$B$7:$B$1253,0))=0,"n/a",((INDEX([1]Historical!$C$7:$C$1231,MATCH(B30,[1]Historical!$B$7:$B$1253,0))/INDEX([1]Historical!$N$7:$N$1222,MATCH(B30,[1]Historical!$B$7:$B$1253,0)))^(1/10)-1)*100)</f>
        <v>5.9581144079755566</v>
      </c>
      <c r="W30" s="163">
        <f t="shared" si="3"/>
        <v>0.56068884635818972</v>
      </c>
      <c r="X30" s="164">
        <f t="shared" si="4"/>
        <v>0.23692541091332794</v>
      </c>
      <c r="Y30" s="165"/>
      <c r="Z30" s="157">
        <f t="shared" si="5"/>
        <v>18.915159944367176</v>
      </c>
      <c r="AA30" s="166">
        <f t="shared" si="6"/>
        <v>17.299026425591098</v>
      </c>
      <c r="AB30" s="126">
        <v>6</v>
      </c>
      <c r="AC30" s="167">
        <v>7.19</v>
      </c>
      <c r="AD30" s="167">
        <v>1.47</v>
      </c>
      <c r="AE30" s="167">
        <v>1.17</v>
      </c>
      <c r="AF30" s="167">
        <v>3.99</v>
      </c>
      <c r="AG30" s="167">
        <v>25.1</v>
      </c>
      <c r="AH30" s="167">
        <v>78.7</v>
      </c>
      <c r="AI30" s="167">
        <v>6.13</v>
      </c>
      <c r="AJ30" s="167">
        <v>14.099999999999998</v>
      </c>
      <c r="AK30" s="167">
        <v>12</v>
      </c>
      <c r="AL30" s="168">
        <v>4670</v>
      </c>
      <c r="AM30" s="169">
        <v>1.5</v>
      </c>
      <c r="AN30" s="167">
        <v>0.53</v>
      </c>
      <c r="AO30" s="170">
        <f t="shared" si="7"/>
        <v>-12.864954751748549</v>
      </c>
      <c r="AP30" s="171">
        <f t="shared" si="8"/>
        <v>4.4340716738425483</v>
      </c>
      <c r="AQ30" s="172">
        <f t="shared" si="9"/>
        <v>75.148337687558069</v>
      </c>
      <c r="AR30" s="157">
        <f>INDEX([1]Historical!$C$7:$C$1231,MATCH(B30,[1]Historical!$B$7:$B$1253,0))*IF(AH30="n/a",1.03,IF(AH30&lt;0,1.01,IF(AH30&gt;10,1.1,(1+AH30/100))))</f>
        <v>1.4520000000000002</v>
      </c>
      <c r="AS30" s="166">
        <f t="shared" si="10"/>
        <v>1.5410076000000001</v>
      </c>
      <c r="AT30" s="166">
        <f t="shared" si="15"/>
        <v>1.6951083600000003</v>
      </c>
      <c r="AU30" s="166">
        <f t="shared" si="15"/>
        <v>1.8646191960000005</v>
      </c>
      <c r="AV30" s="166">
        <f t="shared" si="15"/>
        <v>2.0510811156000006</v>
      </c>
      <c r="AW30" s="157">
        <f t="shared" si="12"/>
        <v>8.6038162716000031</v>
      </c>
      <c r="AX30" s="173">
        <f t="shared" si="13"/>
        <v>6.9173631384466985</v>
      </c>
      <c r="AY30" s="174">
        <v>1.17</v>
      </c>
      <c r="AZ30" s="169">
        <v>41.199999999999996</v>
      </c>
      <c r="BA30" s="169">
        <v>-2.34</v>
      </c>
      <c r="BB30" s="169">
        <v>14.96</v>
      </c>
      <c r="BC30" s="169">
        <v>21.759999999999998</v>
      </c>
      <c r="BE30" s="77">
        <v>2010</v>
      </c>
      <c r="BF30" s="77">
        <f t="shared" si="14"/>
        <v>1</v>
      </c>
      <c r="BG30" s="175">
        <v>11.799999999999999</v>
      </c>
      <c r="BH30" t="s">
        <v>939</v>
      </c>
      <c r="BI30" t="s">
        <v>940</v>
      </c>
    </row>
    <row r="31" spans="1:64" ht="11.25" customHeight="1" x14ac:dyDescent="0.2">
      <c r="A31" s="176" t="s">
        <v>1246</v>
      </c>
      <c r="B31" s="153" t="s">
        <v>150</v>
      </c>
      <c r="C31" s="154" t="s">
        <v>90</v>
      </c>
      <c r="D31" s="154" t="s">
        <v>110</v>
      </c>
      <c r="E31" s="155">
        <v>18</v>
      </c>
      <c r="F31" s="298">
        <v>208</v>
      </c>
      <c r="G31" s="298" t="s">
        <v>88</v>
      </c>
      <c r="H31" s="298" t="s">
        <v>88</v>
      </c>
      <c r="I31" s="156">
        <v>135.86000000000001</v>
      </c>
      <c r="J31" s="157">
        <f t="shared" si="0"/>
        <v>2.0020609450905344</v>
      </c>
      <c r="K31" s="158">
        <v>0.68</v>
      </c>
      <c r="L31" s="126">
        <v>4</v>
      </c>
      <c r="M31" s="82">
        <f t="shared" si="1"/>
        <v>2.72</v>
      </c>
      <c r="N31" s="159" t="s">
        <v>236</v>
      </c>
      <c r="O31" s="160">
        <v>0.66</v>
      </c>
      <c r="P31" s="224">
        <v>44526</v>
      </c>
      <c r="Q31" s="224">
        <v>44550</v>
      </c>
      <c r="R31" s="82">
        <f t="shared" si="2"/>
        <v>3.0303030303030329</v>
      </c>
      <c r="S31" s="162">
        <f>IF(INDEX([1]Historical!$D$7:$D$1229,MATCH(B31,[1]Historical!$B$7:$B$1253,0))=0,"n/a",(INDEX([1]Historical!$C$7:$C$1231,MATCH(B31,[1]Historical!$B$7:$B$1253,0))/INDEX([1]Historical!$D$7:$D$1229,MATCH(B31,[1]Historical!$B$7:$B$1253,0))-1)*100)</f>
        <v>4.3137254901960853</v>
      </c>
      <c r="T31" s="162">
        <f>IF(INDEX([1]Historical!$F$7:$F$1222,MATCH(B31,[1]Historical!$B$7:$B$1253,0))=0,"n/a",((INDEX([1]Historical!$C$7:$C$1231,MATCH(B31,[1]Historical!$B$7:$B$1253,0))/INDEX([1]Historical!$F$7:$F$1222,MATCH(B31,[1]Historical!$B$7:$B$1253,0)))^(1/3)-1)*100)</f>
        <v>5.2726599609396629</v>
      </c>
      <c r="U31" s="162">
        <f>IF(INDEX([1]Historical!$H$7:$H$1222,MATCH(B31,[1]Historical!$B$7:$B$1253,0))=0,"n/a",((INDEX([1]Historical!$C$7:$C$1231,MATCH(B31,[1]Historical!$B$7:$B$1253,0))/INDEX([1]Historical!$H$7:$H$1222,MATCH(B31,[1]Historical!$B$7:$B$1253,0)))^(1/5)-1)*100)</f>
        <v>5.5545891648484114</v>
      </c>
      <c r="V31" s="162">
        <f>IF(INDEX([1]Historical!$N$7:$N$1222,MATCH(B31,[1]Historical!$B$7:$B$1253,0))=0,"n/a",((INDEX([1]Historical!$C$7:$C$1231,MATCH(B31,[1]Historical!$B$7:$B$1253,0))/INDEX([1]Historical!$N$7:$N$1222,MATCH(B31,[1]Historical!$B$7:$B$1253,0)))^(1/10)-1)*100)</f>
        <v>14.282138804355625</v>
      </c>
      <c r="W31" s="163">
        <f t="shared" si="3"/>
        <v>0.38891858151906683</v>
      </c>
      <c r="X31" s="164">
        <f t="shared" si="4"/>
        <v>2.6450424594516244</v>
      </c>
      <c r="Y31" s="178"/>
      <c r="Z31" s="157">
        <f t="shared" si="5"/>
        <v>32.342449464922716</v>
      </c>
      <c r="AA31" s="166">
        <f t="shared" si="6"/>
        <v>16.154577883472058</v>
      </c>
      <c r="AB31" s="126">
        <v>12</v>
      </c>
      <c r="AC31" s="167">
        <v>8.41</v>
      </c>
      <c r="AD31" s="167">
        <v>0.92</v>
      </c>
      <c r="AE31" s="167">
        <v>0.69</v>
      </c>
      <c r="AF31" s="167">
        <v>1.65</v>
      </c>
      <c r="AG31" s="167">
        <v>23.3</v>
      </c>
      <c r="AH31" s="179">
        <v>27.700000000000003</v>
      </c>
      <c r="AI31" s="179">
        <v>20.349999999999998</v>
      </c>
      <c r="AJ31" s="167">
        <v>2.1</v>
      </c>
      <c r="AK31" s="167">
        <v>17.399999999999999</v>
      </c>
      <c r="AL31" s="168">
        <v>7030</v>
      </c>
      <c r="AM31" s="169">
        <v>0.5</v>
      </c>
      <c r="AN31" s="167">
        <v>0.48</v>
      </c>
      <c r="AO31" s="170">
        <f t="shared" si="7"/>
        <v>-8.5979277735331117</v>
      </c>
      <c r="AP31" s="171">
        <f t="shared" si="8"/>
        <v>7.5566501099389463</v>
      </c>
      <c r="AQ31" s="172">
        <f t="shared" si="9"/>
        <v>8.8425029475136085</v>
      </c>
      <c r="AR31" s="157">
        <f>INDEX([1]Historical!$C$7:$C$1231,MATCH(B31,[1]Historical!$B$7:$B$1253,0))*IF(AH31="n/a",1.03,IF(AH31&lt;0,1.01,IF(AH31&gt;10,1.1,(1+AH31/100))))</f>
        <v>2.9260000000000006</v>
      </c>
      <c r="AS31" s="166">
        <f t="shared" si="10"/>
        <v>3.2186000000000008</v>
      </c>
      <c r="AT31" s="166">
        <f t="shared" si="15"/>
        <v>3.5404600000000013</v>
      </c>
      <c r="AU31" s="166">
        <f t="shared" si="15"/>
        <v>3.8945060000000016</v>
      </c>
      <c r="AV31" s="166">
        <f t="shared" si="15"/>
        <v>4.2839566000000024</v>
      </c>
      <c r="AW31" s="157">
        <f t="shared" si="12"/>
        <v>17.863522600000007</v>
      </c>
      <c r="AX31" s="173">
        <f t="shared" si="13"/>
        <v>13.148478286471372</v>
      </c>
      <c r="AY31" s="174">
        <v>0.53</v>
      </c>
      <c r="AZ31" s="169">
        <v>4.5</v>
      </c>
      <c r="BA31" s="169">
        <v>-30.009999999999998</v>
      </c>
      <c r="BB31" s="169">
        <v>-11.41</v>
      </c>
      <c r="BC31" s="169">
        <v>-18.970000000000002</v>
      </c>
      <c r="BE31" s="77">
        <v>2005</v>
      </c>
      <c r="BF31" s="77">
        <f t="shared" si="14"/>
        <v>2</v>
      </c>
      <c r="BG31" s="175">
        <v>3.5999999999999996</v>
      </c>
      <c r="BH31" t="s">
        <v>939</v>
      </c>
      <c r="BI31" t="s">
        <v>940</v>
      </c>
    </row>
    <row r="32" spans="1:64" ht="11.25" customHeight="1" x14ac:dyDescent="0.2">
      <c r="A32" s="112" t="s">
        <v>523</v>
      </c>
      <c r="B32" s="153" t="s">
        <v>524</v>
      </c>
      <c r="C32" s="154" t="s">
        <v>90</v>
      </c>
      <c r="D32" s="154" t="s">
        <v>110</v>
      </c>
      <c r="E32" s="155">
        <v>12</v>
      </c>
      <c r="F32" s="298">
        <v>343</v>
      </c>
      <c r="G32" s="298" t="s">
        <v>30</v>
      </c>
      <c r="H32" s="298" t="s">
        <v>104</v>
      </c>
      <c r="I32" s="156">
        <v>187.08</v>
      </c>
      <c r="J32" s="157">
        <f t="shared" si="0"/>
        <v>1.0904425914047464</v>
      </c>
      <c r="K32" s="158">
        <v>0.51</v>
      </c>
      <c r="L32" s="126">
        <v>4</v>
      </c>
      <c r="M32" s="82">
        <f t="shared" si="1"/>
        <v>2.04</v>
      </c>
      <c r="N32" s="159" t="s">
        <v>186</v>
      </c>
      <c r="O32" s="160">
        <v>0.48</v>
      </c>
      <c r="P32" s="161">
        <v>44623</v>
      </c>
      <c r="Q32" s="161">
        <v>44638</v>
      </c>
      <c r="R32" s="82">
        <f t="shared" si="2"/>
        <v>6.2500000000000053</v>
      </c>
      <c r="S32" s="162">
        <f>IF(INDEX([1]Historical!$D$7:$D$1229,MATCH(B32,[1]Historical!$B$7:$B$1253,0))=0,"n/a",(INDEX([1]Historical!$C$7:$C$1231,MATCH(B32,[1]Historical!$B$7:$B$1253,0))/INDEX([1]Historical!$D$7:$D$1229,MATCH(B32,[1]Historical!$B$7:$B$1253,0))-1)*100)</f>
        <v>6.6666666666666652</v>
      </c>
      <c r="T32" s="162">
        <f>IF(INDEX([1]Historical!$F$7:$F$1222,MATCH(B32,[1]Historical!$B$7:$B$1253,0))=0,"n/a",((INDEX([1]Historical!$C$7:$C$1231,MATCH(B32,[1]Historical!$B$7:$B$1253,0))/INDEX([1]Historical!$F$7:$F$1222,MATCH(B32,[1]Historical!$B$7:$B$1253,0)))^(1/3)-1)*100)</f>
        <v>5.3947861260881913</v>
      </c>
      <c r="U32" s="162">
        <f>IF(INDEX([1]Historical!$H$7:$H$1222,MATCH(B32,[1]Historical!$B$7:$B$1253,0))=0,"n/a",((INDEX([1]Historical!$C$7:$C$1231,MATCH(B32,[1]Historical!$B$7:$B$1253,0))/INDEX([1]Historical!$H$7:$H$1222,MATCH(B32,[1]Historical!$B$7:$B$1253,0)))^(1/5)-1)*100)</f>
        <v>4.7831688302757414</v>
      </c>
      <c r="V32" s="162">
        <f>IF(INDEX([1]Historical!$N$7:$N$1222,MATCH(B32,[1]Historical!$B$7:$B$1253,0))=0,"n/a",((INDEX([1]Historical!$C$7:$C$1231,MATCH(B32,[1]Historical!$B$7:$B$1253,0))/INDEX([1]Historical!$N$7:$N$1222,MATCH(B32,[1]Historical!$B$7:$B$1253,0)))^(1/10)-1)*100)</f>
        <v>3.818017112287686</v>
      </c>
      <c r="W32" s="163">
        <f t="shared" si="3"/>
        <v>1.2527887355145337</v>
      </c>
      <c r="X32" s="164">
        <f t="shared" si="4"/>
        <v>0.32987371243280977</v>
      </c>
      <c r="Y32" s="214"/>
      <c r="Z32" s="157">
        <f t="shared" si="5"/>
        <v>52.307692307692314</v>
      </c>
      <c r="AA32" s="166">
        <f t="shared" si="6"/>
        <v>47.969230769230776</v>
      </c>
      <c r="AB32" s="126">
        <v>12</v>
      </c>
      <c r="AC32" s="167">
        <v>3.9</v>
      </c>
      <c r="AD32" s="167">
        <v>4.75</v>
      </c>
      <c r="AE32" s="167">
        <v>5.79</v>
      </c>
      <c r="AF32" s="167">
        <v>4.5</v>
      </c>
      <c r="AG32" s="167">
        <v>11.1</v>
      </c>
      <c r="AH32" s="167">
        <v>4.2</v>
      </c>
      <c r="AI32" s="167">
        <v>12.01</v>
      </c>
      <c r="AJ32" s="167">
        <v>14.499999999999998</v>
      </c>
      <c r="AK32" s="167">
        <v>10.199999999999999</v>
      </c>
      <c r="AL32" s="168">
        <v>37340</v>
      </c>
      <c r="AM32" s="169">
        <v>0.5</v>
      </c>
      <c r="AN32" s="167">
        <v>0.73</v>
      </c>
      <c r="AO32" s="170">
        <f t="shared" si="7"/>
        <v>-42.09561934755029</v>
      </c>
      <c r="AP32" s="171">
        <f t="shared" si="8"/>
        <v>5.8736114216804882</v>
      </c>
      <c r="AQ32" s="172">
        <f t="shared" si="9"/>
        <v>209.73934451157726</v>
      </c>
      <c r="AR32" s="157">
        <f>INDEX([1]Historical!$C$7:$C$1231,MATCH(B32,[1]Historical!$B$7:$B$1253,0))*IF(AH32="n/a",1.03,IF(AH32&lt;0,1.01,IF(AH32&gt;10,1.1,(1+AH32/100))))</f>
        <v>2.0006400000000002</v>
      </c>
      <c r="AS32" s="166">
        <f t="shared" si="10"/>
        <v>2.2007040000000004</v>
      </c>
      <c r="AT32" s="166">
        <f t="shared" si="15"/>
        <v>2.4207744000000009</v>
      </c>
      <c r="AU32" s="166">
        <f t="shared" si="15"/>
        <v>2.662851840000001</v>
      </c>
      <c r="AV32" s="166">
        <f t="shared" si="15"/>
        <v>2.9291370240000014</v>
      </c>
      <c r="AW32" s="157">
        <f t="shared" si="12"/>
        <v>12.214107264000004</v>
      </c>
      <c r="AX32" s="173">
        <f t="shared" si="13"/>
        <v>6.5288150865939727</v>
      </c>
      <c r="AY32" s="174">
        <v>0.67</v>
      </c>
      <c r="AZ32" s="169">
        <v>26.979999999999997</v>
      </c>
      <c r="BA32" s="169">
        <v>-2.56</v>
      </c>
      <c r="BB32" s="169">
        <v>4.12</v>
      </c>
      <c r="BC32" s="169">
        <v>10.84</v>
      </c>
      <c r="BE32" s="77">
        <v>2011</v>
      </c>
      <c r="BF32" s="77">
        <f t="shared" si="14"/>
        <v>1</v>
      </c>
      <c r="BG32" s="175">
        <v>2.7</v>
      </c>
      <c r="BH32" t="s">
        <v>939</v>
      </c>
      <c r="BI32" t="s">
        <v>940</v>
      </c>
    </row>
    <row r="33" spans="1:64" ht="11.25" customHeight="1" x14ac:dyDescent="0.2">
      <c r="A33" s="112" t="s">
        <v>1247</v>
      </c>
      <c r="B33" s="153" t="s">
        <v>790</v>
      </c>
      <c r="C33" s="154" t="s">
        <v>94</v>
      </c>
      <c r="D33" s="154" t="s">
        <v>962</v>
      </c>
      <c r="E33" s="155">
        <v>10</v>
      </c>
      <c r="F33" s="298">
        <v>454</v>
      </c>
      <c r="G33" s="298" t="s">
        <v>88</v>
      </c>
      <c r="H33" s="298" t="s">
        <v>88</v>
      </c>
      <c r="I33" s="156">
        <v>35.29</v>
      </c>
      <c r="J33" s="157">
        <f t="shared" si="0"/>
        <v>2.0969113063190705</v>
      </c>
      <c r="K33" s="158">
        <v>0.185</v>
      </c>
      <c r="L33" s="126">
        <v>4</v>
      </c>
      <c r="M33" s="82">
        <f t="shared" si="1"/>
        <v>0.74</v>
      </c>
      <c r="N33" s="159" t="s">
        <v>261</v>
      </c>
      <c r="O33" s="160">
        <v>0.16</v>
      </c>
      <c r="P33" s="161">
        <v>44546</v>
      </c>
      <c r="Q33" s="161">
        <v>44566</v>
      </c>
      <c r="R33" s="82">
        <f t="shared" si="2"/>
        <v>15.624999999999996</v>
      </c>
      <c r="S33" s="162">
        <f>IF(INDEX([1]Historical!$D$7:$D$1229,MATCH(B33,[1]Historical!$B$7:$B$1253,0))=0,"n/a",(INDEX([1]Historical!$C$7:$C$1231,MATCH(B33,[1]Historical!$B$7:$B$1253,0))/INDEX([1]Historical!$D$7:$D$1229,MATCH(B33,[1]Historical!$B$7:$B$1253,0))-1)*100)</f>
        <v>6.6666666666666652</v>
      </c>
      <c r="T33" s="162">
        <f>IF(INDEX([1]Historical!$F$7:$F$1222,MATCH(B33,[1]Historical!$B$7:$B$1253,0))=0,"n/a",((INDEX([1]Historical!$C$7:$C$1231,MATCH(B33,[1]Historical!$B$7:$B$1253,0))/INDEX([1]Historical!$F$7:$F$1222,MATCH(B33,[1]Historical!$B$7:$B$1253,0)))^(1/3)-1)*100)</f>
        <v>16.960709528514649</v>
      </c>
      <c r="U33" s="162">
        <f>IF(INDEX([1]Historical!$H$7:$H$1222,MATCH(B33,[1]Historical!$B$7:$B$1253,0))=0,"n/a",((INDEX([1]Historical!$C$7:$C$1231,MATCH(B33,[1]Historical!$B$7:$B$1253,0))/INDEX([1]Historical!$H$7:$H$1222,MATCH(B33,[1]Historical!$B$7:$B$1253,0)))^(1/5)-1)*100)</f>
        <v>26.19146889603865</v>
      </c>
      <c r="V33" s="162" t="str">
        <f>IF(INDEX([1]Historical!$N$7:$N$1222,MATCH(B33,[1]Historical!$B$7:$B$1253,0))=0,"n/a",((INDEX([1]Historical!$C$7:$C$1231,MATCH(B33,[1]Historical!$B$7:$B$1253,0))/INDEX([1]Historical!$N$7:$N$1222,MATCH(B33,[1]Historical!$B$7:$B$1253,0)))^(1/10)-1)*100)</f>
        <v>n/a</v>
      </c>
      <c r="W33" s="163" t="str">
        <f t="shared" si="3"/>
        <v>n/a</v>
      </c>
      <c r="X33" s="164">
        <f t="shared" si="4"/>
        <v>37.416384137198065</v>
      </c>
      <c r="Y33" s="165"/>
      <c r="Z33" s="157" t="str">
        <f t="shared" si="5"/>
        <v>n/a</v>
      </c>
      <c r="AA33" s="166" t="str">
        <f t="shared" si="6"/>
        <v>n/a</v>
      </c>
      <c r="AB33" s="126">
        <v>12</v>
      </c>
      <c r="AC33" s="167">
        <v>-1.1399999999999999</v>
      </c>
      <c r="AD33" s="167" t="s">
        <v>95</v>
      </c>
      <c r="AE33" s="167">
        <v>1.7</v>
      </c>
      <c r="AF33" s="167">
        <v>0.6</v>
      </c>
      <c r="AG33" s="167">
        <v>-2</v>
      </c>
      <c r="AH33" s="167">
        <v>-18.8</v>
      </c>
      <c r="AI33" s="167">
        <v>498.50000000000006</v>
      </c>
      <c r="AJ33" s="167">
        <v>0.70000000000000007</v>
      </c>
      <c r="AK33" s="167">
        <v>12.73</v>
      </c>
      <c r="AL33" s="168">
        <v>3860</v>
      </c>
      <c r="AM33" s="169">
        <v>1.4000000000000001</v>
      </c>
      <c r="AN33" s="167">
        <v>2.85</v>
      </c>
      <c r="AO33" s="170" t="str">
        <f t="shared" si="7"/>
        <v>n/a</v>
      </c>
      <c r="AP33" s="171">
        <f t="shared" si="8"/>
        <v>28.288380202357722</v>
      </c>
      <c r="AQ33" s="172" t="str">
        <f t="shared" si="9"/>
        <v>n/a</v>
      </c>
      <c r="AR33" s="157">
        <f>INDEX([1]Historical!$C$7:$C$1231,MATCH(B33,[1]Historical!$B$7:$B$1253,0))*IF(AH33="n/a",1.03,IF(AH33&lt;0,1.01,IF(AH33&gt;10,1.1,(1+AH33/100))))</f>
        <v>0.64639999999999997</v>
      </c>
      <c r="AS33" s="166">
        <f t="shared" si="10"/>
        <v>0.71104000000000001</v>
      </c>
      <c r="AT33" s="166">
        <f t="shared" si="15"/>
        <v>0.78214400000000006</v>
      </c>
      <c r="AU33" s="166">
        <f t="shared" si="15"/>
        <v>0.86035840000000019</v>
      </c>
      <c r="AV33" s="166">
        <f t="shared" si="15"/>
        <v>0.94639424000000028</v>
      </c>
      <c r="AW33" s="157">
        <f t="shared" si="12"/>
        <v>3.9463366400000002</v>
      </c>
      <c r="AX33" s="173">
        <f t="shared" si="13"/>
        <v>11.182591782374612</v>
      </c>
      <c r="AY33" s="174">
        <v>1.8</v>
      </c>
      <c r="AZ33" s="169">
        <v>18.62</v>
      </c>
      <c r="BA33" s="169">
        <v>-30.79</v>
      </c>
      <c r="BB33" s="169">
        <v>2.37</v>
      </c>
      <c r="BC33" s="169">
        <v>-6.29</v>
      </c>
      <c r="BE33" s="77">
        <v>2013</v>
      </c>
      <c r="BF33" s="77">
        <f t="shared" si="14"/>
        <v>1</v>
      </c>
      <c r="BG33" s="175">
        <v>-0.5</v>
      </c>
      <c r="BH33" t="s">
        <v>939</v>
      </c>
      <c r="BI33" t="s">
        <v>940</v>
      </c>
    </row>
    <row r="34" spans="1:64" ht="11.25" customHeight="1" x14ac:dyDescent="0.2">
      <c r="A34" s="112" t="s">
        <v>1248</v>
      </c>
      <c r="B34" s="153" t="s">
        <v>120</v>
      </c>
      <c r="C34" s="154" t="s">
        <v>96</v>
      </c>
      <c r="D34" s="154" t="s">
        <v>911</v>
      </c>
      <c r="E34" s="155">
        <v>28</v>
      </c>
      <c r="F34" s="298">
        <v>123</v>
      </c>
      <c r="G34" s="298" t="s">
        <v>30</v>
      </c>
      <c r="H34" s="298" t="s">
        <v>30</v>
      </c>
      <c r="I34" s="167">
        <v>279.87</v>
      </c>
      <c r="J34" s="157">
        <f t="shared" si="0"/>
        <v>0.56454782577625329</v>
      </c>
      <c r="K34" s="209">
        <v>0.39500000000000002</v>
      </c>
      <c r="L34" s="126">
        <v>4</v>
      </c>
      <c r="M34" s="82">
        <f t="shared" si="1"/>
        <v>1.58</v>
      </c>
      <c r="N34" s="159" t="s">
        <v>183</v>
      </c>
      <c r="O34" s="210">
        <v>0.39</v>
      </c>
      <c r="P34" s="161">
        <v>44637</v>
      </c>
      <c r="Q34" s="161">
        <v>44652</v>
      </c>
      <c r="R34" s="82">
        <f t="shared" si="2"/>
        <v>1.2820512820512833</v>
      </c>
      <c r="S34" s="162">
        <f>IF(INDEX([1]Historical!$D$7:$D$1229,MATCH(B34,[1]Historical!$B$7:$B$1253,0))=0,"n/a",(INDEX([1]Historical!$C$7:$C$1231,MATCH(B34,[1]Historical!$B$7:$B$1253,0))/INDEX([1]Historical!$D$7:$D$1229,MATCH(B34,[1]Historical!$B$7:$B$1253,0))-1)*100)</f>
        <v>2.1346469622331776</v>
      </c>
      <c r="T34" s="162">
        <f>IF(INDEX([1]Historical!$F$7:$F$1222,MATCH(B34,[1]Historical!$B$7:$B$1253,0))=0,"n/a",((INDEX([1]Historical!$C$7:$C$1231,MATCH(B34,[1]Historical!$B$7:$B$1253,0))/INDEX([1]Historical!$F$7:$F$1222,MATCH(B34,[1]Historical!$B$7:$B$1253,0)))^(1/3)-1)*100)</f>
        <v>5.4803361196588352</v>
      </c>
      <c r="U34" s="162">
        <f>IF(INDEX([1]Historical!$H$7:$H$1222,MATCH(B34,[1]Historical!$B$7:$B$1253,0))=0,"n/a",((INDEX([1]Historical!$C$7:$C$1231,MATCH(B34,[1]Historical!$B$7:$B$1253,0))/INDEX([1]Historical!$H$7:$H$1222,MATCH(B34,[1]Historical!$B$7:$B$1253,0)))^(1/5)-1)*100)</f>
        <v>5.2322046939930367</v>
      </c>
      <c r="V34" s="162">
        <f>IF(INDEX([1]Historical!$N$7:$N$1222,MATCH(B34,[1]Historical!$B$7:$B$1253,0))=0,"n/a",((INDEX([1]Historical!$C$7:$C$1231,MATCH(B34,[1]Historical!$B$7:$B$1253,0))/INDEX([1]Historical!$N$7:$N$1222,MATCH(B34,[1]Historical!$B$7:$B$1253,0)))^(1/10)-1)*100)</f>
        <v>9.3693590076064925</v>
      </c>
      <c r="W34" s="163">
        <f t="shared" si="3"/>
        <v>0.55843784934970297</v>
      </c>
      <c r="X34" s="164" t="str">
        <f t="shared" si="4"/>
        <v>n/a</v>
      </c>
      <c r="Y34" s="178"/>
      <c r="Z34" s="157">
        <f t="shared" si="5"/>
        <v>71.171171171171167</v>
      </c>
      <c r="AA34" s="166">
        <f t="shared" si="6"/>
        <v>126.06756756756756</v>
      </c>
      <c r="AB34" s="126">
        <v>12</v>
      </c>
      <c r="AC34" s="167">
        <v>2.2200000000000002</v>
      </c>
      <c r="AD34" s="167">
        <v>1.64</v>
      </c>
      <c r="AE34" s="167">
        <v>7.63</v>
      </c>
      <c r="AF34" s="167">
        <v>5.39</v>
      </c>
      <c r="AG34" s="167">
        <v>4.5</v>
      </c>
      <c r="AH34" s="167">
        <v>-69.8</v>
      </c>
      <c r="AI34" s="167">
        <v>27.21</v>
      </c>
      <c r="AJ34" s="167">
        <v>-22.900000000000002</v>
      </c>
      <c r="AK34" s="167">
        <v>77.17</v>
      </c>
      <c r="AL34" s="168">
        <v>33050</v>
      </c>
      <c r="AM34" s="169">
        <v>0.1</v>
      </c>
      <c r="AN34" s="167">
        <v>0.56999999999999995</v>
      </c>
      <c r="AO34" s="170">
        <f t="shared" si="7"/>
        <v>-120.27081504779828</v>
      </c>
      <c r="AP34" s="171">
        <f t="shared" si="8"/>
        <v>5.7967525197692904</v>
      </c>
      <c r="AQ34" s="172">
        <f t="shared" si="9"/>
        <v>449.54696056102597</v>
      </c>
      <c r="AR34" s="157">
        <f>INDEX([1]Historical!$C$7:$C$1231,MATCH(B34,[1]Historical!$B$7:$B$1253,0))*IF(AH34="n/a",1.03,IF(AH34&lt;0,1.01,IF(AH34&gt;10,1.1,(1+AH34/100))))</f>
        <v>1.5705499999999999</v>
      </c>
      <c r="AS34" s="166">
        <f t="shared" si="10"/>
        <v>1.7276050000000001</v>
      </c>
      <c r="AT34" s="166">
        <f t="shared" si="15"/>
        <v>1.9003655000000002</v>
      </c>
      <c r="AU34" s="166">
        <f t="shared" si="15"/>
        <v>2.0904020500000002</v>
      </c>
      <c r="AV34" s="166">
        <f t="shared" si="15"/>
        <v>2.2994422550000007</v>
      </c>
      <c r="AW34" s="157">
        <f t="shared" si="12"/>
        <v>9.5883648050000012</v>
      </c>
      <c r="AX34" s="173">
        <f t="shared" si="13"/>
        <v>3.4260066477293032</v>
      </c>
      <c r="AY34" s="174">
        <v>1.43</v>
      </c>
      <c r="AZ34" s="169">
        <v>64.7</v>
      </c>
      <c r="BA34" s="169">
        <v>-9.1999999999999993</v>
      </c>
      <c r="BB34" s="169">
        <v>1.6199999999999999</v>
      </c>
      <c r="BC34" s="169">
        <v>19.939999999999998</v>
      </c>
      <c r="BE34" s="77">
        <v>1995</v>
      </c>
      <c r="BF34" s="77">
        <f t="shared" si="14"/>
        <v>3</v>
      </c>
      <c r="BG34" s="175">
        <v>2.2999999999999998</v>
      </c>
      <c r="BH34" t="s">
        <v>939</v>
      </c>
      <c r="BI34" t="s">
        <v>940</v>
      </c>
    </row>
    <row r="35" spans="1:64" s="252" customFormat="1" ht="11.25" customHeight="1" x14ac:dyDescent="0.2">
      <c r="A35" s="208" t="s">
        <v>1249</v>
      </c>
      <c r="B35" s="184" t="s">
        <v>518</v>
      </c>
      <c r="C35" s="154" t="s">
        <v>117</v>
      </c>
      <c r="D35" s="154" t="s">
        <v>957</v>
      </c>
      <c r="E35" s="185">
        <v>12</v>
      </c>
      <c r="F35" s="298">
        <v>332</v>
      </c>
      <c r="G35" s="297" t="s">
        <v>30</v>
      </c>
      <c r="H35" s="297" t="s">
        <v>30</v>
      </c>
      <c r="I35" s="186">
        <v>56.27</v>
      </c>
      <c r="J35" s="187">
        <f t="shared" si="0"/>
        <v>4.6205793495645988</v>
      </c>
      <c r="K35" s="188">
        <v>0.65</v>
      </c>
      <c r="L35" s="189">
        <v>4</v>
      </c>
      <c r="M35" s="190">
        <f t="shared" si="1"/>
        <v>2.6</v>
      </c>
      <c r="N35" s="191" t="s">
        <v>116</v>
      </c>
      <c r="O35" s="192">
        <v>0.63</v>
      </c>
      <c r="P35" s="193">
        <v>44606</v>
      </c>
      <c r="Q35" s="193">
        <v>44621</v>
      </c>
      <c r="R35" s="190">
        <f t="shared" si="2"/>
        <v>3.1746031746031771</v>
      </c>
      <c r="S35" s="162">
        <f>IF(INDEX([1]Historical!$D$7:$D$1229,MATCH(B35,[1]Historical!$B$7:$B$1253,0))=0,"n/a",(INDEX([1]Historical!$C$7:$C$1231,MATCH(B35,[1]Historical!$B$7:$B$1253,0))/INDEX([1]Historical!$D$7:$D$1229,MATCH(B35,[1]Historical!$B$7:$B$1253,0))-1)*100)</f>
        <v>2.0242914979756943</v>
      </c>
      <c r="T35" s="162">
        <f>IF(INDEX([1]Historical!$F$7:$F$1222,MATCH(B35,[1]Historical!$B$7:$B$1253,0))=0,"n/a",((INDEX([1]Historical!$C$7:$C$1231,MATCH(B35,[1]Historical!$B$7:$B$1253,0))/INDEX([1]Historical!$F$7:$F$1222,MATCH(B35,[1]Historical!$B$7:$B$1253,0)))^(1/3)-1)*100)</f>
        <v>4.0041911525952045</v>
      </c>
      <c r="U35" s="162">
        <f>IF(INDEX([1]Historical!$H$7:$H$1222,MATCH(B35,[1]Historical!$B$7:$B$1253,0))=0,"n/a",((INDEX([1]Historical!$C$7:$C$1231,MATCH(B35,[1]Historical!$B$7:$B$1253,0))/INDEX([1]Historical!$H$7:$H$1222,MATCH(B35,[1]Historical!$B$7:$B$1253,0)))^(1/5)-1)*100)</f>
        <v>3.9124156950857802</v>
      </c>
      <c r="V35" s="162">
        <f>IF(INDEX([1]Historical!$N$7:$N$1222,MATCH(B35,[1]Historical!$B$7:$B$1253,0))=0,"n/a",((INDEX([1]Historical!$C$7:$C$1231,MATCH(B35,[1]Historical!$B$7:$B$1253,0))/INDEX([1]Historical!$N$7:$N$1222,MATCH(B35,[1]Historical!$B$7:$B$1253,0)))^(1/10)-1)*100)</f>
        <v>3.5375904696204996</v>
      </c>
      <c r="W35" s="163">
        <f t="shared" si="3"/>
        <v>1.1059549511692037</v>
      </c>
      <c r="X35" s="164">
        <f t="shared" si="4"/>
        <v>7.8248313901715605</v>
      </c>
      <c r="Y35" s="289"/>
      <c r="Z35" s="187">
        <f t="shared" si="5"/>
        <v>72.02216066481995</v>
      </c>
      <c r="AA35" s="194">
        <f t="shared" si="6"/>
        <v>15.587257617728532</v>
      </c>
      <c r="AB35" s="189">
        <v>12</v>
      </c>
      <c r="AC35" s="195">
        <v>3.61</v>
      </c>
      <c r="AD35" s="195">
        <v>1.82</v>
      </c>
      <c r="AE35" s="195">
        <v>2.08</v>
      </c>
      <c r="AF35" s="195">
        <v>1.2</v>
      </c>
      <c r="AG35" s="195">
        <v>7.8</v>
      </c>
      <c r="AH35" s="195">
        <v>-4</v>
      </c>
      <c r="AI35" s="195">
        <v>4.41</v>
      </c>
      <c r="AJ35" s="195">
        <v>0.5</v>
      </c>
      <c r="AK35" s="195">
        <v>8.6999999999999993</v>
      </c>
      <c r="AL35" s="196">
        <v>3120</v>
      </c>
      <c r="AM35" s="197">
        <v>0.1</v>
      </c>
      <c r="AN35" s="195">
        <v>0.74</v>
      </c>
      <c r="AO35" s="198">
        <f t="shared" si="7"/>
        <v>-7.0542625730781534</v>
      </c>
      <c r="AP35" s="199">
        <f t="shared" si="8"/>
        <v>8.5329950446503791</v>
      </c>
      <c r="AQ35" s="172">
        <f t="shared" si="9"/>
        <v>-8.8232262975457605</v>
      </c>
      <c r="AR35" s="157">
        <f>INDEX([1]Historical!$C$7:$C$1231,MATCH(B35,[1]Historical!$B$7:$B$1253,0))*IF(AH35="n/a",1.03,IF(AH35&lt;0,1.01,IF(AH35&gt;10,1.1,(1+AH35/100))))</f>
        <v>2.5451999999999999</v>
      </c>
      <c r="AS35" s="194">
        <f t="shared" si="10"/>
        <v>2.6574433200000001</v>
      </c>
      <c r="AT35" s="194">
        <f t="shared" si="15"/>
        <v>2.8886408888399999</v>
      </c>
      <c r="AU35" s="194">
        <f t="shared" si="15"/>
        <v>3.1399526461690797</v>
      </c>
      <c r="AV35" s="194">
        <f t="shared" si="15"/>
        <v>3.4131285263857896</v>
      </c>
      <c r="AW35" s="187">
        <f t="shared" si="12"/>
        <v>14.64436538139487</v>
      </c>
      <c r="AX35" s="200">
        <f t="shared" si="13"/>
        <v>26.025173949519935</v>
      </c>
      <c r="AY35" s="201">
        <v>0.69</v>
      </c>
      <c r="AZ35" s="197">
        <v>17.79</v>
      </c>
      <c r="BA35" s="197">
        <v>-17.990000000000002</v>
      </c>
      <c r="BB35" s="197">
        <v>1.24</v>
      </c>
      <c r="BC35" s="197">
        <v>-6.8000000000000007</v>
      </c>
      <c r="BD35" s="202"/>
      <c r="BE35" s="77">
        <v>2011</v>
      </c>
      <c r="BF35" s="77">
        <f t="shared" si="14"/>
        <v>1</v>
      </c>
      <c r="BG35" s="203">
        <v>3</v>
      </c>
      <c r="BH35" t="s">
        <v>939</v>
      </c>
      <c r="BI35" t="s">
        <v>940</v>
      </c>
    </row>
    <row r="36" spans="1:64" ht="11.25" customHeight="1" x14ac:dyDescent="0.2">
      <c r="A36" s="205" t="s">
        <v>1250</v>
      </c>
      <c r="B36" s="153" t="s">
        <v>963</v>
      </c>
      <c r="C36" s="154" t="s">
        <v>94</v>
      </c>
      <c r="D36" s="154" t="s">
        <v>101</v>
      </c>
      <c r="E36" s="155">
        <v>8</v>
      </c>
      <c r="F36" s="298">
        <v>576</v>
      </c>
      <c r="G36" s="298" t="s">
        <v>88</v>
      </c>
      <c r="H36" s="298" t="s">
        <v>88</v>
      </c>
      <c r="I36" s="156">
        <v>152.08000000000001</v>
      </c>
      <c r="J36" s="157">
        <f t="shared" si="0"/>
        <v>0.47343503419253025</v>
      </c>
      <c r="K36" s="158">
        <v>0.18</v>
      </c>
      <c r="L36" s="126">
        <v>4</v>
      </c>
      <c r="M36" s="82">
        <f t="shared" si="1"/>
        <v>0.72</v>
      </c>
      <c r="N36" s="159" t="s">
        <v>164</v>
      </c>
      <c r="O36" s="160">
        <v>0.14000000000000001</v>
      </c>
      <c r="P36" s="161">
        <v>44575</v>
      </c>
      <c r="Q36" s="161">
        <v>44593</v>
      </c>
      <c r="R36" s="82">
        <f t="shared" si="2"/>
        <v>28.571428571428552</v>
      </c>
      <c r="S36" s="162">
        <f>IF(INDEX([1]Historical!$D$7:$D$1229,MATCH(B36,[1]Historical!$B$7:$B$1253,0))=0,"n/a",(INDEX([1]Historical!$C$7:$C$1231,MATCH(B36,[1]Historical!$B$7:$B$1253,0))/INDEX([1]Historical!$D$7:$D$1229,MATCH(B36,[1]Historical!$B$7:$B$1253,0))-1)*100)</f>
        <v>7.6923076923077094</v>
      </c>
      <c r="T36" s="162">
        <f>IF(INDEX([1]Historical!$F$7:$F$1222,MATCH(B36,[1]Historical!$B$7:$B$1253,0))=0,"n/a",((INDEX([1]Historical!$C$7:$C$1231,MATCH(B36,[1]Historical!$B$7:$B$1253,0))/INDEX([1]Historical!$F$7:$F$1222,MATCH(B36,[1]Historical!$B$7:$B$1253,0)))^(1/3)-1)*100)</f>
        <v>8.3706762661827092</v>
      </c>
      <c r="U36" s="162">
        <f>IF(INDEX([1]Historical!$H$7:$H$1222,MATCH(B36,[1]Historical!$B$7:$B$1253,0))=0,"n/a",((INDEX([1]Historical!$C$7:$C$1231,MATCH(B36,[1]Historical!$B$7:$B$1253,0))/INDEX([1]Historical!$H$7:$H$1222,MATCH(B36,[1]Historical!$B$7:$B$1253,0)))^(1/5)-1)*100)</f>
        <v>9.2388464140373152</v>
      </c>
      <c r="V36" s="162">
        <f>IF(INDEX([1]Historical!$N$7:$N$1222,MATCH(B36,[1]Historical!$B$7:$B$1253,0))=0,"n/a",((INDEX([1]Historical!$C$7:$C$1231,MATCH(B36,[1]Historical!$B$7:$B$1253,0))/INDEX([1]Historical!$N$7:$N$1222,MATCH(B36,[1]Historical!$B$7:$B$1253,0)))^(1/10)-1)*100)</f>
        <v>8.842291989017026</v>
      </c>
      <c r="W36" s="163">
        <f t="shared" si="3"/>
        <v>1.0448474700352406</v>
      </c>
      <c r="X36" s="164">
        <f t="shared" si="4"/>
        <v>0.64607317580680534</v>
      </c>
      <c r="Y36" s="178"/>
      <c r="Z36" s="157">
        <f t="shared" si="5"/>
        <v>10.256410256410255</v>
      </c>
      <c r="AA36" s="166">
        <f t="shared" si="6"/>
        <v>21.663817663817667</v>
      </c>
      <c r="AB36" s="126">
        <v>12</v>
      </c>
      <c r="AC36" s="167">
        <v>7.02</v>
      </c>
      <c r="AD36" s="167">
        <v>3.23</v>
      </c>
      <c r="AE36" s="167">
        <v>1.25</v>
      </c>
      <c r="AF36" s="167">
        <v>2.41</v>
      </c>
      <c r="AG36" s="167">
        <v>11.700000000000001</v>
      </c>
      <c r="AH36" s="167">
        <v>38.200000000000003</v>
      </c>
      <c r="AI36" s="167">
        <v>10.58</v>
      </c>
      <c r="AJ36" s="167">
        <v>14.299999999999999</v>
      </c>
      <c r="AK36" s="167">
        <v>6.6000000000000005</v>
      </c>
      <c r="AL36" s="168">
        <v>1800</v>
      </c>
      <c r="AM36" s="169">
        <v>2.2999999999999998</v>
      </c>
      <c r="AN36" s="167">
        <v>0.5</v>
      </c>
      <c r="AO36" s="170">
        <f t="shared" si="7"/>
        <v>-11.951536215587822</v>
      </c>
      <c r="AP36" s="171">
        <f t="shared" si="8"/>
        <v>9.7122814482298452</v>
      </c>
      <c r="AQ36" s="172">
        <f t="shared" si="9"/>
        <v>52.329760089091756</v>
      </c>
      <c r="AR36" s="157">
        <f>INDEX([1]Historical!$C$7:$C$1231,MATCH(B36,[1]Historical!$B$7:$B$1253,0))*IF(AH36="n/a",1.03,IF(AH36&lt;0,1.01,IF(AH36&gt;10,1.1,(1+AH36/100))))</f>
        <v>0.6160000000000001</v>
      </c>
      <c r="AS36" s="166">
        <f t="shared" si="10"/>
        <v>0.6776000000000002</v>
      </c>
      <c r="AT36" s="166">
        <f t="shared" si="15"/>
        <v>0.72232160000000023</v>
      </c>
      <c r="AU36" s="166">
        <f t="shared" si="15"/>
        <v>0.76999482560000032</v>
      </c>
      <c r="AV36" s="166">
        <f t="shared" si="15"/>
        <v>0.82081448408960034</v>
      </c>
      <c r="AW36" s="157">
        <f t="shared" si="12"/>
        <v>3.6067309096896012</v>
      </c>
      <c r="AX36" s="173">
        <f t="shared" si="13"/>
        <v>2.3716010716002112</v>
      </c>
      <c r="AY36" s="174">
        <v>1</v>
      </c>
      <c r="AZ36" s="169">
        <v>40.369999999999997</v>
      </c>
      <c r="BA36" s="169">
        <v>-5.37</v>
      </c>
      <c r="BB36" s="169">
        <v>14.04</v>
      </c>
      <c r="BC36" s="169">
        <v>15.76</v>
      </c>
      <c r="BE36" s="77">
        <v>2015</v>
      </c>
      <c r="BF36" s="77">
        <f t="shared" si="14"/>
        <v>1</v>
      </c>
      <c r="BG36" s="175">
        <v>6.6000000000000005</v>
      </c>
      <c r="BH36" t="s">
        <v>939</v>
      </c>
      <c r="BI36" t="s">
        <v>940</v>
      </c>
      <c r="BJ36" s="112"/>
      <c r="BK36" s="112"/>
      <c r="BL36" s="112"/>
    </row>
    <row r="37" spans="1:64" ht="11.25" customHeight="1" x14ac:dyDescent="0.2">
      <c r="A37" s="112" t="s">
        <v>1251</v>
      </c>
      <c r="B37" s="153" t="s">
        <v>614</v>
      </c>
      <c r="C37" s="154" t="s">
        <v>90</v>
      </c>
      <c r="D37" s="154" t="s">
        <v>110</v>
      </c>
      <c r="E37" s="155">
        <v>12</v>
      </c>
      <c r="F37" s="298">
        <v>340</v>
      </c>
      <c r="G37" s="298" t="s">
        <v>104</v>
      </c>
      <c r="H37" s="298" t="s">
        <v>104</v>
      </c>
      <c r="I37" s="156">
        <v>126.25</v>
      </c>
      <c r="J37" s="157">
        <f t="shared" si="0"/>
        <v>2.6930693069306932</v>
      </c>
      <c r="K37" s="158">
        <v>0.85</v>
      </c>
      <c r="L37" s="126">
        <v>4</v>
      </c>
      <c r="M37" s="82">
        <f t="shared" si="1"/>
        <v>3.4</v>
      </c>
      <c r="N37" s="159" t="s">
        <v>183</v>
      </c>
      <c r="O37" s="160">
        <v>0.81</v>
      </c>
      <c r="P37" s="161">
        <v>44617</v>
      </c>
      <c r="Q37" s="161">
        <v>44652</v>
      </c>
      <c r="R37" s="82">
        <f t="shared" si="2"/>
        <v>4.9382716049382616</v>
      </c>
      <c r="S37" s="162">
        <f>IF(INDEX([1]Historical!$D$7:$D$1229,MATCH(B37,[1]Historical!$B$7:$B$1253,0))=0,"n/a",(INDEX([1]Historical!$C$7:$C$1231,MATCH(B37,[1]Historical!$B$7:$B$1253,0))/INDEX([1]Historical!$D$7:$D$1229,MATCH(B37,[1]Historical!$B$7:$B$1253,0))-1)*100)</f>
        <v>40.094339622641506</v>
      </c>
      <c r="T37" s="162">
        <f>IF(INDEX([1]Historical!$F$7:$F$1222,MATCH(B37,[1]Historical!$B$7:$B$1253,0))=0,"n/a",((INDEX([1]Historical!$C$7:$C$1231,MATCH(B37,[1]Historical!$B$7:$B$1253,0))/INDEX([1]Historical!$F$7:$F$1222,MATCH(B37,[1]Historical!$B$7:$B$1253,0)))^(1/3)-1)*100)</f>
        <v>19.281419896657749</v>
      </c>
      <c r="U37" s="162">
        <f>IF(INDEX([1]Historical!$H$7:$H$1222,MATCH(B37,[1]Historical!$B$7:$B$1253,0))=0,"n/a",((INDEX([1]Historical!$C$7:$C$1231,MATCH(B37,[1]Historical!$B$7:$B$1253,0))/INDEX([1]Historical!$H$7:$H$1222,MATCH(B37,[1]Historical!$B$7:$B$1253,0)))^(1/5)-1)*100)</f>
        <v>18.149897120150136</v>
      </c>
      <c r="V37" s="162">
        <f>IF(INDEX([1]Historical!$N$7:$N$1222,MATCH(B37,[1]Historical!$B$7:$B$1253,0))=0,"n/a",((INDEX([1]Historical!$C$7:$C$1231,MATCH(B37,[1]Historical!$B$7:$B$1253,0))/INDEX([1]Historical!$N$7:$N$1222,MATCH(B37,[1]Historical!$B$7:$B$1253,0)))^(1/10)-1)*100)</f>
        <v>13.461289830324619</v>
      </c>
      <c r="W37" s="163">
        <f t="shared" si="3"/>
        <v>1.3483029745978252</v>
      </c>
      <c r="X37" s="164">
        <f t="shared" si="4"/>
        <v>0.6152507498355978</v>
      </c>
      <c r="Y37" s="212"/>
      <c r="Z37" s="157">
        <f t="shared" si="5"/>
        <v>121.86379928315412</v>
      </c>
      <c r="AA37" s="166">
        <f t="shared" si="6"/>
        <v>45.250896057347667</v>
      </c>
      <c r="AB37" s="126">
        <v>12</v>
      </c>
      <c r="AC37" s="167">
        <v>2.79</v>
      </c>
      <c r="AD37" s="167">
        <v>11.57</v>
      </c>
      <c r="AE37" s="167">
        <v>0.66</v>
      </c>
      <c r="AF37" s="167">
        <v>1.91</v>
      </c>
      <c r="AG37" s="167">
        <v>4.1000000000000005</v>
      </c>
      <c r="AH37" s="167">
        <v>0.8</v>
      </c>
      <c r="AI37" s="167">
        <v>301.93</v>
      </c>
      <c r="AJ37" s="167">
        <v>29.5</v>
      </c>
      <c r="AK37" s="167">
        <v>3.92</v>
      </c>
      <c r="AL37" s="168">
        <v>33130</v>
      </c>
      <c r="AM37" s="169">
        <v>0.1</v>
      </c>
      <c r="AN37" s="167">
        <v>0.44</v>
      </c>
      <c r="AO37" s="170">
        <f t="shared" si="7"/>
        <v>-24.407929630266839</v>
      </c>
      <c r="AP37" s="171">
        <f t="shared" si="8"/>
        <v>20.842966427080828</v>
      </c>
      <c r="AQ37" s="172">
        <f t="shared" si="9"/>
        <v>95.992303102311809</v>
      </c>
      <c r="AR37" s="157">
        <f>INDEX([1]Historical!$C$7:$C$1231,MATCH(B37,[1]Historical!$B$7:$B$1253,0))*IF(AH37="n/a",1.03,IF(AH37&lt;0,1.01,IF(AH37&gt;10,1.1,(1+AH37/100))))</f>
        <v>2.9937600000000004</v>
      </c>
      <c r="AS37" s="166">
        <f t="shared" si="10"/>
        <v>3.2931360000000005</v>
      </c>
      <c r="AT37" s="166">
        <f t="shared" si="15"/>
        <v>3.4222269312</v>
      </c>
      <c r="AU37" s="166">
        <f t="shared" si="15"/>
        <v>3.5563782269030395</v>
      </c>
      <c r="AV37" s="166">
        <f t="shared" si="15"/>
        <v>3.6957882533976383</v>
      </c>
      <c r="AW37" s="157">
        <f t="shared" si="12"/>
        <v>16.961289411500676</v>
      </c>
      <c r="AX37" s="173">
        <f t="shared" si="13"/>
        <v>13.434684682376774</v>
      </c>
      <c r="AY37" s="174">
        <v>0.63</v>
      </c>
      <c r="AZ37" s="169">
        <v>18.98</v>
      </c>
      <c r="BA37" s="169">
        <v>-12.61</v>
      </c>
      <c r="BB37" s="169">
        <v>-0.72</v>
      </c>
      <c r="BC37" s="169">
        <v>-0.83</v>
      </c>
      <c r="BE37" s="77">
        <v>2011</v>
      </c>
      <c r="BF37" s="77">
        <f t="shared" si="14"/>
        <v>1</v>
      </c>
      <c r="BG37" s="175">
        <v>0.8</v>
      </c>
      <c r="BH37" t="s">
        <v>939</v>
      </c>
      <c r="BI37" t="s">
        <v>940</v>
      </c>
    </row>
    <row r="38" spans="1:64" ht="11.25" customHeight="1" x14ac:dyDescent="0.2">
      <c r="A38" s="112" t="s">
        <v>840</v>
      </c>
      <c r="B38" s="153" t="s">
        <v>841</v>
      </c>
      <c r="C38" s="154" t="s">
        <v>94</v>
      </c>
      <c r="D38" s="154" t="s">
        <v>760</v>
      </c>
      <c r="E38" s="155">
        <v>9</v>
      </c>
      <c r="F38" s="298">
        <v>530</v>
      </c>
      <c r="G38" s="298" t="s">
        <v>88</v>
      </c>
      <c r="H38" s="298" t="s">
        <v>88</v>
      </c>
      <c r="I38" s="156">
        <v>104.77</v>
      </c>
      <c r="J38" s="157">
        <f t="shared" si="0"/>
        <v>1.5653335878591201</v>
      </c>
      <c r="K38" s="158">
        <v>0.41</v>
      </c>
      <c r="L38" s="126">
        <v>4</v>
      </c>
      <c r="M38" s="82">
        <f t="shared" si="1"/>
        <v>1.64</v>
      </c>
      <c r="N38" s="159" t="s">
        <v>628</v>
      </c>
      <c r="O38" s="160">
        <v>0.36</v>
      </c>
      <c r="P38" s="161">
        <v>44635</v>
      </c>
      <c r="Q38" s="161">
        <v>44651</v>
      </c>
      <c r="R38" s="82">
        <f t="shared" si="2"/>
        <v>13.888888888888888</v>
      </c>
      <c r="S38" s="162">
        <f>IF(INDEX([1]Historical!$D$7:$D$1229,MATCH(B38,[1]Historical!$B$7:$B$1253,0))=0,"n/a",(INDEX([1]Historical!$C$7:$C$1231,MATCH(B38,[1]Historical!$B$7:$B$1253,0))/INDEX([1]Historical!$D$7:$D$1229,MATCH(B38,[1]Historical!$B$7:$B$1253,0))-1)*100)</f>
        <v>12.5</v>
      </c>
      <c r="T38" s="162">
        <f>IF(INDEX([1]Historical!$F$7:$F$1222,MATCH(B38,[1]Historical!$B$7:$B$1253,0))=0,"n/a",((INDEX([1]Historical!$C$7:$C$1231,MATCH(B38,[1]Historical!$B$7:$B$1253,0))/INDEX([1]Historical!$F$7:$F$1222,MATCH(B38,[1]Historical!$B$7:$B$1253,0)))^(1/3)-1)*100)</f>
        <v>19.681696117715084</v>
      </c>
      <c r="U38" s="162">
        <f>IF(INDEX([1]Historical!$H$7:$H$1222,MATCH(B38,[1]Historical!$B$7:$B$1253,0))=0,"n/a",((INDEX([1]Historical!$C$7:$C$1231,MATCH(B38,[1]Historical!$B$7:$B$1253,0))/INDEX([1]Historical!$H$7:$H$1222,MATCH(B38,[1]Historical!$B$7:$B$1253,0)))^(1/5)-1)*100)</f>
        <v>24.573093961551741</v>
      </c>
      <c r="V38" s="162" t="str">
        <f>IF(INDEX([1]Historical!$N$7:$N$1222,MATCH(B38,[1]Historical!$B$7:$B$1253,0))=0,"n/a",((INDEX([1]Historical!$C$7:$C$1231,MATCH(B38,[1]Historical!$B$7:$B$1253,0))/INDEX([1]Historical!$N$7:$N$1222,MATCH(B38,[1]Historical!$B$7:$B$1253,0)))^(1/10)-1)*100)</f>
        <v>n/a</v>
      </c>
      <c r="W38" s="163" t="str">
        <f t="shared" si="3"/>
        <v>n/a</v>
      </c>
      <c r="X38" s="164">
        <f t="shared" si="4"/>
        <v>1.3883103933080081</v>
      </c>
      <c r="Y38" s="178" t="s">
        <v>842</v>
      </c>
      <c r="Z38" s="157">
        <f t="shared" si="5"/>
        <v>33.401221995926676</v>
      </c>
      <c r="AA38" s="166">
        <f t="shared" si="6"/>
        <v>21.338085539714868</v>
      </c>
      <c r="AB38" s="126">
        <v>12</v>
      </c>
      <c r="AC38" s="167">
        <v>4.91</v>
      </c>
      <c r="AD38" s="167">
        <v>2.16</v>
      </c>
      <c r="AE38" s="167">
        <v>2.91</v>
      </c>
      <c r="AF38" s="167">
        <v>11.8</v>
      </c>
      <c r="AG38" s="179">
        <v>56.8</v>
      </c>
      <c r="AH38" s="167">
        <v>57.599999999999994</v>
      </c>
      <c r="AI38" s="167">
        <v>10.82</v>
      </c>
      <c r="AJ38" s="167">
        <v>17.7</v>
      </c>
      <c r="AK38" s="167">
        <v>10</v>
      </c>
      <c r="AL38" s="168">
        <v>9090</v>
      </c>
      <c r="AM38" s="169">
        <v>0.2</v>
      </c>
      <c r="AN38" s="167">
        <v>2.81</v>
      </c>
      <c r="AO38" s="170">
        <f t="shared" si="7"/>
        <v>4.8003420096959921</v>
      </c>
      <c r="AP38" s="171">
        <f t="shared" si="8"/>
        <v>26.13842754941086</v>
      </c>
      <c r="AQ38" s="172">
        <f t="shared" si="9"/>
        <v>234.52414586071058</v>
      </c>
      <c r="AR38" s="157">
        <f>INDEX([1]Historical!$C$7:$C$1231,MATCH(B38,[1]Historical!$B$7:$B$1253,0))*IF(AH38="n/a",1.03,IF(AH38&lt;0,1.01,IF(AH38&gt;10,1.1,(1+AH38/100))))</f>
        <v>1.5840000000000001</v>
      </c>
      <c r="AS38" s="166">
        <f t="shared" si="10"/>
        <v>1.7424000000000002</v>
      </c>
      <c r="AT38" s="166">
        <f t="shared" si="15"/>
        <v>1.9166400000000003</v>
      </c>
      <c r="AU38" s="166">
        <f t="shared" si="15"/>
        <v>2.1083040000000004</v>
      </c>
      <c r="AV38" s="166">
        <f t="shared" si="15"/>
        <v>2.3191344000000007</v>
      </c>
      <c r="AW38" s="157">
        <f t="shared" si="12"/>
        <v>9.6704784000000021</v>
      </c>
      <c r="AX38" s="173">
        <f t="shared" si="13"/>
        <v>9.2301979574305655</v>
      </c>
      <c r="AY38" s="174">
        <v>1.07</v>
      </c>
      <c r="AZ38" s="169">
        <v>19.97</v>
      </c>
      <c r="BA38" s="169">
        <v>-23.54</v>
      </c>
      <c r="BB38" s="169">
        <v>10.16</v>
      </c>
      <c r="BC38" s="169">
        <v>-1.5599999999999998</v>
      </c>
      <c r="BE38" s="77">
        <v>2014</v>
      </c>
      <c r="BF38" s="77">
        <f t="shared" si="14"/>
        <v>1</v>
      </c>
      <c r="BG38" s="175">
        <v>12.8</v>
      </c>
      <c r="BH38" t="s">
        <v>939</v>
      </c>
      <c r="BI38" t="s">
        <v>940</v>
      </c>
    </row>
    <row r="39" spans="1:64" ht="11.25" customHeight="1" x14ac:dyDescent="0.2">
      <c r="A39" s="205" t="s">
        <v>964</v>
      </c>
      <c r="B39" s="153" t="s">
        <v>965</v>
      </c>
      <c r="C39" s="154" t="s">
        <v>90</v>
      </c>
      <c r="D39" s="154" t="s">
        <v>966</v>
      </c>
      <c r="E39" s="155">
        <v>7</v>
      </c>
      <c r="F39" s="298">
        <v>617</v>
      </c>
      <c r="G39" s="298" t="s">
        <v>88</v>
      </c>
      <c r="H39" s="298" t="s">
        <v>88</v>
      </c>
      <c r="I39" s="156">
        <v>27.56</v>
      </c>
      <c r="J39" s="157">
        <f t="shared" si="0"/>
        <v>4.3541364296081273</v>
      </c>
      <c r="K39" s="158">
        <v>0.3</v>
      </c>
      <c r="L39" s="126">
        <v>4</v>
      </c>
      <c r="M39" s="82">
        <f t="shared" si="1"/>
        <v>1.2</v>
      </c>
      <c r="N39" s="159" t="s">
        <v>164</v>
      </c>
      <c r="O39" s="160">
        <v>0.25</v>
      </c>
      <c r="P39" s="161">
        <v>44592</v>
      </c>
      <c r="Q39" s="161">
        <v>44607</v>
      </c>
      <c r="R39" s="82">
        <f t="shared" si="2"/>
        <v>19.999999999999996</v>
      </c>
      <c r="S39" s="162">
        <f>IF(INDEX([1]Historical!$D$7:$D$1229,MATCH(B39,[1]Historical!$B$7:$B$1253,0))=0,"n/a",(INDEX([1]Historical!$C$7:$C$1231,MATCH(B39,[1]Historical!$B$7:$B$1253,0))/INDEX([1]Historical!$D$7:$D$1229,MATCH(B39,[1]Historical!$B$7:$B$1253,0))-1)*100)</f>
        <v>15.789473684210531</v>
      </c>
      <c r="T39" s="162">
        <f>IF(INDEX([1]Historical!$F$7:$F$1222,MATCH(B39,[1]Historical!$B$7:$B$1253,0))=0,"n/a",((INDEX([1]Historical!$C$7:$C$1231,MATCH(B39,[1]Historical!$B$7:$B$1253,0))/INDEX([1]Historical!$F$7:$F$1222,MATCH(B39,[1]Historical!$B$7:$B$1253,0)))^(1/3)-1)*100)</f>
        <v>16.260329205681458</v>
      </c>
      <c r="U39" s="162">
        <f>IF(INDEX([1]Historical!$H$7:$H$1222,MATCH(B39,[1]Historical!$B$7:$B$1253,0))=0,"n/a",((INDEX([1]Historical!$C$7:$C$1231,MATCH(B39,[1]Historical!$B$7:$B$1253,0))/INDEX([1]Historical!$H$7:$H$1222,MATCH(B39,[1]Historical!$B$7:$B$1253,0)))^(1/5)-1)*100)</f>
        <v>40.628238838763522</v>
      </c>
      <c r="V39" s="162" t="str">
        <f>IF(INDEX([1]Historical!$N$7:$N$1222,MATCH(B39,[1]Historical!$B$7:$B$1253,0))=0,"n/a",((INDEX([1]Historical!$C$7:$C$1231,MATCH(B39,[1]Historical!$B$7:$B$1253,0))/INDEX([1]Historical!$N$7:$N$1222,MATCH(B39,[1]Historical!$B$7:$B$1253,0)))^(1/10)-1)*100)</f>
        <v>n/a</v>
      </c>
      <c r="W39" s="163" t="str">
        <f t="shared" si="3"/>
        <v>n/a</v>
      </c>
      <c r="X39" s="164">
        <f t="shared" si="4"/>
        <v>1.3453059218133616</v>
      </c>
      <c r="Y39" s="178"/>
      <c r="Z39" s="157">
        <f t="shared" si="5"/>
        <v>19.900497512437809</v>
      </c>
      <c r="AA39" s="166">
        <f t="shared" si="6"/>
        <v>4.5704809286898831</v>
      </c>
      <c r="AB39" s="126">
        <v>12</v>
      </c>
      <c r="AC39" s="167">
        <v>6.03</v>
      </c>
      <c r="AD39" s="167" t="s">
        <v>95</v>
      </c>
      <c r="AE39" s="167">
        <v>0.84</v>
      </c>
      <c r="AF39" s="167">
        <v>0.78</v>
      </c>
      <c r="AG39" s="167">
        <v>21.2</v>
      </c>
      <c r="AH39" s="167">
        <v>191.4</v>
      </c>
      <c r="AI39" s="167">
        <v>-25.019999999999996</v>
      </c>
      <c r="AJ39" s="167">
        <v>30.2</v>
      </c>
      <c r="AK39" s="167">
        <v>-10.4</v>
      </c>
      <c r="AL39" s="168">
        <v>8170</v>
      </c>
      <c r="AM39" s="169">
        <v>0.6</v>
      </c>
      <c r="AN39" s="167">
        <v>2.12</v>
      </c>
      <c r="AO39" s="170">
        <f t="shared" si="7"/>
        <v>40.411894339681766</v>
      </c>
      <c r="AP39" s="171">
        <f t="shared" si="8"/>
        <v>44.982375268371648</v>
      </c>
      <c r="AQ39" s="172">
        <f t="shared" si="9"/>
        <v>-60.195058238800378</v>
      </c>
      <c r="AR39" s="157">
        <f>INDEX([1]Historical!$C$7:$C$1231,MATCH(B39,[1]Historical!$B$7:$B$1253,0))*IF(AH39="n/a",1.03,IF(AH39&lt;0,1.01,IF(AH39&gt;10,1.1,(1+AH39/100))))</f>
        <v>0.96800000000000008</v>
      </c>
      <c r="AS39" s="166">
        <f t="shared" si="10"/>
        <v>0.9776800000000001</v>
      </c>
      <c r="AT39" s="166">
        <f t="shared" ref="AT39:AV54" si="16">IF($AK39="n/a",1.03*AS39,IF($AK39&lt;0,1.01*AS39,IF($AK39&gt;10,1.1*AS39,(1+$AK39/100)*AS39)))</f>
        <v>0.98745680000000013</v>
      </c>
      <c r="AU39" s="166">
        <f t="shared" si="16"/>
        <v>0.99733136800000011</v>
      </c>
      <c r="AV39" s="166">
        <f t="shared" si="16"/>
        <v>1.0073046816800002</v>
      </c>
      <c r="AW39" s="157">
        <f t="shared" si="12"/>
        <v>4.9377728496800009</v>
      </c>
      <c r="AX39" s="173">
        <f t="shared" si="13"/>
        <v>17.916447204934691</v>
      </c>
      <c r="AY39" s="174">
        <v>1.28</v>
      </c>
      <c r="AZ39" s="169">
        <v>8.7999999999999989</v>
      </c>
      <c r="BA39" s="169">
        <v>-48.8</v>
      </c>
      <c r="BB39" s="169">
        <v>-10.48</v>
      </c>
      <c r="BC39" s="169">
        <v>-28.42</v>
      </c>
      <c r="BE39" s="77">
        <v>2016</v>
      </c>
      <c r="BF39" s="77">
        <f t="shared" si="14"/>
        <v>1</v>
      </c>
      <c r="BG39" s="175">
        <v>1.6</v>
      </c>
      <c r="BH39" t="s">
        <v>939</v>
      </c>
      <c r="BI39" t="s">
        <v>940</v>
      </c>
      <c r="BJ39" s="112"/>
      <c r="BK39" s="112"/>
      <c r="BL39" s="112"/>
    </row>
    <row r="40" spans="1:64" ht="11.25" customHeight="1" x14ac:dyDescent="0.2">
      <c r="A40" s="205" t="s">
        <v>1252</v>
      </c>
      <c r="B40" s="153" t="s">
        <v>967</v>
      </c>
      <c r="C40" s="154" t="s">
        <v>90</v>
      </c>
      <c r="D40" s="154" t="s">
        <v>968</v>
      </c>
      <c r="E40" s="155">
        <v>24</v>
      </c>
      <c r="F40" s="298">
        <v>152</v>
      </c>
      <c r="G40" s="298" t="s">
        <v>88</v>
      </c>
      <c r="H40" s="298" t="s">
        <v>88</v>
      </c>
      <c r="I40" s="156">
        <v>22.3</v>
      </c>
      <c r="J40" s="157">
        <f t="shared" si="0"/>
        <v>3.2286995515695063</v>
      </c>
      <c r="K40" s="158">
        <v>0.18</v>
      </c>
      <c r="L40" s="126">
        <v>4</v>
      </c>
      <c r="M40" s="82">
        <f t="shared" si="1"/>
        <v>0.72</v>
      </c>
      <c r="N40" s="159" t="s">
        <v>126</v>
      </c>
      <c r="O40" s="160">
        <v>0.16</v>
      </c>
      <c r="P40" s="161">
        <v>44728</v>
      </c>
      <c r="Q40" s="161">
        <v>44750</v>
      </c>
      <c r="R40" s="82">
        <f t="shared" si="2"/>
        <v>12.499999999999993</v>
      </c>
      <c r="S40" s="162">
        <f>IF(INDEX([1]Historical!$D$7:$D$1229,MATCH(B40,[1]Historical!$B$7:$B$1253,0))=0,"n/a",(INDEX([1]Historical!$C$7:$C$1231,MATCH(B40,[1]Historical!$B$7:$B$1253,0))/INDEX([1]Historical!$D$7:$D$1229,MATCH(B40,[1]Historical!$B$7:$B$1253,0))-1)*100)</f>
        <v>3.3333333333333437</v>
      </c>
      <c r="T40" s="162">
        <f>IF(INDEX([1]Historical!$F$7:$F$1222,MATCH(B40,[1]Historical!$B$7:$B$1253,0))=0,"n/a",((INDEX([1]Historical!$C$7:$C$1231,MATCH(B40,[1]Historical!$B$7:$B$1253,0))/INDEX([1]Historical!$F$7:$F$1222,MATCH(B40,[1]Historical!$B$7:$B$1253,0)))^(1/3)-1)*100)</f>
        <v>6.7268859311195417</v>
      </c>
      <c r="U40" s="162">
        <f>IF(INDEX([1]Historical!$H$7:$H$1222,MATCH(B40,[1]Historical!$B$7:$B$1253,0))=0,"n/a",((INDEX([1]Historical!$C$7:$C$1231,MATCH(B40,[1]Historical!$B$7:$B$1253,0))/INDEX([1]Historical!$H$7:$H$1222,MATCH(B40,[1]Historical!$B$7:$B$1253,0)))^(1/5)-1)*100)</f>
        <v>7.0995886039598277</v>
      </c>
      <c r="V40" s="162">
        <f>IF(INDEX([1]Historical!$N$7:$N$1222,MATCH(B40,[1]Historical!$B$7:$B$1253,0))=0,"n/a",((INDEX([1]Historical!$C$7:$C$1231,MATCH(B40,[1]Historical!$B$7:$B$1253,0))/INDEX([1]Historical!$N$7:$N$1222,MATCH(B40,[1]Historical!$B$7:$B$1253,0)))^(1/10)-1)*100)</f>
        <v>7.7712765758489066</v>
      </c>
      <c r="W40" s="163">
        <f t="shared" si="3"/>
        <v>0.91356787197916633</v>
      </c>
      <c r="X40" s="164">
        <f t="shared" si="4"/>
        <v>0.24230677829214431</v>
      </c>
      <c r="Y40" s="180"/>
      <c r="Z40" s="157">
        <f t="shared" si="5"/>
        <v>26.765799256505574</v>
      </c>
      <c r="AA40" s="166">
        <f t="shared" si="6"/>
        <v>8.2899628252788116</v>
      </c>
      <c r="AB40" s="126">
        <v>12</v>
      </c>
      <c r="AC40" s="167">
        <v>2.69</v>
      </c>
      <c r="AD40" s="167" t="s">
        <v>95</v>
      </c>
      <c r="AE40" s="167">
        <v>4.72</v>
      </c>
      <c r="AF40" s="167">
        <v>1.25</v>
      </c>
      <c r="AG40" s="167">
        <v>13.900000000000002</v>
      </c>
      <c r="AH40" s="167">
        <v>17.8</v>
      </c>
      <c r="AI40" s="167">
        <v>5.25</v>
      </c>
      <c r="AJ40" s="167">
        <v>29.299999999999997</v>
      </c>
      <c r="AK40" s="167" t="s">
        <v>95</v>
      </c>
      <c r="AL40" s="168">
        <v>436.07</v>
      </c>
      <c r="AM40" s="169">
        <v>0.70000000000000007</v>
      </c>
      <c r="AN40" s="167">
        <v>0.19</v>
      </c>
      <c r="AO40" s="170">
        <f t="shared" si="7"/>
        <v>2.0383253302505224</v>
      </c>
      <c r="AP40" s="171">
        <f t="shared" si="8"/>
        <v>10.328288155529334</v>
      </c>
      <c r="AQ40" s="172">
        <f t="shared" si="9"/>
        <v>-32.135908589794902</v>
      </c>
      <c r="AR40" s="157">
        <f>INDEX([1]Historical!$C$7:$C$1231,MATCH(B40,[1]Historical!$B$7:$B$1253,0))*IF(AH40="n/a",1.03,IF(AH40&lt;0,1.01,IF(AH40&gt;10,1.1,(1+AH40/100))))</f>
        <v>0.68200000000000005</v>
      </c>
      <c r="AS40" s="166">
        <f t="shared" si="10"/>
        <v>0.71780500000000003</v>
      </c>
      <c r="AT40" s="166">
        <f t="shared" si="16"/>
        <v>0.73933915000000006</v>
      </c>
      <c r="AU40" s="166">
        <f t="shared" si="16"/>
        <v>0.76151932450000004</v>
      </c>
      <c r="AV40" s="166">
        <f t="shared" si="16"/>
        <v>0.78436490423500005</v>
      </c>
      <c r="AW40" s="157">
        <f t="shared" si="12"/>
        <v>3.6850283787350007</v>
      </c>
      <c r="AX40" s="173">
        <f t="shared" si="13"/>
        <v>16.52479093603139</v>
      </c>
      <c r="AY40" s="174">
        <v>0.7</v>
      </c>
      <c r="AZ40" s="169">
        <v>10.4</v>
      </c>
      <c r="BA40" s="169">
        <v>-41.79</v>
      </c>
      <c r="BB40" s="169">
        <v>-2.83</v>
      </c>
      <c r="BC40" s="169">
        <v>-12.21</v>
      </c>
      <c r="BE40" s="77">
        <v>1999</v>
      </c>
      <c r="BF40" s="77">
        <f t="shared" si="14"/>
        <v>3</v>
      </c>
      <c r="BG40" s="175">
        <v>1.4000000000000001</v>
      </c>
      <c r="BH40" t="s">
        <v>939</v>
      </c>
      <c r="BI40" t="s">
        <v>940</v>
      </c>
    </row>
    <row r="41" spans="1:64" ht="11.25" customHeight="1" x14ac:dyDescent="0.2">
      <c r="A41" s="205" t="s">
        <v>1813</v>
      </c>
      <c r="B41" s="153" t="s">
        <v>1814</v>
      </c>
      <c r="C41" s="154" t="s">
        <v>922</v>
      </c>
      <c r="D41" s="154" t="s">
        <v>950</v>
      </c>
      <c r="E41" s="155">
        <v>5</v>
      </c>
      <c r="F41" s="298">
        <v>711</v>
      </c>
      <c r="G41" s="298" t="s">
        <v>88</v>
      </c>
      <c r="H41" s="298" t="s">
        <v>88</v>
      </c>
      <c r="I41" s="156">
        <v>88.29</v>
      </c>
      <c r="J41" s="157">
        <f t="shared" si="0"/>
        <v>1.1779363461320647</v>
      </c>
      <c r="K41" s="158">
        <v>0.26</v>
      </c>
      <c r="L41" s="126">
        <v>4</v>
      </c>
      <c r="M41" s="82">
        <f t="shared" si="1"/>
        <v>1.04</v>
      </c>
      <c r="N41" s="159" t="s">
        <v>167</v>
      </c>
      <c r="O41" s="160">
        <v>0.24</v>
      </c>
      <c r="P41" s="161">
        <v>44706</v>
      </c>
      <c r="Q41" s="161">
        <v>44728</v>
      </c>
      <c r="R41" s="82">
        <f t="shared" si="2"/>
        <v>8.333333333333341</v>
      </c>
      <c r="S41" s="162">
        <f>IF(INDEX([1]Historical!$D$7:$D$1229,MATCH(B41,[1]Historical!$B$7:$B$1253,0))=0,"n/a",(INDEX([1]Historical!$C$7:$C$1231,MATCH(B41,[1]Historical!$B$7:$B$1253,0))/INDEX([1]Historical!$D$7:$D$1229,MATCH(B41,[1]Historical!$B$7:$B$1253,0))-1)*100)</f>
        <v>8.045977011494255</v>
      </c>
      <c r="T41" s="162">
        <f>IF(INDEX([1]Historical!$F$7:$F$1222,MATCH(B41,[1]Historical!$B$7:$B$1253,0))=0,"n/a",((INDEX([1]Historical!$C$7:$C$1231,MATCH(B41,[1]Historical!$B$7:$B$1253,0))/INDEX([1]Historical!$F$7:$F$1222,MATCH(B41,[1]Historical!$B$7:$B$1253,0)))^(1/3)-1)*100)</f>
        <v>10.325677865290107</v>
      </c>
      <c r="U41" s="162">
        <f>IF(INDEX([1]Historical!$H$7:$H$1222,MATCH(B41,[1]Historical!$B$7:$B$1253,0))=0,"n/a",((INDEX([1]Historical!$C$7:$C$1231,MATCH(B41,[1]Historical!$B$7:$B$1253,0))/INDEX([1]Historical!$H$7:$H$1222,MATCH(B41,[1]Historical!$B$7:$B$1253,0)))^(1/5)-1)*100)</f>
        <v>18.635201558641533</v>
      </c>
      <c r="V41" s="162">
        <f>IF(INDEX([1]Historical!$N$7:$N$1222,MATCH(B41,[1]Historical!$B$7:$B$1253,0))=0,"n/a",((INDEX([1]Historical!$C$7:$C$1231,MATCH(B41,[1]Historical!$B$7:$B$1253,0))/INDEX([1]Historical!$N$7:$N$1222,MATCH(B41,[1]Historical!$B$7:$B$1253,0)))^(1/10)-1)*100)</f>
        <v>11.731753862740391</v>
      </c>
      <c r="W41" s="163">
        <f t="shared" si="3"/>
        <v>1.5884412319479557</v>
      </c>
      <c r="X41" s="164">
        <f t="shared" si="4"/>
        <v>0.56470307753459192</v>
      </c>
      <c r="Y41" s="180"/>
      <c r="Z41" s="157">
        <f t="shared" si="5"/>
        <v>13.922356091030791</v>
      </c>
      <c r="AA41" s="166">
        <f t="shared" si="6"/>
        <v>11.819277108433736</v>
      </c>
      <c r="AB41" s="126">
        <v>10</v>
      </c>
      <c r="AC41" s="167">
        <v>7.47</v>
      </c>
      <c r="AD41" s="167">
        <v>0.97</v>
      </c>
      <c r="AE41" s="167">
        <v>2.96</v>
      </c>
      <c r="AF41" s="167">
        <v>6.42</v>
      </c>
      <c r="AG41" s="167">
        <v>55.600000000000009</v>
      </c>
      <c r="AH41" s="167">
        <v>63.4</v>
      </c>
      <c r="AI41" s="167">
        <v>-10.549999999999999</v>
      </c>
      <c r="AJ41" s="167">
        <v>33</v>
      </c>
      <c r="AK41" s="167">
        <v>12.389999999999999</v>
      </c>
      <c r="AL41" s="168">
        <v>74450</v>
      </c>
      <c r="AM41" s="169">
        <v>0.36</v>
      </c>
      <c r="AN41" s="167">
        <v>0.45</v>
      </c>
      <c r="AO41" s="170">
        <f t="shared" si="7"/>
        <v>7.9938607963398614</v>
      </c>
      <c r="AP41" s="171">
        <f t="shared" si="8"/>
        <v>19.813137904773598</v>
      </c>
      <c r="AQ41" s="172">
        <f t="shared" si="9"/>
        <v>83.641872538366343</v>
      </c>
      <c r="AR41" s="157">
        <f>INDEX([1]Historical!$C$7:$C$1231,MATCH(B41,[1]Historical!$B$7:$B$1253,0))*IF(AH41="n/a",1.03,IF(AH41&lt;0,1.01,IF(AH41&gt;10,1.1,(1+AH41/100))))</f>
        <v>1.034</v>
      </c>
      <c r="AS41" s="166">
        <f t="shared" si="10"/>
        <v>1.04434</v>
      </c>
      <c r="AT41" s="166">
        <f t="shared" si="16"/>
        <v>1.1487740000000002</v>
      </c>
      <c r="AU41" s="166">
        <f t="shared" si="16"/>
        <v>1.2636514000000003</v>
      </c>
      <c r="AV41" s="166">
        <f t="shared" si="16"/>
        <v>1.3900165400000004</v>
      </c>
      <c r="AW41" s="157">
        <f t="shared" si="12"/>
        <v>5.8807819400000012</v>
      </c>
      <c r="AX41" s="173">
        <f t="shared" si="13"/>
        <v>6.660756529618304</v>
      </c>
      <c r="AY41" s="174">
        <v>1.5</v>
      </c>
      <c r="AZ41" s="169">
        <v>24.14</v>
      </c>
      <c r="BA41" s="169">
        <v>-47.15</v>
      </c>
      <c r="BB41" s="169">
        <v>0.13999999999999999</v>
      </c>
      <c r="BC41" s="169">
        <v>-19.420000000000002</v>
      </c>
      <c r="BE41" s="77">
        <v>2018</v>
      </c>
      <c r="BF41" s="77">
        <f t="shared" si="14"/>
        <v>1</v>
      </c>
      <c r="BG41" s="175">
        <v>25.8</v>
      </c>
      <c r="BH41" t="s">
        <v>939</v>
      </c>
      <c r="BI41" t="s">
        <v>940</v>
      </c>
      <c r="BJ41" s="112"/>
      <c r="BK41" s="112"/>
      <c r="BL41" s="112"/>
    </row>
    <row r="42" spans="1:64" ht="11.25" customHeight="1" x14ac:dyDescent="0.2">
      <c r="A42" s="112" t="s">
        <v>520</v>
      </c>
      <c r="B42" s="153" t="s">
        <v>521</v>
      </c>
      <c r="C42" s="154" t="s">
        <v>137</v>
      </c>
      <c r="D42" s="154" t="s">
        <v>522</v>
      </c>
      <c r="E42" s="155">
        <v>12</v>
      </c>
      <c r="F42" s="298">
        <v>333</v>
      </c>
      <c r="G42" s="298" t="s">
        <v>104</v>
      </c>
      <c r="H42" s="298" t="s">
        <v>104</v>
      </c>
      <c r="I42" s="156">
        <v>270.35000000000002</v>
      </c>
      <c r="J42" s="157">
        <f t="shared" si="0"/>
        <v>2.870353245792491</v>
      </c>
      <c r="K42" s="158">
        <v>1.94</v>
      </c>
      <c r="L42" s="126">
        <v>4</v>
      </c>
      <c r="M42" s="82">
        <f t="shared" si="1"/>
        <v>7.76</v>
      </c>
      <c r="N42" s="159" t="s">
        <v>251</v>
      </c>
      <c r="O42" s="160">
        <v>1.76</v>
      </c>
      <c r="P42" s="161">
        <v>44606</v>
      </c>
      <c r="Q42" s="161">
        <v>44628</v>
      </c>
      <c r="R42" s="82">
        <f t="shared" si="2"/>
        <v>10.227272727272723</v>
      </c>
      <c r="S42" s="162">
        <f>IF(INDEX([1]Historical!$D$7:$D$1229,MATCH(B42,[1]Historical!$B$7:$B$1253,0))=0,"n/a",(INDEX([1]Historical!$C$7:$C$1231,MATCH(B42,[1]Historical!$B$7:$B$1253,0))/INDEX([1]Historical!$D$7:$D$1229,MATCH(B42,[1]Historical!$B$7:$B$1253,0))-1)*100)</f>
        <v>9.9999999999999858</v>
      </c>
      <c r="T42" s="162">
        <f>IF(INDEX([1]Historical!$F$7:$F$1222,MATCH(B42,[1]Historical!$B$7:$B$1253,0))=0,"n/a",((INDEX([1]Historical!$C$7:$C$1231,MATCH(B42,[1]Historical!$B$7:$B$1253,0))/INDEX([1]Historical!$F$7:$F$1222,MATCH(B42,[1]Historical!$B$7:$B$1253,0)))^(1/3)-1)*100)</f>
        <v>10.064241629820891</v>
      </c>
      <c r="U42" s="162">
        <f>IF(INDEX([1]Historical!$H$7:$H$1222,MATCH(B42,[1]Historical!$B$7:$B$1253,0))=0,"n/a",((INDEX([1]Historical!$C$7:$C$1231,MATCH(B42,[1]Historical!$B$7:$B$1253,0))/INDEX([1]Historical!$H$7:$H$1222,MATCH(B42,[1]Historical!$B$7:$B$1253,0)))^(1/5)-1)*100)</f>
        <v>11.970220528043152</v>
      </c>
      <c r="V42" s="162">
        <f>IF(INDEX([1]Historical!$N$7:$N$1222,MATCH(B42,[1]Historical!$B$7:$B$1253,0))=0,"n/a",((INDEX([1]Historical!$C$7:$C$1231,MATCH(B42,[1]Historical!$B$7:$B$1253,0))/INDEX([1]Historical!$N$7:$N$1222,MATCH(B42,[1]Historical!$B$7:$B$1253,0)))^(1/10)-1)*100)</f>
        <v>28.806702779585414</v>
      </c>
      <c r="W42" s="163">
        <f t="shared" si="3"/>
        <v>0.41553594729786797</v>
      </c>
      <c r="X42" s="164">
        <f t="shared" si="4"/>
        <v>119.70220528043151</v>
      </c>
      <c r="Y42" s="165"/>
      <c r="Z42" s="157">
        <f t="shared" si="5"/>
        <v>65.762711864406782</v>
      </c>
      <c r="AA42" s="166">
        <f t="shared" si="6"/>
        <v>22.911016949152543</v>
      </c>
      <c r="AB42" s="126">
        <v>12</v>
      </c>
      <c r="AC42" s="167">
        <v>11.8</v>
      </c>
      <c r="AD42" s="167">
        <v>3.03</v>
      </c>
      <c r="AE42" s="167">
        <v>5.42</v>
      </c>
      <c r="AF42" s="167">
        <v>60.58</v>
      </c>
      <c r="AG42" s="167">
        <v>144.1</v>
      </c>
      <c r="AH42" s="167">
        <v>-16.5</v>
      </c>
      <c r="AI42" s="167">
        <v>6.5600000000000005</v>
      </c>
      <c r="AJ42" s="167">
        <v>0.1</v>
      </c>
      <c r="AK42" s="167">
        <v>7.6700000000000008</v>
      </c>
      <c r="AL42" s="168">
        <v>142950</v>
      </c>
      <c r="AM42" s="213">
        <v>0.2</v>
      </c>
      <c r="AN42" s="167">
        <v>15.1</v>
      </c>
      <c r="AO42" s="170">
        <f t="shared" si="7"/>
        <v>-8.0704431753168997</v>
      </c>
      <c r="AP42" s="171">
        <f t="shared" si="8"/>
        <v>14.840573773835644</v>
      </c>
      <c r="AQ42" s="172">
        <f t="shared" si="9"/>
        <v>685.40843069907442</v>
      </c>
      <c r="AR42" s="157">
        <f>INDEX([1]Historical!$C$7:$C$1231,MATCH(B42,[1]Historical!$B$7:$B$1253,0))*IF(AH42="n/a",1.03,IF(AH42&lt;0,1.01,IF(AH42&gt;10,1.1,(1+AH42/100))))</f>
        <v>7.1104000000000003</v>
      </c>
      <c r="AS42" s="166">
        <f t="shared" si="10"/>
        <v>7.5768422400000013</v>
      </c>
      <c r="AT42" s="166">
        <f t="shared" si="16"/>
        <v>8.1579860398080015</v>
      </c>
      <c r="AU42" s="166">
        <f t="shared" si="16"/>
        <v>8.7837035690612755</v>
      </c>
      <c r="AV42" s="166">
        <f t="shared" si="16"/>
        <v>9.4574136328082758</v>
      </c>
      <c r="AW42" s="157">
        <f t="shared" si="12"/>
        <v>41.086345481677554</v>
      </c>
      <c r="AX42" s="173">
        <f t="shared" si="13"/>
        <v>15.197464576170724</v>
      </c>
      <c r="AY42" s="174">
        <v>0.62</v>
      </c>
      <c r="AZ42" s="169">
        <v>36.1</v>
      </c>
      <c r="BA42" s="169">
        <v>-1.53</v>
      </c>
      <c r="BB42" s="169">
        <v>12.16</v>
      </c>
      <c r="BC42" s="169">
        <v>12.43</v>
      </c>
      <c r="BE42" s="77">
        <v>2011</v>
      </c>
      <c r="BF42" s="77">
        <f t="shared" si="14"/>
        <v>1</v>
      </c>
      <c r="BG42" s="175">
        <v>10.8</v>
      </c>
      <c r="BH42" t="s">
        <v>939</v>
      </c>
      <c r="BI42" t="s">
        <v>940</v>
      </c>
    </row>
    <row r="43" spans="1:64" ht="11.25" customHeight="1" x14ac:dyDescent="0.2">
      <c r="A43" s="205" t="s">
        <v>970</v>
      </c>
      <c r="B43" s="153" t="s">
        <v>971</v>
      </c>
      <c r="C43" s="154" t="s">
        <v>90</v>
      </c>
      <c r="D43" s="154" t="s">
        <v>969</v>
      </c>
      <c r="E43" s="155">
        <v>7</v>
      </c>
      <c r="F43" s="298">
        <v>613</v>
      </c>
      <c r="G43" s="298" t="s">
        <v>88</v>
      </c>
      <c r="H43" s="298" t="s">
        <v>88</v>
      </c>
      <c r="I43" s="156">
        <v>36.57</v>
      </c>
      <c r="J43" s="157">
        <f t="shared" si="0"/>
        <v>3.0626196335794371</v>
      </c>
      <c r="K43" s="158">
        <v>0.28000000000000003</v>
      </c>
      <c r="L43" s="126">
        <v>4</v>
      </c>
      <c r="M43" s="82">
        <f t="shared" si="1"/>
        <v>1.1200000000000001</v>
      </c>
      <c r="N43" s="159" t="s">
        <v>231</v>
      </c>
      <c r="O43" s="160">
        <v>0.27</v>
      </c>
      <c r="P43" s="161">
        <v>44532</v>
      </c>
      <c r="Q43" s="161">
        <v>44547</v>
      </c>
      <c r="R43" s="82">
        <f t="shared" si="2"/>
        <v>3.7037037037037068</v>
      </c>
      <c r="S43" s="162">
        <f>IF(INDEX([1]Historical!$D$7:$D$1229,MATCH(B43,[1]Historical!$B$7:$B$1253,0))=0,"n/a",(INDEX([1]Historical!$C$7:$C$1231,MATCH(B43,[1]Historical!$B$7:$B$1253,0))/INDEX([1]Historical!$D$7:$D$1229,MATCH(B43,[1]Historical!$B$7:$B$1253,0))-1)*100)</f>
        <v>0.92592592592593004</v>
      </c>
      <c r="T43" s="162">
        <f>IF(INDEX([1]Historical!$F$7:$F$1222,MATCH(B43,[1]Historical!$B$7:$B$1253,0))=0,"n/a",((INDEX([1]Historical!$C$7:$C$1231,MATCH(B43,[1]Historical!$B$7:$B$1253,0))/INDEX([1]Historical!$F$7:$F$1222,MATCH(B43,[1]Historical!$B$7:$B$1253,0)))^(1/3)-1)*100)</f>
        <v>2.9142466571506542</v>
      </c>
      <c r="U43" s="162">
        <f>IF(INDEX([1]Historical!$H$7:$H$1222,MATCH(B43,[1]Historical!$B$7:$B$1253,0))=0,"n/a",((INDEX([1]Historical!$C$7:$C$1231,MATCH(B43,[1]Historical!$B$7:$B$1253,0))/INDEX([1]Historical!$H$7:$H$1222,MATCH(B43,[1]Historical!$B$7:$B$1253,0)))^(1/5)-1)*100)</f>
        <v>2.5725265169996181</v>
      </c>
      <c r="V43" s="162">
        <f>IF(INDEX([1]Historical!$N$7:$N$1222,MATCH(B43,[1]Historical!$B$7:$B$1253,0))=0,"n/a",((INDEX([1]Historical!$C$7:$C$1231,MATCH(B43,[1]Historical!$B$7:$B$1253,0))/INDEX([1]Historical!$N$7:$N$1222,MATCH(B43,[1]Historical!$B$7:$B$1253,0)))^(1/10)-1)*100)</f>
        <v>1.7100498245471885</v>
      </c>
      <c r="W43" s="163">
        <f t="shared" si="3"/>
        <v>1.5043576392172133</v>
      </c>
      <c r="X43" s="164">
        <f t="shared" si="4"/>
        <v>0.15879793314812457</v>
      </c>
      <c r="Y43" s="180"/>
      <c r="Z43" s="157">
        <f t="shared" si="5"/>
        <v>31.818181818181824</v>
      </c>
      <c r="AA43" s="166">
        <f t="shared" si="6"/>
        <v>10.389204545454545</v>
      </c>
      <c r="AB43" s="126">
        <v>12</v>
      </c>
      <c r="AC43" s="167">
        <v>3.52</v>
      </c>
      <c r="AD43" s="167">
        <v>2.61</v>
      </c>
      <c r="AE43" s="167">
        <v>4.07</v>
      </c>
      <c r="AF43" s="167">
        <v>1.2</v>
      </c>
      <c r="AG43" s="167">
        <v>12.1</v>
      </c>
      <c r="AH43" s="167">
        <v>46.300000000000004</v>
      </c>
      <c r="AI43" s="167">
        <v>6.61</v>
      </c>
      <c r="AJ43" s="167">
        <v>16.2</v>
      </c>
      <c r="AK43" s="167">
        <v>4</v>
      </c>
      <c r="AL43" s="168">
        <v>379.27</v>
      </c>
      <c r="AM43" s="169">
        <v>3.5999999999999996</v>
      </c>
      <c r="AN43" s="167">
        <v>0.09</v>
      </c>
      <c r="AO43" s="170">
        <f t="shared" si="7"/>
        <v>-4.7540583948754893</v>
      </c>
      <c r="AP43" s="171">
        <f t="shared" si="8"/>
        <v>5.6351461505790557</v>
      </c>
      <c r="AQ43" s="172">
        <f t="shared" si="9"/>
        <v>-25.56271706389942</v>
      </c>
      <c r="AR43" s="157">
        <f>INDEX([1]Historical!$C$7:$C$1231,MATCH(B43,[1]Historical!$B$7:$B$1253,0))*IF(AH43="n/a",1.03,IF(AH43&lt;0,1.01,IF(AH43&gt;10,1.1,(1+AH43/100))))</f>
        <v>1.1990000000000003</v>
      </c>
      <c r="AS43" s="166">
        <f t="shared" si="10"/>
        <v>1.2782539000000004</v>
      </c>
      <c r="AT43" s="166">
        <f t="shared" si="16"/>
        <v>1.3293840560000005</v>
      </c>
      <c r="AU43" s="166">
        <f t="shared" si="16"/>
        <v>1.3825594182400005</v>
      </c>
      <c r="AV43" s="166">
        <f t="shared" si="16"/>
        <v>1.4378617949696006</v>
      </c>
      <c r="AW43" s="157">
        <f t="shared" si="12"/>
        <v>6.6270591692096019</v>
      </c>
      <c r="AX43" s="173">
        <f t="shared" si="13"/>
        <v>18.121572789744604</v>
      </c>
      <c r="AY43" s="174">
        <v>0.97</v>
      </c>
      <c r="AZ43" s="169">
        <v>15.65</v>
      </c>
      <c r="BA43" s="169">
        <v>-8.5599999999999987</v>
      </c>
      <c r="BB43" s="169">
        <v>8.7099999999999991</v>
      </c>
      <c r="BC43" s="169">
        <v>2.6599999999999997</v>
      </c>
      <c r="BE43" s="77">
        <v>2015</v>
      </c>
      <c r="BF43" s="77">
        <f t="shared" si="14"/>
        <v>1</v>
      </c>
      <c r="BG43" s="175">
        <v>1.2</v>
      </c>
      <c r="BH43" t="s">
        <v>939</v>
      </c>
      <c r="BI43" t="s">
        <v>940</v>
      </c>
      <c r="BJ43" s="112"/>
      <c r="BK43" s="112"/>
      <c r="BL43" s="112"/>
    </row>
    <row r="44" spans="1:64" s="252" customFormat="1" ht="11.25" customHeight="1" x14ac:dyDescent="0.2">
      <c r="A44" s="183" t="s">
        <v>1253</v>
      </c>
      <c r="B44" s="184" t="s">
        <v>134</v>
      </c>
      <c r="C44" s="154" t="s">
        <v>90</v>
      </c>
      <c r="D44" s="154" t="s">
        <v>972</v>
      </c>
      <c r="E44" s="185">
        <v>18</v>
      </c>
      <c r="F44" s="298">
        <v>215</v>
      </c>
      <c r="G44" s="297" t="s">
        <v>104</v>
      </c>
      <c r="H44" s="297" t="s">
        <v>104</v>
      </c>
      <c r="I44" s="186">
        <v>309.12</v>
      </c>
      <c r="J44" s="187">
        <f t="shared" si="0"/>
        <v>1.6174948240165632</v>
      </c>
      <c r="K44" s="188">
        <v>1.25</v>
      </c>
      <c r="L44" s="189">
        <v>4</v>
      </c>
      <c r="M44" s="190">
        <f t="shared" si="1"/>
        <v>5</v>
      </c>
      <c r="N44" s="191" t="s">
        <v>98</v>
      </c>
      <c r="O44" s="192">
        <v>1.1299999999999999</v>
      </c>
      <c r="P44" s="193">
        <v>44687</v>
      </c>
      <c r="Q44" s="193">
        <v>44701</v>
      </c>
      <c r="R44" s="190">
        <f t="shared" si="2"/>
        <v>10.619469026548684</v>
      </c>
      <c r="S44" s="162">
        <f>IF(INDEX([1]Historical!$D$7:$D$1229,MATCH(B44,[1]Historical!$B$7:$B$1253,0))=0,"n/a",(INDEX([1]Historical!$C$7:$C$1231,MATCH(B44,[1]Historical!$B$7:$B$1253,0))/INDEX([1]Historical!$D$7:$D$1229,MATCH(B44,[1]Historical!$B$7:$B$1253,0))-1)*100)</f>
        <v>8.312958435207829</v>
      </c>
      <c r="T44" s="162">
        <f>IF(INDEX([1]Historical!$F$7:$F$1222,MATCH(B44,[1]Historical!$B$7:$B$1253,0))=0,"n/a",((INDEX([1]Historical!$C$7:$C$1231,MATCH(B44,[1]Historical!$B$7:$B$1253,0))/INDEX([1]Historical!$F$7:$F$1222,MATCH(B44,[1]Historical!$B$7:$B$1253,0)))^(1/3)-1)*100)</f>
        <v>7.8639549876716064</v>
      </c>
      <c r="U44" s="162">
        <f>IF(INDEX([1]Historical!$H$7:$H$1222,MATCH(B44,[1]Historical!$B$7:$B$1253,0))=0,"n/a",((INDEX([1]Historical!$C$7:$C$1231,MATCH(B44,[1]Historical!$B$7:$B$1253,0))/INDEX([1]Historical!$H$7:$H$1222,MATCH(B44,[1]Historical!$B$7:$B$1253,0)))^(1/5)-1)*100)</f>
        <v>8.6936505202045424</v>
      </c>
      <c r="V44" s="162">
        <f>IF(INDEX([1]Historical!$N$7:$N$1222,MATCH(B44,[1]Historical!$B$7:$B$1253,0))=0,"n/a",((INDEX([1]Historical!$C$7:$C$1231,MATCH(B44,[1]Historical!$B$7:$B$1253,0))/INDEX([1]Historical!$N$7:$N$1222,MATCH(B44,[1]Historical!$B$7:$B$1253,0)))^(1/10)-1)*100)</f>
        <v>17.676148965474159</v>
      </c>
      <c r="W44" s="163">
        <f t="shared" si="3"/>
        <v>0.49182944413884311</v>
      </c>
      <c r="X44" s="164">
        <f t="shared" si="4"/>
        <v>0.36073238673047897</v>
      </c>
      <c r="Y44" s="295"/>
      <c r="Z44" s="187">
        <f t="shared" si="5"/>
        <v>20.833333333333336</v>
      </c>
      <c r="AA44" s="194">
        <f t="shared" si="6"/>
        <v>12.88</v>
      </c>
      <c r="AB44" s="189">
        <v>12</v>
      </c>
      <c r="AC44" s="195">
        <v>24</v>
      </c>
      <c r="AD44" s="195">
        <v>1.22</v>
      </c>
      <c r="AE44" s="195">
        <v>2.25</v>
      </c>
      <c r="AF44" s="195">
        <v>8.14</v>
      </c>
      <c r="AG44" s="195">
        <v>59.599999999999994</v>
      </c>
      <c r="AH44" s="195">
        <v>88.5</v>
      </c>
      <c r="AI44" s="195">
        <v>17.72</v>
      </c>
      <c r="AJ44" s="195">
        <v>24.099999999999998</v>
      </c>
      <c r="AK44" s="195">
        <v>10.66</v>
      </c>
      <c r="AL44" s="196">
        <v>32450.000000000004</v>
      </c>
      <c r="AM44" s="197">
        <v>0.25</v>
      </c>
      <c r="AN44" s="195">
        <v>6.84</v>
      </c>
      <c r="AO44" s="198">
        <f t="shared" si="7"/>
        <v>-2.5688546557788943</v>
      </c>
      <c r="AP44" s="199">
        <f t="shared" si="8"/>
        <v>10.311145344221107</v>
      </c>
      <c r="AQ44" s="172">
        <f t="shared" si="9"/>
        <v>115.86333124868098</v>
      </c>
      <c r="AR44" s="157">
        <f>INDEX([1]Historical!$C$7:$C$1231,MATCH(B44,[1]Historical!$B$7:$B$1253,0))*IF(AH44="n/a",1.03,IF(AH44&lt;0,1.01,IF(AH44&gt;10,1.1,(1+AH44/100))))</f>
        <v>4.8730000000000002</v>
      </c>
      <c r="AS44" s="194">
        <f t="shared" si="10"/>
        <v>5.3603000000000005</v>
      </c>
      <c r="AT44" s="194">
        <f t="shared" si="16"/>
        <v>5.8963300000000007</v>
      </c>
      <c r="AU44" s="194">
        <f t="shared" si="16"/>
        <v>6.4859630000000017</v>
      </c>
      <c r="AV44" s="194">
        <f t="shared" si="16"/>
        <v>7.134559300000002</v>
      </c>
      <c r="AW44" s="187">
        <f t="shared" si="12"/>
        <v>29.750152300000003</v>
      </c>
      <c r="AX44" s="200">
        <f t="shared" si="13"/>
        <v>9.6241434717908909</v>
      </c>
      <c r="AY44" s="201">
        <v>1.46</v>
      </c>
      <c r="AZ44" s="197">
        <v>40.520000000000003</v>
      </c>
      <c r="BA44" s="197">
        <v>-7.0000000000000009</v>
      </c>
      <c r="BB44" s="197">
        <v>13.450000000000001</v>
      </c>
      <c r="BC44" s="197">
        <v>12.139999999999999</v>
      </c>
      <c r="BD44" s="202"/>
      <c r="BE44" s="77">
        <v>2005</v>
      </c>
      <c r="BF44" s="77">
        <f t="shared" si="14"/>
        <v>2</v>
      </c>
      <c r="BG44" s="203">
        <v>1.7999999999999998</v>
      </c>
      <c r="BH44" t="s">
        <v>939</v>
      </c>
      <c r="BI44" t="s">
        <v>940</v>
      </c>
    </row>
    <row r="45" spans="1:64" ht="11.25" customHeight="1" x14ac:dyDescent="0.2">
      <c r="A45" s="176" t="s">
        <v>1254</v>
      </c>
      <c r="B45" s="153" t="s">
        <v>791</v>
      </c>
      <c r="C45" s="154" t="s">
        <v>90</v>
      </c>
      <c r="D45" s="154" t="s">
        <v>110</v>
      </c>
      <c r="E45" s="155">
        <v>10</v>
      </c>
      <c r="F45" s="298">
        <v>477</v>
      </c>
      <c r="G45" s="298" t="s">
        <v>88</v>
      </c>
      <c r="H45" s="298" t="s">
        <v>88</v>
      </c>
      <c r="I45" s="156">
        <v>58.41</v>
      </c>
      <c r="J45" s="157">
        <f t="shared" si="0"/>
        <v>2.1229241568224619</v>
      </c>
      <c r="K45" s="158">
        <v>0.31</v>
      </c>
      <c r="L45" s="126">
        <v>4</v>
      </c>
      <c r="M45" s="82">
        <f t="shared" si="1"/>
        <v>1.24</v>
      </c>
      <c r="N45" s="159" t="s">
        <v>319</v>
      </c>
      <c r="O45" s="160">
        <v>0.28999999999999998</v>
      </c>
      <c r="P45" s="161">
        <v>44630</v>
      </c>
      <c r="Q45" s="161">
        <v>44645</v>
      </c>
      <c r="R45" s="82">
        <f t="shared" si="2"/>
        <v>6.8965517241379377</v>
      </c>
      <c r="S45" s="162">
        <f>IF(INDEX([1]Historical!$D$7:$D$1229,MATCH(B45,[1]Historical!$B$7:$B$1253,0))=0,"n/a",(INDEX([1]Historical!$C$7:$C$1231,MATCH(B45,[1]Historical!$B$7:$B$1253,0))/INDEX([1]Historical!$D$7:$D$1229,MATCH(B45,[1]Historical!$B$7:$B$1253,0))-1)*100)</f>
        <v>7.4074074074073959</v>
      </c>
      <c r="T45" s="162">
        <f>IF(INDEX([1]Historical!$F$7:$F$1222,MATCH(B45,[1]Historical!$B$7:$B$1253,0))=0,"n/a",((INDEX([1]Historical!$C$7:$C$1231,MATCH(B45,[1]Historical!$B$7:$B$1253,0))/INDEX([1]Historical!$F$7:$F$1222,MATCH(B45,[1]Historical!$B$7:$B$1253,0)))^(1/3)-1)*100)</f>
        <v>9.6457423731894245</v>
      </c>
      <c r="U45" s="162">
        <f>IF(INDEX([1]Historical!$H$7:$H$1222,MATCH(B45,[1]Historical!$B$7:$B$1253,0))=0,"n/a",((INDEX([1]Historical!$C$7:$C$1231,MATCH(B45,[1]Historical!$B$7:$B$1253,0))/INDEX([1]Historical!$H$7:$H$1222,MATCH(B45,[1]Historical!$B$7:$B$1253,0)))^(1/5)-1)*100)</f>
        <v>10.008210113886594</v>
      </c>
      <c r="V45" s="162" t="str">
        <f>IF(INDEX([1]Historical!$N$7:$N$1222,MATCH(B45,[1]Historical!$B$7:$B$1253,0))=0,"n/a",((INDEX([1]Historical!$C$7:$C$1231,MATCH(B45,[1]Historical!$B$7:$B$1253,0))/INDEX([1]Historical!$N$7:$N$1222,MATCH(B45,[1]Historical!$B$7:$B$1253,0)))^(1/10)-1)*100)</f>
        <v>n/a</v>
      </c>
      <c r="W45" s="163" t="str">
        <f t="shared" si="3"/>
        <v>n/a</v>
      </c>
      <c r="X45" s="164" t="str">
        <f t="shared" si="4"/>
        <v>n/a</v>
      </c>
      <c r="Y45" s="212"/>
      <c r="Z45" s="157">
        <f t="shared" si="5"/>
        <v>62.62626262626263</v>
      </c>
      <c r="AA45" s="166">
        <f t="shared" si="6"/>
        <v>29.5</v>
      </c>
      <c r="AB45" s="126">
        <v>12</v>
      </c>
      <c r="AC45" s="167">
        <v>1.98</v>
      </c>
      <c r="AD45" s="167">
        <v>2.96</v>
      </c>
      <c r="AE45" s="167">
        <v>3.8</v>
      </c>
      <c r="AF45" s="167">
        <v>2.94</v>
      </c>
      <c r="AG45" s="167">
        <v>15.4</v>
      </c>
      <c r="AH45" s="167">
        <v>-24.2</v>
      </c>
      <c r="AI45" s="167">
        <v>-5.3</v>
      </c>
      <c r="AJ45" s="167">
        <v>-3.5000000000000004</v>
      </c>
      <c r="AK45" s="167">
        <v>10</v>
      </c>
      <c r="AL45" s="168">
        <v>1110</v>
      </c>
      <c r="AM45" s="169">
        <v>1.2</v>
      </c>
      <c r="AN45" s="167">
        <v>0</v>
      </c>
      <c r="AO45" s="170">
        <f t="shared" si="7"/>
        <v>-17.368865729290945</v>
      </c>
      <c r="AP45" s="171">
        <f t="shared" si="8"/>
        <v>12.131134270709056</v>
      </c>
      <c r="AQ45" s="172">
        <f t="shared" si="9"/>
        <v>96.333050367651211</v>
      </c>
      <c r="AR45" s="157">
        <f>INDEX([1]Historical!$C$7:$C$1231,MATCH(B45,[1]Historical!$B$7:$B$1253,0))*IF(AH45="n/a",1.03,IF(AH45&lt;0,1.01,IF(AH45&gt;10,1.1,(1+AH45/100))))</f>
        <v>1.1716</v>
      </c>
      <c r="AS45" s="166">
        <f t="shared" si="10"/>
        <v>1.183316</v>
      </c>
      <c r="AT45" s="166">
        <f t="shared" si="16"/>
        <v>1.3016476000000001</v>
      </c>
      <c r="AU45" s="166">
        <f t="shared" si="16"/>
        <v>1.4318123600000003</v>
      </c>
      <c r="AV45" s="166">
        <f t="shared" si="16"/>
        <v>1.5749935960000006</v>
      </c>
      <c r="AW45" s="157">
        <f t="shared" si="12"/>
        <v>6.663369556000001</v>
      </c>
      <c r="AX45" s="173">
        <f t="shared" si="13"/>
        <v>11.407925964732069</v>
      </c>
      <c r="AY45" s="174">
        <v>0.31</v>
      </c>
      <c r="AZ45" s="169">
        <v>32.57</v>
      </c>
      <c r="BA45" s="169">
        <v>-3.9699999999999998</v>
      </c>
      <c r="BB45" s="169">
        <v>19.329999999999998</v>
      </c>
      <c r="BC45" s="169">
        <v>18.690000000000001</v>
      </c>
      <c r="BE45" s="77">
        <v>2013</v>
      </c>
      <c r="BF45" s="77">
        <f t="shared" si="14"/>
        <v>1</v>
      </c>
      <c r="BG45" s="175">
        <v>4.5</v>
      </c>
      <c r="BH45" t="s">
        <v>939</v>
      </c>
      <c r="BI45" t="s">
        <v>940</v>
      </c>
    </row>
    <row r="46" spans="1:64" ht="11.25" customHeight="1" x14ac:dyDescent="0.2">
      <c r="A46" s="204" t="s">
        <v>1255</v>
      </c>
      <c r="B46" s="153" t="s">
        <v>684</v>
      </c>
      <c r="C46" s="154" t="s">
        <v>947</v>
      </c>
      <c r="D46" s="154" t="s">
        <v>948</v>
      </c>
      <c r="E46" s="155">
        <v>12</v>
      </c>
      <c r="F46" s="298">
        <v>387</v>
      </c>
      <c r="G46" s="298" t="s">
        <v>88</v>
      </c>
      <c r="H46" s="298" t="s">
        <v>88</v>
      </c>
      <c r="I46" s="156">
        <v>207.19</v>
      </c>
      <c r="J46" s="157">
        <f t="shared" si="0"/>
        <v>2.8379748057338676</v>
      </c>
      <c r="K46" s="158">
        <v>1.47</v>
      </c>
      <c r="L46" s="126">
        <v>4</v>
      </c>
      <c r="M46" s="82">
        <f t="shared" si="1"/>
        <v>5.88</v>
      </c>
      <c r="N46" s="159" t="s">
        <v>843</v>
      </c>
      <c r="O46" s="160">
        <v>1.43</v>
      </c>
      <c r="P46" s="161">
        <v>44844</v>
      </c>
      <c r="Q46" s="161">
        <v>44860</v>
      </c>
      <c r="R46" s="82">
        <f t="shared" si="2"/>
        <v>2.7972027972028002</v>
      </c>
      <c r="S46" s="162">
        <f>IF(INDEX([1]Historical!$D$7:$D$1229,MATCH(B46,[1]Historical!$B$7:$B$1253,0))=0,"n/a",(INDEX([1]Historical!$C$7:$C$1231,MATCH(B46,[1]Historical!$B$7:$B$1253,0))/INDEX([1]Historical!$D$7:$D$1229,MATCH(B46,[1]Historical!$B$7:$B$1253,0))-1)*100)</f>
        <v>16.166281755196298</v>
      </c>
      <c r="T46" s="162">
        <f>IF(INDEX([1]Historical!$F$7:$F$1222,MATCH(B46,[1]Historical!$B$7:$B$1253,0))=0,"n/a",((INDEX([1]Historical!$C$7:$C$1231,MATCH(B46,[1]Historical!$B$7:$B$1253,0))/INDEX([1]Historical!$F$7:$F$1222,MATCH(B46,[1]Historical!$B$7:$B$1253,0)))^(1/3)-1)*100)</f>
        <v>18.66805652900161</v>
      </c>
      <c r="U46" s="162">
        <f>IF(INDEX([1]Historical!$H$7:$H$1222,MATCH(B46,[1]Historical!$B$7:$B$1253,0))=0,"n/a",((INDEX([1]Historical!$C$7:$C$1231,MATCH(B46,[1]Historical!$B$7:$B$1253,0))/INDEX([1]Historical!$H$7:$H$1222,MATCH(B46,[1]Historical!$B$7:$B$1253,0)))^(1/5)-1)*100)</f>
        <v>17.985615056963276</v>
      </c>
      <c r="V46" s="162">
        <f>IF(INDEX([1]Historical!$N$7:$N$1222,MATCH(B46,[1]Historical!$B$7:$B$1253,0))=0,"n/a",((INDEX([1]Historical!$C$7:$C$1231,MATCH(B46,[1]Historical!$B$7:$B$1253,0))/INDEX([1]Historical!$N$7:$N$1222,MATCH(B46,[1]Historical!$B$7:$B$1253,0)))^(1/10)-1)*100)</f>
        <v>30.541919427544805</v>
      </c>
      <c r="W46" s="163">
        <f t="shared" si="3"/>
        <v>0.58888293185472196</v>
      </c>
      <c r="X46" s="164">
        <f t="shared" si="4"/>
        <v>0.76861602807535356</v>
      </c>
      <c r="Y46" s="178" t="s">
        <v>844</v>
      </c>
      <c r="Z46" s="157">
        <f t="shared" si="5"/>
        <v>93.333333333333329</v>
      </c>
      <c r="AA46" s="166">
        <f t="shared" si="6"/>
        <v>32.887301587301586</v>
      </c>
      <c r="AB46" s="126">
        <v>12</v>
      </c>
      <c r="AC46" s="167">
        <v>6.3</v>
      </c>
      <c r="AD46" s="167">
        <v>3.09</v>
      </c>
      <c r="AE46" s="167">
        <v>8.85</v>
      </c>
      <c r="AF46" s="167">
        <v>15.17</v>
      </c>
      <c r="AG46" s="167">
        <v>49</v>
      </c>
      <c r="AH46" s="167">
        <v>49.5</v>
      </c>
      <c r="AI46" s="167">
        <v>-22.84</v>
      </c>
      <c r="AJ46" s="167">
        <v>23.400000000000002</v>
      </c>
      <c r="AK46" s="167">
        <v>10.5</v>
      </c>
      <c r="AL46" s="168">
        <v>92500</v>
      </c>
      <c r="AM46" s="169">
        <v>0.1</v>
      </c>
      <c r="AN46" s="167">
        <v>6.1</v>
      </c>
      <c r="AO46" s="170">
        <f t="shared" si="7"/>
        <v>-12.063711724604442</v>
      </c>
      <c r="AP46" s="171">
        <f t="shared" si="8"/>
        <v>20.823589862697144</v>
      </c>
      <c r="AQ46" s="172">
        <f t="shared" si="9"/>
        <v>370.88586259392935</v>
      </c>
      <c r="AR46" s="157">
        <f>INDEX([1]Historical!$C$7:$C$1231,MATCH(B46,[1]Historical!$B$7:$B$1253,0))*IF(AH46="n/a",1.03,IF(AH46&lt;0,1.01,IF(AH46&gt;10,1.1,(1+AH46/100))))</f>
        <v>5.5330000000000004</v>
      </c>
      <c r="AS46" s="166">
        <f t="shared" si="10"/>
        <v>5.58833</v>
      </c>
      <c r="AT46" s="166">
        <f t="shared" si="16"/>
        <v>6.1471630000000008</v>
      </c>
      <c r="AU46" s="166">
        <f t="shared" si="16"/>
        <v>6.7618793000000013</v>
      </c>
      <c r="AV46" s="166">
        <f t="shared" si="16"/>
        <v>7.4380672300000024</v>
      </c>
      <c r="AW46" s="157">
        <f t="shared" si="12"/>
        <v>31.468439530000001</v>
      </c>
      <c r="AX46" s="173">
        <f t="shared" si="13"/>
        <v>15.188203837057774</v>
      </c>
      <c r="AY46" s="174">
        <v>0.52</v>
      </c>
      <c r="AZ46" s="169">
        <v>16.29</v>
      </c>
      <c r="BA46" s="169">
        <v>-29.62</v>
      </c>
      <c r="BB46" s="169">
        <v>-8.93</v>
      </c>
      <c r="BC46" s="169">
        <v>-15.27</v>
      </c>
      <c r="BE46" s="77">
        <v>2011</v>
      </c>
      <c r="BF46" s="77">
        <f t="shared" si="14"/>
        <v>1</v>
      </c>
      <c r="BG46" s="175">
        <v>4.2</v>
      </c>
      <c r="BH46" t="s">
        <v>939</v>
      </c>
      <c r="BI46" t="s">
        <v>945</v>
      </c>
    </row>
    <row r="47" spans="1:64" ht="11.25" customHeight="1" x14ac:dyDescent="0.2">
      <c r="A47" s="176" t="s">
        <v>710</v>
      </c>
      <c r="B47" s="153" t="s">
        <v>711</v>
      </c>
      <c r="C47" s="154" t="s">
        <v>90</v>
      </c>
      <c r="D47" s="154" t="s">
        <v>110</v>
      </c>
      <c r="E47" s="155">
        <v>11</v>
      </c>
      <c r="F47" s="298">
        <v>423</v>
      </c>
      <c r="G47" s="298" t="s">
        <v>88</v>
      </c>
      <c r="H47" s="298" t="s">
        <v>88</v>
      </c>
      <c r="I47" s="156">
        <v>281.49</v>
      </c>
      <c r="J47" s="157">
        <f t="shared" si="0"/>
        <v>0.79576539131052615</v>
      </c>
      <c r="K47" s="158">
        <v>0.56000000000000005</v>
      </c>
      <c r="L47" s="126">
        <v>4</v>
      </c>
      <c r="M47" s="82">
        <f t="shared" si="1"/>
        <v>2.2400000000000002</v>
      </c>
      <c r="N47" s="159" t="s">
        <v>89</v>
      </c>
      <c r="O47" s="160">
        <v>0.51</v>
      </c>
      <c r="P47" s="161">
        <v>44680</v>
      </c>
      <c r="Q47" s="161">
        <v>44694</v>
      </c>
      <c r="R47" s="82">
        <f t="shared" si="2"/>
        <v>9.8039215686274588</v>
      </c>
      <c r="S47" s="162">
        <f>IF(INDEX([1]Historical!$D$7:$D$1229,MATCH(B47,[1]Historical!$B$7:$B$1253,0))=0,"n/a",(INDEX([1]Historical!$C$7:$C$1231,MATCH(B47,[1]Historical!$B$7:$B$1253,0))/INDEX([1]Historical!$D$7:$D$1229,MATCH(B47,[1]Historical!$B$7:$B$1253,0))-1)*100)</f>
        <v>11.79775280898876</v>
      </c>
      <c r="T47" s="162">
        <f>IF(INDEX([1]Historical!$F$7:$F$1222,MATCH(B47,[1]Historical!$B$7:$B$1253,0))=0,"n/a",((INDEX([1]Historical!$C$7:$C$1231,MATCH(B47,[1]Historical!$B$7:$B$1253,0))/INDEX([1]Historical!$F$7:$F$1222,MATCH(B47,[1]Historical!$B$7:$B$1253,0)))^(1/3)-1)*100)</f>
        <v>8.4533136905078354</v>
      </c>
      <c r="U47" s="162">
        <f>IF(INDEX([1]Historical!$H$7:$H$1222,MATCH(B47,[1]Historical!$B$7:$B$1253,0))=0,"n/a",((INDEX([1]Historical!$C$7:$C$1231,MATCH(B47,[1]Historical!$B$7:$B$1253,0))/INDEX([1]Historical!$H$7:$H$1222,MATCH(B47,[1]Historical!$B$7:$B$1253,0)))^(1/5)-1)*100)</f>
        <v>9.0567806576892451</v>
      </c>
      <c r="V47" s="162">
        <f>IF(INDEX([1]Historical!$N$7:$N$1222,MATCH(B47,[1]Historical!$B$7:$B$1253,0))=0,"n/a",((INDEX([1]Historical!$C$7:$C$1231,MATCH(B47,[1]Historical!$B$7:$B$1253,0))/INDEX([1]Historical!$N$7:$N$1222,MATCH(B47,[1]Historical!$B$7:$B$1253,0)))^(1/10)-1)*100)</f>
        <v>12.737962759808742</v>
      </c>
      <c r="W47" s="163">
        <f t="shared" si="3"/>
        <v>0.71100699762331787</v>
      </c>
      <c r="X47" s="164">
        <f t="shared" si="4"/>
        <v>2.1563763470688677</v>
      </c>
      <c r="Y47" s="178" t="s">
        <v>708</v>
      </c>
      <c r="Z47" s="157">
        <f t="shared" si="5"/>
        <v>32.137733142037305</v>
      </c>
      <c r="AA47" s="166">
        <f t="shared" si="6"/>
        <v>40.385939741750363</v>
      </c>
      <c r="AB47" s="126">
        <v>12</v>
      </c>
      <c r="AC47" s="167">
        <v>6.97</v>
      </c>
      <c r="AD47" s="167">
        <v>3.84</v>
      </c>
      <c r="AE47" s="167">
        <v>4.79</v>
      </c>
      <c r="AF47" s="167">
        <v>90.09</v>
      </c>
      <c r="AG47" s="167">
        <v>106.4</v>
      </c>
      <c r="AH47" s="167">
        <v>-34.300000000000004</v>
      </c>
      <c r="AI47" s="167">
        <v>10.52</v>
      </c>
      <c r="AJ47" s="167">
        <v>4.2</v>
      </c>
      <c r="AK47" s="167">
        <v>10.8</v>
      </c>
      <c r="AL47" s="168">
        <v>59550</v>
      </c>
      <c r="AM47" s="169">
        <v>0.1</v>
      </c>
      <c r="AN47" s="167">
        <v>15.27</v>
      </c>
      <c r="AO47" s="170">
        <f t="shared" si="7"/>
        <v>-30.533393692750593</v>
      </c>
      <c r="AP47" s="171">
        <f t="shared" si="8"/>
        <v>9.8525460489997716</v>
      </c>
      <c r="AQ47" s="172">
        <f t="shared" si="9"/>
        <v>1171.6339989398227</v>
      </c>
      <c r="AR47" s="157">
        <f>INDEX([1]Historical!$C$7:$C$1231,MATCH(B47,[1]Historical!$B$7:$B$1253,0))*IF(AH47="n/a",1.03,IF(AH47&lt;0,1.01,IF(AH47&gt;10,1.1,(1+AH47/100))))</f>
        <v>2.0099</v>
      </c>
      <c r="AS47" s="166">
        <f t="shared" si="10"/>
        <v>2.21089</v>
      </c>
      <c r="AT47" s="166">
        <f t="shared" si="16"/>
        <v>2.4319790000000001</v>
      </c>
      <c r="AU47" s="166">
        <f t="shared" si="16"/>
        <v>2.6751769000000003</v>
      </c>
      <c r="AV47" s="166">
        <f t="shared" si="16"/>
        <v>2.9426945900000008</v>
      </c>
      <c r="AW47" s="157">
        <f t="shared" si="12"/>
        <v>12.27064049</v>
      </c>
      <c r="AX47" s="173">
        <f t="shared" si="13"/>
        <v>4.3591745674801947</v>
      </c>
      <c r="AY47" s="174">
        <v>0.88</v>
      </c>
      <c r="AZ47" s="169">
        <v>14.330000000000002</v>
      </c>
      <c r="BA47" s="169">
        <v>-17.690000000000001</v>
      </c>
      <c r="BB47" s="169">
        <v>0.31</v>
      </c>
      <c r="BC47" s="169">
        <v>-1.6099999999999999</v>
      </c>
      <c r="BE47" s="77">
        <v>2012</v>
      </c>
      <c r="BF47" s="77">
        <f t="shared" si="14"/>
        <v>1</v>
      </c>
      <c r="BG47" s="175">
        <v>4.1000000000000005</v>
      </c>
      <c r="BH47" t="s">
        <v>939</v>
      </c>
      <c r="BI47" t="s">
        <v>940</v>
      </c>
    </row>
    <row r="48" spans="1:64" ht="11.25" customHeight="1" x14ac:dyDescent="0.2">
      <c r="A48" s="112" t="s">
        <v>1256</v>
      </c>
      <c r="B48" s="153" t="s">
        <v>97</v>
      </c>
      <c r="C48" s="154" t="s">
        <v>94</v>
      </c>
      <c r="D48" s="154" t="s">
        <v>760</v>
      </c>
      <c r="E48" s="155">
        <v>29</v>
      </c>
      <c r="F48" s="298">
        <v>119</v>
      </c>
      <c r="G48" s="298" t="s">
        <v>30</v>
      </c>
      <c r="H48" s="298" t="s">
        <v>30</v>
      </c>
      <c r="I48" s="167">
        <v>54.78</v>
      </c>
      <c r="J48" s="157">
        <f t="shared" si="0"/>
        <v>2.190580503833516</v>
      </c>
      <c r="K48" s="209">
        <v>0.3</v>
      </c>
      <c r="L48" s="126">
        <v>4</v>
      </c>
      <c r="M48" s="82">
        <f t="shared" si="1"/>
        <v>1.2</v>
      </c>
      <c r="N48" s="159" t="s">
        <v>89</v>
      </c>
      <c r="O48" s="210">
        <v>0.28000000000000003</v>
      </c>
      <c r="P48" s="161">
        <v>44862</v>
      </c>
      <c r="Q48" s="161">
        <v>44880</v>
      </c>
      <c r="R48" s="82">
        <f t="shared" si="2"/>
        <v>7.1428571428571281</v>
      </c>
      <c r="S48" s="162">
        <f>IF(INDEX([1]Historical!$D$7:$D$1229,MATCH(B48,[1]Historical!$B$7:$B$1253,0))=0,"n/a",(INDEX([1]Historical!$C$7:$C$1231,MATCH(B48,[1]Historical!$B$7:$B$1253,0))/INDEX([1]Historical!$D$7:$D$1229,MATCH(B48,[1]Historical!$B$7:$B$1253,0))-1)*100)</f>
        <v>8.163265306122458</v>
      </c>
      <c r="T48" s="162">
        <f>IF(INDEX([1]Historical!$F$7:$F$1222,MATCH(B48,[1]Historical!$B$7:$B$1253,0))=0,"n/a",((INDEX([1]Historical!$C$7:$C$1231,MATCH(B48,[1]Historical!$B$7:$B$1253,0))/INDEX([1]Historical!$F$7:$F$1222,MATCH(B48,[1]Historical!$B$7:$B$1253,0)))^(1/3)-1)*100)</f>
        <v>11.72853158368412</v>
      </c>
      <c r="U48" s="162">
        <f>IF(INDEX([1]Historical!$H$7:$H$1222,MATCH(B48,[1]Historical!$B$7:$B$1253,0))=0,"n/a",((INDEX([1]Historical!$C$7:$C$1231,MATCH(B48,[1]Historical!$B$7:$B$1253,0))/INDEX([1]Historical!$H$7:$H$1222,MATCH(B48,[1]Historical!$B$7:$B$1253,0)))^(1/5)-1)*100)</f>
        <v>17.169054553092657</v>
      </c>
      <c r="V48" s="162">
        <f>IF(INDEX([1]Historical!$N$7:$N$1222,MATCH(B48,[1]Historical!$B$7:$B$1253,0))=0,"n/a",((INDEX([1]Historical!$C$7:$C$1231,MATCH(B48,[1]Historical!$B$7:$B$1253,0))/INDEX([1]Historical!$N$7:$N$1222,MATCH(B48,[1]Historical!$B$7:$B$1253,0)))^(1/10)-1)*100)</f>
        <v>21.596608107359838</v>
      </c>
      <c r="W48" s="163">
        <f t="shared" si="3"/>
        <v>0.79498847540052697</v>
      </c>
      <c r="X48" s="164">
        <f t="shared" si="4"/>
        <v>1.6668985003002581</v>
      </c>
      <c r="Y48" s="165"/>
      <c r="Z48" s="157">
        <f t="shared" si="5"/>
        <v>38.216560509554135</v>
      </c>
      <c r="AA48" s="166">
        <f t="shared" si="6"/>
        <v>17.445859872611464</v>
      </c>
      <c r="AB48" s="126">
        <v>12</v>
      </c>
      <c r="AC48" s="167">
        <v>3.14</v>
      </c>
      <c r="AD48" s="167">
        <v>2.16</v>
      </c>
      <c r="AE48" s="167">
        <v>2.1</v>
      </c>
      <c r="AF48" s="167">
        <v>4.72</v>
      </c>
      <c r="AG48" s="167">
        <v>27.800000000000004</v>
      </c>
      <c r="AH48" s="167">
        <v>42.4</v>
      </c>
      <c r="AI48" s="167">
        <v>5.0599999999999996</v>
      </c>
      <c r="AJ48" s="167">
        <v>10.299999999999999</v>
      </c>
      <c r="AK48" s="167">
        <v>8</v>
      </c>
      <c r="AL48" s="168">
        <v>8020</v>
      </c>
      <c r="AM48" s="169">
        <v>0.73</v>
      </c>
      <c r="AN48" s="167">
        <v>0.17</v>
      </c>
      <c r="AO48" s="170">
        <f t="shared" si="7"/>
        <v>1.9137751843147086</v>
      </c>
      <c r="AP48" s="171">
        <f t="shared" si="8"/>
        <v>19.359635056926173</v>
      </c>
      <c r="AQ48" s="172">
        <f t="shared" si="9"/>
        <v>91.304827840254418</v>
      </c>
      <c r="AR48" s="157">
        <f>INDEX([1]Historical!$C$7:$C$1231,MATCH(B48,[1]Historical!$B$7:$B$1253,0))*IF(AH48="n/a",1.03,IF(AH48&lt;0,1.01,IF(AH48&gt;10,1.1,(1+AH48/100))))</f>
        <v>1.1660000000000001</v>
      </c>
      <c r="AS48" s="166">
        <f t="shared" si="10"/>
        <v>1.2249996000000001</v>
      </c>
      <c r="AT48" s="166">
        <f t="shared" si="16"/>
        <v>1.3229995680000002</v>
      </c>
      <c r="AU48" s="166">
        <f t="shared" si="16"/>
        <v>1.4288395334400004</v>
      </c>
      <c r="AV48" s="166">
        <f t="shared" si="16"/>
        <v>1.5431466961152005</v>
      </c>
      <c r="AW48" s="157">
        <f t="shared" si="12"/>
        <v>6.6859853975552008</v>
      </c>
      <c r="AX48" s="173">
        <f t="shared" si="13"/>
        <v>12.205157717333334</v>
      </c>
      <c r="AY48" s="174">
        <v>1.21</v>
      </c>
      <c r="AZ48" s="169">
        <v>17.599999999999998</v>
      </c>
      <c r="BA48" s="169">
        <v>-36.840000000000003</v>
      </c>
      <c r="BB48" s="169">
        <v>2.9899999999999998</v>
      </c>
      <c r="BC48" s="169">
        <v>-10.58</v>
      </c>
      <c r="BE48" s="77">
        <v>1994</v>
      </c>
      <c r="BF48" s="77">
        <f t="shared" si="14"/>
        <v>3</v>
      </c>
      <c r="BG48" s="175">
        <v>15.1</v>
      </c>
      <c r="BH48" t="s">
        <v>939</v>
      </c>
      <c r="BI48" t="s">
        <v>940</v>
      </c>
    </row>
    <row r="49" spans="1:61" ht="11.25" customHeight="1" x14ac:dyDescent="0.2">
      <c r="A49" s="112" t="s">
        <v>1257</v>
      </c>
      <c r="B49" s="153" t="s">
        <v>118</v>
      </c>
      <c r="C49" s="154" t="s">
        <v>96</v>
      </c>
      <c r="D49" s="154" t="s">
        <v>911</v>
      </c>
      <c r="E49" s="155">
        <v>40</v>
      </c>
      <c r="F49" s="298">
        <v>68</v>
      </c>
      <c r="G49" s="298" t="s">
        <v>104</v>
      </c>
      <c r="H49" s="298" t="s">
        <v>104</v>
      </c>
      <c r="I49" s="167">
        <v>250.4</v>
      </c>
      <c r="J49" s="157">
        <f t="shared" si="0"/>
        <v>2.5878594249201279</v>
      </c>
      <c r="K49" s="158">
        <v>1.62</v>
      </c>
      <c r="L49" s="126">
        <v>4</v>
      </c>
      <c r="M49" s="82">
        <f t="shared" si="1"/>
        <v>6.48</v>
      </c>
      <c r="N49" s="159" t="s">
        <v>108</v>
      </c>
      <c r="O49" s="160">
        <v>1.5</v>
      </c>
      <c r="P49" s="161">
        <v>44651</v>
      </c>
      <c r="Q49" s="161">
        <v>44690</v>
      </c>
      <c r="R49" s="82">
        <f t="shared" si="2"/>
        <v>8.0000000000000071</v>
      </c>
      <c r="S49" s="162">
        <f>IF(INDEX([1]Historical!$D$7:$D$1229,MATCH(B49,[1]Historical!$B$7:$B$1253,0))=0,"n/a",(INDEX([1]Historical!$C$7:$C$1231,MATCH(B49,[1]Historical!$B$7:$B$1253,0))/INDEX([1]Historical!$D$7:$D$1229,MATCH(B49,[1]Historical!$B$7:$B$1253,0))-1)*100)</f>
        <v>12.741312741312738</v>
      </c>
      <c r="T49" s="162">
        <f>IF(INDEX([1]Historical!$F$7:$F$1222,MATCH(B49,[1]Historical!$B$7:$B$1253,0))=0,"n/a",((INDEX([1]Historical!$C$7:$C$1231,MATCH(B49,[1]Historical!$B$7:$B$1253,0))/INDEX([1]Historical!$F$7:$F$1222,MATCH(B49,[1]Historical!$B$7:$B$1253,0)))^(1/3)-1)*100)</f>
        <v>11.175213555440067</v>
      </c>
      <c r="U49" s="162">
        <f>IF(INDEX([1]Historical!$H$7:$H$1222,MATCH(B49,[1]Historical!$B$7:$B$1253,0))=0,"n/a",((INDEX([1]Historical!$C$7:$C$1231,MATCH(B49,[1]Historical!$B$7:$B$1253,0))/INDEX([1]Historical!$H$7:$H$1222,MATCH(B49,[1]Historical!$B$7:$B$1253,0)))^(1/5)-1)*100)</f>
        <v>11.491723681966871</v>
      </c>
      <c r="V49" s="162">
        <f>IF(INDEX([1]Historical!$N$7:$N$1222,MATCH(B49,[1]Historical!$B$7:$B$1253,0))=0,"n/a",((INDEX([1]Historical!$C$7:$C$1231,MATCH(B49,[1]Historical!$B$7:$B$1253,0))/INDEX([1]Historical!$N$7:$N$1222,MATCH(B49,[1]Historical!$B$7:$B$1253,0)))^(1/10)-1)*100)</f>
        <v>10.105952540834927</v>
      </c>
      <c r="W49" s="163">
        <f t="shared" si="3"/>
        <v>1.1371242478660457</v>
      </c>
      <c r="X49" s="164">
        <f t="shared" si="4"/>
        <v>0.91204156206086284</v>
      </c>
      <c r="Y49" s="153"/>
      <c r="Z49" s="157">
        <f t="shared" si="5"/>
        <v>64.606181455633106</v>
      </c>
      <c r="AA49" s="166">
        <f t="shared" si="6"/>
        <v>24.965104685942176</v>
      </c>
      <c r="AB49" s="126">
        <v>9</v>
      </c>
      <c r="AC49" s="167">
        <v>10.029999999999999</v>
      </c>
      <c r="AD49" s="167">
        <v>2.19</v>
      </c>
      <c r="AE49" s="167">
        <v>4.62</v>
      </c>
      <c r="AF49" s="167">
        <v>4.1399999999999997</v>
      </c>
      <c r="AG49" s="167">
        <v>16.600000000000001</v>
      </c>
      <c r="AH49" s="167">
        <v>6.6000000000000005</v>
      </c>
      <c r="AI49" s="167">
        <v>10.61</v>
      </c>
      <c r="AJ49" s="167">
        <v>12.6</v>
      </c>
      <c r="AK49" s="167">
        <v>11.58</v>
      </c>
      <c r="AL49" s="168">
        <v>55240</v>
      </c>
      <c r="AM49" s="169">
        <v>0.4</v>
      </c>
      <c r="AN49" s="167">
        <v>0.56000000000000005</v>
      </c>
      <c r="AO49" s="170">
        <f t="shared" si="7"/>
        <v>-10.885521579055178</v>
      </c>
      <c r="AP49" s="171">
        <f t="shared" si="8"/>
        <v>14.079583106886998</v>
      </c>
      <c r="AQ49" s="172">
        <f t="shared" si="9"/>
        <v>114.32636940454528</v>
      </c>
      <c r="AR49" s="157">
        <f>INDEX([1]Historical!$C$7:$C$1231,MATCH(B49,[1]Historical!$B$7:$B$1253,0))*IF(AH49="n/a",1.03,IF(AH49&lt;0,1.01,IF(AH49&gt;10,1.1,(1+AH49/100))))</f>
        <v>6.2254399999999999</v>
      </c>
      <c r="AS49" s="166">
        <f t="shared" si="10"/>
        <v>6.8479840000000003</v>
      </c>
      <c r="AT49" s="166">
        <f t="shared" si="16"/>
        <v>7.5327824000000012</v>
      </c>
      <c r="AU49" s="166">
        <f t="shared" si="16"/>
        <v>8.2860606400000023</v>
      </c>
      <c r="AV49" s="166">
        <f t="shared" si="16"/>
        <v>9.1146667040000029</v>
      </c>
      <c r="AW49" s="157">
        <f t="shared" si="12"/>
        <v>38.006933744000008</v>
      </c>
      <c r="AX49" s="173">
        <f t="shared" si="13"/>
        <v>15.178487916932909</v>
      </c>
      <c r="AY49" s="174">
        <v>0.81</v>
      </c>
      <c r="AZ49" s="169">
        <v>15.8</v>
      </c>
      <c r="BA49" s="169">
        <v>-20.86</v>
      </c>
      <c r="BB49" s="169">
        <v>1.69</v>
      </c>
      <c r="BC49" s="169">
        <v>1.6199999999999999</v>
      </c>
      <c r="BE49" s="77">
        <v>1983</v>
      </c>
      <c r="BF49" s="77">
        <f t="shared" si="14"/>
        <v>4</v>
      </c>
      <c r="BG49" s="175">
        <v>8.4</v>
      </c>
      <c r="BH49" t="s">
        <v>939</v>
      </c>
      <c r="BI49" t="s">
        <v>940</v>
      </c>
    </row>
    <row r="50" spans="1:61" s="252" customFormat="1" ht="11.25" customHeight="1" x14ac:dyDescent="0.2">
      <c r="A50" s="183" t="s">
        <v>1258</v>
      </c>
      <c r="B50" s="184" t="s">
        <v>747</v>
      </c>
      <c r="C50" s="154" t="s">
        <v>922</v>
      </c>
      <c r="D50" s="154" t="s">
        <v>974</v>
      </c>
      <c r="E50" s="185">
        <v>11</v>
      </c>
      <c r="F50" s="298">
        <v>456</v>
      </c>
      <c r="G50" s="297" t="s">
        <v>88</v>
      </c>
      <c r="H50" s="297" t="s">
        <v>88</v>
      </c>
      <c r="I50" s="186">
        <v>75.83</v>
      </c>
      <c r="J50" s="187">
        <f t="shared" si="0"/>
        <v>1.1077409996043781</v>
      </c>
      <c r="K50" s="188">
        <v>0.21</v>
      </c>
      <c r="L50" s="189">
        <v>4</v>
      </c>
      <c r="M50" s="190">
        <f t="shared" si="1"/>
        <v>0.84</v>
      </c>
      <c r="N50" s="191" t="s">
        <v>126</v>
      </c>
      <c r="O50" s="192">
        <v>0.2</v>
      </c>
      <c r="P50" s="193">
        <v>44914</v>
      </c>
      <c r="Q50" s="193">
        <v>44937</v>
      </c>
      <c r="R50" s="190">
        <f t="shared" si="2"/>
        <v>4.9999999999999902</v>
      </c>
      <c r="S50" s="162">
        <f>IF(INDEX([1]Historical!$D$7:$D$1229,MATCH(B50,[1]Historical!$B$7:$B$1253,0))=0,"n/a",(INDEX([1]Historical!$C$7:$C$1231,MATCH(B50,[1]Historical!$B$7:$B$1253,0))/INDEX([1]Historical!$D$7:$D$1229,MATCH(B50,[1]Historical!$B$7:$B$1253,0))-1)*100)</f>
        <v>15.999999999999993</v>
      </c>
      <c r="T50" s="162">
        <f>IF(INDEX([1]Historical!$F$7:$F$1222,MATCH(B50,[1]Historical!$B$7:$B$1253,0))=0,"n/a",((INDEX([1]Historical!$C$7:$C$1231,MATCH(B50,[1]Historical!$B$7:$B$1253,0))/INDEX([1]Historical!$F$7:$F$1222,MATCH(B50,[1]Historical!$B$7:$B$1253,0)))^(1/3)-1)*100)</f>
        <v>11.359233863244601</v>
      </c>
      <c r="U50" s="162">
        <f>IF(INDEX([1]Historical!$H$7:$H$1222,MATCH(B50,[1]Historical!$B$7:$B$1253,0))=0,"n/a",((INDEX([1]Historical!$C$7:$C$1231,MATCH(B50,[1]Historical!$B$7:$B$1253,0))/INDEX([1]Historical!$H$7:$H$1222,MATCH(B50,[1]Historical!$B$7:$B$1253,0)))^(1/5)-1)*100)</f>
        <v>15.678857972406712</v>
      </c>
      <c r="V50" s="162">
        <f>IF(INDEX([1]Historical!$N$7:$N$1222,MATCH(B50,[1]Historical!$B$7:$B$1253,0))=0,"n/a",((INDEX([1]Historical!$C$7:$C$1231,MATCH(B50,[1]Historical!$B$7:$B$1253,0))/INDEX([1]Historical!$N$7:$N$1222,MATCH(B50,[1]Historical!$B$7:$B$1253,0)))^(1/10)-1)*100)</f>
        <v>44.123126047436159</v>
      </c>
      <c r="W50" s="163">
        <f t="shared" si="3"/>
        <v>0.35534331714281964</v>
      </c>
      <c r="X50" s="164">
        <f t="shared" si="4"/>
        <v>1.1199184266004794</v>
      </c>
      <c r="Y50" s="221"/>
      <c r="Z50" s="187">
        <f t="shared" si="5"/>
        <v>28.28282828282828</v>
      </c>
      <c r="AA50" s="194">
        <f t="shared" si="6"/>
        <v>25.531986531986529</v>
      </c>
      <c r="AB50" s="189">
        <v>12</v>
      </c>
      <c r="AC50" s="195">
        <v>2.97</v>
      </c>
      <c r="AD50" s="195">
        <v>2.39</v>
      </c>
      <c r="AE50" s="195">
        <v>3.54</v>
      </c>
      <c r="AF50" s="195">
        <v>7.05</v>
      </c>
      <c r="AG50" s="195">
        <v>26.8</v>
      </c>
      <c r="AH50" s="195">
        <v>28.199999999999996</v>
      </c>
      <c r="AI50" s="195">
        <v>2.73</v>
      </c>
      <c r="AJ50" s="195">
        <v>14.000000000000002</v>
      </c>
      <c r="AK50" s="195">
        <v>10.8</v>
      </c>
      <c r="AL50" s="196">
        <v>43950</v>
      </c>
      <c r="AM50" s="197">
        <v>0.5</v>
      </c>
      <c r="AN50" s="195">
        <v>0.75</v>
      </c>
      <c r="AO50" s="198">
        <f t="shared" si="7"/>
        <v>-8.7453875599754376</v>
      </c>
      <c r="AP50" s="199">
        <f t="shared" si="8"/>
        <v>16.786598972011092</v>
      </c>
      <c r="AQ50" s="172">
        <f t="shared" si="9"/>
        <v>182.84310927949284</v>
      </c>
      <c r="AR50" s="157">
        <f>INDEX([1]Historical!$C$7:$C$1231,MATCH(B50,[1]Historical!$B$7:$B$1253,0))*IF(AH50="n/a",1.03,IF(AH50&lt;0,1.01,IF(AH50&gt;10,1.1,(1+AH50/100))))</f>
        <v>0.63800000000000001</v>
      </c>
      <c r="AS50" s="194">
        <f t="shared" si="10"/>
        <v>0.65541740000000004</v>
      </c>
      <c r="AT50" s="194">
        <f t="shared" si="16"/>
        <v>0.72095914000000005</v>
      </c>
      <c r="AU50" s="194">
        <f t="shared" si="16"/>
        <v>0.79305505400000009</v>
      </c>
      <c r="AV50" s="194">
        <f t="shared" si="16"/>
        <v>0.87236055940000012</v>
      </c>
      <c r="AW50" s="187">
        <f t="shared" si="12"/>
        <v>3.6797921534000007</v>
      </c>
      <c r="AX50" s="200">
        <f t="shared" si="13"/>
        <v>4.8526864742186486</v>
      </c>
      <c r="AY50" s="201">
        <v>1.25</v>
      </c>
      <c r="AZ50" s="197">
        <v>22.96</v>
      </c>
      <c r="BA50" s="197">
        <v>-14.27</v>
      </c>
      <c r="BB50" s="197">
        <v>4.97</v>
      </c>
      <c r="BC50" s="197">
        <v>4.58</v>
      </c>
      <c r="BD50" s="202"/>
      <c r="BE50" s="77">
        <v>2012</v>
      </c>
      <c r="BF50" s="77">
        <f t="shared" si="14"/>
        <v>1</v>
      </c>
      <c r="BG50" s="203">
        <v>11.3</v>
      </c>
      <c r="BH50" t="s">
        <v>939</v>
      </c>
      <c r="BI50" t="s">
        <v>940</v>
      </c>
    </row>
    <row r="51" spans="1:61" ht="11.25" customHeight="1" x14ac:dyDescent="0.2">
      <c r="A51" s="204" t="s">
        <v>1259</v>
      </c>
      <c r="B51" s="153" t="s">
        <v>748</v>
      </c>
      <c r="C51" s="154" t="s">
        <v>90</v>
      </c>
      <c r="D51" s="154" t="s">
        <v>969</v>
      </c>
      <c r="E51" s="155">
        <v>11</v>
      </c>
      <c r="F51" s="298">
        <v>397</v>
      </c>
      <c r="G51" s="298" t="s">
        <v>88</v>
      </c>
      <c r="H51" s="298" t="s">
        <v>88</v>
      </c>
      <c r="I51" s="156">
        <v>50</v>
      </c>
      <c r="J51" s="157">
        <f t="shared" si="0"/>
        <v>4.32</v>
      </c>
      <c r="K51" s="158">
        <v>0.54</v>
      </c>
      <c r="L51" s="126">
        <v>4</v>
      </c>
      <c r="M51" s="82">
        <f t="shared" si="1"/>
        <v>2.16</v>
      </c>
      <c r="N51" s="159" t="s">
        <v>635</v>
      </c>
      <c r="O51" s="160">
        <v>0.53</v>
      </c>
      <c r="P51" s="161">
        <v>44543</v>
      </c>
      <c r="Q51" s="161">
        <v>44547</v>
      </c>
      <c r="R51" s="82">
        <f t="shared" si="2"/>
        <v>1.8867924528301903</v>
      </c>
      <c r="S51" s="162">
        <f>IF(INDEX([1]Historical!$D$7:$D$1229,MATCH(B51,[1]Historical!$B$7:$B$1253,0))=0,"n/a",(INDEX([1]Historical!$C$7:$C$1231,MATCH(B51,[1]Historical!$B$7:$B$1253,0))/INDEX([1]Historical!$D$7:$D$1229,MATCH(B51,[1]Historical!$B$7:$B$1253,0))-1)*100)</f>
        <v>1.9230769230769162</v>
      </c>
      <c r="T51" s="162">
        <f>IF(INDEX([1]Historical!$F$7:$F$1222,MATCH(B51,[1]Historical!$B$7:$B$1253,0))=0,"n/a",((INDEX([1]Historical!$C$7:$C$1231,MATCH(B51,[1]Historical!$B$7:$B$1253,0))/INDEX([1]Historical!$F$7:$F$1222,MATCH(B51,[1]Historical!$B$7:$B$1253,0)))^(1/3)-1)*100)</f>
        <v>1.9612822422216292</v>
      </c>
      <c r="U51" s="162">
        <f>IF(INDEX([1]Historical!$H$7:$H$1222,MATCH(B51,[1]Historical!$B$7:$B$1253,0))=0,"n/a",((INDEX([1]Historical!$C$7:$C$1231,MATCH(B51,[1]Historical!$B$7:$B$1253,0))/INDEX([1]Historical!$H$7:$H$1222,MATCH(B51,[1]Historical!$B$7:$B$1253,0)))^(1/5)-1)*100)</f>
        <v>1.8956655630059771</v>
      </c>
      <c r="V51" s="162">
        <f>IF(INDEX([1]Historical!$N$7:$N$1222,MATCH(B51,[1]Historical!$B$7:$B$1253,0))=0,"n/a",((INDEX([1]Historical!$C$7:$C$1231,MATCH(B51,[1]Historical!$B$7:$B$1253,0))/INDEX([1]Historical!$N$7:$N$1222,MATCH(B51,[1]Historical!$B$7:$B$1253,0)))^(1/10)-1)*100)</f>
        <v>3.3830230410936135</v>
      </c>
      <c r="W51" s="163">
        <f t="shared" si="3"/>
        <v>0.56034663080307445</v>
      </c>
      <c r="X51" s="164" t="str">
        <f t="shared" si="4"/>
        <v>n/a</v>
      </c>
      <c r="Y51" s="180"/>
      <c r="Z51" s="157" t="str">
        <f t="shared" si="5"/>
        <v>n/a</v>
      </c>
      <c r="AA51" s="166" t="str">
        <f t="shared" si="6"/>
        <v>n/a</v>
      </c>
      <c r="AB51" s="126">
        <v>12</v>
      </c>
      <c r="AC51" s="167" t="s">
        <v>95</v>
      </c>
      <c r="AD51" s="167" t="s">
        <v>95</v>
      </c>
      <c r="AE51" s="167" t="s">
        <v>95</v>
      </c>
      <c r="AF51" s="167" t="s">
        <v>95</v>
      </c>
      <c r="AG51" s="167" t="s">
        <v>95</v>
      </c>
      <c r="AH51" s="167" t="s">
        <v>95</v>
      </c>
      <c r="AI51" s="167" t="s">
        <v>95</v>
      </c>
      <c r="AJ51" s="167" t="s">
        <v>95</v>
      </c>
      <c r="AK51" s="167" t="s">
        <v>95</v>
      </c>
      <c r="AL51" s="168" t="s">
        <v>95</v>
      </c>
      <c r="AM51" s="169" t="s">
        <v>95</v>
      </c>
      <c r="AN51" s="167" t="s">
        <v>95</v>
      </c>
      <c r="AO51" s="170" t="str">
        <f t="shared" si="7"/>
        <v>n/a</v>
      </c>
      <c r="AP51" s="171">
        <f t="shared" si="8"/>
        <v>6.2156655630059774</v>
      </c>
      <c r="AQ51" s="172" t="str">
        <f t="shared" si="9"/>
        <v>n/a</v>
      </c>
      <c r="AR51" s="157">
        <f>INDEX([1]Historical!$C$7:$C$1231,MATCH(B51,[1]Historical!$B$7:$B$1253,0))*IF(AH51="n/a",1.03,IF(AH51&lt;0,1.01,IF(AH51&gt;10,1.1,(1+AH51/100))))</f>
        <v>2.1836000000000002</v>
      </c>
      <c r="AS51" s="166">
        <f t="shared" si="10"/>
        <v>2.2491080000000001</v>
      </c>
      <c r="AT51" s="166">
        <f t="shared" si="16"/>
        <v>2.3165812400000001</v>
      </c>
      <c r="AU51" s="166">
        <f t="shared" si="16"/>
        <v>2.3860786772</v>
      </c>
      <c r="AV51" s="166">
        <f t="shared" si="16"/>
        <v>2.457661037516</v>
      </c>
      <c r="AW51" s="157">
        <f t="shared" si="12"/>
        <v>11.593028954716001</v>
      </c>
      <c r="AX51" s="173">
        <f t="shared" si="13"/>
        <v>23.186057909432002</v>
      </c>
      <c r="AY51" s="174" t="s">
        <v>95</v>
      </c>
      <c r="AZ51" s="169" t="s">
        <v>95</v>
      </c>
      <c r="BA51" s="169" t="s">
        <v>95</v>
      </c>
      <c r="BB51" s="169" t="s">
        <v>95</v>
      </c>
      <c r="BC51" s="169" t="s">
        <v>95</v>
      </c>
      <c r="BD51" s="100" t="s">
        <v>932</v>
      </c>
      <c r="BE51" s="77">
        <v>2012</v>
      </c>
      <c r="BF51" s="77">
        <f t="shared" si="14"/>
        <v>1</v>
      </c>
      <c r="BG51" s="175" t="s">
        <v>95</v>
      </c>
      <c r="BH51" t="s">
        <v>939</v>
      </c>
      <c r="BI51" t="s">
        <v>940</v>
      </c>
    </row>
    <row r="52" spans="1:61" ht="11.25" customHeight="1" x14ac:dyDescent="0.2">
      <c r="A52" s="176" t="s">
        <v>1260</v>
      </c>
      <c r="B52" s="153" t="s">
        <v>685</v>
      </c>
      <c r="C52" s="154" t="s">
        <v>94</v>
      </c>
      <c r="D52" s="154" t="s">
        <v>760</v>
      </c>
      <c r="E52" s="155">
        <v>11</v>
      </c>
      <c r="F52" s="298">
        <v>405</v>
      </c>
      <c r="G52" s="298" t="s">
        <v>88</v>
      </c>
      <c r="H52" s="298" t="s">
        <v>88</v>
      </c>
      <c r="I52" s="156">
        <v>45.88</v>
      </c>
      <c r="J52" s="157">
        <f t="shared" si="0"/>
        <v>1.9180470793374018</v>
      </c>
      <c r="K52" s="158">
        <v>0.22</v>
      </c>
      <c r="L52" s="126">
        <v>4</v>
      </c>
      <c r="M52" s="82">
        <f t="shared" si="1"/>
        <v>0.88</v>
      </c>
      <c r="N52" s="159" t="s">
        <v>108</v>
      </c>
      <c r="O52" s="160">
        <v>0.2</v>
      </c>
      <c r="P52" s="161">
        <v>44589</v>
      </c>
      <c r="Q52" s="161">
        <v>44607</v>
      </c>
      <c r="R52" s="82">
        <f t="shared" si="2"/>
        <v>9.9999999999999947</v>
      </c>
      <c r="S52" s="162">
        <f>IF(INDEX([1]Historical!$D$7:$D$1229,MATCH(B52,[1]Historical!$B$7:$B$1253,0))=0,"n/a",(INDEX([1]Historical!$C$7:$C$1231,MATCH(B52,[1]Historical!$B$7:$B$1253,0))/INDEX([1]Historical!$D$7:$D$1229,MATCH(B52,[1]Historical!$B$7:$B$1253,0))-1)*100)</f>
        <v>6.6666666666666652</v>
      </c>
      <c r="T52" s="162">
        <f>IF(INDEX([1]Historical!$F$7:$F$1222,MATCH(B52,[1]Historical!$B$7:$B$1253,0))=0,"n/a",((INDEX([1]Historical!$C$7:$C$1231,MATCH(B52,[1]Historical!$B$7:$B$1253,0))/INDEX([1]Historical!$F$7:$F$1222,MATCH(B52,[1]Historical!$B$7:$B$1253,0)))^(1/3)-1)*100)</f>
        <v>8.2887014419613649</v>
      </c>
      <c r="U52" s="162">
        <f>IF(INDEX([1]Historical!$H$7:$H$1222,MATCH(B52,[1]Historical!$B$7:$B$1253,0))=0,"n/a",((INDEX([1]Historical!$C$7:$C$1231,MATCH(B52,[1]Historical!$B$7:$B$1253,0))/INDEX([1]Historical!$H$7:$H$1222,MATCH(B52,[1]Historical!$B$7:$B$1253,0)))^(1/5)-1)*100)</f>
        <v>9.8560543306117854</v>
      </c>
      <c r="V52" s="162">
        <f>IF(INDEX([1]Historical!$N$7:$N$1222,MATCH(B52,[1]Historical!$B$7:$B$1253,0))=0,"n/a",((INDEX([1]Historical!$C$7:$C$1231,MATCH(B52,[1]Historical!$B$7:$B$1253,0))/INDEX([1]Historical!$N$7:$N$1222,MATCH(B52,[1]Historical!$B$7:$B$1253,0)))^(1/10)-1)*100)</f>
        <v>9.3924221934163619</v>
      </c>
      <c r="W52" s="163">
        <f t="shared" si="3"/>
        <v>1.0493623612363174</v>
      </c>
      <c r="X52" s="164" t="str">
        <f t="shared" si="4"/>
        <v>n/a</v>
      </c>
      <c r="Y52" s="211"/>
      <c r="Z52" s="157">
        <f t="shared" si="5"/>
        <v>35.918367346938773</v>
      </c>
      <c r="AA52" s="166">
        <f t="shared" si="6"/>
        <v>18.726530612244897</v>
      </c>
      <c r="AB52" s="126">
        <v>2</v>
      </c>
      <c r="AC52" s="167">
        <v>2.4500000000000002</v>
      </c>
      <c r="AD52" s="167">
        <v>1.25</v>
      </c>
      <c r="AE52" s="167">
        <v>0.71</v>
      </c>
      <c r="AF52" s="167">
        <v>2.82</v>
      </c>
      <c r="AG52" s="167">
        <v>14.2</v>
      </c>
      <c r="AH52" s="167">
        <v>-76.5</v>
      </c>
      <c r="AI52" s="167">
        <v>0.08</v>
      </c>
      <c r="AJ52" s="167">
        <v>-45.9</v>
      </c>
      <c r="AK52" s="167">
        <v>15</v>
      </c>
      <c r="AL52" s="168">
        <v>986.61</v>
      </c>
      <c r="AM52" s="169">
        <v>1.6</v>
      </c>
      <c r="AN52" s="167">
        <v>0.7</v>
      </c>
      <c r="AO52" s="170">
        <f t="shared" si="7"/>
        <v>-6.9524292022957095</v>
      </c>
      <c r="AP52" s="171">
        <f t="shared" si="8"/>
        <v>11.774101409949187</v>
      </c>
      <c r="AQ52" s="172">
        <f t="shared" si="9"/>
        <v>53.201126085984107</v>
      </c>
      <c r="AR52" s="157">
        <f>INDEX([1]Historical!$C$7:$C$1231,MATCH(B52,[1]Historical!$B$7:$B$1253,0))*IF(AH52="n/a",1.03,IF(AH52&lt;0,1.01,IF(AH52&gt;10,1.1,(1+AH52/100))))</f>
        <v>0.80800000000000005</v>
      </c>
      <c r="AS52" s="166">
        <f t="shared" si="10"/>
        <v>0.80864639999999999</v>
      </c>
      <c r="AT52" s="166">
        <f t="shared" si="16"/>
        <v>0.88951104000000003</v>
      </c>
      <c r="AU52" s="166">
        <f t="shared" si="16"/>
        <v>0.97846214400000009</v>
      </c>
      <c r="AV52" s="166">
        <f t="shared" si="16"/>
        <v>1.0763083584000002</v>
      </c>
      <c r="AW52" s="157">
        <f t="shared" si="12"/>
        <v>4.5609279424000002</v>
      </c>
      <c r="AX52" s="173">
        <f t="shared" si="13"/>
        <v>9.9409937715780305</v>
      </c>
      <c r="AY52" s="174">
        <v>1.07</v>
      </c>
      <c r="AZ52" s="169">
        <v>27.589999999999996</v>
      </c>
      <c r="BA52" s="169">
        <v>-9.0499999999999989</v>
      </c>
      <c r="BB52" s="169">
        <v>10.47</v>
      </c>
      <c r="BC52" s="169">
        <v>6.4399999999999995</v>
      </c>
      <c r="BE52" s="77">
        <v>2012</v>
      </c>
      <c r="BF52" s="77">
        <f t="shared" si="14"/>
        <v>1</v>
      </c>
      <c r="BG52" s="175">
        <v>5.8999999999999995</v>
      </c>
      <c r="BH52" t="s">
        <v>939</v>
      </c>
      <c r="BI52" t="s">
        <v>940</v>
      </c>
    </row>
    <row r="53" spans="1:61" ht="11.25" customHeight="1" x14ac:dyDescent="0.2">
      <c r="A53" s="205" t="s">
        <v>975</v>
      </c>
      <c r="B53" s="153" t="s">
        <v>976</v>
      </c>
      <c r="C53" s="154" t="s">
        <v>117</v>
      </c>
      <c r="D53" s="154" t="s">
        <v>953</v>
      </c>
      <c r="E53" s="155">
        <v>14</v>
      </c>
      <c r="F53" s="298">
        <v>264</v>
      </c>
      <c r="G53" s="298" t="s">
        <v>88</v>
      </c>
      <c r="H53" s="298" t="s">
        <v>88</v>
      </c>
      <c r="I53" s="156">
        <v>11.06</v>
      </c>
      <c r="J53" s="157">
        <f t="shared" si="0"/>
        <v>6.5388788426763096</v>
      </c>
      <c r="K53" s="158">
        <v>0.18079999999999999</v>
      </c>
      <c r="L53" s="126">
        <v>4</v>
      </c>
      <c r="M53" s="82">
        <f t="shared" si="1"/>
        <v>0.72319999999999995</v>
      </c>
      <c r="N53" s="159" t="s">
        <v>164</v>
      </c>
      <c r="O53" s="160">
        <v>0.1706</v>
      </c>
      <c r="P53" s="161">
        <v>44741</v>
      </c>
      <c r="Q53" s="161">
        <v>44757</v>
      </c>
      <c r="R53" s="82">
        <f t="shared" si="2"/>
        <v>5.9788980070339903</v>
      </c>
      <c r="S53" s="162">
        <f>IF(INDEX([1]Historical!$D$7:$D$1229,MATCH(B53,[1]Historical!$B$7:$B$1253,0))=0,"n/a",(INDEX([1]Historical!$C$7:$C$1231,MATCH(B53,[1]Historical!$B$7:$B$1253,0))/INDEX([1]Historical!$D$7:$D$1229,MATCH(B53,[1]Historical!$B$7:$B$1253,0))-1)*100)</f>
        <v>9.9966227625802198</v>
      </c>
      <c r="T53" s="162">
        <f>IF(INDEX([1]Historical!$F$7:$F$1222,MATCH(B53,[1]Historical!$B$7:$B$1253,0))=0,"n/a",((INDEX([1]Historical!$C$7:$C$1231,MATCH(B53,[1]Historical!$B$7:$B$1253,0))/INDEX([1]Historical!$F$7:$F$1222,MATCH(B53,[1]Historical!$B$7:$B$1253,0)))^(1/3)-1)*100)</f>
        <v>10.000484089820061</v>
      </c>
      <c r="U53" s="162">
        <f>IF(INDEX([1]Historical!$H$7:$H$1222,MATCH(B53,[1]Historical!$B$7:$B$1253,0))=0,"n/a",((INDEX([1]Historical!$C$7:$C$1231,MATCH(B53,[1]Historical!$B$7:$B$1253,0))/INDEX([1]Historical!$H$7:$H$1222,MATCH(B53,[1]Historical!$B$7:$B$1253,0)))^(1/5)-1)*100)</f>
        <v>10.003707209300838</v>
      </c>
      <c r="V53" s="162">
        <f>IF(INDEX([1]Historical!$N$7:$N$1222,MATCH(B53,[1]Historical!$B$7:$B$1253,0))=0,"n/a",((INDEX([1]Historical!$C$7:$C$1231,MATCH(B53,[1]Historical!$B$7:$B$1253,0))/INDEX([1]Historical!$N$7:$N$1222,MATCH(B53,[1]Historical!$B$7:$B$1253,0)))^(1/10)-1)*100)</f>
        <v>9.5941403147564497</v>
      </c>
      <c r="W53" s="163">
        <f t="shared" si="3"/>
        <v>1.0426892750270127</v>
      </c>
      <c r="X53" s="164" t="str">
        <f t="shared" si="4"/>
        <v>n/a</v>
      </c>
      <c r="Y53" s="180"/>
      <c r="Z53" s="157">
        <f t="shared" si="5"/>
        <v>180.79999999999998</v>
      </c>
      <c r="AA53" s="166">
        <f t="shared" si="6"/>
        <v>27.65</v>
      </c>
      <c r="AB53" s="126">
        <v>12</v>
      </c>
      <c r="AC53" s="167">
        <v>0.4</v>
      </c>
      <c r="AD53" s="167">
        <v>3.55</v>
      </c>
      <c r="AE53" s="167">
        <v>2.96</v>
      </c>
      <c r="AF53" s="167">
        <v>1.01</v>
      </c>
      <c r="AG53" s="167">
        <v>3.5999999999999996</v>
      </c>
      <c r="AH53" s="167">
        <v>-70.599999999999994</v>
      </c>
      <c r="AI53" s="167">
        <v>8.3699999999999992</v>
      </c>
      <c r="AJ53" s="167">
        <v>-1.5</v>
      </c>
      <c r="AK53" s="167">
        <v>7.85</v>
      </c>
      <c r="AL53" s="168">
        <v>9960</v>
      </c>
      <c r="AM53" s="169">
        <v>0.05</v>
      </c>
      <c r="AN53" s="167">
        <v>1.37</v>
      </c>
      <c r="AO53" s="170">
        <f t="shared" si="7"/>
        <v>-11.107413948022852</v>
      </c>
      <c r="AP53" s="171">
        <f t="shared" si="8"/>
        <v>16.542586051977146</v>
      </c>
      <c r="AQ53" s="172">
        <f t="shared" si="9"/>
        <v>11.408158488405927</v>
      </c>
      <c r="AR53" s="157">
        <f>INDEX([1]Historical!$C$7:$C$1231,MATCH(B53,[1]Historical!$B$7:$B$1253,0))*IF(AH53="n/a",1.03,IF(AH53&lt;0,1.01,IF(AH53&gt;10,1.1,(1+AH53/100))))</f>
        <v>0.657914</v>
      </c>
      <c r="AS53" s="166">
        <f t="shared" si="10"/>
        <v>0.71298140179999991</v>
      </c>
      <c r="AT53" s="166">
        <f t="shared" si="16"/>
        <v>0.7689504418412999</v>
      </c>
      <c r="AU53" s="166">
        <f t="shared" si="16"/>
        <v>0.829313051525842</v>
      </c>
      <c r="AV53" s="166">
        <f t="shared" si="16"/>
        <v>0.89441412607062065</v>
      </c>
      <c r="AW53" s="157">
        <f t="shared" si="12"/>
        <v>3.8635730212377624</v>
      </c>
      <c r="AX53" s="173">
        <f t="shared" si="13"/>
        <v>34.932848293288984</v>
      </c>
      <c r="AY53" s="174">
        <v>0.35</v>
      </c>
      <c r="AZ53" s="169">
        <v>11.379999999999999</v>
      </c>
      <c r="BA53" s="169">
        <v>-30.919999999999998</v>
      </c>
      <c r="BB53" s="169">
        <v>-9.82</v>
      </c>
      <c r="BC53" s="169">
        <v>-19.91</v>
      </c>
      <c r="BE53" s="77">
        <v>2009</v>
      </c>
      <c r="BF53" s="77">
        <f t="shared" si="14"/>
        <v>1</v>
      </c>
      <c r="BG53" s="175">
        <v>1.0999999999999999</v>
      </c>
      <c r="BH53" t="s">
        <v>939</v>
      </c>
      <c r="BI53" t="s">
        <v>940</v>
      </c>
    </row>
    <row r="54" spans="1:61" ht="11.25" customHeight="1" x14ac:dyDescent="0.2">
      <c r="A54" s="176" t="s">
        <v>1261</v>
      </c>
      <c r="B54" s="153" t="s">
        <v>517</v>
      </c>
      <c r="C54" s="154" t="s">
        <v>947</v>
      </c>
      <c r="D54" s="154" t="s">
        <v>948</v>
      </c>
      <c r="E54" s="155">
        <v>12</v>
      </c>
      <c r="F54" s="298">
        <v>371</v>
      </c>
      <c r="G54" s="298" t="s">
        <v>88</v>
      </c>
      <c r="H54" s="298" t="s">
        <v>88</v>
      </c>
      <c r="I54" s="156">
        <v>145.30000000000001</v>
      </c>
      <c r="J54" s="157">
        <f t="shared" si="0"/>
        <v>3.2484514796971777</v>
      </c>
      <c r="K54" s="158">
        <v>1.18</v>
      </c>
      <c r="L54" s="126">
        <v>4</v>
      </c>
      <c r="M54" s="82">
        <f t="shared" si="1"/>
        <v>4.72</v>
      </c>
      <c r="N54" s="159" t="s">
        <v>164</v>
      </c>
      <c r="O54" s="160">
        <v>1.1499999999999999</v>
      </c>
      <c r="P54" s="161">
        <v>44741</v>
      </c>
      <c r="Q54" s="161">
        <v>44757</v>
      </c>
      <c r="R54" s="82">
        <f t="shared" si="2"/>
        <v>2.6086956521739157</v>
      </c>
      <c r="S54" s="162">
        <f>IF(INDEX([1]Historical!$D$7:$D$1229,MATCH(B54,[1]Historical!$B$7:$B$1253,0))=0,"n/a",(INDEX([1]Historical!$C$7:$C$1231,MATCH(B54,[1]Historical!$B$7:$B$1253,0))/INDEX([1]Historical!$D$7:$D$1229,MATCH(B54,[1]Historical!$B$7:$B$1253,0))-1)*100)</f>
        <v>5.741626794258381</v>
      </c>
      <c r="T54" s="162">
        <f>IF(INDEX([1]Historical!$F$7:$F$1222,MATCH(B54,[1]Historical!$B$7:$B$1253,0))=0,"n/a",((INDEX([1]Historical!$C$7:$C$1231,MATCH(B54,[1]Historical!$B$7:$B$1253,0))/INDEX([1]Historical!$F$7:$F$1222,MATCH(B54,[1]Historical!$B$7:$B$1253,0)))^(1/3)-1)*100)</f>
        <v>6.4912017307670045</v>
      </c>
      <c r="U54" s="162">
        <f>IF(INDEX([1]Historical!$H$7:$H$1222,MATCH(B54,[1]Historical!$B$7:$B$1253,0))=0,"n/a",((INDEX([1]Historical!$C$7:$C$1231,MATCH(B54,[1]Historical!$B$7:$B$1253,0))/INDEX([1]Historical!$H$7:$H$1222,MATCH(B54,[1]Historical!$B$7:$B$1253,0)))^(1/5)-1)*100)</f>
        <v>6.6729875066551925</v>
      </c>
      <c r="V54" s="162">
        <f>IF(INDEX([1]Historical!$N$7:$N$1222,MATCH(B54,[1]Historical!$B$7:$B$1253,0))=0,"n/a",((INDEX([1]Historical!$C$7:$C$1231,MATCH(B54,[1]Historical!$B$7:$B$1253,0))/INDEX([1]Historical!$N$7:$N$1222,MATCH(B54,[1]Historical!$B$7:$B$1253,0)))^(1/10)-1)*100)</f>
        <v>9.2785913533468758</v>
      </c>
      <c r="W54" s="163">
        <f t="shared" si="3"/>
        <v>0.71918109684269937</v>
      </c>
      <c r="X54" s="164">
        <f t="shared" si="4"/>
        <v>0.21251552568965582</v>
      </c>
      <c r="Y54" s="165"/>
      <c r="Z54" s="157">
        <f t="shared" si="5"/>
        <v>141.74174174174172</v>
      </c>
      <c r="AA54" s="166">
        <f t="shared" si="6"/>
        <v>43.633633633633636</v>
      </c>
      <c r="AB54" s="126">
        <v>12</v>
      </c>
      <c r="AC54" s="167">
        <v>3.33</v>
      </c>
      <c r="AD54" s="167" t="s">
        <v>95</v>
      </c>
      <c r="AE54" s="167">
        <v>9.34</v>
      </c>
      <c r="AF54" s="167">
        <v>1.34</v>
      </c>
      <c r="AG54" s="167">
        <v>1.7999999999999998</v>
      </c>
      <c r="AH54" s="179">
        <v>-36.5</v>
      </c>
      <c r="AI54" s="179">
        <v>18.360000000000003</v>
      </c>
      <c r="AJ54" s="167">
        <v>31.4</v>
      </c>
      <c r="AK54" s="167">
        <v>-10.96</v>
      </c>
      <c r="AL54" s="168">
        <v>23320</v>
      </c>
      <c r="AM54" s="169">
        <v>0.89999999999999991</v>
      </c>
      <c r="AN54" s="167">
        <v>0.6</v>
      </c>
      <c r="AO54" s="170">
        <f t="shared" si="7"/>
        <v>-33.712194647281265</v>
      </c>
      <c r="AP54" s="171">
        <f t="shared" si="8"/>
        <v>9.9214389863523706</v>
      </c>
      <c r="AQ54" s="172">
        <f t="shared" si="9"/>
        <v>61.2025214430167</v>
      </c>
      <c r="AR54" s="157">
        <f>INDEX([1]Historical!$C$7:$C$1231,MATCH(B54,[1]Historical!$B$7:$B$1253,0))*IF(AH54="n/a",1.03,IF(AH54&lt;0,1.01,IF(AH54&gt;10,1.1,(1+AH54/100))))</f>
        <v>4.4641999999999999</v>
      </c>
      <c r="AS54" s="166">
        <f t="shared" si="10"/>
        <v>4.9106200000000007</v>
      </c>
      <c r="AT54" s="166">
        <f t="shared" si="16"/>
        <v>4.9597262000000004</v>
      </c>
      <c r="AU54" s="166">
        <f t="shared" si="16"/>
        <v>5.0093234620000002</v>
      </c>
      <c r="AV54" s="166">
        <f t="shared" si="16"/>
        <v>5.0594166966200005</v>
      </c>
      <c r="AW54" s="157">
        <f t="shared" si="12"/>
        <v>24.403286358620001</v>
      </c>
      <c r="AX54" s="173">
        <f t="shared" si="13"/>
        <v>16.795104169731591</v>
      </c>
      <c r="AY54" s="174">
        <v>0.92</v>
      </c>
      <c r="AZ54" s="169">
        <v>14.64</v>
      </c>
      <c r="BA54" s="169">
        <v>-35.410000000000004</v>
      </c>
      <c r="BB54" s="169">
        <v>0</v>
      </c>
      <c r="BC54" s="169">
        <v>-13.209999999999999</v>
      </c>
      <c r="BE54" s="77">
        <v>2011</v>
      </c>
      <c r="BF54" s="77">
        <f t="shared" si="14"/>
        <v>1</v>
      </c>
      <c r="BG54" s="175">
        <v>1</v>
      </c>
      <c r="BH54" t="s">
        <v>939</v>
      </c>
      <c r="BI54" t="s">
        <v>945</v>
      </c>
    </row>
    <row r="55" spans="1:61" ht="11.25" customHeight="1" x14ac:dyDescent="0.2">
      <c r="A55" s="112" t="s">
        <v>1262</v>
      </c>
      <c r="B55" s="153" t="s">
        <v>148</v>
      </c>
      <c r="C55" s="154" t="s">
        <v>90</v>
      </c>
      <c r="D55" s="154" t="s">
        <v>969</v>
      </c>
      <c r="E55" s="155">
        <v>29</v>
      </c>
      <c r="F55" s="298">
        <v>109</v>
      </c>
      <c r="G55" s="298" t="s">
        <v>30</v>
      </c>
      <c r="H55" s="298" t="s">
        <v>30</v>
      </c>
      <c r="I55" s="167">
        <v>34.82</v>
      </c>
      <c r="J55" s="157">
        <f t="shared" si="0"/>
        <v>3.1016657093624356</v>
      </c>
      <c r="K55" s="209">
        <v>0.27</v>
      </c>
      <c r="L55" s="126">
        <v>4</v>
      </c>
      <c r="M55" s="82">
        <f t="shared" si="1"/>
        <v>1.08</v>
      </c>
      <c r="N55" s="159" t="s">
        <v>167</v>
      </c>
      <c r="O55" s="217">
        <v>0.26</v>
      </c>
      <c r="P55" s="161">
        <v>44620</v>
      </c>
      <c r="Q55" s="161">
        <v>44635</v>
      </c>
      <c r="R55" s="82">
        <f t="shared" si="2"/>
        <v>3.8461538461538494</v>
      </c>
      <c r="S55" s="162">
        <f>IF(INDEX([1]Historical!$D$7:$D$1229,MATCH(B55,[1]Historical!$B$7:$B$1253,0))=0,"n/a",(INDEX([1]Historical!$C$7:$C$1231,MATCH(B55,[1]Historical!$B$7:$B$1253,0))/INDEX([1]Historical!$D$7:$D$1229,MATCH(B55,[1]Historical!$B$7:$B$1253,0))-1)*100)</f>
        <v>2.9917426989883866</v>
      </c>
      <c r="T55" s="162">
        <f>IF(INDEX([1]Historical!$F$7:$F$1222,MATCH(B55,[1]Historical!$B$7:$B$1253,0))=0,"n/a",((INDEX([1]Historical!$C$7:$C$1231,MATCH(B55,[1]Historical!$B$7:$B$1253,0))/INDEX([1]Historical!$F$7:$F$1222,MATCH(B55,[1]Historical!$B$7:$B$1253,0)))^(1/3)-1)*100)</f>
        <v>3.6610361779477074</v>
      </c>
      <c r="U55" s="162">
        <f>IF(INDEX([1]Historical!$H$7:$H$1222,MATCH(B55,[1]Historical!$B$7:$B$1253,0))=0,"n/a",((INDEX([1]Historical!$C$7:$C$1231,MATCH(B55,[1]Historical!$B$7:$B$1253,0))/INDEX([1]Historical!$H$7:$H$1222,MATCH(B55,[1]Historical!$B$7:$B$1253,0)))^(1/5)-1)*100)</f>
        <v>3.8094592985331355</v>
      </c>
      <c r="V55" s="162">
        <f>IF(INDEX([1]Historical!$N$7:$N$1222,MATCH(B55,[1]Historical!$B$7:$B$1253,0))=0,"n/a",((INDEX([1]Historical!$C$7:$C$1231,MATCH(B55,[1]Historical!$B$7:$B$1253,0))/INDEX([1]Historical!$N$7:$N$1222,MATCH(B55,[1]Historical!$B$7:$B$1253,0)))^(1/10)-1)*100)</f>
        <v>3.0011931814392989</v>
      </c>
      <c r="W55" s="163">
        <f t="shared" si="3"/>
        <v>1.2693149251745974</v>
      </c>
      <c r="X55" s="164">
        <f t="shared" si="4"/>
        <v>0.2976140076979012</v>
      </c>
      <c r="Y55" s="218" t="s">
        <v>977</v>
      </c>
      <c r="Z55" s="157">
        <f t="shared" si="5"/>
        <v>37.370242214532873</v>
      </c>
      <c r="AA55" s="166">
        <f t="shared" si="6"/>
        <v>12.048442906574394</v>
      </c>
      <c r="AB55" s="126">
        <v>12</v>
      </c>
      <c r="AC55" s="167">
        <v>2.89</v>
      </c>
      <c r="AD55" s="167">
        <v>1.72</v>
      </c>
      <c r="AE55" s="167">
        <v>4.49</v>
      </c>
      <c r="AF55" s="167">
        <v>1.59</v>
      </c>
      <c r="AG55" s="167">
        <v>13.600000000000001</v>
      </c>
      <c r="AH55" s="167">
        <v>21.099999999999998</v>
      </c>
      <c r="AI55" s="167">
        <v>12.58</v>
      </c>
      <c r="AJ55" s="167">
        <v>12.8</v>
      </c>
      <c r="AK55" s="167">
        <v>6.9</v>
      </c>
      <c r="AL55" s="168">
        <v>528.29</v>
      </c>
      <c r="AM55" s="169">
        <v>3.1</v>
      </c>
      <c r="AN55" s="167">
        <v>7.0000000000000007E-2</v>
      </c>
      <c r="AO55" s="170">
        <f t="shared" si="7"/>
        <v>-5.1373178986788233</v>
      </c>
      <c r="AP55" s="171">
        <f t="shared" si="8"/>
        <v>6.9111250078955706</v>
      </c>
      <c r="AQ55" s="172">
        <f t="shared" si="9"/>
        <v>-7.7273985014372215</v>
      </c>
      <c r="AR55" s="157">
        <f>INDEX([1]Historical!$C$7:$C$1231,MATCH(B55,[1]Historical!$B$7:$B$1253,0))*IF(AH55="n/a",1.03,IF(AH55&lt;0,1.01,IF(AH55&gt;10,1.1,(1+AH55/100))))</f>
        <v>1.1189200000000001</v>
      </c>
      <c r="AS55" s="166">
        <f t="shared" si="10"/>
        <v>1.2308120000000002</v>
      </c>
      <c r="AT55" s="166">
        <f t="shared" ref="AT55:AV70" si="17">IF($AK55="n/a",1.03*AS55,IF($AK55&lt;0,1.01*AS55,IF($AK55&gt;10,1.1*AS55,(1+$AK55/100)*AS55)))</f>
        <v>1.3157380280000002</v>
      </c>
      <c r="AU55" s="166">
        <f t="shared" si="17"/>
        <v>1.4065239519320001</v>
      </c>
      <c r="AV55" s="166">
        <f t="shared" si="17"/>
        <v>1.5035741046153079</v>
      </c>
      <c r="AW55" s="157">
        <f t="shared" si="12"/>
        <v>6.5755680845473083</v>
      </c>
      <c r="AX55" s="173">
        <f t="shared" si="13"/>
        <v>18.884457451313349</v>
      </c>
      <c r="AY55" s="174">
        <v>0.64</v>
      </c>
      <c r="AZ55" s="169">
        <v>22.18</v>
      </c>
      <c r="BA55" s="169">
        <v>-6.22</v>
      </c>
      <c r="BB55" s="169">
        <v>11.87</v>
      </c>
      <c r="BC55" s="169">
        <v>9.09</v>
      </c>
      <c r="BE55" s="77">
        <v>1994</v>
      </c>
      <c r="BF55" s="77">
        <f t="shared" si="14"/>
        <v>3</v>
      </c>
      <c r="BG55" s="175">
        <v>1.2</v>
      </c>
      <c r="BH55" t="s">
        <v>939</v>
      </c>
      <c r="BI55" t="s">
        <v>940</v>
      </c>
    </row>
    <row r="56" spans="1:61" ht="11.25" customHeight="1" x14ac:dyDescent="0.2">
      <c r="A56" s="112" t="s">
        <v>1263</v>
      </c>
      <c r="B56" s="153" t="s">
        <v>149</v>
      </c>
      <c r="C56" s="154" t="s">
        <v>117</v>
      </c>
      <c r="D56" s="154" t="s">
        <v>978</v>
      </c>
      <c r="E56" s="155">
        <v>30</v>
      </c>
      <c r="F56" s="298">
        <v>101</v>
      </c>
      <c r="G56" s="298" t="s">
        <v>30</v>
      </c>
      <c r="H56" s="298" t="s">
        <v>30</v>
      </c>
      <c r="I56" s="156">
        <v>52.28</v>
      </c>
      <c r="J56" s="157">
        <f t="shared" si="0"/>
        <v>2.0879877582249424</v>
      </c>
      <c r="K56" s="209">
        <v>0.27289999999999998</v>
      </c>
      <c r="L56" s="126">
        <v>4</v>
      </c>
      <c r="M56" s="82">
        <f t="shared" si="1"/>
        <v>1.0915999999999999</v>
      </c>
      <c r="N56" s="159" t="s">
        <v>334</v>
      </c>
      <c r="O56" s="210">
        <v>0.26750000000000002</v>
      </c>
      <c r="P56" s="161">
        <v>44687</v>
      </c>
      <c r="Q56" s="161">
        <v>44704</v>
      </c>
      <c r="R56" s="82">
        <f t="shared" si="2"/>
        <v>2.0186915887850319</v>
      </c>
      <c r="S56" s="162">
        <f>IF(INDEX([1]Historical!$D$7:$D$1229,MATCH(B56,[1]Historical!$B$7:$B$1253,0))=0,"n/a",(INDEX([1]Historical!$C$7:$C$1231,MATCH(B56,[1]Historical!$B$7:$B$1253,0))/INDEX([1]Historical!$D$7:$D$1229,MATCH(B56,[1]Historical!$B$7:$B$1253,0))-1)*100)</f>
        <v>4.0461278457103012</v>
      </c>
      <c r="T56" s="162">
        <f>IF(INDEX([1]Historical!$F$7:$F$1222,MATCH(B56,[1]Historical!$B$7:$B$1253,0))=0,"n/a",((INDEX([1]Historical!$C$7:$C$1231,MATCH(B56,[1]Historical!$B$7:$B$1253,0))/INDEX([1]Historical!$F$7:$F$1222,MATCH(B56,[1]Historical!$B$7:$B$1253,0)))^(1/3)-1)*100)</f>
        <v>3.1037067136208796</v>
      </c>
      <c r="U56" s="162">
        <f>IF(INDEX([1]Historical!$H$7:$H$1222,MATCH(B56,[1]Historical!$B$7:$B$1253,0))=0,"n/a",((INDEX([1]Historical!$C$7:$C$1231,MATCH(B56,[1]Historical!$B$7:$B$1253,0))/INDEX([1]Historical!$H$7:$H$1222,MATCH(B56,[1]Historical!$B$7:$B$1253,0)))^(1/5)-1)*100)</f>
        <v>3.0710266691390764</v>
      </c>
      <c r="V56" s="162">
        <f>IF(INDEX([1]Historical!$N$7:$N$1222,MATCH(B56,[1]Historical!$B$7:$B$1253,0))=0,"n/a",((INDEX([1]Historical!$C$7:$C$1231,MATCH(B56,[1]Historical!$B$7:$B$1253,0))/INDEX([1]Historical!$N$7:$N$1222,MATCH(B56,[1]Historical!$B$7:$B$1253,0)))^(1/10)-1)*100)</f>
        <v>3.2190325675818254</v>
      </c>
      <c r="W56" s="163">
        <f t="shared" si="3"/>
        <v>0.95402162129911816</v>
      </c>
      <c r="X56" s="164">
        <f t="shared" si="4"/>
        <v>0.63979722273730766</v>
      </c>
      <c r="Y56" s="178"/>
      <c r="Z56" s="157">
        <f t="shared" si="5"/>
        <v>58.374331550802125</v>
      </c>
      <c r="AA56" s="166">
        <f t="shared" si="6"/>
        <v>27.957219251336898</v>
      </c>
      <c r="AB56" s="126">
        <v>12</v>
      </c>
      <c r="AC56" s="167">
        <v>1.87</v>
      </c>
      <c r="AD56" s="167">
        <v>7.17</v>
      </c>
      <c r="AE56" s="167">
        <v>5.21</v>
      </c>
      <c r="AF56" s="167">
        <v>2.8</v>
      </c>
      <c r="AG56" s="167">
        <v>9.9</v>
      </c>
      <c r="AH56" s="167">
        <v>-0.5</v>
      </c>
      <c r="AI56" s="167">
        <v>12.44</v>
      </c>
      <c r="AJ56" s="167">
        <v>4.8</v>
      </c>
      <c r="AK56" s="167">
        <v>4</v>
      </c>
      <c r="AL56" s="168">
        <v>493.73</v>
      </c>
      <c r="AM56" s="169">
        <v>2.6</v>
      </c>
      <c r="AN56" s="167">
        <v>1.03</v>
      </c>
      <c r="AO56" s="170">
        <f t="shared" si="7"/>
        <v>-22.798204823972881</v>
      </c>
      <c r="AP56" s="171">
        <f t="shared" si="8"/>
        <v>5.1590144273640188</v>
      </c>
      <c r="AQ56" s="172">
        <f t="shared" si="9"/>
        <v>86.524009659457704</v>
      </c>
      <c r="AR56" s="157">
        <f>INDEX([1]Historical!$C$7:$C$1231,MATCH(B56,[1]Historical!$B$7:$B$1253,0))*IF(AH56="n/a",1.03,IF(AH56&lt;0,1.01,IF(AH56&gt;10,1.1,(1+AH56/100))))</f>
        <v>1.0570660000000001</v>
      </c>
      <c r="AS56" s="166">
        <f t="shared" si="10"/>
        <v>1.1627726000000003</v>
      </c>
      <c r="AT56" s="166">
        <f t="shared" si="17"/>
        <v>1.2092835040000003</v>
      </c>
      <c r="AU56" s="166">
        <f t="shared" si="17"/>
        <v>1.2576548441600004</v>
      </c>
      <c r="AV56" s="166">
        <f t="shared" si="17"/>
        <v>1.3079610379264004</v>
      </c>
      <c r="AW56" s="157">
        <f t="shared" si="12"/>
        <v>5.9947379860864007</v>
      </c>
      <c r="AX56" s="173">
        <f t="shared" si="13"/>
        <v>11.466599055253253</v>
      </c>
      <c r="AY56" s="174">
        <v>0.18</v>
      </c>
      <c r="AZ56" s="169">
        <v>31.869999999999997</v>
      </c>
      <c r="BA56" s="169">
        <v>-13.38</v>
      </c>
      <c r="BB56" s="169">
        <v>0.37</v>
      </c>
      <c r="BC56" s="169">
        <v>6.3299999999999992</v>
      </c>
      <c r="BE56" s="77">
        <v>1993</v>
      </c>
      <c r="BF56" s="77">
        <f t="shared" si="14"/>
        <v>3</v>
      </c>
      <c r="BG56" s="175">
        <v>2.7</v>
      </c>
      <c r="BH56" t="s">
        <v>939</v>
      </c>
      <c r="BI56" t="s">
        <v>940</v>
      </c>
    </row>
    <row r="57" spans="1:61" ht="11.25" customHeight="1" x14ac:dyDescent="0.2">
      <c r="A57" s="112" t="s">
        <v>750</v>
      </c>
      <c r="B57" s="153" t="s">
        <v>751</v>
      </c>
      <c r="C57" s="154" t="s">
        <v>90</v>
      </c>
      <c r="D57" s="154" t="s">
        <v>969</v>
      </c>
      <c r="E57" s="155">
        <v>11</v>
      </c>
      <c r="F57" s="298">
        <v>443</v>
      </c>
      <c r="G57" s="298" t="s">
        <v>104</v>
      </c>
      <c r="H57" s="298" t="s">
        <v>104</v>
      </c>
      <c r="I57" s="156">
        <v>24.35</v>
      </c>
      <c r="J57" s="157">
        <f t="shared" si="0"/>
        <v>3.4496919917864473</v>
      </c>
      <c r="K57" s="158">
        <v>0.21</v>
      </c>
      <c r="L57" s="126">
        <v>4</v>
      </c>
      <c r="M57" s="82">
        <f t="shared" si="1"/>
        <v>0.84</v>
      </c>
      <c r="N57" s="159" t="s">
        <v>167</v>
      </c>
      <c r="O57" s="160">
        <v>0.2</v>
      </c>
      <c r="P57" s="161">
        <v>44895</v>
      </c>
      <c r="Q57" s="161">
        <v>44910</v>
      </c>
      <c r="R57" s="82">
        <f t="shared" si="2"/>
        <v>4.9999999999999902</v>
      </c>
      <c r="S57" s="162">
        <f>IF(INDEX([1]Historical!$D$7:$D$1229,MATCH(B57,[1]Historical!$B$7:$B$1253,0))=0,"n/a",(INDEX([1]Historical!$C$7:$C$1231,MATCH(B57,[1]Historical!$B$7:$B$1253,0))/INDEX([1]Historical!$D$7:$D$1229,MATCH(B57,[1]Historical!$B$7:$B$1253,0))-1)*100)</f>
        <v>5.555555555555558</v>
      </c>
      <c r="T57" s="162">
        <f>IF(INDEX([1]Historical!$F$7:$F$1222,MATCH(B57,[1]Historical!$B$7:$B$1253,0))=0,"n/a",((INDEX([1]Historical!$C$7:$C$1231,MATCH(B57,[1]Historical!$B$7:$B$1253,0))/INDEX([1]Historical!$F$7:$F$1222,MATCH(B57,[1]Historical!$B$7:$B$1253,0)))^(1/3)-1)*100)</f>
        <v>7.0222229910164247</v>
      </c>
      <c r="U57" s="162">
        <f>IF(INDEX([1]Historical!$H$7:$H$1222,MATCH(B57,[1]Historical!$B$7:$B$1253,0))=0,"n/a",((INDEX([1]Historical!$C$7:$C$1231,MATCH(B57,[1]Historical!$B$7:$B$1253,0))/INDEX([1]Historical!$H$7:$H$1222,MATCH(B57,[1]Historical!$B$7:$B$1253,0)))^(1/5)-1)*100)</f>
        <v>11.050422629436895</v>
      </c>
      <c r="V57" s="162">
        <f>IF(INDEX([1]Historical!$N$7:$N$1222,MATCH(B57,[1]Historical!$B$7:$B$1253,0))=0,"n/a",((INDEX([1]Historical!$C$7:$C$1231,MATCH(B57,[1]Historical!$B$7:$B$1253,0))/INDEX([1]Historical!$N$7:$N$1222,MATCH(B57,[1]Historical!$B$7:$B$1253,0)))^(1/10)-1)*100)</f>
        <v>34.237965096210488</v>
      </c>
      <c r="W57" s="163">
        <f t="shared" si="3"/>
        <v>0.32275348720008984</v>
      </c>
      <c r="X57" s="164">
        <f t="shared" si="4"/>
        <v>0.95262264046869771</v>
      </c>
      <c r="Y57" s="180"/>
      <c r="Z57" s="157">
        <f t="shared" si="5"/>
        <v>40.579710144927539</v>
      </c>
      <c r="AA57" s="166">
        <f t="shared" si="6"/>
        <v>11.763285024154591</v>
      </c>
      <c r="AB57" s="126">
        <v>12</v>
      </c>
      <c r="AC57" s="167">
        <v>2.0699999999999998</v>
      </c>
      <c r="AD57" s="167">
        <v>1.47</v>
      </c>
      <c r="AE57" s="167">
        <v>4.25</v>
      </c>
      <c r="AF57" s="167">
        <v>0.97</v>
      </c>
      <c r="AG57" s="167">
        <v>8.5</v>
      </c>
      <c r="AH57" s="167">
        <v>17</v>
      </c>
      <c r="AI57" s="167">
        <v>7.53</v>
      </c>
      <c r="AJ57" s="167">
        <v>11.600000000000001</v>
      </c>
      <c r="AK57" s="167">
        <v>8</v>
      </c>
      <c r="AL57" s="168">
        <v>3570</v>
      </c>
      <c r="AM57" s="169">
        <v>0.70000000000000007</v>
      </c>
      <c r="AN57" s="167">
        <v>0</v>
      </c>
      <c r="AO57" s="170">
        <f t="shared" si="7"/>
        <v>2.736829597068752</v>
      </c>
      <c r="AP57" s="171">
        <f t="shared" si="8"/>
        <v>14.500114621223343</v>
      </c>
      <c r="AQ57" s="172">
        <f t="shared" si="9"/>
        <v>-28.787059623408474</v>
      </c>
      <c r="AR57" s="157">
        <f>INDEX([1]Historical!$C$7:$C$1231,MATCH(B57,[1]Historical!$B$7:$B$1253,0))*IF(AH57="n/a",1.03,IF(AH57&lt;0,1.01,IF(AH57&gt;10,1.1,(1+AH57/100))))</f>
        <v>0.83600000000000008</v>
      </c>
      <c r="AS57" s="166">
        <f t="shared" si="10"/>
        <v>0.89895080000000005</v>
      </c>
      <c r="AT57" s="166">
        <f t="shared" si="17"/>
        <v>0.97086686400000011</v>
      </c>
      <c r="AU57" s="166">
        <f t="shared" si="17"/>
        <v>1.0485362131200002</v>
      </c>
      <c r="AV57" s="166">
        <f t="shared" si="17"/>
        <v>1.1324191101696004</v>
      </c>
      <c r="AW57" s="157">
        <f t="shared" si="12"/>
        <v>4.8867729872896009</v>
      </c>
      <c r="AX57" s="173">
        <f t="shared" si="13"/>
        <v>20.068882904680084</v>
      </c>
      <c r="AY57" s="174">
        <v>1.01</v>
      </c>
      <c r="AZ57" s="169">
        <v>39.54</v>
      </c>
      <c r="BA57" s="169">
        <v>-5.55</v>
      </c>
      <c r="BB57" s="169">
        <v>15.2</v>
      </c>
      <c r="BC57" s="169">
        <v>13.59</v>
      </c>
      <c r="BE57" s="77">
        <v>2012</v>
      </c>
      <c r="BF57" s="77">
        <f t="shared" si="14"/>
        <v>1</v>
      </c>
      <c r="BG57" s="175">
        <v>0.89999999999999991</v>
      </c>
      <c r="BH57" t="s">
        <v>939</v>
      </c>
      <c r="BI57" t="s">
        <v>940</v>
      </c>
    </row>
    <row r="58" spans="1:61" ht="11.25" customHeight="1" x14ac:dyDescent="0.2">
      <c r="A58" s="176" t="s">
        <v>749</v>
      </c>
      <c r="B58" s="153" t="s">
        <v>525</v>
      </c>
      <c r="C58" s="154" t="s">
        <v>96</v>
      </c>
      <c r="D58" s="154" t="s">
        <v>911</v>
      </c>
      <c r="E58" s="155">
        <v>13</v>
      </c>
      <c r="F58" s="298">
        <v>292</v>
      </c>
      <c r="G58" s="298" t="s">
        <v>30</v>
      </c>
      <c r="H58" s="298" t="s">
        <v>30</v>
      </c>
      <c r="I58" s="156">
        <v>104.92</v>
      </c>
      <c r="J58" s="157">
        <f t="shared" si="0"/>
        <v>1.2771635531833778</v>
      </c>
      <c r="K58" s="158">
        <v>0.33500000000000002</v>
      </c>
      <c r="L58" s="126">
        <v>4</v>
      </c>
      <c r="M58" s="82">
        <f t="shared" si="1"/>
        <v>1.34</v>
      </c>
      <c r="N58" s="159" t="s">
        <v>167</v>
      </c>
      <c r="O58" s="160">
        <v>0.3</v>
      </c>
      <c r="P58" s="161">
        <v>44712</v>
      </c>
      <c r="Q58" s="161">
        <v>44727</v>
      </c>
      <c r="R58" s="82">
        <f t="shared" si="2"/>
        <v>11.666666666666679</v>
      </c>
      <c r="S58" s="162">
        <f>IF(INDEX([1]Historical!$D$7:$D$1229,MATCH(B58,[1]Historical!$B$7:$B$1253,0))=0,"n/a",(INDEX([1]Historical!$C$7:$C$1231,MATCH(B58,[1]Historical!$B$7:$B$1253,0))/INDEX([1]Historical!$D$7:$D$1229,MATCH(B58,[1]Historical!$B$7:$B$1253,0))-1)*100)</f>
        <v>6.8181818181818121</v>
      </c>
      <c r="T58" s="162">
        <f>IF(INDEX([1]Historical!$F$7:$F$1222,MATCH(B58,[1]Historical!$B$7:$B$1253,0))=0,"n/a",((INDEX([1]Historical!$C$7:$C$1231,MATCH(B58,[1]Historical!$B$7:$B$1253,0))/INDEX([1]Historical!$F$7:$F$1222,MATCH(B58,[1]Historical!$B$7:$B$1253,0)))^(1/3)-1)*100)</f>
        <v>6.4170176581826111</v>
      </c>
      <c r="U58" s="162">
        <f>IF(INDEX([1]Historical!$H$7:$H$1222,MATCH(B58,[1]Historical!$B$7:$B$1253,0))=0,"n/a",((INDEX([1]Historical!$C$7:$C$1231,MATCH(B58,[1]Historical!$B$7:$B$1253,0))/INDEX([1]Historical!$H$7:$H$1222,MATCH(B58,[1]Historical!$B$7:$B$1253,0)))^(1/5)-1)*100)</f>
        <v>9.0105474934813365</v>
      </c>
      <c r="V58" s="162">
        <f>IF(INDEX([1]Historical!$N$7:$N$1222,MATCH(B58,[1]Historical!$B$7:$B$1253,0))=0,"n/a",((INDEX([1]Historical!$C$7:$C$1231,MATCH(B58,[1]Historical!$B$7:$B$1253,0))/INDEX([1]Historical!$N$7:$N$1222,MATCH(B58,[1]Historical!$B$7:$B$1253,0)))^(1/10)-1)*100)</f>
        <v>13.53059901194953</v>
      </c>
      <c r="W58" s="163">
        <f t="shared" si="3"/>
        <v>0.66593855050494688</v>
      </c>
      <c r="X58" s="164">
        <f t="shared" si="4"/>
        <v>0.42303039875499232</v>
      </c>
      <c r="Y58" s="180"/>
      <c r="Z58" s="157">
        <f t="shared" si="5"/>
        <v>72.432432432432435</v>
      </c>
      <c r="AA58" s="166">
        <f t="shared" si="6"/>
        <v>56.713513513513512</v>
      </c>
      <c r="AB58" s="126">
        <v>9</v>
      </c>
      <c r="AC58" s="167">
        <v>1.85</v>
      </c>
      <c r="AD58" s="167">
        <v>3.73</v>
      </c>
      <c r="AE58" s="167">
        <v>2.67</v>
      </c>
      <c r="AF58" s="167">
        <v>1.75</v>
      </c>
      <c r="AG58" s="167">
        <v>30.099999999999998</v>
      </c>
      <c r="AH58" s="167">
        <v>131.20000000000002</v>
      </c>
      <c r="AI58" s="167">
        <v>8.48</v>
      </c>
      <c r="AJ58" s="167">
        <v>21.3</v>
      </c>
      <c r="AK58" s="167">
        <v>15.36</v>
      </c>
      <c r="AL58" s="168">
        <v>5570</v>
      </c>
      <c r="AM58" s="169">
        <v>0.36</v>
      </c>
      <c r="AN58" s="167">
        <v>0.4</v>
      </c>
      <c r="AO58" s="170">
        <f t="shared" si="7"/>
        <v>-46.425802466848793</v>
      </c>
      <c r="AP58" s="171">
        <f t="shared" si="8"/>
        <v>10.287711046664715</v>
      </c>
      <c r="AQ58" s="172">
        <f t="shared" si="9"/>
        <v>110.02502353412677</v>
      </c>
      <c r="AR58" s="157">
        <f>INDEX([1]Historical!$C$7:$C$1231,MATCH(B58,[1]Historical!$B$7:$B$1253,0))*IF(AH58="n/a",1.03,IF(AH58&lt;0,1.01,IF(AH58&gt;10,1.1,(1+AH58/100))))</f>
        <v>1.2925000000000002</v>
      </c>
      <c r="AS58" s="166">
        <f t="shared" si="10"/>
        <v>1.4021040000000002</v>
      </c>
      <c r="AT58" s="166">
        <f t="shared" si="17"/>
        <v>1.5423144000000004</v>
      </c>
      <c r="AU58" s="166">
        <f t="shared" si="17"/>
        <v>1.6965458400000006</v>
      </c>
      <c r="AV58" s="166">
        <f t="shared" si="17"/>
        <v>1.8662004240000007</v>
      </c>
      <c r="AW58" s="157">
        <f t="shared" si="12"/>
        <v>7.7996646640000016</v>
      </c>
      <c r="AX58" s="173">
        <f t="shared" si="13"/>
        <v>7.4339159969500574</v>
      </c>
      <c r="AY58" s="174">
        <v>1</v>
      </c>
      <c r="AZ58" s="169">
        <v>25.97</v>
      </c>
      <c r="BA58" s="169">
        <v>-7.08</v>
      </c>
      <c r="BB58" s="169">
        <v>5.34</v>
      </c>
      <c r="BC58" s="169">
        <v>5.21</v>
      </c>
      <c r="BE58" s="77">
        <v>2010</v>
      </c>
      <c r="BF58" s="77">
        <f t="shared" si="14"/>
        <v>1</v>
      </c>
      <c r="BG58" s="175">
        <v>13.900000000000002</v>
      </c>
      <c r="BH58" t="s">
        <v>939</v>
      </c>
      <c r="BI58" t="s">
        <v>940</v>
      </c>
    </row>
    <row r="59" spans="1:61" ht="11.25" customHeight="1" x14ac:dyDescent="0.2">
      <c r="A59" s="112" t="s">
        <v>1264</v>
      </c>
      <c r="B59" s="153" t="s">
        <v>613</v>
      </c>
      <c r="C59" s="154" t="s">
        <v>90</v>
      </c>
      <c r="D59" s="154" t="s">
        <v>969</v>
      </c>
      <c r="E59" s="155">
        <v>12</v>
      </c>
      <c r="F59" s="298">
        <v>360</v>
      </c>
      <c r="G59" s="298" t="s">
        <v>88</v>
      </c>
      <c r="H59" s="298" t="s">
        <v>88</v>
      </c>
      <c r="I59" s="156">
        <v>22.12</v>
      </c>
      <c r="J59" s="157">
        <f t="shared" si="0"/>
        <v>4.8824593128390594</v>
      </c>
      <c r="K59" s="158">
        <v>0.27</v>
      </c>
      <c r="L59" s="126">
        <v>4</v>
      </c>
      <c r="M59" s="82">
        <f t="shared" si="1"/>
        <v>1.08</v>
      </c>
      <c r="N59" s="159" t="s">
        <v>89</v>
      </c>
      <c r="O59" s="160">
        <v>0.26</v>
      </c>
      <c r="P59" s="161">
        <v>44679</v>
      </c>
      <c r="Q59" s="161">
        <v>44694</v>
      </c>
      <c r="R59" s="82">
        <f t="shared" si="2"/>
        <v>3.8461538461538494</v>
      </c>
      <c r="S59" s="162">
        <f>IF(INDEX([1]Historical!$D$7:$D$1229,MATCH(B59,[1]Historical!$B$7:$B$1253,0))=0,"n/a",(INDEX([1]Historical!$C$7:$C$1231,MATCH(B59,[1]Historical!$B$7:$B$1253,0))/INDEX([1]Historical!$D$7:$D$1229,MATCH(B59,[1]Historical!$B$7:$B$1253,0))-1)*100)</f>
        <v>4.0404040404040442</v>
      </c>
      <c r="T59" s="162">
        <f>IF(INDEX([1]Historical!$F$7:$F$1222,MATCH(B59,[1]Historical!$B$7:$B$1253,0))=0,"n/a",((INDEX([1]Historical!$C$7:$C$1231,MATCH(B59,[1]Historical!$B$7:$B$1253,0))/INDEX([1]Historical!$F$7:$F$1222,MATCH(B59,[1]Historical!$B$7:$B$1253,0)))^(1/3)-1)*100)</f>
        <v>4.2154106425138949</v>
      </c>
      <c r="U59" s="162">
        <f>IF(INDEX([1]Historical!$H$7:$H$1222,MATCH(B59,[1]Historical!$B$7:$B$1253,0))=0,"n/a",((INDEX([1]Historical!$C$7:$C$1231,MATCH(B59,[1]Historical!$B$7:$B$1253,0))/INDEX([1]Historical!$H$7:$H$1222,MATCH(B59,[1]Historical!$B$7:$B$1253,0)))^(1/5)-1)*100)</f>
        <v>4.4123394129335969</v>
      </c>
      <c r="V59" s="162">
        <f>IF(INDEX([1]Historical!$N$7:$N$1222,MATCH(B59,[1]Historical!$B$7:$B$1253,0))=0,"n/a",((INDEX([1]Historical!$C$7:$C$1231,MATCH(B59,[1]Historical!$B$7:$B$1253,0))/INDEX([1]Historical!$N$7:$N$1222,MATCH(B59,[1]Historical!$B$7:$B$1253,0)))^(1/10)-1)*100)</f>
        <v>7.4946183300194091</v>
      </c>
      <c r="W59" s="163">
        <f t="shared" si="3"/>
        <v>0.58873437160370645</v>
      </c>
      <c r="X59" s="164">
        <f t="shared" si="4"/>
        <v>0.47960211010147796</v>
      </c>
      <c r="Y59" s="219" t="s">
        <v>845</v>
      </c>
      <c r="Z59" s="157">
        <f t="shared" si="5"/>
        <v>48.430493273542602</v>
      </c>
      <c r="AA59" s="166">
        <f t="shared" si="6"/>
        <v>9.9192825112107634</v>
      </c>
      <c r="AB59" s="126">
        <v>12</v>
      </c>
      <c r="AC59" s="167">
        <v>2.23</v>
      </c>
      <c r="AD59" s="167" t="s">
        <v>95</v>
      </c>
      <c r="AE59" s="167">
        <v>3.39</v>
      </c>
      <c r="AF59" s="167">
        <v>1.29</v>
      </c>
      <c r="AG59" s="167">
        <v>12.2</v>
      </c>
      <c r="AH59" s="167">
        <v>27.3</v>
      </c>
      <c r="AI59" s="167" t="s">
        <v>95</v>
      </c>
      <c r="AJ59" s="167">
        <v>9.1999999999999993</v>
      </c>
      <c r="AK59" s="167" t="s">
        <v>95</v>
      </c>
      <c r="AL59" s="168">
        <v>200.93</v>
      </c>
      <c r="AM59" s="169">
        <v>0.8</v>
      </c>
      <c r="AN59" s="167">
        <v>0</v>
      </c>
      <c r="AO59" s="170">
        <f t="shared" si="7"/>
        <v>-0.62448378543810712</v>
      </c>
      <c r="AP59" s="171">
        <f t="shared" si="8"/>
        <v>9.2947987257726563</v>
      </c>
      <c r="AQ59" s="172">
        <f t="shared" si="9"/>
        <v>-24.587432702317425</v>
      </c>
      <c r="AR59" s="157">
        <f>INDEX([1]Historical!$C$7:$C$1231,MATCH(B59,[1]Historical!$B$7:$B$1253,0))*IF(AH59="n/a",1.03,IF(AH59&lt;0,1.01,IF(AH59&gt;10,1.1,(1+AH59/100))))</f>
        <v>1.1330000000000002</v>
      </c>
      <c r="AS59" s="166">
        <f t="shared" si="10"/>
        <v>1.1669900000000002</v>
      </c>
      <c r="AT59" s="166">
        <f t="shared" si="17"/>
        <v>1.2019997000000002</v>
      </c>
      <c r="AU59" s="166">
        <f t="shared" si="17"/>
        <v>1.2380596910000004</v>
      </c>
      <c r="AV59" s="166">
        <f t="shared" si="17"/>
        <v>1.2752014817300004</v>
      </c>
      <c r="AW59" s="157">
        <f t="shared" si="12"/>
        <v>6.0152508727300003</v>
      </c>
      <c r="AX59" s="173">
        <f t="shared" si="13"/>
        <v>27.193720039466545</v>
      </c>
      <c r="AY59" s="174">
        <v>0.56000000000000005</v>
      </c>
      <c r="AZ59" s="169">
        <v>9.7199999999999989</v>
      </c>
      <c r="BA59" s="169">
        <v>-13.420000000000002</v>
      </c>
      <c r="BB59" s="169">
        <v>-0.43</v>
      </c>
      <c r="BC59" s="169">
        <v>-4.38</v>
      </c>
      <c r="BE59" s="77">
        <v>2011</v>
      </c>
      <c r="BF59" s="77">
        <f t="shared" si="14"/>
        <v>1</v>
      </c>
      <c r="BG59" s="175">
        <v>1.0999999999999999</v>
      </c>
      <c r="BH59" t="s">
        <v>939</v>
      </c>
      <c r="BI59" t="s">
        <v>940</v>
      </c>
    </row>
    <row r="60" spans="1:61" ht="11.25" customHeight="1" x14ac:dyDescent="0.2">
      <c r="A60" s="176" t="s">
        <v>1265</v>
      </c>
      <c r="B60" s="153" t="s">
        <v>152</v>
      </c>
      <c r="C60" s="154" t="s">
        <v>117</v>
      </c>
      <c r="D60" s="154" t="s">
        <v>979</v>
      </c>
      <c r="E60" s="155">
        <v>38</v>
      </c>
      <c r="F60" s="298">
        <v>72</v>
      </c>
      <c r="G60" s="298" t="s">
        <v>30</v>
      </c>
      <c r="H60" s="298" t="s">
        <v>30</v>
      </c>
      <c r="I60" s="167">
        <v>106.55</v>
      </c>
      <c r="J60" s="157">
        <f t="shared" si="0"/>
        <v>2.552792116377288</v>
      </c>
      <c r="K60" s="209">
        <v>0.68</v>
      </c>
      <c r="L60" s="126">
        <v>4</v>
      </c>
      <c r="M60" s="82">
        <f t="shared" si="1"/>
        <v>2.72</v>
      </c>
      <c r="N60" s="159" t="s">
        <v>140</v>
      </c>
      <c r="O60" s="210">
        <v>0.625</v>
      </c>
      <c r="P60" s="224">
        <v>44526</v>
      </c>
      <c r="Q60" s="224">
        <v>44543</v>
      </c>
      <c r="R60" s="82">
        <f t="shared" si="2"/>
        <v>8.8000000000000078</v>
      </c>
      <c r="S60" s="162">
        <f>IF(INDEX([1]Historical!$D$7:$D$1229,MATCH(B60,[1]Historical!$B$7:$B$1253,0))=0,"n/a",(INDEX([1]Historical!$C$7:$C$1231,MATCH(B60,[1]Historical!$B$7:$B$1253,0))/INDEX([1]Historical!$D$7:$D$1229,MATCH(B60,[1]Historical!$B$7:$B$1253,0))-1)*100)</f>
        <v>8.7234042553191458</v>
      </c>
      <c r="T60" s="162">
        <f>IF(INDEX([1]Historical!$F$7:$F$1222,MATCH(B60,[1]Historical!$B$7:$B$1253,0))=0,"n/a",((INDEX([1]Historical!$C$7:$C$1231,MATCH(B60,[1]Historical!$B$7:$B$1253,0))/INDEX([1]Historical!$F$7:$F$1222,MATCH(B60,[1]Historical!$B$7:$B$1253,0)))^(1/3)-1)*100)</f>
        <v>8.8700873585653373</v>
      </c>
      <c r="U60" s="162">
        <f>IF(INDEX([1]Historical!$H$7:$H$1222,MATCH(B60,[1]Historical!$B$7:$B$1253,0))=0,"n/a",((INDEX([1]Historical!$C$7:$C$1231,MATCH(B60,[1]Historical!$B$7:$B$1253,0))/INDEX([1]Historical!$H$7:$H$1222,MATCH(B60,[1]Historical!$B$7:$B$1253,0)))^(1/5)-1)*100)</f>
        <v>8.3624857418314278</v>
      </c>
      <c r="V60" s="162">
        <f>IF(INDEX([1]Historical!$N$7:$N$1222,MATCH(B60,[1]Historical!$B$7:$B$1253,0))=0,"n/a",((INDEX([1]Historical!$C$7:$C$1231,MATCH(B60,[1]Historical!$B$7:$B$1253,0))/INDEX([1]Historical!$N$7:$N$1222,MATCH(B60,[1]Historical!$B$7:$B$1253,0)))^(1/10)-1)*100)</f>
        <v>6.469649731678806</v>
      </c>
      <c r="W60" s="163">
        <f t="shared" si="3"/>
        <v>1.292571636588655</v>
      </c>
      <c r="X60" s="164">
        <f t="shared" si="4"/>
        <v>0.92916508242571416</v>
      </c>
      <c r="Y60" s="153"/>
      <c r="Z60" s="157">
        <f t="shared" si="5"/>
        <v>50.18450184501846</v>
      </c>
      <c r="AA60" s="166">
        <f t="shared" si="6"/>
        <v>19.658671586715865</v>
      </c>
      <c r="AB60" s="126">
        <v>9</v>
      </c>
      <c r="AC60" s="167">
        <v>5.42</v>
      </c>
      <c r="AD60" s="167">
        <v>2.39</v>
      </c>
      <c r="AE60" s="167">
        <v>3.62</v>
      </c>
      <c r="AF60" s="167">
        <v>1.62</v>
      </c>
      <c r="AG60" s="167">
        <v>11</v>
      </c>
      <c r="AH60" s="167">
        <v>4.7</v>
      </c>
      <c r="AI60" s="167">
        <v>7.2499999999999991</v>
      </c>
      <c r="AJ60" s="167">
        <v>9</v>
      </c>
      <c r="AK60" s="167">
        <v>8.2600000000000016</v>
      </c>
      <c r="AL60" s="168">
        <v>14650</v>
      </c>
      <c r="AM60" s="169">
        <v>0.3</v>
      </c>
      <c r="AN60" s="167">
        <v>0.86</v>
      </c>
      <c r="AO60" s="170">
        <f t="shared" si="7"/>
        <v>-8.743393728507149</v>
      </c>
      <c r="AP60" s="171">
        <f t="shared" si="8"/>
        <v>10.915277858208716</v>
      </c>
      <c r="AQ60" s="172">
        <f t="shared" si="9"/>
        <v>18.971608135871755</v>
      </c>
      <c r="AR60" s="157">
        <f>INDEX([1]Historical!$C$7:$C$1231,MATCH(B60,[1]Historical!$B$7:$B$1253,0))*IF(AH60="n/a",1.03,IF(AH60&lt;0,1.01,IF(AH60&gt;10,1.1,(1+AH60/100))))</f>
        <v>2.6750850000000002</v>
      </c>
      <c r="AS60" s="166">
        <f t="shared" si="10"/>
        <v>2.8690286625000003</v>
      </c>
      <c r="AT60" s="166">
        <f t="shared" si="17"/>
        <v>3.1060104300225002</v>
      </c>
      <c r="AU60" s="166">
        <f t="shared" si="17"/>
        <v>3.3625668915423588</v>
      </c>
      <c r="AV60" s="166">
        <f t="shared" si="17"/>
        <v>3.6403149167837578</v>
      </c>
      <c r="AW60" s="157">
        <f t="shared" si="12"/>
        <v>15.653005900848619</v>
      </c>
      <c r="AX60" s="173">
        <f t="shared" si="13"/>
        <v>14.690761051946147</v>
      </c>
      <c r="AY60" s="174">
        <v>0.55000000000000004</v>
      </c>
      <c r="AZ60" s="169">
        <v>19.77</v>
      </c>
      <c r="BA60" s="169">
        <v>-13.34</v>
      </c>
      <c r="BB60" s="169">
        <v>-2.4899999999999998</v>
      </c>
      <c r="BC60" s="169">
        <v>-4.8899999999999997</v>
      </c>
      <c r="BE60" s="77">
        <v>1985</v>
      </c>
      <c r="BF60" s="77">
        <f t="shared" si="14"/>
        <v>4</v>
      </c>
      <c r="BG60" s="175">
        <v>4.5999999999999996</v>
      </c>
      <c r="BH60" t="s">
        <v>939</v>
      </c>
      <c r="BI60" t="s">
        <v>940</v>
      </c>
    </row>
    <row r="61" spans="1:61" ht="11.25" customHeight="1" x14ac:dyDescent="0.2">
      <c r="A61" s="112" t="s">
        <v>1266</v>
      </c>
      <c r="B61" s="153" t="s">
        <v>144</v>
      </c>
      <c r="C61" s="154" t="s">
        <v>96</v>
      </c>
      <c r="D61" s="154" t="s">
        <v>980</v>
      </c>
      <c r="E61" s="155">
        <v>28</v>
      </c>
      <c r="F61" s="298">
        <v>117</v>
      </c>
      <c r="G61" s="298" t="s">
        <v>88</v>
      </c>
      <c r="H61" s="298" t="s">
        <v>88</v>
      </c>
      <c r="I61" s="167">
        <v>99.15</v>
      </c>
      <c r="J61" s="157">
        <f t="shared" si="0"/>
        <v>1.5330307614725163</v>
      </c>
      <c r="K61" s="209">
        <v>0.38</v>
      </c>
      <c r="L61" s="126">
        <v>4</v>
      </c>
      <c r="M61" s="82">
        <f t="shared" si="1"/>
        <v>1.52</v>
      </c>
      <c r="N61" s="159" t="s">
        <v>135</v>
      </c>
      <c r="O61" s="210">
        <v>0.36</v>
      </c>
      <c r="P61" s="182">
        <v>44313</v>
      </c>
      <c r="Q61" s="182">
        <v>44335</v>
      </c>
      <c r="R61" s="82">
        <f t="shared" si="2"/>
        <v>5.5555555555555607</v>
      </c>
      <c r="S61" s="162">
        <f>IF(INDEX([1]Historical!$D$7:$D$1229,MATCH(B61,[1]Historical!$B$7:$B$1253,0))=0,"n/a",(INDEX([1]Historical!$C$7:$C$1231,MATCH(B61,[1]Historical!$B$7:$B$1253,0))/INDEX([1]Historical!$D$7:$D$1229,MATCH(B61,[1]Historical!$B$7:$B$1253,0))-1)*100)</f>
        <v>4.1666666666666741</v>
      </c>
      <c r="T61" s="162">
        <f>IF(INDEX([1]Historical!$F$7:$F$1222,MATCH(B61,[1]Historical!$B$7:$B$1253,0))=0,"n/a",((INDEX([1]Historical!$C$7:$C$1231,MATCH(B61,[1]Historical!$B$7:$B$1253,0))/INDEX([1]Historical!$F$7:$F$1222,MATCH(B61,[1]Historical!$B$7:$B$1253,0)))^(1/3)-1)*100)</f>
        <v>4.3532011211615762</v>
      </c>
      <c r="U61" s="162">
        <f>IF(INDEX([1]Historical!$H$7:$H$1222,MATCH(B61,[1]Historical!$B$7:$B$1253,0))=0,"n/a",((INDEX([1]Historical!$C$7:$C$1231,MATCH(B61,[1]Historical!$B$7:$B$1253,0))/INDEX([1]Historical!$H$7:$H$1222,MATCH(B61,[1]Historical!$B$7:$B$1253,0)))^(1/5)-1)*100)</f>
        <v>4.2188521668051759</v>
      </c>
      <c r="V61" s="162">
        <f>IF(INDEX([1]Historical!$N$7:$N$1222,MATCH(B61,[1]Historical!$B$7:$B$1253,0))=0,"n/a",((INDEX([1]Historical!$C$7:$C$1231,MATCH(B61,[1]Historical!$B$7:$B$1253,0))/INDEX([1]Historical!$N$7:$N$1222,MATCH(B61,[1]Historical!$B$7:$B$1253,0)))^(1/10)-1)*100)</f>
        <v>6.4878668033606202</v>
      </c>
      <c r="W61" s="163">
        <f t="shared" si="3"/>
        <v>0.65026799943239777</v>
      </c>
      <c r="X61" s="164">
        <f t="shared" si="4"/>
        <v>1.6226354487712216</v>
      </c>
      <c r="Y61" s="220"/>
      <c r="Z61" s="157">
        <f t="shared" si="5"/>
        <v>42.816901408450711</v>
      </c>
      <c r="AA61" s="166">
        <f t="shared" si="6"/>
        <v>27.929577464788736</v>
      </c>
      <c r="AB61" s="126">
        <v>12</v>
      </c>
      <c r="AC61" s="167">
        <v>3.55</v>
      </c>
      <c r="AD61" s="167">
        <v>4.1900000000000004</v>
      </c>
      <c r="AE61" s="167">
        <v>1.94</v>
      </c>
      <c r="AF61" s="167">
        <v>3.42</v>
      </c>
      <c r="AG61" s="167">
        <v>11.3</v>
      </c>
      <c r="AH61" s="167">
        <v>12.3</v>
      </c>
      <c r="AI61" s="167">
        <v>7.3599999999999994</v>
      </c>
      <c r="AJ61" s="167">
        <v>2.6</v>
      </c>
      <c r="AK61" s="167">
        <v>6.79</v>
      </c>
      <c r="AL61" s="168">
        <v>6470</v>
      </c>
      <c r="AM61" s="169">
        <v>0.6</v>
      </c>
      <c r="AN61" s="167">
        <v>0.69</v>
      </c>
      <c r="AO61" s="170">
        <f t="shared" si="7"/>
        <v>-22.177694536511044</v>
      </c>
      <c r="AP61" s="171">
        <f t="shared" si="8"/>
        <v>5.7518829282776922</v>
      </c>
      <c r="AQ61" s="172">
        <f t="shared" si="9"/>
        <v>106.04115546773384</v>
      </c>
      <c r="AR61" s="157">
        <f>INDEX([1]Historical!$C$7:$C$1231,MATCH(B61,[1]Historical!$B$7:$B$1253,0))*IF(AH61="n/a",1.03,IF(AH61&lt;0,1.01,IF(AH61&gt;10,1.1,(1+AH61/100))))</f>
        <v>1.6500000000000001</v>
      </c>
      <c r="AS61" s="166">
        <f t="shared" si="10"/>
        <v>1.7714399999999999</v>
      </c>
      <c r="AT61" s="166">
        <f t="shared" si="17"/>
        <v>1.8917207760000001</v>
      </c>
      <c r="AU61" s="166">
        <f t="shared" si="17"/>
        <v>2.0201686166904</v>
      </c>
      <c r="AV61" s="166">
        <f t="shared" si="17"/>
        <v>2.1573380657636783</v>
      </c>
      <c r="AW61" s="157">
        <f t="shared" si="12"/>
        <v>9.4906674584540784</v>
      </c>
      <c r="AX61" s="173">
        <f t="shared" si="13"/>
        <v>9.5720297109975565</v>
      </c>
      <c r="AY61" s="174">
        <v>0.63</v>
      </c>
      <c r="AZ61" s="169">
        <v>9.89</v>
      </c>
      <c r="BA61" s="169">
        <v>-26.99</v>
      </c>
      <c r="BB61" s="169">
        <v>-1.38</v>
      </c>
      <c r="BC61" s="169">
        <v>-8.52</v>
      </c>
      <c r="BE61" s="77">
        <v>1994</v>
      </c>
      <c r="BF61" s="77">
        <f t="shared" si="14"/>
        <v>3</v>
      </c>
      <c r="BG61" s="175">
        <v>5.3</v>
      </c>
      <c r="BH61" t="s">
        <v>939</v>
      </c>
      <c r="BI61" t="s">
        <v>940</v>
      </c>
    </row>
    <row r="62" spans="1:61" ht="11.25" customHeight="1" x14ac:dyDescent="0.2">
      <c r="A62" s="176" t="s">
        <v>1267</v>
      </c>
      <c r="B62" s="153" t="s">
        <v>154</v>
      </c>
      <c r="C62" s="154" t="s">
        <v>137</v>
      </c>
      <c r="D62" s="154" t="s">
        <v>946</v>
      </c>
      <c r="E62" s="155">
        <v>20</v>
      </c>
      <c r="F62" s="298">
        <v>182</v>
      </c>
      <c r="G62" s="298" t="s">
        <v>88</v>
      </c>
      <c r="H62" s="298" t="s">
        <v>88</v>
      </c>
      <c r="I62" s="156">
        <v>600.30999999999995</v>
      </c>
      <c r="J62" s="157">
        <f t="shared" si="0"/>
        <v>1.432593160200563</v>
      </c>
      <c r="K62" s="158">
        <v>2.15</v>
      </c>
      <c r="L62" s="126">
        <v>4</v>
      </c>
      <c r="M62" s="82">
        <f t="shared" si="1"/>
        <v>8.6</v>
      </c>
      <c r="N62" s="159" t="s">
        <v>628</v>
      </c>
      <c r="O62" s="160">
        <v>1.95</v>
      </c>
      <c r="P62" s="161">
        <v>44818</v>
      </c>
      <c r="Q62" s="161">
        <v>44834</v>
      </c>
      <c r="R62" s="82">
        <f t="shared" si="2"/>
        <v>10.256410256410255</v>
      </c>
      <c r="S62" s="162">
        <f>IF(INDEX([1]Historical!$D$7:$D$1229,MATCH(B62,[1]Historical!$B$7:$B$1253,0))=0,"n/a",(INDEX([1]Historical!$C$7:$C$1231,MATCH(B62,[1]Historical!$B$7:$B$1253,0))/INDEX([1]Historical!$D$7:$D$1229,MATCH(B62,[1]Historical!$B$7:$B$1253,0))-1)*100)</f>
        <v>12.121212121212132</v>
      </c>
      <c r="T62" s="162">
        <f>IF(INDEX([1]Historical!$F$7:$F$1222,MATCH(B62,[1]Historical!$B$7:$B$1253,0))=0,"n/a",((INDEX([1]Historical!$C$7:$C$1231,MATCH(B62,[1]Historical!$B$7:$B$1253,0))/INDEX([1]Historical!$F$7:$F$1222,MATCH(B62,[1]Historical!$B$7:$B$1253,0)))^(1/3)-1)*100)</f>
        <v>13.21062322933404</v>
      </c>
      <c r="U62" s="162">
        <f>IF(INDEX([1]Historical!$H$7:$H$1222,MATCH(B62,[1]Historical!$B$7:$B$1253,0))=0,"n/a",((INDEX([1]Historical!$C$7:$C$1231,MATCH(B62,[1]Historical!$B$7:$B$1253,0))/INDEX([1]Historical!$H$7:$H$1222,MATCH(B62,[1]Historical!$B$7:$B$1253,0)))^(1/5)-1)*100)</f>
        <v>13.666744731549407</v>
      </c>
      <c r="V62" s="162">
        <f>IF(INDEX([1]Historical!$N$7:$N$1222,MATCH(B62,[1]Historical!$B$7:$B$1253,0))=0,"n/a",((INDEX([1]Historical!$C$7:$C$1231,MATCH(B62,[1]Historical!$B$7:$B$1253,0))/INDEX([1]Historical!$N$7:$N$1222,MATCH(B62,[1]Historical!$B$7:$B$1253,0)))^(1/10)-1)*100)</f>
        <v>15.057791382950647</v>
      </c>
      <c r="W62" s="163">
        <f t="shared" si="3"/>
        <v>0.90761947645414531</v>
      </c>
      <c r="X62" s="164">
        <f t="shared" si="4"/>
        <v>3.3333523735486357</v>
      </c>
      <c r="Y62" s="212"/>
      <c r="Z62" s="157">
        <f t="shared" si="5"/>
        <v>45.263157894736835</v>
      </c>
      <c r="AA62" s="166">
        <f t="shared" si="6"/>
        <v>31.595263157894735</v>
      </c>
      <c r="AB62" s="126">
        <v>12</v>
      </c>
      <c r="AC62" s="167">
        <v>19</v>
      </c>
      <c r="AD62" s="167" t="s">
        <v>95</v>
      </c>
      <c r="AE62" s="167">
        <v>6.37</v>
      </c>
      <c r="AF62" s="167">
        <v>4.38</v>
      </c>
      <c r="AG62" s="167">
        <v>14.000000000000002</v>
      </c>
      <c r="AH62" s="167">
        <v>4.2</v>
      </c>
      <c r="AI62" s="167" t="s">
        <v>95</v>
      </c>
      <c r="AJ62" s="167">
        <v>4.1000000000000005</v>
      </c>
      <c r="AK62" s="167" t="s">
        <v>95</v>
      </c>
      <c r="AL62" s="168">
        <v>1140</v>
      </c>
      <c r="AM62" s="169">
        <v>11.700000000000001</v>
      </c>
      <c r="AN62" s="167">
        <v>0</v>
      </c>
      <c r="AO62" s="170">
        <f t="shared" si="7"/>
        <v>-16.495925266144766</v>
      </c>
      <c r="AP62" s="171">
        <f t="shared" si="8"/>
        <v>15.09933789174997</v>
      </c>
      <c r="AQ62" s="172">
        <f t="shared" si="9"/>
        <v>148.00291452729962</v>
      </c>
      <c r="AR62" s="157">
        <f>INDEX([1]Historical!$C$7:$C$1231,MATCH(B62,[1]Historical!$B$7:$B$1253,0))*IF(AH62="n/a",1.03,IF(AH62&lt;0,1.01,IF(AH62&gt;10,1.1,(1+AH62/100))))</f>
        <v>7.7108000000000008</v>
      </c>
      <c r="AS62" s="166">
        <f t="shared" si="10"/>
        <v>7.9421240000000006</v>
      </c>
      <c r="AT62" s="166">
        <f t="shared" si="17"/>
        <v>8.1803877200000006</v>
      </c>
      <c r="AU62" s="166">
        <f t="shared" si="17"/>
        <v>8.4257993516000003</v>
      </c>
      <c r="AV62" s="166">
        <f t="shared" si="17"/>
        <v>8.6785733321479999</v>
      </c>
      <c r="AW62" s="157">
        <f t="shared" si="12"/>
        <v>40.937684403748001</v>
      </c>
      <c r="AX62" s="173">
        <f t="shared" si="13"/>
        <v>6.8194240315417041</v>
      </c>
      <c r="AY62" s="174">
        <v>0.31</v>
      </c>
      <c r="AZ62" s="169">
        <v>10.74</v>
      </c>
      <c r="BA62" s="169">
        <v>-25.480000000000004</v>
      </c>
      <c r="BB62" s="169">
        <v>-0.05</v>
      </c>
      <c r="BC62" s="169">
        <v>-7.13</v>
      </c>
      <c r="BE62" s="77">
        <v>2003</v>
      </c>
      <c r="BF62" s="77">
        <f t="shared" si="14"/>
        <v>2</v>
      </c>
      <c r="BG62" s="175">
        <v>12.6</v>
      </c>
      <c r="BH62" t="s">
        <v>939</v>
      </c>
      <c r="BI62" t="s">
        <v>940</v>
      </c>
    </row>
    <row r="63" spans="1:61" s="252" customFormat="1" ht="11.25" customHeight="1" x14ac:dyDescent="0.2">
      <c r="A63" s="208" t="s">
        <v>1268</v>
      </c>
      <c r="B63" s="184" t="s">
        <v>113</v>
      </c>
      <c r="C63" s="154" t="s">
        <v>981</v>
      </c>
      <c r="D63" s="154" t="s">
        <v>561</v>
      </c>
      <c r="E63" s="185">
        <v>12</v>
      </c>
      <c r="F63" s="298">
        <v>308</v>
      </c>
      <c r="G63" s="297" t="s">
        <v>88</v>
      </c>
      <c r="H63" s="297" t="s">
        <v>88</v>
      </c>
      <c r="I63" s="186">
        <v>72.8</v>
      </c>
      <c r="J63" s="187">
        <f t="shared" si="0"/>
        <v>0.64560439560439553</v>
      </c>
      <c r="K63" s="188">
        <v>0.47</v>
      </c>
      <c r="L63" s="189">
        <v>1</v>
      </c>
      <c r="M63" s="190">
        <f t="shared" si="1"/>
        <v>0.47</v>
      </c>
      <c r="N63" s="191" t="s">
        <v>102</v>
      </c>
      <c r="O63" s="192">
        <v>0.41</v>
      </c>
      <c r="P63" s="293">
        <v>44300</v>
      </c>
      <c r="Q63" s="293">
        <v>44322</v>
      </c>
      <c r="R63" s="190">
        <f t="shared" si="2"/>
        <v>14.634146341463413</v>
      </c>
      <c r="S63" s="162">
        <f>IF(INDEX([1]Historical!$D$7:$D$1229,MATCH(B63,[1]Historical!$B$7:$B$1253,0))=0,"n/a",(INDEX([1]Historical!$C$7:$C$1231,MATCH(B63,[1]Historical!$B$7:$B$1253,0))/INDEX([1]Historical!$D$7:$D$1229,MATCH(B63,[1]Historical!$B$7:$B$1253,0))-1)*100)</f>
        <v>14.634146341463406</v>
      </c>
      <c r="T63" s="162">
        <f>IF(INDEX([1]Historical!$F$7:$F$1222,MATCH(B63,[1]Historical!$B$7:$B$1253,0))=0,"n/a",((INDEX([1]Historical!$C$7:$C$1231,MATCH(B63,[1]Historical!$B$7:$B$1253,0))/INDEX([1]Historical!$F$7:$F$1222,MATCH(B63,[1]Historical!$B$7:$B$1253,0)))^(1/3)-1)*100)</f>
        <v>11.396867943116451</v>
      </c>
      <c r="U63" s="162">
        <f>IF(INDEX([1]Historical!$H$7:$H$1222,MATCH(B63,[1]Historical!$B$7:$B$1253,0))=0,"n/a",((INDEX([1]Historical!$C$7:$C$1231,MATCH(B63,[1]Historical!$B$7:$B$1253,0))/INDEX([1]Historical!$H$7:$H$1222,MATCH(B63,[1]Historical!$B$7:$B$1253,0)))^(1/5)-1)*100)</f>
        <v>12.570579552275095</v>
      </c>
      <c r="V63" s="162">
        <f>IF(INDEX([1]Historical!$N$7:$N$1222,MATCH(B63,[1]Historical!$B$7:$B$1253,0))=0,"n/a",((INDEX([1]Historical!$C$7:$C$1231,MATCH(B63,[1]Historical!$B$7:$B$1253,0))/INDEX([1]Historical!$N$7:$N$1222,MATCH(B63,[1]Historical!$B$7:$B$1253,0)))^(1/10)-1)*100)</f>
        <v>11.035382087883905</v>
      </c>
      <c r="W63" s="163">
        <f t="shared" si="3"/>
        <v>1.1391159320234805</v>
      </c>
      <c r="X63" s="164">
        <f t="shared" si="4"/>
        <v>0.57138997964886795</v>
      </c>
      <c r="Y63" s="221"/>
      <c r="Z63" s="187">
        <f t="shared" si="5"/>
        <v>19.665271966527197</v>
      </c>
      <c r="AA63" s="194">
        <f t="shared" si="6"/>
        <v>30.460251046025103</v>
      </c>
      <c r="AB63" s="189">
        <v>12</v>
      </c>
      <c r="AC63" s="195">
        <v>2.39</v>
      </c>
      <c r="AD63" s="195">
        <v>2.19</v>
      </c>
      <c r="AE63" s="195">
        <v>7.42</v>
      </c>
      <c r="AF63" s="195">
        <v>3.12</v>
      </c>
      <c r="AG63" s="195">
        <v>10.6</v>
      </c>
      <c r="AH63" s="195">
        <v>21.9</v>
      </c>
      <c r="AI63" s="195">
        <v>34.29</v>
      </c>
      <c r="AJ63" s="195">
        <v>22</v>
      </c>
      <c r="AK63" s="195">
        <v>13.919999999999998</v>
      </c>
      <c r="AL63" s="196">
        <v>56720</v>
      </c>
      <c r="AM63" s="197">
        <v>0.1</v>
      </c>
      <c r="AN63" s="195">
        <v>0.2</v>
      </c>
      <c r="AO63" s="198">
        <f t="shared" si="7"/>
        <v>-17.244067098145614</v>
      </c>
      <c r="AP63" s="199">
        <f t="shared" si="8"/>
        <v>13.216183947879491</v>
      </c>
      <c r="AQ63" s="172">
        <f t="shared" si="9"/>
        <v>105.51937812240837</v>
      </c>
      <c r="AR63" s="157">
        <f>INDEX([1]Historical!$C$7:$C$1231,MATCH(B63,[1]Historical!$B$7:$B$1253,0))*IF(AH63="n/a",1.03,IF(AH63&lt;0,1.01,IF(AH63&gt;10,1.1,(1+AH63/100))))</f>
        <v>0.51700000000000002</v>
      </c>
      <c r="AS63" s="194">
        <f t="shared" si="10"/>
        <v>0.56870000000000009</v>
      </c>
      <c r="AT63" s="194">
        <f t="shared" si="17"/>
        <v>0.62557000000000018</v>
      </c>
      <c r="AU63" s="194">
        <f t="shared" si="17"/>
        <v>0.68812700000000027</v>
      </c>
      <c r="AV63" s="194">
        <f t="shared" si="17"/>
        <v>0.75693970000000033</v>
      </c>
      <c r="AW63" s="187">
        <f t="shared" si="12"/>
        <v>3.1563367000000007</v>
      </c>
      <c r="AX63" s="200">
        <f t="shared" si="13"/>
        <v>4.335627335164836</v>
      </c>
      <c r="AY63" s="201">
        <v>0.5</v>
      </c>
      <c r="AZ63" s="197">
        <v>29.080000000000002</v>
      </c>
      <c r="BA63" s="197">
        <v>-16.23</v>
      </c>
      <c r="BB63" s="197">
        <v>-3.63</v>
      </c>
      <c r="BC63" s="197">
        <v>-6.69</v>
      </c>
      <c r="BD63" s="202"/>
      <c r="BE63" s="77">
        <v>2010</v>
      </c>
      <c r="BF63" s="77">
        <f t="shared" si="14"/>
        <v>1</v>
      </c>
      <c r="BG63" s="203">
        <v>7.6</v>
      </c>
      <c r="BH63" t="s">
        <v>939</v>
      </c>
      <c r="BI63" t="s">
        <v>940</v>
      </c>
    </row>
    <row r="64" spans="1:61" ht="11.25" customHeight="1" x14ac:dyDescent="0.2">
      <c r="A64" s="176" t="s">
        <v>1269</v>
      </c>
      <c r="B64" s="153" t="s">
        <v>982</v>
      </c>
      <c r="C64" s="154" t="s">
        <v>90</v>
      </c>
      <c r="D64" s="154" t="s">
        <v>969</v>
      </c>
      <c r="E64" s="155">
        <v>12</v>
      </c>
      <c r="F64" s="298">
        <v>375</v>
      </c>
      <c r="G64" s="298" t="s">
        <v>88</v>
      </c>
      <c r="H64" s="298" t="s">
        <v>88</v>
      </c>
      <c r="I64" s="156">
        <v>34.54</v>
      </c>
      <c r="J64" s="157">
        <f t="shared" si="0"/>
        <v>3.4742327735958312</v>
      </c>
      <c r="K64" s="158">
        <v>0.3</v>
      </c>
      <c r="L64" s="126">
        <v>4</v>
      </c>
      <c r="M64" s="82">
        <f t="shared" si="1"/>
        <v>1.2</v>
      </c>
      <c r="N64" s="159" t="s">
        <v>342</v>
      </c>
      <c r="O64" s="160">
        <v>0.28000000000000003</v>
      </c>
      <c r="P64" s="161">
        <v>44784</v>
      </c>
      <c r="Q64" s="161">
        <v>44799</v>
      </c>
      <c r="R64" s="82">
        <f t="shared" si="2"/>
        <v>7.1428571428571281</v>
      </c>
      <c r="S64" s="162">
        <f>IF(INDEX([1]Historical!$D$7:$D$1229,MATCH(B64,[1]Historical!$B$7:$B$1253,0))=0,"n/a",(INDEX([1]Historical!$C$7:$C$1231,MATCH(B64,[1]Historical!$B$7:$B$1253,0))/INDEX([1]Historical!$D$7:$D$1229,MATCH(B64,[1]Historical!$B$7:$B$1253,0))-1)*100)</f>
        <v>9.0000000000000071</v>
      </c>
      <c r="T64" s="162">
        <f>IF(INDEX([1]Historical!$F$7:$F$1222,MATCH(B64,[1]Historical!$B$7:$B$1253,0))=0,"n/a",((INDEX([1]Historical!$C$7:$C$1231,MATCH(B64,[1]Historical!$B$7:$B$1253,0))/INDEX([1]Historical!$F$7:$F$1222,MATCH(B64,[1]Historical!$B$7:$B$1253,0)))^(1/3)-1)*100)</f>
        <v>7.3943107964647314</v>
      </c>
      <c r="U64" s="162">
        <f>IF(INDEX([1]Historical!$H$7:$H$1222,MATCH(B64,[1]Historical!$B$7:$B$1253,0))=0,"n/a",((INDEX([1]Historical!$C$7:$C$1231,MATCH(B64,[1]Historical!$B$7:$B$1253,0))/INDEX([1]Historical!$H$7:$H$1222,MATCH(B64,[1]Historical!$B$7:$B$1253,0)))^(1/5)-1)*100)</f>
        <v>7.1981164510664053</v>
      </c>
      <c r="V64" s="162">
        <f>IF(INDEX([1]Historical!$N$7:$N$1222,MATCH(B64,[1]Historical!$B$7:$B$1253,0))=0,"n/a",((INDEX([1]Historical!$C$7:$C$1231,MATCH(B64,[1]Historical!$B$7:$B$1253,0))/INDEX([1]Historical!$N$7:$N$1222,MATCH(B64,[1]Historical!$B$7:$B$1253,0)))^(1/10)-1)*100)</f>
        <v>14.558375548557944</v>
      </c>
      <c r="W64" s="163">
        <f t="shared" si="3"/>
        <v>0.49443129331688401</v>
      </c>
      <c r="X64" s="164">
        <f t="shared" si="4"/>
        <v>0.53319381119010412</v>
      </c>
      <c r="Y64" s="180"/>
      <c r="Z64" s="157">
        <f t="shared" si="5"/>
        <v>45.112781954887218</v>
      </c>
      <c r="AA64" s="166">
        <f t="shared" si="6"/>
        <v>12.984962406015036</v>
      </c>
      <c r="AB64" s="126">
        <v>12</v>
      </c>
      <c r="AC64" s="167">
        <v>2.66</v>
      </c>
      <c r="AD64" s="167">
        <v>1.63</v>
      </c>
      <c r="AE64" s="167">
        <v>4.2</v>
      </c>
      <c r="AF64" s="167">
        <v>1.08</v>
      </c>
      <c r="AG64" s="167">
        <v>9.3000000000000007</v>
      </c>
      <c r="AH64" s="167">
        <v>68.300000000000011</v>
      </c>
      <c r="AI64" s="167">
        <v>22.7</v>
      </c>
      <c r="AJ64" s="167">
        <v>13.5</v>
      </c>
      <c r="AK64" s="167">
        <v>8</v>
      </c>
      <c r="AL64" s="168">
        <v>2550</v>
      </c>
      <c r="AM64" s="169">
        <v>0.3</v>
      </c>
      <c r="AN64" s="167">
        <v>0.17</v>
      </c>
      <c r="AO64" s="170">
        <f t="shared" si="7"/>
        <v>-2.3126131813528001</v>
      </c>
      <c r="AP64" s="171">
        <f t="shared" si="8"/>
        <v>10.672349224662236</v>
      </c>
      <c r="AQ64" s="172">
        <f t="shared" si="9"/>
        <v>-21.05203007747939</v>
      </c>
      <c r="AR64" s="157">
        <f>INDEX([1]Historical!$C$7:$C$1231,MATCH(B64,[1]Historical!$B$7:$B$1253,0))*IF(AH64="n/a",1.03,IF(AH64&lt;0,1.01,IF(AH64&gt;10,1.1,(1+AH64/100))))</f>
        <v>1.1990000000000003</v>
      </c>
      <c r="AS64" s="166">
        <f t="shared" si="10"/>
        <v>1.3189000000000004</v>
      </c>
      <c r="AT64" s="166">
        <f t="shared" si="17"/>
        <v>1.4244120000000005</v>
      </c>
      <c r="AU64" s="166">
        <f t="shared" si="17"/>
        <v>1.5383649600000007</v>
      </c>
      <c r="AV64" s="166">
        <f t="shared" si="17"/>
        <v>1.6614341568000008</v>
      </c>
      <c r="AW64" s="157">
        <f t="shared" si="12"/>
        <v>7.1421111168000024</v>
      </c>
      <c r="AX64" s="173">
        <f t="shared" si="13"/>
        <v>20.677797095541408</v>
      </c>
      <c r="AY64" s="174">
        <v>1.06</v>
      </c>
      <c r="AZ64" s="169">
        <v>14.14</v>
      </c>
      <c r="BA64" s="169">
        <v>-19.05</v>
      </c>
      <c r="BB64" s="169">
        <v>4.93</v>
      </c>
      <c r="BC64" s="169">
        <v>-2.81</v>
      </c>
      <c r="BE64" s="77">
        <v>2011</v>
      </c>
      <c r="BF64" s="77">
        <f t="shared" si="14"/>
        <v>1</v>
      </c>
      <c r="BG64" s="175">
        <v>1.2</v>
      </c>
      <c r="BH64" t="s">
        <v>939</v>
      </c>
      <c r="BI64" t="s">
        <v>940</v>
      </c>
    </row>
    <row r="65" spans="1:64" ht="11.25" customHeight="1" x14ac:dyDescent="0.2">
      <c r="A65" s="112" t="s">
        <v>1270</v>
      </c>
      <c r="B65" s="153" t="s">
        <v>155</v>
      </c>
      <c r="C65" s="154" t="s">
        <v>90</v>
      </c>
      <c r="D65" s="154" t="s">
        <v>969</v>
      </c>
      <c r="E65" s="155">
        <v>21</v>
      </c>
      <c r="F65" s="298">
        <v>164</v>
      </c>
      <c r="G65" s="298" t="s">
        <v>30</v>
      </c>
      <c r="H65" s="298" t="s">
        <v>30</v>
      </c>
      <c r="I65" s="156">
        <v>23.5</v>
      </c>
      <c r="J65" s="157">
        <f t="shared" si="0"/>
        <v>4.5106382978723412</v>
      </c>
      <c r="K65" s="158">
        <v>0.26500000000000001</v>
      </c>
      <c r="L65" s="126">
        <v>4</v>
      </c>
      <c r="M65" s="82">
        <f t="shared" si="1"/>
        <v>1.06</v>
      </c>
      <c r="N65" s="159" t="s">
        <v>308</v>
      </c>
      <c r="O65" s="160">
        <v>0.26</v>
      </c>
      <c r="P65" s="161">
        <v>44629</v>
      </c>
      <c r="Q65" s="161">
        <v>44645</v>
      </c>
      <c r="R65" s="82">
        <f t="shared" si="2"/>
        <v>1.9230769230769247</v>
      </c>
      <c r="S65" s="162">
        <f>IF(INDEX([1]Historical!$D$7:$D$1229,MATCH(B65,[1]Historical!$B$7:$B$1253,0))=0,"n/a",(INDEX([1]Historical!$C$7:$C$1231,MATCH(B65,[1]Historical!$B$7:$B$1253,0))/INDEX([1]Historical!$D$7:$D$1229,MATCH(B65,[1]Historical!$B$7:$B$1253,0))-1)*100)</f>
        <v>1.9607843137254832</v>
      </c>
      <c r="T65" s="162">
        <f>IF(INDEX([1]Historical!$F$7:$F$1222,MATCH(B65,[1]Historical!$B$7:$B$1253,0))=0,"n/a",((INDEX([1]Historical!$C$7:$C$1231,MATCH(B65,[1]Historical!$B$7:$B$1253,0))/INDEX([1]Historical!$F$7:$F$1222,MATCH(B65,[1]Historical!$B$7:$B$1253,0)))^(1/3)-1)*100)</f>
        <v>2.7040024624839898</v>
      </c>
      <c r="U65" s="162">
        <f>IF(INDEX([1]Historical!$H$7:$H$1222,MATCH(B65,[1]Historical!$B$7:$B$1253,0))=0,"n/a",((INDEX([1]Historical!$C$7:$C$1231,MATCH(B65,[1]Historical!$B$7:$B$1253,0))/INDEX([1]Historical!$H$7:$H$1222,MATCH(B65,[1]Historical!$B$7:$B$1253,0)))^(1/5)-1)*100)</f>
        <v>2.9338379413359039</v>
      </c>
      <c r="V65" s="162">
        <f>IF(INDEX([1]Historical!$N$7:$N$1222,MATCH(B65,[1]Historical!$B$7:$B$1253,0))=0,"n/a",((INDEX([1]Historical!$C$7:$C$1231,MATCH(B65,[1]Historical!$B$7:$B$1253,0))/INDEX([1]Historical!$N$7:$N$1222,MATCH(B65,[1]Historical!$B$7:$B$1253,0)))^(1/10)-1)*100)</f>
        <v>2.6583631304232025</v>
      </c>
      <c r="W65" s="163">
        <f t="shared" si="3"/>
        <v>1.1036257265834284</v>
      </c>
      <c r="X65" s="164">
        <f t="shared" si="4"/>
        <v>9.7794598044530137</v>
      </c>
      <c r="Y65" s="153"/>
      <c r="Z65" s="157">
        <f t="shared" si="5"/>
        <v>47.963800904977376</v>
      </c>
      <c r="AA65" s="166">
        <f t="shared" si="6"/>
        <v>10.633484162895927</v>
      </c>
      <c r="AB65" s="126">
        <v>12</v>
      </c>
      <c r="AC65" s="167">
        <v>2.21</v>
      </c>
      <c r="AD65" s="167" t="s">
        <v>95</v>
      </c>
      <c r="AE65" s="167">
        <v>3.06</v>
      </c>
      <c r="AF65" s="167">
        <v>1.1100000000000001</v>
      </c>
      <c r="AG65" s="167">
        <v>8.6999999999999993</v>
      </c>
      <c r="AH65" s="167">
        <v>8.5</v>
      </c>
      <c r="AI65" s="167" t="s">
        <v>95</v>
      </c>
      <c r="AJ65" s="167">
        <v>0.3</v>
      </c>
      <c r="AK65" s="167" t="s">
        <v>95</v>
      </c>
      <c r="AL65" s="168">
        <v>84.24</v>
      </c>
      <c r="AM65" s="169">
        <v>0.70000000000000007</v>
      </c>
      <c r="AN65" s="167">
        <v>0</v>
      </c>
      <c r="AO65" s="170">
        <f t="shared" si="7"/>
        <v>-3.189007923687682</v>
      </c>
      <c r="AP65" s="171">
        <f t="shared" si="8"/>
        <v>7.4444762392082451</v>
      </c>
      <c r="AQ65" s="172">
        <f t="shared" si="9"/>
        <v>-27.571744553464093</v>
      </c>
      <c r="AR65" s="157">
        <f>INDEX([1]Historical!$C$7:$C$1231,MATCH(B65,[1]Historical!$B$7:$B$1253,0))*IF(AH65="n/a",1.03,IF(AH65&lt;0,1.01,IF(AH65&gt;10,1.1,(1+AH65/100))))</f>
        <v>1.1284000000000001</v>
      </c>
      <c r="AS65" s="166">
        <f t="shared" si="10"/>
        <v>1.1622520000000001</v>
      </c>
      <c r="AT65" s="166">
        <f t="shared" si="17"/>
        <v>1.1971195600000002</v>
      </c>
      <c r="AU65" s="166">
        <f t="shared" si="17"/>
        <v>1.2330331468000002</v>
      </c>
      <c r="AV65" s="166">
        <f t="shared" si="17"/>
        <v>1.2700241412040003</v>
      </c>
      <c r="AW65" s="157">
        <f t="shared" si="12"/>
        <v>5.9908288480040017</v>
      </c>
      <c r="AX65" s="173">
        <f t="shared" si="13"/>
        <v>25.492888714910645</v>
      </c>
      <c r="AY65" s="174">
        <v>0.59</v>
      </c>
      <c r="AZ65" s="169">
        <v>7.95</v>
      </c>
      <c r="BA65" s="169">
        <v>-36.67</v>
      </c>
      <c r="BB65" s="169">
        <v>-6.8599999999999994</v>
      </c>
      <c r="BC65" s="169">
        <v>-20.7</v>
      </c>
      <c r="BE65" s="77">
        <v>2002</v>
      </c>
      <c r="BF65" s="77">
        <f t="shared" si="14"/>
        <v>2</v>
      </c>
      <c r="BG65" s="175">
        <v>0.70000000000000007</v>
      </c>
      <c r="BH65" t="s">
        <v>939</v>
      </c>
      <c r="BI65" t="s">
        <v>940</v>
      </c>
    </row>
    <row r="66" spans="1:64" ht="11.25" customHeight="1" x14ac:dyDescent="0.2">
      <c r="A66" s="176" t="s">
        <v>1271</v>
      </c>
      <c r="B66" s="153" t="s">
        <v>160</v>
      </c>
      <c r="C66" s="154" t="s">
        <v>117</v>
      </c>
      <c r="D66" s="154" t="s">
        <v>953</v>
      </c>
      <c r="E66" s="155">
        <v>20</v>
      </c>
      <c r="F66" s="298">
        <v>173</v>
      </c>
      <c r="G66" s="298" t="s">
        <v>30</v>
      </c>
      <c r="H66" s="298" t="s">
        <v>30</v>
      </c>
      <c r="I66" s="156">
        <v>41.03</v>
      </c>
      <c r="J66" s="157">
        <f t="shared" si="0"/>
        <v>4.2895442359249332</v>
      </c>
      <c r="K66" s="158">
        <v>0.44</v>
      </c>
      <c r="L66" s="126">
        <v>4</v>
      </c>
      <c r="M66" s="82">
        <f t="shared" si="1"/>
        <v>1.76</v>
      </c>
      <c r="N66" s="159" t="s">
        <v>167</v>
      </c>
      <c r="O66" s="160">
        <v>0.42249999999999999</v>
      </c>
      <c r="P66" s="161">
        <v>44609</v>
      </c>
      <c r="Q66" s="161">
        <v>44635</v>
      </c>
      <c r="R66" s="82">
        <f t="shared" si="2"/>
        <v>4.14201183431953</v>
      </c>
      <c r="S66" s="162">
        <f>IF(INDEX([1]Historical!$D$7:$D$1229,MATCH(B66,[1]Historical!$B$7:$B$1253,0))=0,"n/a",(INDEX([1]Historical!$C$7:$C$1231,MATCH(B66,[1]Historical!$B$7:$B$1253,0))/INDEX([1]Historical!$D$7:$D$1229,MATCH(B66,[1]Historical!$B$7:$B$1253,0))-1)*100)</f>
        <v>4.3209876543209846</v>
      </c>
      <c r="T66" s="162">
        <f>IF(INDEX([1]Historical!$F$7:$F$1222,MATCH(B66,[1]Historical!$B$7:$B$1253,0))=0,"n/a",((INDEX([1]Historical!$C$7:$C$1231,MATCH(B66,[1]Historical!$B$7:$B$1253,0))/INDEX([1]Historical!$F$7:$F$1222,MATCH(B66,[1]Historical!$B$7:$B$1253,0)))^(1/3)-1)*100)</f>
        <v>4.2877934743826618</v>
      </c>
      <c r="U66" s="162">
        <f>IF(INDEX([1]Historical!$H$7:$H$1222,MATCH(B66,[1]Historical!$B$7:$B$1253,0))=0,"n/a",((INDEX([1]Historical!$C$7:$C$1231,MATCH(B66,[1]Historical!$B$7:$B$1253,0))/INDEX([1]Historical!$H$7:$H$1222,MATCH(B66,[1]Historical!$B$7:$B$1253,0)))^(1/5)-1)*100)</f>
        <v>4.2877331431939059</v>
      </c>
      <c r="V66" s="162">
        <f>IF(INDEX([1]Historical!$N$7:$N$1222,MATCH(B66,[1]Historical!$B$7:$B$1253,0))=0,"n/a",((INDEX([1]Historical!$C$7:$C$1231,MATCH(B66,[1]Historical!$B$7:$B$1253,0))/INDEX([1]Historical!$N$7:$N$1222,MATCH(B66,[1]Historical!$B$7:$B$1253,0)))^(1/10)-1)*100)</f>
        <v>4.3877175878083818</v>
      </c>
      <c r="W66" s="163">
        <f t="shared" si="3"/>
        <v>0.97721265268022472</v>
      </c>
      <c r="X66" s="164" t="str">
        <f t="shared" si="4"/>
        <v>n/a</v>
      </c>
      <c r="Y66" s="222"/>
      <c r="Z66" s="157">
        <f t="shared" si="5"/>
        <v>85.024154589371989</v>
      </c>
      <c r="AA66" s="166">
        <f t="shared" si="6"/>
        <v>19.821256038647345</v>
      </c>
      <c r="AB66" s="126">
        <v>12</v>
      </c>
      <c r="AC66" s="167">
        <v>2.0699999999999998</v>
      </c>
      <c r="AD66" s="167">
        <v>3.68</v>
      </c>
      <c r="AE66" s="167">
        <v>1.88</v>
      </c>
      <c r="AF66" s="167">
        <v>1.33</v>
      </c>
      <c r="AG66" s="167">
        <v>6.8000000000000007</v>
      </c>
      <c r="AH66" s="167">
        <v>10.6</v>
      </c>
      <c r="AI66" s="167">
        <v>24.36</v>
      </c>
      <c r="AJ66" s="167">
        <v>-0.4</v>
      </c>
      <c r="AK66" s="167">
        <v>5.4</v>
      </c>
      <c r="AL66" s="168">
        <v>2950</v>
      </c>
      <c r="AM66" s="169">
        <v>0.5</v>
      </c>
      <c r="AN66" s="167">
        <v>1.1399999999999999</v>
      </c>
      <c r="AO66" s="170">
        <f t="shared" si="7"/>
        <v>-11.243978659528505</v>
      </c>
      <c r="AP66" s="171">
        <f t="shared" si="8"/>
        <v>8.5772773791188399</v>
      </c>
      <c r="AQ66" s="172">
        <f t="shared" si="9"/>
        <v>8.2430814446015965</v>
      </c>
      <c r="AR66" s="157">
        <f>INDEX([1]Historical!$C$7:$C$1231,MATCH(B66,[1]Historical!$B$7:$B$1253,0))*IF(AH66="n/a",1.03,IF(AH66&lt;0,1.01,IF(AH66&gt;10,1.1,(1+AH66/100))))</f>
        <v>1.859</v>
      </c>
      <c r="AS66" s="166">
        <f t="shared" si="10"/>
        <v>2.0449000000000002</v>
      </c>
      <c r="AT66" s="166">
        <f t="shared" si="17"/>
        <v>2.1553246000000001</v>
      </c>
      <c r="AU66" s="166">
        <f t="shared" si="17"/>
        <v>2.2717121284000004</v>
      </c>
      <c r="AV66" s="166">
        <f t="shared" si="17"/>
        <v>2.3943845833336006</v>
      </c>
      <c r="AW66" s="157">
        <f t="shared" si="12"/>
        <v>10.725321311733602</v>
      </c>
      <c r="AX66" s="173">
        <f t="shared" si="13"/>
        <v>26.140193301812335</v>
      </c>
      <c r="AY66" s="174">
        <v>0.56999999999999995</v>
      </c>
      <c r="AZ66" s="169">
        <v>12.97</v>
      </c>
      <c r="BA66" s="169">
        <v>-12.520000000000001</v>
      </c>
      <c r="BB66" s="169">
        <v>2.59</v>
      </c>
      <c r="BC66" s="169">
        <v>-3.51</v>
      </c>
      <c r="BE66" s="77">
        <v>2003</v>
      </c>
      <c r="BF66" s="77">
        <f t="shared" si="14"/>
        <v>2</v>
      </c>
      <c r="BG66" s="175">
        <v>2.1999999999999997</v>
      </c>
      <c r="BH66" t="s">
        <v>939</v>
      </c>
      <c r="BI66" t="s">
        <v>940</v>
      </c>
    </row>
    <row r="67" spans="1:64" ht="11.25" customHeight="1" x14ac:dyDescent="0.2">
      <c r="A67" s="112" t="s">
        <v>1272</v>
      </c>
      <c r="B67" s="153" t="s">
        <v>159</v>
      </c>
      <c r="C67" s="154" t="s">
        <v>922</v>
      </c>
      <c r="D67" s="154" t="s">
        <v>950</v>
      </c>
      <c r="E67" s="155">
        <v>12</v>
      </c>
      <c r="F67" s="298">
        <v>322</v>
      </c>
      <c r="G67" s="298" t="s">
        <v>88</v>
      </c>
      <c r="H67" s="298" t="s">
        <v>88</v>
      </c>
      <c r="I67" s="156">
        <v>470.12</v>
      </c>
      <c r="J67" s="157">
        <f t="shared" si="0"/>
        <v>3.4884710286735303</v>
      </c>
      <c r="K67" s="158">
        <v>4.0999999999999996</v>
      </c>
      <c r="L67" s="126">
        <v>4</v>
      </c>
      <c r="M67" s="82">
        <f t="shared" si="1"/>
        <v>16.399999999999999</v>
      </c>
      <c r="N67" s="159" t="s">
        <v>628</v>
      </c>
      <c r="O67" s="160">
        <v>3.6</v>
      </c>
      <c r="P67" s="161">
        <v>44551</v>
      </c>
      <c r="Q67" s="161">
        <v>44561</v>
      </c>
      <c r="R67" s="82">
        <f t="shared" si="2"/>
        <v>13.888888888888875</v>
      </c>
      <c r="S67" s="162">
        <f>IF(INDEX([1]Historical!$D$7:$D$1229,MATCH(B67,[1]Historical!$B$7:$B$1253,0))=0,"n/a",(INDEX([1]Historical!$C$7:$C$1231,MATCH(B67,[1]Historical!$B$7:$B$1253,0))/INDEX([1]Historical!$D$7:$D$1229,MATCH(B67,[1]Historical!$B$7:$B$1253,0))-1)*100)</f>
        <v>11.610486891385774</v>
      </c>
      <c r="T67" s="162">
        <f>IF(INDEX([1]Historical!$F$7:$F$1222,MATCH(B67,[1]Historical!$B$7:$B$1253,0))=0,"n/a",((INDEX([1]Historical!$C$7:$C$1231,MATCH(B67,[1]Historical!$B$7:$B$1253,0))/INDEX([1]Historical!$F$7:$F$1222,MATCH(B67,[1]Historical!$B$7:$B$1253,0)))^(1/3)-1)*100)</f>
        <v>23.552932870428656</v>
      </c>
      <c r="U67" s="162">
        <f>IF(INDEX([1]Historical!$H$7:$H$1222,MATCH(B67,[1]Historical!$B$7:$B$1253,0))=0,"n/a",((INDEX([1]Historical!$C$7:$C$1231,MATCH(B67,[1]Historical!$B$7:$B$1253,0))/INDEX([1]Historical!$H$7:$H$1222,MATCH(B67,[1]Historical!$B$7:$B$1253,0)))^(1/5)-1)*100)</f>
        <v>48.837107103729707</v>
      </c>
      <c r="V67" s="162">
        <f>IF(INDEX([1]Historical!$N$7:$N$1222,MATCH(B67,[1]Historical!$B$7:$B$1253,0))=0,"n/a",((INDEX([1]Historical!$C$7:$C$1231,MATCH(B67,[1]Historical!$B$7:$B$1253,0))/INDEX([1]Historical!$N$7:$N$1222,MATCH(B67,[1]Historical!$B$7:$B$1253,0)))^(1/10)-1)*100)</f>
        <v>43.586175411296637</v>
      </c>
      <c r="W67" s="163">
        <f t="shared" si="3"/>
        <v>1.1204724122473049</v>
      </c>
      <c r="X67" s="164">
        <f t="shared" si="4"/>
        <v>1.2209276775932427</v>
      </c>
      <c r="Y67" s="180"/>
      <c r="Z67" s="157">
        <f t="shared" si="5"/>
        <v>71.428571428571416</v>
      </c>
      <c r="AA67" s="166">
        <f t="shared" si="6"/>
        <v>20.475609756097562</v>
      </c>
      <c r="AB67" s="126">
        <v>10</v>
      </c>
      <c r="AC67" s="167">
        <v>22.96</v>
      </c>
      <c r="AD67" s="167">
        <v>1.36</v>
      </c>
      <c r="AE67" s="167">
        <v>6.1</v>
      </c>
      <c r="AF67" s="167">
        <v>9.17</v>
      </c>
      <c r="AG67" s="167">
        <v>43.8</v>
      </c>
      <c r="AH67" s="179">
        <v>137.1</v>
      </c>
      <c r="AI67" s="179">
        <v>8.2100000000000009</v>
      </c>
      <c r="AJ67" s="167">
        <v>40</v>
      </c>
      <c r="AK67" s="167">
        <v>15.2</v>
      </c>
      <c r="AL67" s="168">
        <v>193310</v>
      </c>
      <c r="AM67" s="169">
        <v>2.25</v>
      </c>
      <c r="AN67" s="167">
        <v>1.89</v>
      </c>
      <c r="AO67" s="170">
        <f t="shared" si="7"/>
        <v>31.849968376305675</v>
      </c>
      <c r="AP67" s="171">
        <f t="shared" si="8"/>
        <v>52.325578132403237</v>
      </c>
      <c r="AQ67" s="172">
        <f t="shared" si="9"/>
        <v>188.87624529346633</v>
      </c>
      <c r="AR67" s="157">
        <f>INDEX([1]Historical!$C$7:$C$1231,MATCH(B67,[1]Historical!$B$7:$B$1253,0))*IF(AH67="n/a",1.03,IF(AH67&lt;0,1.01,IF(AH67&gt;10,1.1,(1+AH67/100))))</f>
        <v>16.39</v>
      </c>
      <c r="AS67" s="166">
        <f t="shared" si="10"/>
        <v>17.735619000000003</v>
      </c>
      <c r="AT67" s="166">
        <f t="shared" si="17"/>
        <v>19.509180900000004</v>
      </c>
      <c r="AU67" s="166">
        <f t="shared" si="17"/>
        <v>21.460098990000006</v>
      </c>
      <c r="AV67" s="166">
        <f t="shared" si="17"/>
        <v>23.606108889000009</v>
      </c>
      <c r="AW67" s="157">
        <f t="shared" si="12"/>
        <v>98.701007779000022</v>
      </c>
      <c r="AX67" s="173">
        <f t="shared" si="13"/>
        <v>20.994854032800141</v>
      </c>
      <c r="AY67" s="174">
        <v>1.1000000000000001</v>
      </c>
      <c r="AZ67" s="169">
        <v>13.26</v>
      </c>
      <c r="BA67" s="169">
        <v>-30.64</v>
      </c>
      <c r="BB67" s="169">
        <v>-2.19</v>
      </c>
      <c r="BC67" s="169">
        <v>-13.13</v>
      </c>
      <c r="BE67" s="77">
        <v>2011</v>
      </c>
      <c r="BF67" s="77">
        <f t="shared" si="14"/>
        <v>1</v>
      </c>
      <c r="BG67" s="175">
        <v>13.5</v>
      </c>
      <c r="BH67" t="s">
        <v>939</v>
      </c>
      <c r="BI67" t="s">
        <v>940</v>
      </c>
    </row>
    <row r="68" spans="1:64" ht="11.25" customHeight="1" x14ac:dyDescent="0.2">
      <c r="A68" s="112" t="s">
        <v>1273</v>
      </c>
      <c r="B68" s="153" t="s">
        <v>984</v>
      </c>
      <c r="C68" s="154" t="s">
        <v>96</v>
      </c>
      <c r="D68" s="154" t="s">
        <v>911</v>
      </c>
      <c r="E68" s="155">
        <v>13</v>
      </c>
      <c r="F68" s="298">
        <v>321</v>
      </c>
      <c r="G68" s="298" t="s">
        <v>88</v>
      </c>
      <c r="H68" s="298" t="s">
        <v>88</v>
      </c>
      <c r="I68" s="156">
        <v>34.49</v>
      </c>
      <c r="J68" s="157">
        <f t="shared" si="0"/>
        <v>2.8703972165845171</v>
      </c>
      <c r="K68" s="158">
        <v>0.2475</v>
      </c>
      <c r="L68" s="126">
        <v>4</v>
      </c>
      <c r="M68" s="82">
        <f t="shared" si="1"/>
        <v>0.99</v>
      </c>
      <c r="N68" s="159" t="s">
        <v>126</v>
      </c>
      <c r="O68" s="160">
        <v>0.23749999999999999</v>
      </c>
      <c r="P68" s="161">
        <v>44910</v>
      </c>
      <c r="Q68" s="161">
        <v>44932</v>
      </c>
      <c r="R68" s="82">
        <f t="shared" si="2"/>
        <v>4.2105263157894779</v>
      </c>
      <c r="S68" s="162">
        <f>IF(INDEX([1]Historical!$D$7:$D$1229,MATCH(B68,[1]Historical!$B$7:$B$1253,0))=0,"n/a",(INDEX([1]Historical!$C$7:$C$1231,MATCH(B68,[1]Historical!$B$7:$B$1253,0))/INDEX([1]Historical!$D$7:$D$1229,MATCH(B68,[1]Historical!$B$7:$B$1253,0))-1)*100)</f>
        <v>4.9382716049382713</v>
      </c>
      <c r="T68" s="162">
        <f>IF(INDEX([1]Historical!$F$7:$F$1222,MATCH(B68,[1]Historical!$B$7:$B$1253,0))=0,"n/a",((INDEX([1]Historical!$C$7:$C$1231,MATCH(B68,[1]Historical!$B$7:$B$1253,0))/INDEX([1]Historical!$F$7:$F$1222,MATCH(B68,[1]Historical!$B$7:$B$1253,0)))^(1/3)-1)*100)</f>
        <v>6.6858844342181811</v>
      </c>
      <c r="U68" s="162">
        <f>IF(INDEX([1]Historical!$H$7:$H$1222,MATCH(B68,[1]Historical!$B$7:$B$1253,0))=0,"n/a",((INDEX([1]Historical!$C$7:$C$1231,MATCH(B68,[1]Historical!$B$7:$B$1253,0))/INDEX([1]Historical!$H$7:$H$1222,MATCH(B68,[1]Historical!$B$7:$B$1253,0)))^(1/5)-1)*100)</f>
        <v>12.107724519592477</v>
      </c>
      <c r="V68" s="162">
        <f>IF(INDEX([1]Historical!$N$7:$N$1222,MATCH(B68,[1]Historical!$B$7:$B$1253,0))=0,"n/a",((INDEX([1]Historical!$C$7:$C$1231,MATCH(B68,[1]Historical!$B$7:$B$1253,0))/INDEX([1]Historical!$N$7:$N$1222,MATCH(B68,[1]Historical!$B$7:$B$1253,0)))^(1/10)-1)*100)</f>
        <v>21.625256161025462</v>
      </c>
      <c r="W68" s="163">
        <f t="shared" si="3"/>
        <v>0.55988814326342451</v>
      </c>
      <c r="X68" s="164">
        <f t="shared" si="4"/>
        <v>2.4215449039184955</v>
      </c>
      <c r="Y68" s="165"/>
      <c r="Z68" s="157">
        <f t="shared" si="5"/>
        <v>36.263736263736263</v>
      </c>
      <c r="AA68" s="166">
        <f t="shared" si="6"/>
        <v>12.633699633699635</v>
      </c>
      <c r="AB68" s="126">
        <v>12</v>
      </c>
      <c r="AC68" s="167">
        <v>2.73</v>
      </c>
      <c r="AD68" s="167">
        <v>1.17</v>
      </c>
      <c r="AE68" s="167">
        <v>0.62</v>
      </c>
      <c r="AF68" s="167">
        <v>1.75</v>
      </c>
      <c r="AG68" s="167">
        <v>14.000000000000002</v>
      </c>
      <c r="AH68" s="167">
        <v>72</v>
      </c>
      <c r="AI68" s="167">
        <v>-3.1</v>
      </c>
      <c r="AJ68" s="167">
        <v>5</v>
      </c>
      <c r="AK68" s="167">
        <v>10.8</v>
      </c>
      <c r="AL68" s="168">
        <v>3110</v>
      </c>
      <c r="AM68" s="169">
        <v>0.5</v>
      </c>
      <c r="AN68" s="167">
        <v>1.03</v>
      </c>
      <c r="AO68" s="170">
        <f t="shared" si="7"/>
        <v>2.3444221024773597</v>
      </c>
      <c r="AP68" s="171">
        <f t="shared" si="8"/>
        <v>14.978121736176995</v>
      </c>
      <c r="AQ68" s="172">
        <f t="shared" si="9"/>
        <v>-0.87275436989673327</v>
      </c>
      <c r="AR68" s="157">
        <f>INDEX([1]Historical!$C$7:$C$1231,MATCH(B68,[1]Historical!$B$7:$B$1253,0))*IF(AH68="n/a",1.03,IF(AH68&lt;0,1.01,IF(AH68&gt;10,1.1,(1+AH68/100))))</f>
        <v>0.93500000000000005</v>
      </c>
      <c r="AS68" s="166">
        <f t="shared" si="10"/>
        <v>0.94435000000000002</v>
      </c>
      <c r="AT68" s="166">
        <f t="shared" si="17"/>
        <v>1.0387850000000001</v>
      </c>
      <c r="AU68" s="166">
        <f t="shared" si="17"/>
        <v>1.1426635000000003</v>
      </c>
      <c r="AV68" s="166">
        <f t="shared" si="17"/>
        <v>1.2569298500000003</v>
      </c>
      <c r="AW68" s="157">
        <f t="shared" si="12"/>
        <v>5.3177283500000012</v>
      </c>
      <c r="AX68" s="173">
        <f t="shared" si="13"/>
        <v>15.418174398376344</v>
      </c>
      <c r="AY68" s="174">
        <v>1.56</v>
      </c>
      <c r="AZ68" s="169">
        <v>18.84</v>
      </c>
      <c r="BA68" s="169">
        <v>-43.88</v>
      </c>
      <c r="BB68" s="169">
        <v>-6.65</v>
      </c>
      <c r="BC68" s="169">
        <v>-23.21</v>
      </c>
      <c r="BE68" s="77">
        <v>2011</v>
      </c>
      <c r="BF68" s="77">
        <f t="shared" si="14"/>
        <v>1</v>
      </c>
      <c r="BG68" s="175">
        <v>5</v>
      </c>
      <c r="BH68" t="s">
        <v>939</v>
      </c>
      <c r="BI68" t="s">
        <v>940</v>
      </c>
    </row>
    <row r="69" spans="1:64" ht="11.25" customHeight="1" x14ac:dyDescent="0.2">
      <c r="A69" s="176" t="s">
        <v>1274</v>
      </c>
      <c r="B69" s="153" t="s">
        <v>792</v>
      </c>
      <c r="C69" s="154" t="s">
        <v>922</v>
      </c>
      <c r="D69" s="154" t="s">
        <v>974</v>
      </c>
      <c r="E69" s="155">
        <v>10</v>
      </c>
      <c r="F69" s="298">
        <v>505</v>
      </c>
      <c r="G69" s="298" t="s">
        <v>88</v>
      </c>
      <c r="H69" s="298" t="s">
        <v>88</v>
      </c>
      <c r="I69" s="156">
        <v>40.19</v>
      </c>
      <c r="J69" s="157">
        <f t="shared" si="0"/>
        <v>2.8862901219208759</v>
      </c>
      <c r="K69" s="158">
        <v>0.28999999999999998</v>
      </c>
      <c r="L69" s="126">
        <v>4</v>
      </c>
      <c r="M69" s="82">
        <f t="shared" si="1"/>
        <v>1.1599999999999999</v>
      </c>
      <c r="N69" s="159" t="s">
        <v>198</v>
      </c>
      <c r="O69" s="160">
        <v>0.26</v>
      </c>
      <c r="P69" s="161">
        <v>44817</v>
      </c>
      <c r="Q69" s="161">
        <v>44832</v>
      </c>
      <c r="R69" s="82">
        <f t="shared" si="2"/>
        <v>11.538461538461526</v>
      </c>
      <c r="S69" s="162">
        <f>IF(INDEX([1]Historical!$D$7:$D$1229,MATCH(B69,[1]Historical!$B$7:$B$1253,0))=0,"n/a",(INDEX([1]Historical!$C$7:$C$1231,MATCH(B69,[1]Historical!$B$7:$B$1253,0))/INDEX([1]Historical!$D$7:$D$1229,MATCH(B69,[1]Historical!$B$7:$B$1253,0))-1)*100)</f>
        <v>8.3333333333333481</v>
      </c>
      <c r="T69" s="162">
        <f>IF(INDEX([1]Historical!$F$7:$F$1222,MATCH(B69,[1]Historical!$B$7:$B$1253,0))=0,"n/a",((INDEX([1]Historical!$C$7:$C$1231,MATCH(B69,[1]Historical!$B$7:$B$1253,0))/INDEX([1]Historical!$F$7:$F$1222,MATCH(B69,[1]Historical!$B$7:$B$1253,0)))^(1/3)-1)*100)</f>
        <v>5.2726599609396629</v>
      </c>
      <c r="U69" s="162">
        <f>IF(INDEX([1]Historical!$H$7:$H$1222,MATCH(B69,[1]Historical!$B$7:$B$1253,0))=0,"n/a",((INDEX([1]Historical!$C$7:$C$1231,MATCH(B69,[1]Historical!$B$7:$B$1253,0))/INDEX([1]Historical!$H$7:$H$1222,MATCH(B69,[1]Historical!$B$7:$B$1253,0)))^(1/5)-1)*100)</f>
        <v>6.0001539273940807</v>
      </c>
      <c r="V69" s="162" t="str">
        <f>IF(INDEX([1]Historical!$N$7:$N$1222,MATCH(B69,[1]Historical!$B$7:$B$1253,0))=0,"n/a",((INDEX([1]Historical!$C$7:$C$1231,MATCH(B69,[1]Historical!$B$7:$B$1253,0))/INDEX([1]Historical!$N$7:$N$1222,MATCH(B69,[1]Historical!$B$7:$B$1253,0)))^(1/10)-1)*100)</f>
        <v>n/a</v>
      </c>
      <c r="W69" s="163" t="str">
        <f t="shared" si="3"/>
        <v>n/a</v>
      </c>
      <c r="X69" s="164">
        <f t="shared" si="4"/>
        <v>0.21739688142732175</v>
      </c>
      <c r="Y69" s="180"/>
      <c r="Z69" s="157">
        <f t="shared" si="5"/>
        <v>14.910025706940871</v>
      </c>
      <c r="AA69" s="166">
        <f t="shared" si="6"/>
        <v>5.1658097686375317</v>
      </c>
      <c r="AB69" s="126">
        <v>6</v>
      </c>
      <c r="AC69" s="167">
        <v>7.78</v>
      </c>
      <c r="AD69" s="167">
        <v>0.5</v>
      </c>
      <c r="AE69" s="167">
        <v>0.14000000000000001</v>
      </c>
      <c r="AF69" s="167">
        <v>0.94</v>
      </c>
      <c r="AG69" s="167">
        <v>18.399999999999999</v>
      </c>
      <c r="AH69" s="179">
        <v>259.8</v>
      </c>
      <c r="AI69" s="179">
        <v>-10.040000000000001</v>
      </c>
      <c r="AJ69" s="167">
        <v>27.6</v>
      </c>
      <c r="AK69" s="167">
        <v>10.4</v>
      </c>
      <c r="AL69" s="168">
        <v>3670</v>
      </c>
      <c r="AM69" s="169">
        <v>0.6</v>
      </c>
      <c r="AN69" s="167">
        <v>0.57999999999999996</v>
      </c>
      <c r="AO69" s="170">
        <f t="shared" si="7"/>
        <v>3.7206342806774249</v>
      </c>
      <c r="AP69" s="171">
        <f t="shared" si="8"/>
        <v>8.8864440493149566</v>
      </c>
      <c r="AQ69" s="172">
        <f t="shared" si="9"/>
        <v>-53.543993654596989</v>
      </c>
      <c r="AR69" s="157">
        <f>INDEX([1]Historical!$C$7:$C$1231,MATCH(B69,[1]Historical!$B$7:$B$1253,0))*IF(AH69="n/a",1.03,IF(AH69&lt;0,1.01,IF(AH69&gt;10,1.1,(1+AH69/100))))</f>
        <v>1.0010000000000001</v>
      </c>
      <c r="AS69" s="166">
        <f t="shared" si="10"/>
        <v>1.0110100000000002</v>
      </c>
      <c r="AT69" s="166">
        <f t="shared" si="17"/>
        <v>1.1121110000000003</v>
      </c>
      <c r="AU69" s="166">
        <f t="shared" si="17"/>
        <v>1.2233221000000005</v>
      </c>
      <c r="AV69" s="166">
        <f t="shared" si="17"/>
        <v>1.3456543100000007</v>
      </c>
      <c r="AW69" s="157">
        <f t="shared" si="12"/>
        <v>5.6930974100000018</v>
      </c>
      <c r="AX69" s="173">
        <f t="shared" si="13"/>
        <v>14.165457601393387</v>
      </c>
      <c r="AY69" s="174">
        <v>1.34</v>
      </c>
      <c r="AZ69" s="169">
        <v>13.370000000000001</v>
      </c>
      <c r="BA69" s="169">
        <v>-19.919999999999998</v>
      </c>
      <c r="BB69" s="169">
        <v>0.75</v>
      </c>
      <c r="BC69" s="169">
        <v>-4.8899999999999997</v>
      </c>
      <c r="BE69" s="77">
        <v>2013</v>
      </c>
      <c r="BF69" s="77">
        <f t="shared" si="14"/>
        <v>1</v>
      </c>
      <c r="BG69" s="175">
        <v>7.5</v>
      </c>
      <c r="BH69" t="s">
        <v>939</v>
      </c>
      <c r="BI69" t="s">
        <v>940</v>
      </c>
    </row>
    <row r="70" spans="1:64" ht="11.25" customHeight="1" x14ac:dyDescent="0.2">
      <c r="A70" s="112" t="s">
        <v>1275</v>
      </c>
      <c r="B70" s="153" t="s">
        <v>615</v>
      </c>
      <c r="C70" s="154" t="s">
        <v>96</v>
      </c>
      <c r="D70" s="154" t="s">
        <v>980</v>
      </c>
      <c r="E70" s="155">
        <v>12</v>
      </c>
      <c r="F70" s="298">
        <v>366</v>
      </c>
      <c r="G70" s="298" t="s">
        <v>104</v>
      </c>
      <c r="H70" s="298" t="s">
        <v>104</v>
      </c>
      <c r="I70" s="156">
        <v>169.55</v>
      </c>
      <c r="J70" s="157">
        <f t="shared" si="0"/>
        <v>1.7693895606015924</v>
      </c>
      <c r="K70" s="158">
        <v>0.75</v>
      </c>
      <c r="L70" s="126">
        <v>4</v>
      </c>
      <c r="M70" s="82">
        <f t="shared" si="1"/>
        <v>3</v>
      </c>
      <c r="N70" s="159" t="s">
        <v>231</v>
      </c>
      <c r="O70" s="160">
        <v>0.68</v>
      </c>
      <c r="P70" s="161">
        <v>44712</v>
      </c>
      <c r="Q70" s="161">
        <v>44727</v>
      </c>
      <c r="R70" s="82">
        <f t="shared" si="2"/>
        <v>10.294117647058815</v>
      </c>
      <c r="S70" s="162">
        <f>IF(INDEX([1]Historical!$D$7:$D$1229,MATCH(B70,[1]Historical!$B$7:$B$1253,0))=0,"n/a",(INDEX([1]Historical!$C$7:$C$1231,MATCH(B70,[1]Historical!$B$7:$B$1253,0))/INDEX([1]Historical!$D$7:$D$1229,MATCH(B70,[1]Historical!$B$7:$B$1253,0))-1)*100)</f>
        <v>12.711864406779672</v>
      </c>
      <c r="T70" s="162">
        <f>IF(INDEX([1]Historical!$F$7:$F$1222,MATCH(B70,[1]Historical!$B$7:$B$1253,0))=0,"n/a",((INDEX([1]Historical!$C$7:$C$1231,MATCH(B70,[1]Historical!$B$7:$B$1253,0))/INDEX([1]Historical!$F$7:$F$1222,MATCH(B70,[1]Historical!$B$7:$B$1253,0)))^(1/3)-1)*100)</f>
        <v>9.789766072415329</v>
      </c>
      <c r="U70" s="162">
        <f>IF(INDEX([1]Historical!$H$7:$H$1222,MATCH(B70,[1]Historical!$B$7:$B$1253,0))=0,"n/a",((INDEX([1]Historical!$C$7:$C$1231,MATCH(B70,[1]Historical!$B$7:$B$1253,0))/INDEX([1]Historical!$H$7:$H$1222,MATCH(B70,[1]Historical!$B$7:$B$1253,0)))^(1/5)-1)*100)</f>
        <v>10.701200546136302</v>
      </c>
      <c r="V70" s="162">
        <f>IF(INDEX([1]Historical!$N$7:$N$1222,MATCH(B70,[1]Historical!$B$7:$B$1253,0))=0,"n/a",((INDEX([1]Historical!$C$7:$C$1231,MATCH(B70,[1]Historical!$B$7:$B$1253,0))/INDEX([1]Historical!$N$7:$N$1222,MATCH(B70,[1]Historical!$B$7:$B$1253,0)))^(1/10)-1)*100)</f>
        <v>10.277817813286006</v>
      </c>
      <c r="W70" s="163">
        <f t="shared" si="3"/>
        <v>1.0411938351644057</v>
      </c>
      <c r="X70" s="164">
        <f t="shared" si="4"/>
        <v>0.53239803712120903</v>
      </c>
      <c r="Y70" s="214"/>
      <c r="Z70" s="157">
        <f t="shared" si="5"/>
        <v>30.333670374115268</v>
      </c>
      <c r="AA70" s="166">
        <f t="shared" si="6"/>
        <v>17.143579373104146</v>
      </c>
      <c r="AB70" s="126">
        <v>12</v>
      </c>
      <c r="AC70" s="167">
        <v>9.89</v>
      </c>
      <c r="AD70" s="167">
        <v>2.39</v>
      </c>
      <c r="AE70" s="167">
        <v>1.49</v>
      </c>
      <c r="AF70" s="167">
        <v>7.24</v>
      </c>
      <c r="AG70" s="167">
        <v>38.4</v>
      </c>
      <c r="AH70" s="167">
        <v>33.6</v>
      </c>
      <c r="AI70" s="167">
        <v>6.18</v>
      </c>
      <c r="AJ70" s="167">
        <v>20.100000000000001</v>
      </c>
      <c r="AK70" s="167">
        <v>7.2700000000000005</v>
      </c>
      <c r="AL70" s="168">
        <v>13690</v>
      </c>
      <c r="AM70" s="169">
        <v>0.2</v>
      </c>
      <c r="AN70" s="167">
        <v>1.67</v>
      </c>
      <c r="AO70" s="170">
        <f t="shared" si="7"/>
        <v>-4.6729892663662511</v>
      </c>
      <c r="AP70" s="171">
        <f t="shared" si="8"/>
        <v>12.470590106737895</v>
      </c>
      <c r="AQ70" s="172">
        <f t="shared" si="9"/>
        <v>134.87066385213802</v>
      </c>
      <c r="AR70" s="157">
        <f>INDEX([1]Historical!$C$7:$C$1231,MATCH(B70,[1]Historical!$B$7:$B$1253,0))*IF(AH70="n/a",1.03,IF(AH70&lt;0,1.01,IF(AH70&gt;10,1.1,(1+AH70/100))))</f>
        <v>2.9260000000000006</v>
      </c>
      <c r="AS70" s="166">
        <f t="shared" si="10"/>
        <v>3.1068268000000008</v>
      </c>
      <c r="AT70" s="166">
        <f t="shared" si="17"/>
        <v>3.3326931083600009</v>
      </c>
      <c r="AU70" s="166">
        <f t="shared" si="17"/>
        <v>3.5749798973377729</v>
      </c>
      <c r="AV70" s="166">
        <f t="shared" si="17"/>
        <v>3.8348809358742288</v>
      </c>
      <c r="AW70" s="157">
        <f t="shared" si="12"/>
        <v>16.775380741572004</v>
      </c>
      <c r="AX70" s="173">
        <f t="shared" si="13"/>
        <v>9.8940611864181669</v>
      </c>
      <c r="AY70" s="174">
        <v>0.98</v>
      </c>
      <c r="AZ70" s="169">
        <v>11.83</v>
      </c>
      <c r="BA70" s="169">
        <v>-26.040000000000003</v>
      </c>
      <c r="BB70" s="169">
        <v>-3.85</v>
      </c>
      <c r="BC70" s="169">
        <v>-4.24</v>
      </c>
      <c r="BE70" s="77">
        <v>2011</v>
      </c>
      <c r="BF70" s="77">
        <f t="shared" si="14"/>
        <v>1</v>
      </c>
      <c r="BG70" s="175">
        <v>9.1</v>
      </c>
      <c r="BH70" t="s">
        <v>939</v>
      </c>
      <c r="BI70" t="s">
        <v>940</v>
      </c>
    </row>
    <row r="71" spans="1:64" ht="11.25" customHeight="1" x14ac:dyDescent="0.2">
      <c r="A71" s="205" t="s">
        <v>1836</v>
      </c>
      <c r="B71" s="153" t="s">
        <v>1837</v>
      </c>
      <c r="C71" s="154" t="s">
        <v>94</v>
      </c>
      <c r="D71" s="154" t="s">
        <v>760</v>
      </c>
      <c r="E71" s="155">
        <v>5</v>
      </c>
      <c r="F71" s="298"/>
      <c r="G71" s="298" t="s">
        <v>88</v>
      </c>
      <c r="H71" s="298" t="s">
        <v>88</v>
      </c>
      <c r="I71" s="156">
        <v>75.569999999999993</v>
      </c>
      <c r="J71" s="157">
        <f t="shared" ref="J71:J134" si="18">(M71/I71)*100</f>
        <v>1.3444488553658862</v>
      </c>
      <c r="K71" s="158">
        <v>0.254</v>
      </c>
      <c r="L71" s="126">
        <v>4</v>
      </c>
      <c r="M71" s="82">
        <f t="shared" ref="M71:M134" si="19">K71*L71</f>
        <v>1.016</v>
      </c>
      <c r="N71" s="159" t="s">
        <v>214</v>
      </c>
      <c r="O71" s="160">
        <v>0.23100000000000001</v>
      </c>
      <c r="P71" s="161">
        <v>44867</v>
      </c>
      <c r="Q71" s="161">
        <v>44882</v>
      </c>
      <c r="R71" s="82">
        <f t="shared" ref="R71:R134" si="20">(K71-O71)/O71*100</f>
        <v>9.9567099567099522</v>
      </c>
      <c r="S71" s="162">
        <f>IF(INDEX([1]Historical!$D$7:$D$1229,MATCH(B71,[1]Historical!$B$7:$B$1253,0))=0,"n/a",(INDEX([1]Historical!$C$7:$C$1231,MATCH(B71,[1]Historical!$B$7:$B$1253,0))/INDEX([1]Historical!$D$7:$D$1229,MATCH(B71,[1]Historical!$B$7:$B$1253,0))-1)*100)</f>
        <v>6.2962962962962887</v>
      </c>
      <c r="T71" s="162">
        <f>IF(INDEX([1]Historical!$F$7:$F$1222,MATCH(B71,[1]Historical!$B$7:$B$1253,0))=0,"n/a",((INDEX([1]Historical!$C$7:$C$1231,MATCH(B71,[1]Historical!$B$7:$B$1253,0))/INDEX([1]Historical!$F$7:$F$1222,MATCH(B71,[1]Historical!$B$7:$B$1253,0)))^(1/3)-1)*100)</f>
        <v>70.080699862927659</v>
      </c>
      <c r="U71" s="162" t="str">
        <f>IF(INDEX([1]Historical!$H$7:$H$1222,MATCH(B71,[1]Historical!$B$7:$B$1253,0))=0,"n/a",((INDEX([1]Historical!$C$7:$C$1231,MATCH(B71,[1]Historical!$B$7:$B$1253,0))/INDEX([1]Historical!$H$7:$H$1222,MATCH(B71,[1]Historical!$B$7:$B$1253,0)))^(1/5)-1)*100)</f>
        <v>n/a</v>
      </c>
      <c r="V71" s="162" t="str">
        <f>IF(INDEX([1]Historical!$N$7:$N$1222,MATCH(B71,[1]Historical!$B$7:$B$1253,0))=0,"n/a",((INDEX([1]Historical!$C$7:$C$1231,MATCH(B71,[1]Historical!$B$7:$B$1253,0))/INDEX([1]Historical!$N$7:$N$1222,MATCH(B71,[1]Historical!$B$7:$B$1253,0)))^(1/10)-1)*100)</f>
        <v>n/a</v>
      </c>
      <c r="W71" s="163" t="str">
        <f t="shared" ref="W71:W134" si="21">IF(OR(U71&lt;=0,U71="n/a",V71&lt;=0,V71="n/a"),"n/a",U71/V71)</f>
        <v>n/a</v>
      </c>
      <c r="X71" s="164" t="str">
        <f t="shared" ref="X71:X134" si="22">IF(OR(AJ71&lt;=0,AJ71="n/a",U71&lt;=0,U71="n/a"),"n/a",U71/AJ71)</f>
        <v>n/a</v>
      </c>
      <c r="Y71" s="180"/>
      <c r="Z71" s="157">
        <f t="shared" ref="Z71:Z134" si="23">IF(OR(AC71&lt;0.01,AC71="n/a"),"n/a",M71/AC71*100)</f>
        <v>24.84107579462103</v>
      </c>
      <c r="AA71" s="166">
        <f t="shared" ref="AA71:AA134" si="24">IF(OR(AC71&lt;0.01,AC71="n/a"),"n/a",I71/AC71)</f>
        <v>18.47677261613692</v>
      </c>
      <c r="AB71" s="126">
        <v>12</v>
      </c>
      <c r="AC71" s="167">
        <v>4.09</v>
      </c>
      <c r="AD71" s="167">
        <v>1.47</v>
      </c>
      <c r="AE71" s="167">
        <v>2.82</v>
      </c>
      <c r="AF71" s="167">
        <v>6.67</v>
      </c>
      <c r="AG71" s="167">
        <v>37</v>
      </c>
      <c r="AH71" s="167">
        <v>322.2</v>
      </c>
      <c r="AI71" s="167">
        <v>13.36</v>
      </c>
      <c r="AJ71" s="167">
        <v>17.100000000000001</v>
      </c>
      <c r="AK71" s="167">
        <v>12.58</v>
      </c>
      <c r="AL71" s="168">
        <v>3420</v>
      </c>
      <c r="AM71" s="169">
        <v>0.3</v>
      </c>
      <c r="AN71" s="167">
        <v>1.34</v>
      </c>
      <c r="AO71" s="170" t="str">
        <f t="shared" ref="AO71:AO134" si="25">IF(U71="n/a","n/a",IF(AA71&lt;0,"n/a",IF(AA71="n/a","n/a",J71+U71-AA71)))</f>
        <v>n/a</v>
      </c>
      <c r="AP71" s="171" t="str">
        <f t="shared" ref="AP71:AP134" si="26">IF(U71="n/a","n/a",J71+U71)</f>
        <v>n/a</v>
      </c>
      <c r="AQ71" s="172">
        <f t="shared" ref="AQ71:AQ134" si="27">IF(OR(AC71&lt;0.01,AC71="n/a",AF71="n/a"),"n/a",(I71/SQRT(22.5*AC71*(I71/AF71))-1)*100)</f>
        <v>134.03710375316629</v>
      </c>
      <c r="AR71" s="157">
        <f>INDEX([1]Historical!$C$7:$C$1231,MATCH(B71,[1]Historical!$B$7:$B$1253,0))*IF(AH71="n/a",1.03,IF(AH71&lt;0,1.01,IF(AH71&gt;10,1.1,(1+AH71/100))))</f>
        <v>0.94710000000000005</v>
      </c>
      <c r="AS71" s="166">
        <f t="shared" ref="AS71:AS134" si="28">IF($AI71="n/a",1.03*AR71,IF($AI71&lt;0,1.01*AR71,IF($AI71&gt;10,1.1*AR71,(1+$AI71/100)*AR71)))</f>
        <v>1.0418100000000001</v>
      </c>
      <c r="AT71" s="166">
        <f t="shared" ref="AT71:AV86" si="29">IF($AK71="n/a",1.03*AS71,IF($AK71&lt;0,1.01*AS71,IF($AK71&gt;10,1.1*AS71,(1+$AK71/100)*AS71)))</f>
        <v>1.1459910000000002</v>
      </c>
      <c r="AU71" s="166">
        <f t="shared" si="29"/>
        <v>1.2605901000000004</v>
      </c>
      <c r="AV71" s="166">
        <f t="shared" si="29"/>
        <v>1.3866491100000005</v>
      </c>
      <c r="AW71" s="157">
        <f t="shared" ref="AW71:AW134" si="30">SUM(AR71:AV71)</f>
        <v>5.7821402100000014</v>
      </c>
      <c r="AX71" s="173">
        <f t="shared" ref="AX71:AX134" si="31">AW71/I71*100</f>
        <v>7.6513698689956362</v>
      </c>
      <c r="AY71" s="174">
        <v>1.1499999999999999</v>
      </c>
      <c r="AZ71" s="169">
        <v>3.17</v>
      </c>
      <c r="BA71" s="169">
        <v>-36.03</v>
      </c>
      <c r="BB71" s="169">
        <v>-8.52</v>
      </c>
      <c r="BC71" s="169">
        <v>-13</v>
      </c>
      <c r="BE71" s="77">
        <v>2018</v>
      </c>
      <c r="BF71" s="77">
        <f t="shared" ref="BF71:BF134" si="32">IF(BE71&gt;2020,0,IF(BE71&gt;2008,1,IF(BE71&gt;2001,2,IF(BE71&gt;1990,3,IF(BE71&gt;1980,4,IF(BE71&gt;1973,5,IF(BE71&gt;1970,6,IF(BE71&gt;1960,7,IF(BE71&gt;1958,8,IF(BE71&gt;1953,9,10))))))))))</f>
        <v>1</v>
      </c>
      <c r="BG71" s="175">
        <v>11.3</v>
      </c>
      <c r="BH71" t="s">
        <v>939</v>
      </c>
      <c r="BI71" t="s">
        <v>940</v>
      </c>
      <c r="BJ71" s="112"/>
      <c r="BK71" s="112"/>
      <c r="BL71" s="112"/>
    </row>
    <row r="72" spans="1:64" ht="11.25" customHeight="1" x14ac:dyDescent="0.2">
      <c r="A72" s="176" t="s">
        <v>1276</v>
      </c>
      <c r="B72" s="153" t="s">
        <v>133</v>
      </c>
      <c r="C72" s="154" t="s">
        <v>117</v>
      </c>
      <c r="D72" s="154" t="s">
        <v>978</v>
      </c>
      <c r="E72" s="155">
        <v>15</v>
      </c>
      <c r="F72" s="298">
        <v>254</v>
      </c>
      <c r="G72" s="298" t="s">
        <v>104</v>
      </c>
      <c r="H72" s="298" t="s">
        <v>104</v>
      </c>
      <c r="I72" s="156">
        <v>145.34</v>
      </c>
      <c r="J72" s="157">
        <f t="shared" si="18"/>
        <v>1.8026696023118207</v>
      </c>
      <c r="K72" s="158">
        <v>0.65500000000000003</v>
      </c>
      <c r="L72" s="126">
        <v>4</v>
      </c>
      <c r="M72" s="82">
        <f t="shared" si="19"/>
        <v>2.62</v>
      </c>
      <c r="N72" s="159" t="s">
        <v>116</v>
      </c>
      <c r="O72" s="160">
        <v>0.60250000000000004</v>
      </c>
      <c r="P72" s="161">
        <v>44690</v>
      </c>
      <c r="Q72" s="161">
        <v>44713</v>
      </c>
      <c r="R72" s="82">
        <f t="shared" si="20"/>
        <v>8.7136929460580888</v>
      </c>
      <c r="S72" s="162">
        <f>IF(INDEX([1]Historical!$D$7:$D$1229,MATCH(B72,[1]Historical!$B$7:$B$1253,0))=0,"n/a",(INDEX([1]Historical!$C$7:$C$1231,MATCH(B72,[1]Historical!$B$7:$B$1253,0))/INDEX([1]Historical!$D$7:$D$1229,MATCH(B72,[1]Historical!$B$7:$B$1253,0))-1)*100)</f>
        <v>7.1590909090909038</v>
      </c>
      <c r="T72" s="162">
        <f>IF(INDEX([1]Historical!$F$7:$F$1222,MATCH(B72,[1]Historical!$B$7:$B$1253,0))=0,"n/a",((INDEX([1]Historical!$C$7:$C$1231,MATCH(B72,[1]Historical!$B$7:$B$1253,0))/INDEX([1]Historical!$F$7:$F$1222,MATCH(B72,[1]Historical!$B$7:$B$1253,0)))^(1/3)-1)*100)</f>
        <v>9.8189363484307624</v>
      </c>
      <c r="U72" s="162">
        <f>IF(INDEX([1]Historical!$H$7:$H$1222,MATCH(B72,[1]Historical!$B$7:$B$1253,0))=0,"n/a",((INDEX([1]Historical!$C$7:$C$1231,MATCH(B72,[1]Historical!$B$7:$B$1253,0))/INDEX([1]Historical!$H$7:$H$1222,MATCH(B72,[1]Historical!$B$7:$B$1253,0)))^(1/5)-1)*100)</f>
        <v>9.9823044922414219</v>
      </c>
      <c r="V72" s="162">
        <f>IF(INDEX([1]Historical!$N$7:$N$1222,MATCH(B72,[1]Historical!$B$7:$B$1253,0))=0,"n/a",((INDEX([1]Historical!$C$7:$C$1231,MATCH(B72,[1]Historical!$B$7:$B$1253,0))/INDEX([1]Historical!$N$7:$N$1222,MATCH(B72,[1]Historical!$B$7:$B$1253,0)))^(1/10)-1)*100)</f>
        <v>10.108518477816286</v>
      </c>
      <c r="W72" s="163">
        <f t="shared" si="21"/>
        <v>0.98751409656599554</v>
      </c>
      <c r="X72" s="164">
        <f t="shared" si="22"/>
        <v>0.46214372649265839</v>
      </c>
      <c r="Y72" s="165"/>
      <c r="Z72" s="157">
        <f t="shared" si="23"/>
        <v>36.694677871148464</v>
      </c>
      <c r="AA72" s="166">
        <f t="shared" si="24"/>
        <v>20.35574229691877</v>
      </c>
      <c r="AB72" s="126">
        <v>12</v>
      </c>
      <c r="AC72" s="167">
        <v>7.14</v>
      </c>
      <c r="AD72" s="167">
        <v>2.46</v>
      </c>
      <c r="AE72" s="167">
        <v>6.75</v>
      </c>
      <c r="AF72" s="167">
        <v>3.51</v>
      </c>
      <c r="AG72" s="167">
        <v>17.8</v>
      </c>
      <c r="AH72" s="167">
        <v>78.100000000000009</v>
      </c>
      <c r="AI72" s="167">
        <v>8.3800000000000008</v>
      </c>
      <c r="AJ72" s="167">
        <v>21.6</v>
      </c>
      <c r="AK72" s="167">
        <v>8.3000000000000007</v>
      </c>
      <c r="AL72" s="168">
        <v>25820</v>
      </c>
      <c r="AM72" s="169">
        <v>0.1</v>
      </c>
      <c r="AN72" s="167">
        <v>1.54</v>
      </c>
      <c r="AO72" s="170">
        <f t="shared" si="25"/>
        <v>-8.5707682023655281</v>
      </c>
      <c r="AP72" s="171">
        <f t="shared" si="26"/>
        <v>11.784974094553242</v>
      </c>
      <c r="AQ72" s="172">
        <f t="shared" si="27"/>
        <v>78.199208705294978</v>
      </c>
      <c r="AR72" s="157">
        <f>INDEX([1]Historical!$C$7:$C$1231,MATCH(B72,[1]Historical!$B$7:$B$1253,0))*IF(AH72="n/a",1.03,IF(AH72&lt;0,1.01,IF(AH72&gt;10,1.1,(1+AH72/100))))</f>
        <v>2.5932500000000003</v>
      </c>
      <c r="AS72" s="166">
        <f t="shared" si="28"/>
        <v>2.8105643500000004</v>
      </c>
      <c r="AT72" s="166">
        <f t="shared" si="29"/>
        <v>3.0438411910500003</v>
      </c>
      <c r="AU72" s="166">
        <f t="shared" si="29"/>
        <v>3.2964800099071501</v>
      </c>
      <c r="AV72" s="166">
        <f t="shared" si="29"/>
        <v>3.5700878507294433</v>
      </c>
      <c r="AW72" s="157">
        <f t="shared" si="30"/>
        <v>15.314223401686593</v>
      </c>
      <c r="AX72" s="173">
        <f t="shared" si="31"/>
        <v>10.536826339401811</v>
      </c>
      <c r="AY72" s="174">
        <v>0.51</v>
      </c>
      <c r="AZ72" s="169">
        <v>18.38</v>
      </c>
      <c r="BA72" s="169">
        <v>-23.36</v>
      </c>
      <c r="BB72" s="169">
        <v>2.23</v>
      </c>
      <c r="BC72" s="169">
        <v>-3.6700000000000004</v>
      </c>
      <c r="BE72" s="77">
        <v>2008</v>
      </c>
      <c r="BF72" s="77">
        <f t="shared" si="32"/>
        <v>2</v>
      </c>
      <c r="BG72" s="175">
        <v>5</v>
      </c>
      <c r="BH72" t="s">
        <v>939</v>
      </c>
      <c r="BI72" t="s">
        <v>940</v>
      </c>
    </row>
    <row r="73" spans="1:64" ht="11.25" customHeight="1" x14ac:dyDescent="0.2">
      <c r="A73" s="112" t="s">
        <v>1277</v>
      </c>
      <c r="B73" s="153" t="s">
        <v>132</v>
      </c>
      <c r="C73" s="154" t="s">
        <v>117</v>
      </c>
      <c r="D73" s="154" t="s">
        <v>978</v>
      </c>
      <c r="E73" s="155">
        <v>68</v>
      </c>
      <c r="F73" s="298">
        <v>1</v>
      </c>
      <c r="G73" s="298" t="s">
        <v>30</v>
      </c>
      <c r="H73" s="298" t="s">
        <v>30</v>
      </c>
      <c r="I73" s="167">
        <v>90.46</v>
      </c>
      <c r="J73" s="157">
        <f t="shared" si="18"/>
        <v>1.7576829537917313</v>
      </c>
      <c r="K73" s="158">
        <v>0.39750000000000002</v>
      </c>
      <c r="L73" s="126">
        <v>4</v>
      </c>
      <c r="M73" s="82">
        <f t="shared" si="19"/>
        <v>1.59</v>
      </c>
      <c r="N73" s="159" t="s">
        <v>116</v>
      </c>
      <c r="O73" s="160">
        <v>0.36499999999999999</v>
      </c>
      <c r="P73" s="161">
        <v>44785</v>
      </c>
      <c r="Q73" s="161">
        <v>44805</v>
      </c>
      <c r="R73" s="82">
        <f t="shared" si="20"/>
        <v>8.9041095890411039</v>
      </c>
      <c r="S73" s="162">
        <f>IF(INDEX([1]Historical!$D$7:$D$1229,MATCH(B73,[1]Historical!$B$7:$B$1253,0))=0,"n/a",(INDEX([1]Historical!$C$7:$C$1231,MATCH(B73,[1]Historical!$B$7:$B$1253,0))/INDEX([1]Historical!$D$7:$D$1229,MATCH(B73,[1]Historical!$B$7:$B$1253,0))-1)*100)</f>
        <v>9.375</v>
      </c>
      <c r="T73" s="162">
        <f>IF(INDEX([1]Historical!$F$7:$F$1222,MATCH(B73,[1]Historical!$B$7:$B$1253,0))=0,"n/a",((INDEX([1]Historical!$C$7:$C$1231,MATCH(B73,[1]Historical!$B$7:$B$1253,0))/INDEX([1]Historical!$F$7:$F$1222,MATCH(B73,[1]Historical!$B$7:$B$1253,0)))^(1/3)-1)*100)</f>
        <v>9.7170335131538277</v>
      </c>
      <c r="U73" s="162">
        <f>IF(INDEX([1]Historical!$H$7:$H$1222,MATCH(B73,[1]Historical!$B$7:$B$1253,0))=0,"n/a",((INDEX([1]Historical!$C$7:$C$1231,MATCH(B73,[1]Historical!$B$7:$B$1253,0))/INDEX([1]Historical!$H$7:$H$1222,MATCH(B73,[1]Historical!$B$7:$B$1253,0)))^(1/5)-1)*100)</f>
        <v>8.902128458125059</v>
      </c>
      <c r="V73" s="162">
        <f>IF(INDEX([1]Historical!$N$7:$N$1222,MATCH(B73,[1]Historical!$B$7:$B$1253,0))=0,"n/a",((INDEX([1]Historical!$C$7:$C$1231,MATCH(B73,[1]Historical!$B$7:$B$1253,0))/INDEX([1]Historical!$N$7:$N$1222,MATCH(B73,[1]Historical!$B$7:$B$1253,0)))^(1/10)-1)*100)</f>
        <v>9.7934759492371626</v>
      </c>
      <c r="W73" s="163">
        <f t="shared" si="21"/>
        <v>0.90898558430814003</v>
      </c>
      <c r="X73" s="164">
        <f t="shared" si="22"/>
        <v>0.9370661534868483</v>
      </c>
      <c r="Y73" s="212"/>
      <c r="Z73" s="157">
        <f t="shared" si="23"/>
        <v>71.300448430493276</v>
      </c>
      <c r="AA73" s="166">
        <f t="shared" si="24"/>
        <v>40.56502242152466</v>
      </c>
      <c r="AB73" s="126">
        <v>12</v>
      </c>
      <c r="AC73" s="167">
        <v>2.23</v>
      </c>
      <c r="AD73" s="167">
        <v>9.16</v>
      </c>
      <c r="AE73" s="167">
        <v>6.65</v>
      </c>
      <c r="AF73" s="167">
        <v>4.7699999999999996</v>
      </c>
      <c r="AG73" s="167">
        <v>12</v>
      </c>
      <c r="AH73" s="167">
        <v>9.1999999999999993</v>
      </c>
      <c r="AI73" s="167">
        <v>6.34</v>
      </c>
      <c r="AJ73" s="167">
        <v>9.5</v>
      </c>
      <c r="AK73" s="167">
        <v>4.3999999999999995</v>
      </c>
      <c r="AL73" s="168">
        <v>3220</v>
      </c>
      <c r="AM73" s="169">
        <v>0.2</v>
      </c>
      <c r="AN73" s="167">
        <v>0.97</v>
      </c>
      <c r="AO73" s="170">
        <f t="shared" si="25"/>
        <v>-29.905211009607868</v>
      </c>
      <c r="AP73" s="171">
        <f t="shared" si="26"/>
        <v>10.65981141191679</v>
      </c>
      <c r="AQ73" s="172">
        <f t="shared" si="27"/>
        <v>193.25389602464321</v>
      </c>
      <c r="AR73" s="157">
        <f>INDEX([1]Historical!$C$7:$C$1231,MATCH(B73,[1]Historical!$B$7:$B$1253,0))*IF(AH73="n/a",1.03,IF(AH73&lt;0,1.01,IF(AH73&gt;10,1.1,(1+AH73/100))))</f>
        <v>1.5287999999999999</v>
      </c>
      <c r="AS73" s="166">
        <f t="shared" si="28"/>
        <v>1.6257259199999998</v>
      </c>
      <c r="AT73" s="166">
        <f t="shared" si="29"/>
        <v>1.6972578604799999</v>
      </c>
      <c r="AU73" s="166">
        <f t="shared" si="29"/>
        <v>1.7719372063411201</v>
      </c>
      <c r="AV73" s="166">
        <f t="shared" si="29"/>
        <v>1.8499024434201294</v>
      </c>
      <c r="AW73" s="157">
        <f t="shared" si="30"/>
        <v>8.4736234302412488</v>
      </c>
      <c r="AX73" s="173">
        <f t="shared" si="31"/>
        <v>9.3672600378523647</v>
      </c>
      <c r="AY73" s="174">
        <v>0.35</v>
      </c>
      <c r="AZ73" s="169">
        <v>27.01</v>
      </c>
      <c r="BA73" s="169">
        <v>-12.83</v>
      </c>
      <c r="BB73" s="169">
        <v>7.62</v>
      </c>
      <c r="BC73" s="169">
        <v>7.51</v>
      </c>
      <c r="BE73" s="77">
        <v>1955</v>
      </c>
      <c r="BF73" s="77">
        <f t="shared" si="32"/>
        <v>9</v>
      </c>
      <c r="BG73" s="175">
        <v>4.3</v>
      </c>
      <c r="BH73" t="s">
        <v>939</v>
      </c>
      <c r="BI73" t="s">
        <v>940</v>
      </c>
    </row>
    <row r="74" spans="1:64" ht="11.25" customHeight="1" x14ac:dyDescent="0.2">
      <c r="A74" s="176" t="s">
        <v>1278</v>
      </c>
      <c r="B74" s="153" t="s">
        <v>163</v>
      </c>
      <c r="C74" s="154" t="s">
        <v>90</v>
      </c>
      <c r="D74" s="154" t="s">
        <v>110</v>
      </c>
      <c r="E74" s="155">
        <v>20</v>
      </c>
      <c r="F74" s="298">
        <v>172</v>
      </c>
      <c r="G74" s="298" t="s">
        <v>88</v>
      </c>
      <c r="H74" s="298" t="s">
        <v>88</v>
      </c>
      <c r="I74" s="156">
        <v>54.67</v>
      </c>
      <c r="J74" s="157">
        <f t="shared" si="18"/>
        <v>3.146149625022864</v>
      </c>
      <c r="K74" s="158">
        <v>0.43</v>
      </c>
      <c r="L74" s="126">
        <v>4</v>
      </c>
      <c r="M74" s="82">
        <f t="shared" si="19"/>
        <v>1.72</v>
      </c>
      <c r="N74" s="159" t="s">
        <v>112</v>
      </c>
      <c r="O74" s="160">
        <v>0.42</v>
      </c>
      <c r="P74" s="161">
        <v>44559</v>
      </c>
      <c r="Q74" s="161">
        <v>44579</v>
      </c>
      <c r="R74" s="82">
        <f t="shared" si="20"/>
        <v>2.3809523809523832</v>
      </c>
      <c r="S74" s="162">
        <f>IF(INDEX([1]Historical!$D$7:$D$1229,MATCH(B74,[1]Historical!$B$7:$B$1253,0))=0,"n/a",(INDEX([1]Historical!$C$7:$C$1231,MATCH(B74,[1]Historical!$B$7:$B$1253,0))/INDEX([1]Historical!$D$7:$D$1229,MATCH(B74,[1]Historical!$B$7:$B$1253,0))-1)*100)</f>
        <v>2.4390243902439046</v>
      </c>
      <c r="T74" s="162">
        <f>IF(INDEX([1]Historical!$F$7:$F$1222,MATCH(B74,[1]Historical!$B$7:$B$1253,0))=0,"n/a",((INDEX([1]Historical!$C$7:$C$1231,MATCH(B74,[1]Historical!$B$7:$B$1253,0))/INDEX([1]Historical!$F$7:$F$1222,MATCH(B74,[1]Historical!$B$7:$B$1253,0)))^(1/3)-1)*100)</f>
        <v>2.501029596576787</v>
      </c>
      <c r="U74" s="162">
        <f>IF(INDEX([1]Historical!$H$7:$H$1222,MATCH(B74,[1]Historical!$B$7:$B$1253,0))=0,"n/a",((INDEX([1]Historical!$C$7:$C$1231,MATCH(B74,[1]Historical!$B$7:$B$1253,0))/INDEX([1]Historical!$H$7:$H$1222,MATCH(B74,[1]Historical!$B$7:$B$1253,0)))^(1/5)-1)*100)</f>
        <v>3.7137289336648172</v>
      </c>
      <c r="V74" s="162">
        <f>IF(INDEX([1]Historical!$N$7:$N$1222,MATCH(B74,[1]Historical!$B$7:$B$1253,0))=0,"n/a",((INDEX([1]Historical!$C$7:$C$1231,MATCH(B74,[1]Historical!$B$7:$B$1253,0))/INDEX([1]Historical!$N$7:$N$1222,MATCH(B74,[1]Historical!$B$7:$B$1253,0)))^(1/10)-1)*100)</f>
        <v>6.2067563844542484</v>
      </c>
      <c r="W74" s="163">
        <f t="shared" si="21"/>
        <v>0.59833650680513384</v>
      </c>
      <c r="X74" s="164">
        <f t="shared" si="22"/>
        <v>0.58948078312139951</v>
      </c>
      <c r="Y74" s="181"/>
      <c r="Z74" s="157">
        <f t="shared" si="23"/>
        <v>35.610766045548651</v>
      </c>
      <c r="AA74" s="166">
        <f t="shared" si="24"/>
        <v>11.318840579710145</v>
      </c>
      <c r="AB74" s="126">
        <v>12</v>
      </c>
      <c r="AC74" s="167">
        <v>4.83</v>
      </c>
      <c r="AD74" s="167">
        <v>0.92</v>
      </c>
      <c r="AE74" s="167">
        <v>0.82</v>
      </c>
      <c r="AF74" s="179">
        <v>1.18</v>
      </c>
      <c r="AG74" s="167">
        <v>6.8000000000000007</v>
      </c>
      <c r="AH74" s="179">
        <v>485.79999999999995</v>
      </c>
      <c r="AI74" s="179">
        <v>33.29</v>
      </c>
      <c r="AJ74" s="167">
        <v>6.3</v>
      </c>
      <c r="AK74" s="167">
        <v>12</v>
      </c>
      <c r="AL74" s="168">
        <v>4270</v>
      </c>
      <c r="AM74" s="169">
        <v>0.1</v>
      </c>
      <c r="AN74" s="167">
        <v>0.35</v>
      </c>
      <c r="AO74" s="170">
        <f t="shared" si="25"/>
        <v>-4.4589620210224634</v>
      </c>
      <c r="AP74" s="171">
        <f t="shared" si="26"/>
        <v>6.8598785586876811</v>
      </c>
      <c r="AQ74" s="172">
        <f t="shared" si="27"/>
        <v>-22.953890042512082</v>
      </c>
      <c r="AR74" s="157">
        <f>INDEX([1]Historical!$C$7:$C$1231,MATCH(B74,[1]Historical!$B$7:$B$1253,0))*IF(AH74="n/a",1.03,IF(AH74&lt;0,1.01,IF(AH74&gt;10,1.1,(1+AH74/100))))</f>
        <v>1.8480000000000001</v>
      </c>
      <c r="AS74" s="166">
        <f t="shared" si="28"/>
        <v>2.0328000000000004</v>
      </c>
      <c r="AT74" s="166">
        <f t="shared" si="29"/>
        <v>2.2360800000000007</v>
      </c>
      <c r="AU74" s="166">
        <f t="shared" si="29"/>
        <v>2.4596880000000012</v>
      </c>
      <c r="AV74" s="166">
        <f t="shared" si="29"/>
        <v>2.7056568000000016</v>
      </c>
      <c r="AW74" s="157">
        <f t="shared" si="30"/>
        <v>11.282224800000005</v>
      </c>
      <c r="AX74" s="173">
        <f t="shared" si="31"/>
        <v>20.636957746478881</v>
      </c>
      <c r="AY74" s="174">
        <v>0.73</v>
      </c>
      <c r="AZ74" s="169">
        <v>13.139999999999999</v>
      </c>
      <c r="BA74" s="169">
        <v>-10.95</v>
      </c>
      <c r="BB74" s="169">
        <v>4.9799999999999995</v>
      </c>
      <c r="BC74" s="169">
        <v>-0.19</v>
      </c>
      <c r="BE74" s="77">
        <v>2003</v>
      </c>
      <c r="BF74" s="77">
        <f t="shared" si="32"/>
        <v>2</v>
      </c>
      <c r="BG74" s="175">
        <v>1.0999999999999999</v>
      </c>
      <c r="BH74" t="s">
        <v>939</v>
      </c>
      <c r="BI74" t="s">
        <v>940</v>
      </c>
    </row>
    <row r="75" spans="1:64" ht="11.25" customHeight="1" x14ac:dyDescent="0.2">
      <c r="A75" s="205" t="s">
        <v>1279</v>
      </c>
      <c r="B75" s="153" t="s">
        <v>985</v>
      </c>
      <c r="C75" s="154" t="s">
        <v>117</v>
      </c>
      <c r="D75" s="154" t="s">
        <v>958</v>
      </c>
      <c r="E75" s="155">
        <v>6</v>
      </c>
      <c r="F75" s="298">
        <v>684</v>
      </c>
      <c r="G75" s="298" t="s">
        <v>88</v>
      </c>
      <c r="H75" s="298" t="s">
        <v>88</v>
      </c>
      <c r="I75" s="156">
        <v>27.71</v>
      </c>
      <c r="J75" s="157">
        <f t="shared" si="18"/>
        <v>6.4236737639841213</v>
      </c>
      <c r="K75" s="158">
        <v>0.44500000000000001</v>
      </c>
      <c r="L75" s="126">
        <v>4</v>
      </c>
      <c r="M75" s="82">
        <f t="shared" si="19"/>
        <v>1.78</v>
      </c>
      <c r="N75" s="159" t="s">
        <v>167</v>
      </c>
      <c r="O75" s="160">
        <v>0.44</v>
      </c>
      <c r="P75" s="161">
        <v>44803</v>
      </c>
      <c r="Q75" s="161">
        <v>44819</v>
      </c>
      <c r="R75" s="82">
        <f t="shared" si="20"/>
        <v>1.1363636363636374</v>
      </c>
      <c r="S75" s="162">
        <f>IF(INDEX([1]Historical!$D$7:$D$1229,MATCH(B75,[1]Historical!$B$7:$B$1253,0))=0,"n/a",(INDEX([1]Historical!$C$7:$C$1231,MATCH(B75,[1]Historical!$B$7:$B$1253,0))/INDEX([1]Historical!$D$7:$D$1229,MATCH(B75,[1]Historical!$B$7:$B$1253,0))-1)*100)</f>
        <v>3.3132530120482118</v>
      </c>
      <c r="T75" s="162">
        <f>IF(INDEX([1]Historical!$F$7:$F$1222,MATCH(B75,[1]Historical!$B$7:$B$1253,0))=0,"n/a",((INDEX([1]Historical!$C$7:$C$1231,MATCH(B75,[1]Historical!$B$7:$B$1253,0))/INDEX([1]Historical!$F$7:$F$1222,MATCH(B75,[1]Historical!$B$7:$B$1253,0)))^(1/3)-1)*100)</f>
        <v>8.8439166634804565</v>
      </c>
      <c r="U75" s="162">
        <f>IF(INDEX([1]Historical!$H$7:$H$1222,MATCH(B75,[1]Historical!$B$7:$B$1253,0))=0,"n/a",((INDEX([1]Historical!$C$7:$C$1231,MATCH(B75,[1]Historical!$B$7:$B$1253,0))/INDEX([1]Historical!$H$7:$H$1222,MATCH(B75,[1]Historical!$B$7:$B$1253,0)))^(1/5)-1)*100)</f>
        <v>30.506813067201264</v>
      </c>
      <c r="V75" s="162" t="str">
        <f>IF(INDEX([1]Historical!$N$7:$N$1222,MATCH(B75,[1]Historical!$B$7:$B$1253,0))=0,"n/a",((INDEX([1]Historical!$C$7:$C$1231,MATCH(B75,[1]Historical!$B$7:$B$1253,0))/INDEX([1]Historical!$N$7:$N$1222,MATCH(B75,[1]Historical!$B$7:$B$1253,0)))^(1/10)-1)*100)</f>
        <v>n/a</v>
      </c>
      <c r="W75" s="163" t="str">
        <f t="shared" si="21"/>
        <v>n/a</v>
      </c>
      <c r="X75" s="164" t="str">
        <f t="shared" si="22"/>
        <v>n/a</v>
      </c>
      <c r="Y75" s="180"/>
      <c r="Z75" s="157" t="str">
        <f t="shared" si="23"/>
        <v>n/a</v>
      </c>
      <c r="AA75" s="166" t="str">
        <f t="shared" si="24"/>
        <v>n/a</v>
      </c>
      <c r="AB75" s="126">
        <v>12</v>
      </c>
      <c r="AC75" s="167">
        <v>-0.18</v>
      </c>
      <c r="AD75" s="167" t="s">
        <v>95</v>
      </c>
      <c r="AE75" s="167">
        <v>2.68</v>
      </c>
      <c r="AF75" s="167">
        <v>1.98</v>
      </c>
      <c r="AG75" s="167">
        <v>-1.2</v>
      </c>
      <c r="AH75" s="167">
        <v>-334.1</v>
      </c>
      <c r="AI75" s="167">
        <v>86.63</v>
      </c>
      <c r="AJ75" s="167">
        <v>-41.099999999999994</v>
      </c>
      <c r="AK75" s="167" t="s">
        <v>95</v>
      </c>
      <c r="AL75" s="168">
        <v>3090</v>
      </c>
      <c r="AM75" s="169">
        <v>43.519999999999996</v>
      </c>
      <c r="AN75" s="167">
        <v>3.57</v>
      </c>
      <c r="AO75" s="170" t="str">
        <f t="shared" si="25"/>
        <v>n/a</v>
      </c>
      <c r="AP75" s="171">
        <f t="shared" si="26"/>
        <v>36.930486831185384</v>
      </c>
      <c r="AQ75" s="172" t="str">
        <f t="shared" si="27"/>
        <v>n/a</v>
      </c>
      <c r="AR75" s="157">
        <f>INDEX([1]Historical!$C$7:$C$1231,MATCH(B75,[1]Historical!$B$7:$B$1253,0))*IF(AH75="n/a",1.03,IF(AH75&lt;0,1.01,IF(AH75&gt;10,1.1,(1+AH75/100))))</f>
        <v>1.7321500000000001</v>
      </c>
      <c r="AS75" s="166">
        <f t="shared" si="28"/>
        <v>1.9053650000000002</v>
      </c>
      <c r="AT75" s="166">
        <f t="shared" si="29"/>
        <v>1.9625259500000003</v>
      </c>
      <c r="AU75" s="166">
        <f t="shared" si="29"/>
        <v>2.0214017285000003</v>
      </c>
      <c r="AV75" s="166">
        <f t="shared" si="29"/>
        <v>2.0820437803550003</v>
      </c>
      <c r="AW75" s="157">
        <f t="shared" si="30"/>
        <v>9.7034864588550018</v>
      </c>
      <c r="AX75" s="173">
        <f t="shared" si="31"/>
        <v>35.017995160068573</v>
      </c>
      <c r="AY75" s="174">
        <v>0.82</v>
      </c>
      <c r="AZ75" s="169">
        <v>13.469999999999999</v>
      </c>
      <c r="BA75" s="169">
        <v>-32.940000000000005</v>
      </c>
      <c r="BB75" s="169">
        <v>-6.81</v>
      </c>
      <c r="BC75" s="169">
        <v>-14.2</v>
      </c>
      <c r="BE75" s="77">
        <v>2017</v>
      </c>
      <c r="BF75" s="77">
        <f t="shared" si="32"/>
        <v>1</v>
      </c>
      <c r="BG75" s="175">
        <v>-0.2</v>
      </c>
      <c r="BH75" t="s">
        <v>939</v>
      </c>
      <c r="BI75" t="s">
        <v>940</v>
      </c>
      <c r="BJ75" s="112"/>
      <c r="BK75" s="112"/>
      <c r="BL75" s="112"/>
    </row>
    <row r="76" spans="1:64" ht="11.25" customHeight="1" x14ac:dyDescent="0.2">
      <c r="A76" s="204" t="s">
        <v>1280</v>
      </c>
      <c r="B76" s="153" t="s">
        <v>897</v>
      </c>
      <c r="C76" s="154" t="s">
        <v>90</v>
      </c>
      <c r="D76" s="154" t="s">
        <v>969</v>
      </c>
      <c r="E76" s="155">
        <v>9</v>
      </c>
      <c r="F76" s="298">
        <v>557</v>
      </c>
      <c r="G76" s="298" t="s">
        <v>88</v>
      </c>
      <c r="H76" s="298" t="s">
        <v>88</v>
      </c>
      <c r="I76" s="116">
        <v>36.04</v>
      </c>
      <c r="J76" s="157">
        <f t="shared" si="18"/>
        <v>2.4417314095449503</v>
      </c>
      <c r="K76" s="209">
        <v>0.22</v>
      </c>
      <c r="L76" s="298">
        <v>4</v>
      </c>
      <c r="M76" s="82">
        <f t="shared" si="19"/>
        <v>0.88</v>
      </c>
      <c r="N76" s="298" t="s">
        <v>119</v>
      </c>
      <c r="O76" s="210">
        <v>0.21</v>
      </c>
      <c r="P76" s="161">
        <v>44805</v>
      </c>
      <c r="Q76" s="161">
        <v>44834</v>
      </c>
      <c r="R76" s="82">
        <f t="shared" si="20"/>
        <v>4.7619047619047663</v>
      </c>
      <c r="S76" s="162">
        <f>IF(INDEX([1]Historical!$D$7:$D$1229,MATCH(B76,[1]Historical!$B$7:$B$1253,0))=0,"n/a",(INDEX([1]Historical!$C$7:$C$1231,MATCH(B76,[1]Historical!$B$7:$B$1253,0))/INDEX([1]Historical!$D$7:$D$1229,MATCH(B76,[1]Historical!$B$7:$B$1253,0))-1)*100)</f>
        <v>8.3333333333333481</v>
      </c>
      <c r="T76" s="162">
        <f>IF(INDEX([1]Historical!$F$7:$F$1222,MATCH(B76,[1]Historical!$B$7:$B$1253,0))=0,"n/a",((INDEX([1]Historical!$C$7:$C$1231,MATCH(B76,[1]Historical!$B$7:$B$1253,0))/INDEX([1]Historical!$F$7:$F$1222,MATCH(B76,[1]Historical!$B$7:$B$1253,0)))^(1/3)-1)*100)</f>
        <v>13.040381433805548</v>
      </c>
      <c r="U76" s="162">
        <f>IF(INDEX([1]Historical!$H$7:$H$1222,MATCH(B76,[1]Historical!$B$7:$B$1253,0))=0,"n/a",((INDEX([1]Historical!$C$7:$C$1231,MATCH(B76,[1]Historical!$B$7:$B$1253,0))/INDEX([1]Historical!$H$7:$H$1222,MATCH(B76,[1]Historical!$B$7:$B$1253,0)))^(1/5)-1)*100)</f>
        <v>25.554105646137248</v>
      </c>
      <c r="V76" s="162">
        <f>IF(INDEX([1]Historical!$N$7:$N$1222,MATCH(B76,[1]Historical!$B$7:$B$1253,0))=0,"n/a",((INDEX([1]Historical!$C$7:$C$1231,MATCH(B76,[1]Historical!$B$7:$B$1253,0))/INDEX([1]Historical!$N$7:$N$1222,MATCH(B76,[1]Historical!$B$7:$B$1253,0)))^(1/10)-1)*100)</f>
        <v>34.58710800145257</v>
      </c>
      <c r="W76" s="163">
        <f t="shared" si="21"/>
        <v>0.73883325674595401</v>
      </c>
      <c r="X76" s="164">
        <f t="shared" si="22"/>
        <v>1.3379112903736778</v>
      </c>
      <c r="Y76" s="220"/>
      <c r="Z76" s="157">
        <f t="shared" si="23"/>
        <v>27.848101265822784</v>
      </c>
      <c r="AA76" s="166">
        <f t="shared" si="24"/>
        <v>11.405063291139239</v>
      </c>
      <c r="AB76" s="126">
        <v>12</v>
      </c>
      <c r="AC76" s="116">
        <v>3.16</v>
      </c>
      <c r="AD76" s="116">
        <v>1.93</v>
      </c>
      <c r="AE76" s="116">
        <v>4.79</v>
      </c>
      <c r="AF76" s="116">
        <v>1.22</v>
      </c>
      <c r="AG76" s="116">
        <v>12.2</v>
      </c>
      <c r="AH76" s="116">
        <v>90.7</v>
      </c>
      <c r="AI76" s="116">
        <v>16.170000000000002</v>
      </c>
      <c r="AJ76" s="116">
        <v>19.100000000000001</v>
      </c>
      <c r="AK76" s="116">
        <v>5.93</v>
      </c>
      <c r="AL76" s="116">
        <v>287840</v>
      </c>
      <c r="AM76" s="116">
        <v>0.13999999999999999</v>
      </c>
      <c r="AN76" s="116">
        <v>2.11</v>
      </c>
      <c r="AO76" s="170">
        <f t="shared" si="25"/>
        <v>16.590773764542959</v>
      </c>
      <c r="AP76" s="171">
        <f t="shared" si="26"/>
        <v>27.995837055682198</v>
      </c>
      <c r="AQ76" s="172">
        <f t="shared" si="27"/>
        <v>-21.361086208502289</v>
      </c>
      <c r="AR76" s="157">
        <f>INDEX([1]Historical!$C$7:$C$1231,MATCH(B76,[1]Historical!$B$7:$B$1253,0))*IF(AH76="n/a",1.03,IF(AH76&lt;0,1.01,IF(AH76&gt;10,1.1,(1+AH76/100))))</f>
        <v>0.8580000000000001</v>
      </c>
      <c r="AS76" s="166">
        <f t="shared" si="28"/>
        <v>0.94380000000000019</v>
      </c>
      <c r="AT76" s="166">
        <f t="shared" si="29"/>
        <v>0.99976734000000012</v>
      </c>
      <c r="AU76" s="166">
        <f t="shared" si="29"/>
        <v>1.0590535432620001</v>
      </c>
      <c r="AV76" s="166">
        <f t="shared" si="29"/>
        <v>1.1218554183774365</v>
      </c>
      <c r="AW76" s="157">
        <f t="shared" si="30"/>
        <v>4.9824763016394371</v>
      </c>
      <c r="AX76" s="173">
        <f t="shared" si="31"/>
        <v>13.824851003439059</v>
      </c>
      <c r="AY76" s="225">
        <v>1.39</v>
      </c>
      <c r="AZ76" s="175">
        <v>22.96</v>
      </c>
      <c r="BA76" s="175">
        <v>-28.08</v>
      </c>
      <c r="BB76" s="175">
        <v>8.2199999999999989</v>
      </c>
      <c r="BC76" s="175">
        <v>-3.17</v>
      </c>
      <c r="BE76" s="77">
        <v>2014</v>
      </c>
      <c r="BF76" s="77">
        <f t="shared" si="32"/>
        <v>1</v>
      </c>
      <c r="BG76" s="175">
        <v>0.89999999999999991</v>
      </c>
      <c r="BH76" t="s">
        <v>939</v>
      </c>
      <c r="BI76" t="s">
        <v>940</v>
      </c>
    </row>
    <row r="77" spans="1:64" ht="11.25" customHeight="1" x14ac:dyDescent="0.2">
      <c r="A77" s="176" t="s">
        <v>1281</v>
      </c>
      <c r="B77" s="153" t="s">
        <v>688</v>
      </c>
      <c r="C77" s="154" t="s">
        <v>922</v>
      </c>
      <c r="D77" s="154" t="s">
        <v>949</v>
      </c>
      <c r="E77" s="155">
        <v>11</v>
      </c>
      <c r="F77" s="298">
        <v>408</v>
      </c>
      <c r="G77" s="298" t="s">
        <v>88</v>
      </c>
      <c r="H77" s="298" t="s">
        <v>88</v>
      </c>
      <c r="I77" s="156">
        <v>108.85</v>
      </c>
      <c r="J77" s="157">
        <f t="shared" si="18"/>
        <v>1.5801561782269178</v>
      </c>
      <c r="K77" s="158">
        <v>0.43</v>
      </c>
      <c r="L77" s="126">
        <v>4</v>
      </c>
      <c r="M77" s="82">
        <f t="shared" si="19"/>
        <v>1.72</v>
      </c>
      <c r="N77" s="159" t="s">
        <v>143</v>
      </c>
      <c r="O77" s="160">
        <v>0.37</v>
      </c>
      <c r="P77" s="161">
        <v>44602</v>
      </c>
      <c r="Q77" s="161">
        <v>44622</v>
      </c>
      <c r="R77" s="82">
        <f t="shared" si="20"/>
        <v>16.216216216216218</v>
      </c>
      <c r="S77" s="162">
        <f>IF(INDEX([1]Historical!$D$7:$D$1229,MATCH(B77,[1]Historical!$B$7:$B$1253,0))=0,"n/a",(INDEX([1]Historical!$C$7:$C$1231,MATCH(B77,[1]Historical!$B$7:$B$1253,0))/INDEX([1]Historical!$D$7:$D$1229,MATCH(B77,[1]Historical!$B$7:$B$1253,0))-1)*100)</f>
        <v>19.354838709677423</v>
      </c>
      <c r="T77" s="162">
        <f>IF(INDEX([1]Historical!$F$7:$F$1222,MATCH(B77,[1]Historical!$B$7:$B$1253,0))=0,"n/a",((INDEX([1]Historical!$C$7:$C$1231,MATCH(B77,[1]Historical!$B$7:$B$1253,0))/INDEX([1]Historical!$F$7:$F$1222,MATCH(B77,[1]Historical!$B$7:$B$1253,0)))^(1/3)-1)*100)</f>
        <v>24.87707213199899</v>
      </c>
      <c r="U77" s="162">
        <f>IF(INDEX([1]Historical!$H$7:$H$1222,MATCH(B77,[1]Historical!$B$7:$B$1253,0))=0,"n/a",((INDEX([1]Historical!$C$7:$C$1231,MATCH(B77,[1]Historical!$B$7:$B$1253,0))/INDEX([1]Historical!$H$7:$H$1222,MATCH(B77,[1]Historical!$B$7:$B$1253,0)))^(1/5)-1)*100)</f>
        <v>19.790421488235886</v>
      </c>
      <c r="V77" s="162" t="str">
        <f>IF(INDEX([1]Historical!$N$7:$N$1222,MATCH(B77,[1]Historical!$B$7:$B$1253,0))=0,"n/a",((INDEX([1]Historical!$C$7:$C$1231,MATCH(B77,[1]Historical!$B$7:$B$1253,0))/INDEX([1]Historical!$N$7:$N$1222,MATCH(B77,[1]Historical!$B$7:$B$1253,0)))^(1/10)-1)*100)</f>
        <v>n/a</v>
      </c>
      <c r="W77" s="163" t="str">
        <f t="shared" si="21"/>
        <v>n/a</v>
      </c>
      <c r="X77" s="164">
        <f t="shared" si="22"/>
        <v>1.3282162072641535</v>
      </c>
      <c r="Y77" s="178"/>
      <c r="Z77" s="157">
        <f t="shared" si="23"/>
        <v>45.14435695538058</v>
      </c>
      <c r="AA77" s="166">
        <f t="shared" si="24"/>
        <v>28.569553805774277</v>
      </c>
      <c r="AB77" s="126">
        <v>3</v>
      </c>
      <c r="AC77" s="167">
        <v>3.81</v>
      </c>
      <c r="AD77" s="167">
        <v>3.81</v>
      </c>
      <c r="AE77" s="167">
        <v>1.59</v>
      </c>
      <c r="AF77" s="167">
        <v>13.11</v>
      </c>
      <c r="AG77" s="167" t="s">
        <v>95</v>
      </c>
      <c r="AH77" s="179">
        <v>-21.2</v>
      </c>
      <c r="AI77" s="179">
        <v>11.379999999999999</v>
      </c>
      <c r="AJ77" s="167">
        <v>14.899999999999999</v>
      </c>
      <c r="AK77" s="167">
        <v>7.5</v>
      </c>
      <c r="AL77" s="168">
        <v>13710</v>
      </c>
      <c r="AM77" s="169">
        <v>1</v>
      </c>
      <c r="AN77" s="167">
        <v>2.33</v>
      </c>
      <c r="AO77" s="170">
        <f t="shared" si="25"/>
        <v>-7.1989761393114726</v>
      </c>
      <c r="AP77" s="171">
        <f t="shared" si="26"/>
        <v>21.370577666462804</v>
      </c>
      <c r="AQ77" s="172">
        <f t="shared" si="27"/>
        <v>308.00155249906192</v>
      </c>
      <c r="AR77" s="157">
        <f>INDEX([1]Historical!$C$7:$C$1231,MATCH(B77,[1]Historical!$B$7:$B$1253,0))*IF(AH77="n/a",1.03,IF(AH77&lt;0,1.01,IF(AH77&gt;10,1.1,(1+AH77/100))))</f>
        <v>1.4947999999999999</v>
      </c>
      <c r="AS77" s="166">
        <f t="shared" si="28"/>
        <v>1.64428</v>
      </c>
      <c r="AT77" s="166">
        <f t="shared" si="29"/>
        <v>1.767601</v>
      </c>
      <c r="AU77" s="166">
        <f t="shared" si="29"/>
        <v>1.9001710749999998</v>
      </c>
      <c r="AV77" s="166">
        <f t="shared" si="29"/>
        <v>2.0426839056249997</v>
      </c>
      <c r="AW77" s="157">
        <f t="shared" si="30"/>
        <v>8.8495359806249994</v>
      </c>
      <c r="AX77" s="173">
        <f t="shared" si="31"/>
        <v>8.1300284617593022</v>
      </c>
      <c r="AY77" s="174">
        <v>0.64</v>
      </c>
      <c r="AZ77" s="169">
        <v>56.210000000000008</v>
      </c>
      <c r="BA77" s="169">
        <v>-1.1100000000000001</v>
      </c>
      <c r="BB77" s="169">
        <v>12.4</v>
      </c>
      <c r="BC77" s="169">
        <v>22.74</v>
      </c>
      <c r="BE77" s="77">
        <v>2012</v>
      </c>
      <c r="BF77" s="77">
        <f t="shared" si="32"/>
        <v>1</v>
      </c>
      <c r="BG77" s="175" t="s">
        <v>95</v>
      </c>
      <c r="BH77" t="s">
        <v>939</v>
      </c>
      <c r="BI77" t="s">
        <v>940</v>
      </c>
    </row>
    <row r="78" spans="1:64" ht="11.25" customHeight="1" x14ac:dyDescent="0.2">
      <c r="A78" s="112" t="s">
        <v>689</v>
      </c>
      <c r="B78" s="153" t="s">
        <v>690</v>
      </c>
      <c r="C78" s="154" t="s">
        <v>90</v>
      </c>
      <c r="D78" s="154" t="s">
        <v>972</v>
      </c>
      <c r="E78" s="155">
        <v>11</v>
      </c>
      <c r="F78" s="298">
        <v>410</v>
      </c>
      <c r="G78" s="298" t="s">
        <v>88</v>
      </c>
      <c r="H78" s="298" t="s">
        <v>88</v>
      </c>
      <c r="I78" s="156">
        <v>39.61</v>
      </c>
      <c r="J78" s="157">
        <f t="shared" si="18"/>
        <v>1.4137843978793236</v>
      </c>
      <c r="K78" s="158">
        <v>0.14000000000000001</v>
      </c>
      <c r="L78" s="126">
        <v>4</v>
      </c>
      <c r="M78" s="82">
        <f t="shared" si="19"/>
        <v>0.56000000000000005</v>
      </c>
      <c r="N78" s="159" t="s">
        <v>628</v>
      </c>
      <c r="O78" s="226">
        <v>0.13</v>
      </c>
      <c r="P78" s="161">
        <v>44617</v>
      </c>
      <c r="Q78" s="161">
        <v>44651</v>
      </c>
      <c r="R78" s="82">
        <f t="shared" si="20"/>
        <v>7.6923076923076987</v>
      </c>
      <c r="S78" s="162">
        <f>IF(INDEX([1]Historical!$D$7:$D$1229,MATCH(B78,[1]Historical!$B$7:$B$1253,0))=0,"n/a",(INDEX([1]Historical!$C$7:$C$1231,MATCH(B78,[1]Historical!$B$7:$B$1253,0))/INDEX([1]Historical!$D$7:$D$1229,MATCH(B78,[1]Historical!$B$7:$B$1253,0))-1)*100)</f>
        <v>8.3333333333333481</v>
      </c>
      <c r="T78" s="162">
        <f>IF(INDEX([1]Historical!$F$7:$F$1222,MATCH(B78,[1]Historical!$B$7:$B$1253,0))=0,"n/a",((INDEX([1]Historical!$C$7:$C$1231,MATCH(B78,[1]Historical!$B$7:$B$1253,0))/INDEX([1]Historical!$F$7:$F$1222,MATCH(B78,[1]Historical!$B$7:$B$1253,0)))^(1/3)-1)*100)</f>
        <v>9.1392883061105934</v>
      </c>
      <c r="U78" s="162">
        <f>IF(INDEX([1]Historical!$H$7:$H$1222,MATCH(B78,[1]Historical!$B$7:$B$1253,0))=0,"n/a",((INDEX([1]Historical!$C$7:$C$1231,MATCH(B78,[1]Historical!$B$7:$B$1253,0))/INDEX([1]Historical!$H$7:$H$1222,MATCH(B78,[1]Historical!$B$7:$B$1253,0)))^(1/5)-1)*100)</f>
        <v>8.4471771197698544</v>
      </c>
      <c r="V78" s="162">
        <f>IF(INDEX([1]Historical!$N$7:$N$1222,MATCH(B78,[1]Historical!$B$7:$B$1253,0))=0,"n/a",((INDEX([1]Historical!$C$7:$C$1231,MATCH(B78,[1]Historical!$B$7:$B$1253,0))/INDEX([1]Historical!$N$7:$N$1222,MATCH(B78,[1]Historical!$B$7:$B$1253,0)))^(1/10)-1)*100)</f>
        <v>10.073564448118756</v>
      </c>
      <c r="W78" s="163">
        <f t="shared" si="21"/>
        <v>0.83854897273699081</v>
      </c>
      <c r="X78" s="164">
        <f t="shared" si="22"/>
        <v>0.46159437812950022</v>
      </c>
      <c r="Y78" s="218" t="s">
        <v>901</v>
      </c>
      <c r="Z78" s="157">
        <f t="shared" si="23"/>
        <v>24.454148471615721</v>
      </c>
      <c r="AA78" s="166">
        <f t="shared" si="24"/>
        <v>17.296943231441048</v>
      </c>
      <c r="AB78" s="126">
        <v>12</v>
      </c>
      <c r="AC78" s="167">
        <v>2.29</v>
      </c>
      <c r="AD78" s="167">
        <v>1.86</v>
      </c>
      <c r="AE78" s="167">
        <v>0.76</v>
      </c>
      <c r="AF78" s="167">
        <v>1.51</v>
      </c>
      <c r="AG78" s="167">
        <v>9</v>
      </c>
      <c r="AH78" s="167">
        <v>2333.2999999999997</v>
      </c>
      <c r="AI78" s="167">
        <v>9.3000000000000007</v>
      </c>
      <c r="AJ78" s="167">
        <v>18.3</v>
      </c>
      <c r="AK78" s="167">
        <v>9.43</v>
      </c>
      <c r="AL78" s="168">
        <v>65310</v>
      </c>
      <c r="AM78" s="169">
        <v>12.9</v>
      </c>
      <c r="AN78" s="167">
        <v>4.79</v>
      </c>
      <c r="AO78" s="170">
        <f t="shared" si="25"/>
        <v>-7.43598171379187</v>
      </c>
      <c r="AP78" s="171">
        <f t="shared" si="26"/>
        <v>9.8609615176491783</v>
      </c>
      <c r="AQ78" s="172">
        <f t="shared" si="27"/>
        <v>7.7412214098123711</v>
      </c>
      <c r="AR78" s="157">
        <f>INDEX([1]Historical!$C$7:$C$1231,MATCH(B78,[1]Historical!$B$7:$B$1253,0))*IF(AH78="n/a",1.03,IF(AH78&lt;0,1.01,IF(AH78&gt;10,1.1,(1+AH78/100))))</f>
        <v>0.57200000000000006</v>
      </c>
      <c r="AS78" s="166">
        <f t="shared" si="28"/>
        <v>0.62519600000000008</v>
      </c>
      <c r="AT78" s="166">
        <f t="shared" si="29"/>
        <v>0.68415198280000011</v>
      </c>
      <c r="AU78" s="166">
        <f t="shared" si="29"/>
        <v>0.74866751477804017</v>
      </c>
      <c r="AV78" s="166">
        <f t="shared" si="29"/>
        <v>0.81926686142160943</v>
      </c>
      <c r="AW78" s="157">
        <f t="shared" si="30"/>
        <v>3.4492823589996497</v>
      </c>
      <c r="AX78" s="173">
        <f t="shared" si="31"/>
        <v>8.7081099697037345</v>
      </c>
      <c r="AY78" s="174">
        <v>1.29</v>
      </c>
      <c r="AZ78" s="169">
        <v>7.26</v>
      </c>
      <c r="BA78" s="169">
        <v>-36.590000000000003</v>
      </c>
      <c r="BB78" s="169">
        <v>-11.020000000000001</v>
      </c>
      <c r="BC78" s="169">
        <v>-20.119999999999997</v>
      </c>
      <c r="BE78" s="77">
        <v>2012</v>
      </c>
      <c r="BF78" s="77">
        <f t="shared" si="32"/>
        <v>1</v>
      </c>
      <c r="BG78" s="175">
        <v>0.89999999999999991</v>
      </c>
      <c r="BH78" t="s">
        <v>939</v>
      </c>
      <c r="BI78" t="s">
        <v>940</v>
      </c>
    </row>
    <row r="79" spans="1:64" s="252" customFormat="1" ht="11.25" customHeight="1" x14ac:dyDescent="0.2">
      <c r="A79" s="208" t="s">
        <v>1282</v>
      </c>
      <c r="B79" s="184" t="s">
        <v>171</v>
      </c>
      <c r="C79" s="154" t="s">
        <v>90</v>
      </c>
      <c r="D79" s="154" t="s">
        <v>969</v>
      </c>
      <c r="E79" s="185">
        <v>29</v>
      </c>
      <c r="F79" s="298">
        <v>118</v>
      </c>
      <c r="G79" s="297" t="s">
        <v>88</v>
      </c>
      <c r="H79" s="297" t="s">
        <v>88</v>
      </c>
      <c r="I79" s="195">
        <v>95.82</v>
      </c>
      <c r="J79" s="187">
        <f t="shared" si="18"/>
        <v>1.6697975370486329</v>
      </c>
      <c r="K79" s="231">
        <v>0.4</v>
      </c>
      <c r="L79" s="189">
        <v>4</v>
      </c>
      <c r="M79" s="190">
        <f t="shared" si="19"/>
        <v>1.6</v>
      </c>
      <c r="N79" s="191" t="s">
        <v>634</v>
      </c>
      <c r="O79" s="232">
        <v>0.36</v>
      </c>
      <c r="P79" s="193">
        <v>44833</v>
      </c>
      <c r="Q79" s="193">
        <v>44851</v>
      </c>
      <c r="R79" s="190">
        <f t="shared" si="20"/>
        <v>11.111111111111121</v>
      </c>
      <c r="S79" s="162">
        <f>IF(INDEX([1]Historical!$D$7:$D$1229,MATCH(B79,[1]Historical!$B$7:$B$1253,0))=0,"n/a",(INDEX([1]Historical!$C$7:$C$1231,MATCH(B79,[1]Historical!$B$7:$B$1253,0))/INDEX([1]Historical!$D$7:$D$1229,MATCH(B79,[1]Historical!$B$7:$B$1253,0))-1)*100)</f>
        <v>6.153846153846132</v>
      </c>
      <c r="T79" s="162">
        <f>IF(INDEX([1]Historical!$F$7:$F$1222,MATCH(B79,[1]Historical!$B$7:$B$1253,0))=0,"n/a",((INDEX([1]Historical!$C$7:$C$1231,MATCH(B79,[1]Historical!$B$7:$B$1253,0))/INDEX([1]Historical!$F$7:$F$1222,MATCH(B79,[1]Historical!$B$7:$B$1253,0)))^(1/3)-1)*100)</f>
        <v>14.059652983739234</v>
      </c>
      <c r="U79" s="162">
        <f>IF(INDEX([1]Historical!$H$7:$H$1222,MATCH(B79,[1]Historical!$B$7:$B$1253,0))=0,"n/a",((INDEX([1]Historical!$C$7:$C$1231,MATCH(B79,[1]Historical!$B$7:$B$1253,0))/INDEX([1]Historical!$H$7:$H$1222,MATCH(B79,[1]Historical!$B$7:$B$1253,0)))^(1/5)-1)*100)</f>
        <v>13.582453393178628</v>
      </c>
      <c r="V79" s="162">
        <f>IF(INDEX([1]Historical!$N$7:$N$1222,MATCH(B79,[1]Historical!$B$7:$B$1253,0))=0,"n/a",((INDEX([1]Historical!$C$7:$C$1231,MATCH(B79,[1]Historical!$B$7:$B$1253,0))/INDEX([1]Historical!$N$7:$N$1222,MATCH(B79,[1]Historical!$B$7:$B$1253,0)))^(1/10)-1)*100)</f>
        <v>10.466575521433796</v>
      </c>
      <c r="W79" s="163">
        <f t="shared" si="21"/>
        <v>1.2976979304610219</v>
      </c>
      <c r="X79" s="164">
        <f t="shared" si="22"/>
        <v>0.7630591793920577</v>
      </c>
      <c r="Y79" s="206"/>
      <c r="Z79" s="187">
        <f t="shared" si="23"/>
        <v>30.651340996168585</v>
      </c>
      <c r="AA79" s="194">
        <f t="shared" si="24"/>
        <v>18.356321839080458</v>
      </c>
      <c r="AB79" s="189">
        <v>12</v>
      </c>
      <c r="AC79" s="195">
        <v>5.22</v>
      </c>
      <c r="AD79" s="195">
        <v>2.62</v>
      </c>
      <c r="AE79" s="195">
        <v>8.89</v>
      </c>
      <c r="AF79" s="195">
        <v>2.64</v>
      </c>
      <c r="AG79" s="195">
        <v>13.8</v>
      </c>
      <c r="AH79" s="195">
        <v>67.800000000000011</v>
      </c>
      <c r="AI79" s="195">
        <v>12.75</v>
      </c>
      <c r="AJ79" s="195">
        <v>17.8</v>
      </c>
      <c r="AK79" s="195">
        <v>7.0000000000000009</v>
      </c>
      <c r="AL79" s="196">
        <v>3110</v>
      </c>
      <c r="AM79" s="197">
        <v>45.9</v>
      </c>
      <c r="AN79" s="195">
        <v>7.0000000000000007E-2</v>
      </c>
      <c r="AO79" s="198">
        <f t="shared" si="25"/>
        <v>-3.1040709088531973</v>
      </c>
      <c r="AP79" s="199">
        <f t="shared" si="26"/>
        <v>15.252250930227261</v>
      </c>
      <c r="AQ79" s="172">
        <f t="shared" si="27"/>
        <v>46.758591882001042</v>
      </c>
      <c r="AR79" s="157">
        <f>INDEX([1]Historical!$C$7:$C$1231,MATCH(B79,[1]Historical!$B$7:$B$1253,0))*IF(AH79="n/a",1.03,IF(AH79&lt;0,1.01,IF(AH79&gt;10,1.1,(1+AH79/100))))</f>
        <v>1.518</v>
      </c>
      <c r="AS79" s="194">
        <f t="shared" si="28"/>
        <v>1.6698000000000002</v>
      </c>
      <c r="AT79" s="194">
        <f t="shared" si="29"/>
        <v>1.7866860000000002</v>
      </c>
      <c r="AU79" s="194">
        <f t="shared" si="29"/>
        <v>1.9117540200000003</v>
      </c>
      <c r="AV79" s="194">
        <f t="shared" si="29"/>
        <v>2.0455768014000002</v>
      </c>
      <c r="AW79" s="187">
        <f t="shared" si="30"/>
        <v>8.9318168214000018</v>
      </c>
      <c r="AX79" s="200">
        <f t="shared" si="31"/>
        <v>9.3214535810895445</v>
      </c>
      <c r="AY79" s="201">
        <v>1.1100000000000001</v>
      </c>
      <c r="AZ79" s="197">
        <v>52.92</v>
      </c>
      <c r="BA79" s="197">
        <v>-18.84</v>
      </c>
      <c r="BB79" s="197">
        <v>-2.09</v>
      </c>
      <c r="BC79" s="197">
        <v>6.16</v>
      </c>
      <c r="BD79" s="202"/>
      <c r="BE79" s="77">
        <v>1994</v>
      </c>
      <c r="BF79" s="77">
        <f t="shared" si="32"/>
        <v>3</v>
      </c>
      <c r="BG79" s="203">
        <v>1.4000000000000001</v>
      </c>
      <c r="BH79" t="s">
        <v>939</v>
      </c>
      <c r="BI79" t="s">
        <v>940</v>
      </c>
    </row>
    <row r="80" spans="1:64" ht="11.25" customHeight="1" x14ac:dyDescent="0.2">
      <c r="A80" s="287" t="s">
        <v>986</v>
      </c>
      <c r="B80" s="153" t="s">
        <v>987</v>
      </c>
      <c r="C80" s="154" t="s">
        <v>137</v>
      </c>
      <c r="D80" s="154" t="s">
        <v>946</v>
      </c>
      <c r="E80" s="155">
        <v>6</v>
      </c>
      <c r="F80" s="298">
        <v>676</v>
      </c>
      <c r="G80" s="298" t="s">
        <v>88</v>
      </c>
      <c r="H80" s="298" t="s">
        <v>88</v>
      </c>
      <c r="I80" s="156">
        <v>54.35</v>
      </c>
      <c r="J80" s="157">
        <f t="shared" si="18"/>
        <v>2.1343146274149034</v>
      </c>
      <c r="K80" s="158">
        <v>0.28999999999999998</v>
      </c>
      <c r="L80" s="126">
        <v>4</v>
      </c>
      <c r="M80" s="82">
        <f t="shared" si="19"/>
        <v>1.1599999999999999</v>
      </c>
      <c r="N80" s="159" t="s">
        <v>988</v>
      </c>
      <c r="O80" s="160">
        <v>0.28000000000000003</v>
      </c>
      <c r="P80" s="161">
        <v>44714</v>
      </c>
      <c r="Q80" s="161">
        <v>44743</v>
      </c>
      <c r="R80" s="82">
        <f t="shared" si="20"/>
        <v>3.5714285714285547</v>
      </c>
      <c r="S80" s="162">
        <f>IF(INDEX([1]Historical!$D$7:$D$1229,MATCH(B80,[1]Historical!$B$7:$B$1253,0))=0,"n/a",(INDEX([1]Historical!$C$7:$C$1231,MATCH(B80,[1]Historical!$B$7:$B$1253,0))/INDEX([1]Historical!$D$7:$D$1229,MATCH(B80,[1]Historical!$B$7:$B$1253,0))-1)*100)</f>
        <v>12.903225806451623</v>
      </c>
      <c r="T80" s="162">
        <f>IF(INDEX([1]Historical!$F$7:$F$1222,MATCH(B80,[1]Historical!$B$7:$B$1253,0))=0,"n/a",((INDEX([1]Historical!$C$7:$C$1231,MATCH(B80,[1]Historical!$B$7:$B$1253,0))/INDEX([1]Historical!$F$7:$F$1222,MATCH(B80,[1]Historical!$B$7:$B$1253,0)))^(1/3)-1)*100)</f>
        <v>14.471424255333186</v>
      </c>
      <c r="U80" s="162">
        <f>IF(INDEX([1]Historical!$H$7:$H$1222,MATCH(B80,[1]Historical!$B$7:$B$1253,0))=0,"n/a",((INDEX([1]Historical!$C$7:$C$1231,MATCH(B80,[1]Historical!$B$7:$B$1253,0))/INDEX([1]Historical!$H$7:$H$1222,MATCH(B80,[1]Historical!$B$7:$B$1253,0)))^(1/5)-1)*100)</f>
        <v>16.465861577965679</v>
      </c>
      <c r="V80" s="162">
        <f>IF(INDEX([1]Historical!$N$7:$N$1222,MATCH(B80,[1]Historical!$B$7:$B$1253,0))=0,"n/a",((INDEX([1]Historical!$C$7:$C$1231,MATCH(B80,[1]Historical!$B$7:$B$1253,0))/INDEX([1]Historical!$N$7:$N$1222,MATCH(B80,[1]Historical!$B$7:$B$1253,0)))^(1/10)-1)*100)</f>
        <v>-1.6494571450282769</v>
      </c>
      <c r="W80" s="163" t="str">
        <f t="shared" si="21"/>
        <v>n/a</v>
      </c>
      <c r="X80" s="164" t="str">
        <f t="shared" si="22"/>
        <v>n/a</v>
      </c>
      <c r="Y80" s="180"/>
      <c r="Z80" s="157" t="str">
        <f t="shared" si="23"/>
        <v>n/a</v>
      </c>
      <c r="AA80" s="166" t="str">
        <f t="shared" si="24"/>
        <v>n/a</v>
      </c>
      <c r="AB80" s="126">
        <v>12</v>
      </c>
      <c r="AC80" s="167">
        <v>-4.72</v>
      </c>
      <c r="AD80" s="167" t="s">
        <v>95</v>
      </c>
      <c r="AE80" s="167">
        <v>1.84</v>
      </c>
      <c r="AF80" s="167">
        <v>5.01</v>
      </c>
      <c r="AG80" s="167">
        <v>-29.2</v>
      </c>
      <c r="AH80" s="167">
        <v>18.600000000000001</v>
      </c>
      <c r="AI80" s="167">
        <v>2.52</v>
      </c>
      <c r="AJ80" s="167">
        <v>-22.5</v>
      </c>
      <c r="AK80" s="167">
        <v>5.6099999999999994</v>
      </c>
      <c r="AL80" s="168">
        <v>27180</v>
      </c>
      <c r="AM80" s="169">
        <v>0.2</v>
      </c>
      <c r="AN80" s="167">
        <v>2.97</v>
      </c>
      <c r="AO80" s="170" t="str">
        <f t="shared" si="25"/>
        <v>n/a</v>
      </c>
      <c r="AP80" s="171">
        <f t="shared" si="26"/>
        <v>18.600176205380581</v>
      </c>
      <c r="AQ80" s="172" t="str">
        <f t="shared" si="27"/>
        <v>n/a</v>
      </c>
      <c r="AR80" s="157">
        <f>INDEX([1]Historical!$C$7:$C$1231,MATCH(B80,[1]Historical!$B$7:$B$1253,0))*IF(AH80="n/a",1.03,IF(AH80&lt;0,1.01,IF(AH80&gt;10,1.1,(1+AH80/100))))</f>
        <v>1.1550000000000002</v>
      </c>
      <c r="AS80" s="166">
        <f t="shared" si="28"/>
        <v>1.1841060000000001</v>
      </c>
      <c r="AT80" s="166">
        <f t="shared" si="29"/>
        <v>1.2505343466000001</v>
      </c>
      <c r="AU80" s="166">
        <f t="shared" si="29"/>
        <v>1.32068932344426</v>
      </c>
      <c r="AV80" s="166">
        <f t="shared" si="29"/>
        <v>1.394779994489483</v>
      </c>
      <c r="AW80" s="157">
        <f t="shared" si="30"/>
        <v>6.3051096645337434</v>
      </c>
      <c r="AX80" s="173">
        <f t="shared" si="31"/>
        <v>11.600937745232279</v>
      </c>
      <c r="AY80" s="174">
        <v>0.59</v>
      </c>
      <c r="AZ80" s="169">
        <v>1.46</v>
      </c>
      <c r="BA80" s="169">
        <v>-39.410000000000004</v>
      </c>
      <c r="BB80" s="169">
        <v>-4.21</v>
      </c>
      <c r="BC80" s="169">
        <v>-22.15</v>
      </c>
      <c r="BE80" s="77">
        <v>2017</v>
      </c>
      <c r="BF80" s="77">
        <f t="shared" si="32"/>
        <v>1</v>
      </c>
      <c r="BG80" s="175">
        <v>-7.5</v>
      </c>
      <c r="BH80" t="s">
        <v>939</v>
      </c>
      <c r="BI80" t="s">
        <v>940</v>
      </c>
      <c r="BJ80" s="112"/>
      <c r="BK80" s="112"/>
      <c r="BL80" s="112"/>
    </row>
    <row r="81" spans="1:64" ht="11.25" customHeight="1" x14ac:dyDescent="0.2">
      <c r="A81" s="176" t="s">
        <v>1283</v>
      </c>
      <c r="B81" s="153" t="s">
        <v>182</v>
      </c>
      <c r="C81" s="154" t="s">
        <v>100</v>
      </c>
      <c r="D81" s="154" t="s">
        <v>989</v>
      </c>
      <c r="E81" s="155">
        <v>19</v>
      </c>
      <c r="F81" s="298">
        <v>194</v>
      </c>
      <c r="G81" s="298" t="s">
        <v>104</v>
      </c>
      <c r="H81" s="298" t="s">
        <v>104</v>
      </c>
      <c r="I81" s="156">
        <v>68.41</v>
      </c>
      <c r="J81" s="157">
        <f t="shared" si="18"/>
        <v>5.1454465721385771</v>
      </c>
      <c r="K81" s="158">
        <v>0.88</v>
      </c>
      <c r="L81" s="126">
        <v>4</v>
      </c>
      <c r="M81" s="82">
        <f t="shared" si="19"/>
        <v>3.52</v>
      </c>
      <c r="N81" s="159" t="s">
        <v>741</v>
      </c>
      <c r="O81" s="160">
        <v>0.7</v>
      </c>
      <c r="P81" s="161">
        <v>44631</v>
      </c>
      <c r="Q81" s="161">
        <v>44665</v>
      </c>
      <c r="R81" s="82">
        <f t="shared" si="20"/>
        <v>25.714285714285722</v>
      </c>
      <c r="S81" s="162">
        <f>IF(INDEX([1]Historical!$D$7:$D$1229,MATCH(B81,[1]Historical!$B$7:$B$1253,0))=0,"n/a",(INDEX([1]Historical!$C$7:$C$1231,MATCH(B81,[1]Historical!$B$7:$B$1253,0))/INDEX([1]Historical!$D$7:$D$1229,MATCH(B81,[1]Historical!$B$7:$B$1253,0))-1)*100)</f>
        <v>23.255813953488371</v>
      </c>
      <c r="T81" s="162">
        <f>IF(INDEX([1]Historical!$F$7:$F$1222,MATCH(B81,[1]Historical!$B$7:$B$1253,0))=0,"n/a",((INDEX([1]Historical!$C$7:$C$1231,MATCH(B81,[1]Historical!$B$7:$B$1253,0))/INDEX([1]Historical!$F$7:$F$1222,MATCH(B81,[1]Historical!$B$7:$B$1253,0)))^(1/3)-1)*100)</f>
        <v>13.760403275951916</v>
      </c>
      <c r="U81" s="162">
        <f>IF(INDEX([1]Historical!$H$7:$H$1222,MATCH(B81,[1]Historical!$B$7:$B$1253,0))=0,"n/a",((INDEX([1]Historical!$C$7:$C$1231,MATCH(B81,[1]Historical!$B$7:$B$1253,0))/INDEX([1]Historical!$H$7:$H$1222,MATCH(B81,[1]Historical!$B$7:$B$1253,0)))^(1/5)-1)*100)</f>
        <v>18.797026472949206</v>
      </c>
      <c r="V81" s="162">
        <f>IF(INDEX([1]Historical!$N$7:$N$1222,MATCH(B81,[1]Historical!$B$7:$B$1253,0))=0,"n/a",((INDEX([1]Historical!$C$7:$C$1231,MATCH(B81,[1]Historical!$B$7:$B$1253,0))/INDEX([1]Historical!$N$7:$N$1222,MATCH(B81,[1]Historical!$B$7:$B$1253,0)))^(1/10)-1)*100)</f>
        <v>15.822145049318269</v>
      </c>
      <c r="W81" s="163">
        <f t="shared" si="21"/>
        <v>1.1880201081685264</v>
      </c>
      <c r="X81" s="164">
        <f t="shared" si="22"/>
        <v>0.88248950577226315</v>
      </c>
      <c r="Y81" s="165"/>
      <c r="Z81" s="157">
        <f t="shared" si="23"/>
        <v>47.121820615796523</v>
      </c>
      <c r="AA81" s="166">
        <f t="shared" si="24"/>
        <v>9.1579651941097726</v>
      </c>
      <c r="AB81" s="126">
        <v>2</v>
      </c>
      <c r="AC81" s="167">
        <v>7.47</v>
      </c>
      <c r="AD81" s="167">
        <v>1.1399999999999999</v>
      </c>
      <c r="AE81" s="167">
        <v>0.3</v>
      </c>
      <c r="AF81" s="167">
        <v>5.33</v>
      </c>
      <c r="AG81" s="167">
        <v>54.7</v>
      </c>
      <c r="AH81" s="179">
        <v>44</v>
      </c>
      <c r="AI81" s="179">
        <v>11.31</v>
      </c>
      <c r="AJ81" s="167">
        <v>21.3</v>
      </c>
      <c r="AK81" s="167">
        <v>8</v>
      </c>
      <c r="AL81" s="168">
        <v>14820</v>
      </c>
      <c r="AM81" s="169">
        <v>0.4</v>
      </c>
      <c r="AN81" s="167">
        <v>0.41</v>
      </c>
      <c r="AO81" s="170">
        <f t="shared" si="25"/>
        <v>14.784507850978011</v>
      </c>
      <c r="AP81" s="171">
        <f t="shared" si="26"/>
        <v>23.942473045087784</v>
      </c>
      <c r="AQ81" s="172">
        <f t="shared" si="27"/>
        <v>47.289517594287119</v>
      </c>
      <c r="AR81" s="157">
        <f>INDEX([1]Historical!$C$7:$C$1231,MATCH(B81,[1]Historical!$B$7:$B$1253,0))*IF(AH81="n/a",1.03,IF(AH81&lt;0,1.01,IF(AH81&gt;10,1.1,(1+AH81/100))))</f>
        <v>2.915</v>
      </c>
      <c r="AS81" s="166">
        <f t="shared" si="28"/>
        <v>3.2065000000000001</v>
      </c>
      <c r="AT81" s="166">
        <f t="shared" si="29"/>
        <v>3.4630200000000002</v>
      </c>
      <c r="AU81" s="166">
        <f t="shared" si="29"/>
        <v>3.7400616000000007</v>
      </c>
      <c r="AV81" s="166">
        <f t="shared" si="29"/>
        <v>4.0392665280000006</v>
      </c>
      <c r="AW81" s="157">
        <f t="shared" si="30"/>
        <v>17.363848128000001</v>
      </c>
      <c r="AX81" s="173">
        <f t="shared" si="31"/>
        <v>25.382032053793306</v>
      </c>
      <c r="AY81" s="174">
        <v>1.48</v>
      </c>
      <c r="AZ81" s="169">
        <v>12.540000000000001</v>
      </c>
      <c r="BA81" s="169">
        <v>-51.81</v>
      </c>
      <c r="BB81" s="169">
        <v>-1.52</v>
      </c>
      <c r="BC81" s="169">
        <v>-17.21</v>
      </c>
      <c r="BE81" s="77">
        <v>2004</v>
      </c>
      <c r="BF81" s="77">
        <f t="shared" si="32"/>
        <v>2</v>
      </c>
      <c r="BG81" s="175">
        <v>10.4</v>
      </c>
      <c r="BH81" t="s">
        <v>939</v>
      </c>
      <c r="BI81" t="s">
        <v>940</v>
      </c>
    </row>
    <row r="82" spans="1:64" ht="11.25" customHeight="1" x14ac:dyDescent="0.2">
      <c r="A82" s="112" t="s">
        <v>1284</v>
      </c>
      <c r="B82" s="153" t="s">
        <v>795</v>
      </c>
      <c r="C82" s="154" t="s">
        <v>100</v>
      </c>
      <c r="D82" s="154" t="s">
        <v>990</v>
      </c>
      <c r="E82" s="155">
        <v>10</v>
      </c>
      <c r="F82" s="298">
        <v>469</v>
      </c>
      <c r="G82" s="298" t="s">
        <v>104</v>
      </c>
      <c r="H82" s="298" t="s">
        <v>104</v>
      </c>
      <c r="I82" s="156">
        <v>70.67</v>
      </c>
      <c r="J82" s="157">
        <f t="shared" si="18"/>
        <v>2.0659402858355738</v>
      </c>
      <c r="K82" s="158">
        <v>0.36499999999999999</v>
      </c>
      <c r="L82" s="126">
        <v>4</v>
      </c>
      <c r="M82" s="82">
        <f t="shared" si="19"/>
        <v>1.46</v>
      </c>
      <c r="N82" s="159" t="s">
        <v>167</v>
      </c>
      <c r="O82" s="160">
        <v>0.33500000000000002</v>
      </c>
      <c r="P82" s="161">
        <v>44614</v>
      </c>
      <c r="Q82" s="161">
        <v>44635</v>
      </c>
      <c r="R82" s="82">
        <f t="shared" si="20"/>
        <v>8.9552238805970052</v>
      </c>
      <c r="S82" s="162">
        <f>IF(INDEX([1]Historical!$D$7:$D$1229,MATCH(B82,[1]Historical!$B$7:$B$1253,0))=0,"n/a",(INDEX([1]Historical!$C$7:$C$1231,MATCH(B82,[1]Historical!$B$7:$B$1253,0))/INDEX([1]Historical!$D$7:$D$1229,MATCH(B82,[1]Historical!$B$7:$B$1253,0))-1)*100)</f>
        <v>28.787878787878785</v>
      </c>
      <c r="T82" s="162">
        <f>IF(INDEX([1]Historical!$F$7:$F$1222,MATCH(B82,[1]Historical!$B$7:$B$1253,0))=0,"n/a",((INDEX([1]Historical!$C$7:$C$1231,MATCH(B82,[1]Historical!$B$7:$B$1253,0))/INDEX([1]Historical!$F$7:$F$1222,MATCH(B82,[1]Historical!$B$7:$B$1253,0)))^(1/3)-1)*100)</f>
        <v>17.798165562816482</v>
      </c>
      <c r="U82" s="162">
        <f>IF(INDEX([1]Historical!$H$7:$H$1222,MATCH(B82,[1]Historical!$B$7:$B$1253,0))=0,"n/a",((INDEX([1]Historical!$C$7:$C$1231,MATCH(B82,[1]Historical!$B$7:$B$1253,0))/INDEX([1]Historical!$H$7:$H$1222,MATCH(B82,[1]Historical!$B$7:$B$1253,0)))^(1/5)-1)*100)</f>
        <v>15.69830960592169</v>
      </c>
      <c r="V82" s="162">
        <f>IF(INDEX([1]Historical!$N$7:$N$1222,MATCH(B82,[1]Historical!$B$7:$B$1253,0))=0,"n/a",((INDEX([1]Historical!$C$7:$C$1231,MATCH(B82,[1]Historical!$B$7:$B$1253,0))/INDEX([1]Historical!$N$7:$N$1222,MATCH(B82,[1]Historical!$B$7:$B$1253,0)))^(1/10)-1)*100)</f>
        <v>38.246459573722213</v>
      </c>
      <c r="W82" s="163">
        <f t="shared" si="21"/>
        <v>0.41045131447166527</v>
      </c>
      <c r="X82" s="164">
        <f t="shared" si="22"/>
        <v>0.76205386436513067</v>
      </c>
      <c r="Y82" s="211"/>
      <c r="Z82" s="157">
        <f t="shared" si="23"/>
        <v>17.319098457888494</v>
      </c>
      <c r="AA82" s="166">
        <f t="shared" si="24"/>
        <v>8.3831553973902739</v>
      </c>
      <c r="AB82" s="126">
        <v>12</v>
      </c>
      <c r="AC82" s="167">
        <v>8.43</v>
      </c>
      <c r="AD82" s="167">
        <v>0.56999999999999995</v>
      </c>
      <c r="AE82" s="167">
        <v>0.79</v>
      </c>
      <c r="AF82" s="167">
        <v>2.72</v>
      </c>
      <c r="AG82" s="167">
        <v>30.9</v>
      </c>
      <c r="AH82" s="167">
        <v>61.5</v>
      </c>
      <c r="AI82" s="167">
        <v>5.71</v>
      </c>
      <c r="AJ82" s="167">
        <v>20.599999999999998</v>
      </c>
      <c r="AK82" s="167">
        <v>15</v>
      </c>
      <c r="AL82" s="168">
        <v>5240</v>
      </c>
      <c r="AM82" s="169">
        <v>0.70000000000000007</v>
      </c>
      <c r="AN82" s="167">
        <v>1.25</v>
      </c>
      <c r="AO82" s="170">
        <f t="shared" si="25"/>
        <v>9.3810944943669892</v>
      </c>
      <c r="AP82" s="171">
        <f t="shared" si="26"/>
        <v>17.764249891757263</v>
      </c>
      <c r="AQ82" s="172">
        <f t="shared" si="27"/>
        <v>0.66927740742961372</v>
      </c>
      <c r="AR82" s="157">
        <f>INDEX([1]Historical!$C$7:$C$1231,MATCH(B82,[1]Historical!$B$7:$B$1253,0))*IF(AH82="n/a",1.03,IF(AH82&lt;0,1.01,IF(AH82&gt;10,1.1,(1+AH82/100))))</f>
        <v>1.4025000000000001</v>
      </c>
      <c r="AS82" s="166">
        <f t="shared" si="28"/>
        <v>1.4825827499999999</v>
      </c>
      <c r="AT82" s="166">
        <f t="shared" si="29"/>
        <v>1.6308410250000001</v>
      </c>
      <c r="AU82" s="166">
        <f t="shared" si="29"/>
        <v>1.7939251275000001</v>
      </c>
      <c r="AV82" s="166">
        <f t="shared" si="29"/>
        <v>1.9733176402500003</v>
      </c>
      <c r="AW82" s="157">
        <f t="shared" si="30"/>
        <v>8.283166542750001</v>
      </c>
      <c r="AX82" s="173">
        <f t="shared" si="31"/>
        <v>11.720909215720958</v>
      </c>
      <c r="AY82" s="174">
        <v>1.6</v>
      </c>
      <c r="AZ82" s="169">
        <v>14.19</v>
      </c>
      <c r="BA82" s="169">
        <v>-32</v>
      </c>
      <c r="BB82" s="169">
        <v>-1.39</v>
      </c>
      <c r="BC82" s="169">
        <v>-9.73</v>
      </c>
      <c r="BE82" s="77">
        <v>2014</v>
      </c>
      <c r="BF82" s="77">
        <f t="shared" si="32"/>
        <v>1</v>
      </c>
      <c r="BG82" s="175">
        <v>10.5</v>
      </c>
      <c r="BH82" t="s">
        <v>939</v>
      </c>
      <c r="BI82" t="s">
        <v>940</v>
      </c>
    </row>
    <row r="83" spans="1:64" ht="11.25" customHeight="1" x14ac:dyDescent="0.2">
      <c r="A83" s="112" t="s">
        <v>1285</v>
      </c>
      <c r="B83" s="153" t="s">
        <v>169</v>
      </c>
      <c r="C83" s="154" t="s">
        <v>96</v>
      </c>
      <c r="D83" s="154" t="s">
        <v>911</v>
      </c>
      <c r="E83" s="155">
        <v>13</v>
      </c>
      <c r="F83" s="298">
        <v>272</v>
      </c>
      <c r="G83" s="298" t="s">
        <v>88</v>
      </c>
      <c r="H83" s="298" t="s">
        <v>88</v>
      </c>
      <c r="I83" s="156">
        <v>139.80000000000001</v>
      </c>
      <c r="J83" s="157">
        <f t="shared" si="18"/>
        <v>0.457796852646638</v>
      </c>
      <c r="K83" s="158">
        <v>0.64</v>
      </c>
      <c r="L83" s="126">
        <v>1</v>
      </c>
      <c r="M83" s="82">
        <f t="shared" si="19"/>
        <v>0.64</v>
      </c>
      <c r="N83" s="159" t="s">
        <v>170</v>
      </c>
      <c r="O83" s="160">
        <v>0.57999999999999996</v>
      </c>
      <c r="P83" s="161">
        <v>44557</v>
      </c>
      <c r="Q83" s="161">
        <v>44582</v>
      </c>
      <c r="R83" s="82">
        <f t="shared" si="20"/>
        <v>10.344827586206906</v>
      </c>
      <c r="S83" s="162">
        <f>IF(INDEX([1]Historical!$D$7:$D$1229,MATCH(B83,[1]Historical!$B$7:$B$1253,0))=0,"n/a",(INDEX([1]Historical!$C$7:$C$1231,MATCH(B83,[1]Historical!$B$7:$B$1253,0))/INDEX([1]Historical!$D$7:$D$1229,MATCH(B83,[1]Historical!$B$7:$B$1253,0))-1)*100)</f>
        <v>11.538461538461519</v>
      </c>
      <c r="T83" s="162">
        <f>IF(INDEX([1]Historical!$F$7:$F$1222,MATCH(B83,[1]Historical!$B$7:$B$1253,0))=0,"n/a",((INDEX([1]Historical!$C$7:$C$1231,MATCH(B83,[1]Historical!$B$7:$B$1253,0))/INDEX([1]Historical!$F$7:$F$1222,MATCH(B83,[1]Historical!$B$7:$B$1253,0)))^(1/3)-1)*100)</f>
        <v>11.359233863244601</v>
      </c>
      <c r="U83" s="162">
        <f>IF(INDEX([1]Historical!$H$7:$H$1222,MATCH(B83,[1]Historical!$B$7:$B$1253,0))=0,"n/a",((INDEX([1]Historical!$C$7:$C$1231,MATCH(B83,[1]Historical!$B$7:$B$1253,0))/INDEX([1]Historical!$H$7:$H$1222,MATCH(B83,[1]Historical!$B$7:$B$1253,0)))^(1/5)-1)*100)</f>
        <v>11.273004664881793</v>
      </c>
      <c r="V83" s="162">
        <f>IF(INDEX([1]Historical!$N$7:$N$1222,MATCH(B83,[1]Historical!$B$7:$B$1253,0))=0,"n/a",((INDEX([1]Historical!$C$7:$C$1231,MATCH(B83,[1]Historical!$B$7:$B$1253,0))/INDEX([1]Historical!$N$7:$N$1222,MATCH(B83,[1]Historical!$B$7:$B$1253,0)))^(1/10)-1)*100)</f>
        <v>14.481068296205081</v>
      </c>
      <c r="W83" s="163">
        <f t="shared" si="21"/>
        <v>0.77846498851441814</v>
      </c>
      <c r="X83" s="164">
        <f t="shared" si="22"/>
        <v>1.0342206114570451</v>
      </c>
      <c r="Y83" s="178"/>
      <c r="Z83" s="157">
        <f t="shared" si="23"/>
        <v>19.161676646706589</v>
      </c>
      <c r="AA83" s="166">
        <f t="shared" si="24"/>
        <v>41.856287425149709</v>
      </c>
      <c r="AB83" s="126">
        <v>12</v>
      </c>
      <c r="AC83" s="167">
        <v>3.34</v>
      </c>
      <c r="AD83" s="167">
        <v>1.75</v>
      </c>
      <c r="AE83" s="167">
        <v>5</v>
      </c>
      <c r="AF83" s="167">
        <v>4.97</v>
      </c>
      <c r="AG83" s="167">
        <v>12.3</v>
      </c>
      <c r="AH83" s="167">
        <v>13</v>
      </c>
      <c r="AI83" s="167">
        <v>10.639999999999999</v>
      </c>
      <c r="AJ83" s="167">
        <v>10.9</v>
      </c>
      <c r="AK83" s="167">
        <v>24</v>
      </c>
      <c r="AL83" s="168">
        <v>4380</v>
      </c>
      <c r="AM83" s="169">
        <v>0.8</v>
      </c>
      <c r="AN83" s="167">
        <v>0.48</v>
      </c>
      <c r="AO83" s="170">
        <f t="shared" si="25"/>
        <v>-30.125485907621279</v>
      </c>
      <c r="AP83" s="171">
        <f t="shared" si="26"/>
        <v>11.73080151752843</v>
      </c>
      <c r="AQ83" s="172">
        <f t="shared" si="27"/>
        <v>204.06559855326103</v>
      </c>
      <c r="AR83" s="157">
        <f>INDEX([1]Historical!$C$7:$C$1231,MATCH(B83,[1]Historical!$B$7:$B$1253,0))*IF(AH83="n/a",1.03,IF(AH83&lt;0,1.01,IF(AH83&gt;10,1.1,(1+AH83/100))))</f>
        <v>0.63800000000000001</v>
      </c>
      <c r="AS83" s="166">
        <f t="shared" si="28"/>
        <v>0.70180000000000009</v>
      </c>
      <c r="AT83" s="166">
        <f t="shared" si="29"/>
        <v>0.77198000000000011</v>
      </c>
      <c r="AU83" s="166">
        <f t="shared" si="29"/>
        <v>0.84917800000000021</v>
      </c>
      <c r="AV83" s="166">
        <f t="shared" si="29"/>
        <v>0.93409580000000025</v>
      </c>
      <c r="AW83" s="157">
        <f t="shared" si="30"/>
        <v>3.8950538000000008</v>
      </c>
      <c r="AX83" s="173">
        <f t="shared" si="31"/>
        <v>2.7861615164520748</v>
      </c>
      <c r="AY83" s="174">
        <v>0.63</v>
      </c>
      <c r="AZ83" s="169">
        <v>26.919999999999998</v>
      </c>
      <c r="BA83" s="169">
        <v>-19.79</v>
      </c>
      <c r="BB83" s="169">
        <v>7.93</v>
      </c>
      <c r="BC83" s="169">
        <v>6.45</v>
      </c>
      <c r="BE83" s="77">
        <v>2010</v>
      </c>
      <c r="BF83" s="77">
        <f t="shared" si="32"/>
        <v>1</v>
      </c>
      <c r="BG83" s="175">
        <v>8.4</v>
      </c>
      <c r="BH83" t="s">
        <v>939</v>
      </c>
      <c r="BI83" t="s">
        <v>940</v>
      </c>
    </row>
    <row r="84" spans="1:64" ht="11.25" customHeight="1" x14ac:dyDescent="0.2">
      <c r="A84" s="112" t="s">
        <v>1286</v>
      </c>
      <c r="B84" s="153" t="s">
        <v>179</v>
      </c>
      <c r="C84" s="154" t="s">
        <v>137</v>
      </c>
      <c r="D84" s="154" t="s">
        <v>946</v>
      </c>
      <c r="E84" s="155">
        <v>50</v>
      </c>
      <c r="F84" s="298">
        <v>39</v>
      </c>
      <c r="G84" s="298" t="s">
        <v>30</v>
      </c>
      <c r="H84" s="298" t="s">
        <v>30</v>
      </c>
      <c r="I84" s="167">
        <v>235.97</v>
      </c>
      <c r="J84" s="157">
        <f t="shared" si="18"/>
        <v>1.4747637411535364</v>
      </c>
      <c r="K84" s="158">
        <v>0.87</v>
      </c>
      <c r="L84" s="126">
        <v>4</v>
      </c>
      <c r="M84" s="82">
        <f t="shared" si="19"/>
        <v>3.48</v>
      </c>
      <c r="N84" s="159" t="s">
        <v>628</v>
      </c>
      <c r="O84" s="160">
        <v>0.83</v>
      </c>
      <c r="P84" s="161">
        <v>44539</v>
      </c>
      <c r="Q84" s="161">
        <v>44561</v>
      </c>
      <c r="R84" s="82">
        <f t="shared" si="20"/>
        <v>4.8192771084337398</v>
      </c>
      <c r="S84" s="162">
        <f>IF(INDEX([1]Historical!$D$7:$D$1229,MATCH(B84,[1]Historical!$B$7:$B$1253,0))=0,"n/a",(INDEX([1]Historical!$C$7:$C$1231,MATCH(B84,[1]Historical!$B$7:$B$1253,0))/INDEX([1]Historical!$D$7:$D$1229,MATCH(B84,[1]Historical!$B$7:$B$1253,0))-1)*100)</f>
        <v>4.9999999999999822</v>
      </c>
      <c r="T84" s="162">
        <f>IF(INDEX([1]Historical!$F$7:$F$1222,MATCH(B84,[1]Historical!$B$7:$B$1253,0))=0,"n/a",((INDEX([1]Historical!$C$7:$C$1231,MATCH(B84,[1]Historical!$B$7:$B$1253,0))/INDEX([1]Historical!$F$7:$F$1222,MATCH(B84,[1]Historical!$B$7:$B$1253,0)))^(1/3)-1)*100)</f>
        <v>3.6201249102785216</v>
      </c>
      <c r="U84" s="162">
        <f>IF(INDEX([1]Historical!$H$7:$H$1222,MATCH(B84,[1]Historical!$B$7:$B$1253,0))=0,"n/a",((INDEX([1]Historical!$C$7:$C$1231,MATCH(B84,[1]Historical!$B$7:$B$1253,0))/INDEX([1]Historical!$H$7:$H$1222,MATCH(B84,[1]Historical!$B$7:$B$1253,0)))^(1/5)-1)*100)</f>
        <v>4.3936295347629883</v>
      </c>
      <c r="V84" s="162">
        <f>IF(INDEX([1]Historical!$N$7:$N$1222,MATCH(B84,[1]Historical!$B$7:$B$1253,0))=0,"n/a",((INDEX([1]Historical!$C$7:$C$1231,MATCH(B84,[1]Historical!$B$7:$B$1253,0))/INDEX([1]Historical!$N$7:$N$1222,MATCH(B84,[1]Historical!$B$7:$B$1253,0)))^(1/10)-1)*100)</f>
        <v>7.4359288518188515</v>
      </c>
      <c r="W84" s="163">
        <f t="shared" si="21"/>
        <v>0.59086492384717915</v>
      </c>
      <c r="X84" s="164">
        <f t="shared" si="22"/>
        <v>0.49927608349579417</v>
      </c>
      <c r="Y84" s="178" t="s">
        <v>181</v>
      </c>
      <c r="Z84" s="157">
        <f t="shared" si="23"/>
        <v>65.784499054820415</v>
      </c>
      <c r="AA84" s="166">
        <f t="shared" si="24"/>
        <v>44.606805293005671</v>
      </c>
      <c r="AB84" s="126">
        <v>9</v>
      </c>
      <c r="AC84" s="167">
        <v>5.29</v>
      </c>
      <c r="AD84" s="167">
        <v>9.26</v>
      </c>
      <c r="AE84" s="167">
        <v>3.43</v>
      </c>
      <c r="AF84" s="167">
        <v>2.63</v>
      </c>
      <c r="AG84" s="167">
        <v>8.5</v>
      </c>
      <c r="AH84" s="167">
        <v>152.4</v>
      </c>
      <c r="AI84" s="167">
        <v>7.71</v>
      </c>
      <c r="AJ84" s="167">
        <v>8.7999999999999989</v>
      </c>
      <c r="AK84" s="167">
        <v>4.8</v>
      </c>
      <c r="AL84" s="168">
        <v>65930</v>
      </c>
      <c r="AM84" s="169">
        <v>0.82000000000000006</v>
      </c>
      <c r="AN84" s="167">
        <v>0.64</v>
      </c>
      <c r="AO84" s="170">
        <f t="shared" si="25"/>
        <v>-38.738412017089146</v>
      </c>
      <c r="AP84" s="171">
        <f t="shared" si="26"/>
        <v>5.8683932759165245</v>
      </c>
      <c r="AQ84" s="172">
        <f t="shared" si="27"/>
        <v>128.34272284402761</v>
      </c>
      <c r="AR84" s="157">
        <f>INDEX([1]Historical!$C$7:$C$1231,MATCH(B84,[1]Historical!$B$7:$B$1253,0))*IF(AH84="n/a",1.03,IF(AH84&lt;0,1.01,IF(AH84&gt;10,1.1,(1+AH84/100))))</f>
        <v>3.6960000000000002</v>
      </c>
      <c r="AS84" s="166">
        <f t="shared" si="28"/>
        <v>3.9809616000000001</v>
      </c>
      <c r="AT84" s="166">
        <f t="shared" si="29"/>
        <v>4.1720477568000005</v>
      </c>
      <c r="AU84" s="166">
        <f t="shared" si="29"/>
        <v>4.3723060491264008</v>
      </c>
      <c r="AV84" s="166">
        <f t="shared" si="29"/>
        <v>4.5821767394844679</v>
      </c>
      <c r="AW84" s="157">
        <f t="shared" si="30"/>
        <v>20.803492145410868</v>
      </c>
      <c r="AX84" s="173">
        <f t="shared" si="31"/>
        <v>8.8161597429380283</v>
      </c>
      <c r="AY84" s="174">
        <v>0.61</v>
      </c>
      <c r="AZ84" s="169">
        <v>9.3000000000000007</v>
      </c>
      <c r="BA84" s="169">
        <v>-14.899999999999999</v>
      </c>
      <c r="BB84" s="169">
        <v>-2.04</v>
      </c>
      <c r="BC84" s="169">
        <v>-5.9499999999999993</v>
      </c>
      <c r="BE84" s="77">
        <v>1973</v>
      </c>
      <c r="BF84" s="77">
        <f t="shared" si="32"/>
        <v>6</v>
      </c>
      <c r="BG84" s="175">
        <v>3.9</v>
      </c>
      <c r="BH84" t="s">
        <v>939</v>
      </c>
      <c r="BI84" t="s">
        <v>940</v>
      </c>
    </row>
    <row r="85" spans="1:64" ht="11.25" customHeight="1" x14ac:dyDescent="0.2">
      <c r="A85" s="112" t="s">
        <v>1287</v>
      </c>
      <c r="B85" s="153" t="s">
        <v>307</v>
      </c>
      <c r="C85" s="154" t="s">
        <v>90</v>
      </c>
      <c r="D85" s="154" t="s">
        <v>972</v>
      </c>
      <c r="E85" s="155">
        <v>42</v>
      </c>
      <c r="F85" s="298">
        <v>64</v>
      </c>
      <c r="G85" s="298" t="s">
        <v>30</v>
      </c>
      <c r="H85" s="298" t="s">
        <v>104</v>
      </c>
      <c r="I85" s="167">
        <v>23.45</v>
      </c>
      <c r="J85" s="157">
        <f t="shared" si="18"/>
        <v>4.9466950959488267</v>
      </c>
      <c r="K85" s="158">
        <v>0.28999999999999998</v>
      </c>
      <c r="L85" s="126">
        <v>4</v>
      </c>
      <c r="M85" s="82">
        <f t="shared" si="19"/>
        <v>1.1599999999999999</v>
      </c>
      <c r="N85" s="159" t="s">
        <v>126</v>
      </c>
      <c r="O85" s="160">
        <v>0.28000000000000003</v>
      </c>
      <c r="P85" s="161">
        <v>44560</v>
      </c>
      <c r="Q85" s="161">
        <v>44575</v>
      </c>
      <c r="R85" s="82">
        <f t="shared" si="20"/>
        <v>3.5714285714285547</v>
      </c>
      <c r="S85" s="162">
        <f>IF(INDEX([1]Historical!$D$7:$D$1229,MATCH(B85,[1]Historical!$B$7:$B$1253,0))=0,"n/a",(INDEX([1]Historical!$C$7:$C$1231,MATCH(B85,[1]Historical!$B$7:$B$1253,0))/INDEX([1]Historical!$D$7:$D$1229,MATCH(B85,[1]Historical!$B$7:$B$1253,0))-1)*100)</f>
        <v>3.7037037037036979</v>
      </c>
      <c r="T85" s="162">
        <f>IF(INDEX([1]Historical!$F$7:$F$1222,MATCH(B85,[1]Historical!$B$7:$B$1253,0))=0,"n/a",((INDEX([1]Historical!$C$7:$C$1231,MATCH(B85,[1]Historical!$B$7:$B$1253,0))/INDEX([1]Historical!$F$7:$F$1222,MATCH(B85,[1]Historical!$B$7:$B$1253,0)))^(1/3)-1)*100)</f>
        <v>6.7767583149812571</v>
      </c>
      <c r="U85" s="162">
        <f>IF(INDEX([1]Historical!$H$7:$H$1222,MATCH(B85,[1]Historical!$B$7:$B$1253,0))=0,"n/a",((INDEX([1]Historical!$C$7:$C$1231,MATCH(B85,[1]Historical!$B$7:$B$1253,0))/INDEX([1]Historical!$H$7:$H$1222,MATCH(B85,[1]Historical!$B$7:$B$1253,0)))^(1/5)-1)*100)</f>
        <v>9.2388464140373152</v>
      </c>
      <c r="V85" s="162">
        <f>IF(INDEX([1]Historical!$N$7:$N$1222,MATCH(B85,[1]Historical!$B$7:$B$1253,0))=0,"n/a",((INDEX([1]Historical!$C$7:$C$1231,MATCH(B85,[1]Historical!$B$7:$B$1253,0))/INDEX([1]Historical!$N$7:$N$1222,MATCH(B85,[1]Historical!$B$7:$B$1253,0)))^(1/10)-1)*100)</f>
        <v>12.884399678677095</v>
      </c>
      <c r="W85" s="163">
        <f t="shared" si="21"/>
        <v>0.71705680081680867</v>
      </c>
      <c r="X85" s="164">
        <f t="shared" si="22"/>
        <v>2.3097116035093288</v>
      </c>
      <c r="Y85" s="165"/>
      <c r="Z85" s="157">
        <f t="shared" si="23"/>
        <v>34.421364985163201</v>
      </c>
      <c r="AA85" s="166">
        <f t="shared" si="24"/>
        <v>6.9584569732937682</v>
      </c>
      <c r="AB85" s="126">
        <v>9</v>
      </c>
      <c r="AC85" s="167">
        <v>3.37</v>
      </c>
      <c r="AD85" s="167" t="s">
        <v>95</v>
      </c>
      <c r="AE85" s="167">
        <v>1.36</v>
      </c>
      <c r="AF85" s="167">
        <v>1</v>
      </c>
      <c r="AG85" s="167">
        <v>14.399999999999999</v>
      </c>
      <c r="AH85" s="167">
        <v>124.6</v>
      </c>
      <c r="AI85" s="167">
        <v>-25.06</v>
      </c>
      <c r="AJ85" s="167">
        <v>4</v>
      </c>
      <c r="AK85" s="167">
        <v>-5.47</v>
      </c>
      <c r="AL85" s="168">
        <v>11620</v>
      </c>
      <c r="AM85" s="169">
        <v>0.5</v>
      </c>
      <c r="AN85" s="167">
        <v>0.77</v>
      </c>
      <c r="AO85" s="170">
        <f t="shared" si="25"/>
        <v>7.2270845366923728</v>
      </c>
      <c r="AP85" s="171">
        <f t="shared" si="26"/>
        <v>14.185541509986141</v>
      </c>
      <c r="AQ85" s="172">
        <f t="shared" si="27"/>
        <v>-44.388422575095767</v>
      </c>
      <c r="AR85" s="157">
        <f>INDEX([1]Historical!$C$7:$C$1231,MATCH(B85,[1]Historical!$B$7:$B$1253,0))*IF(AH85="n/a",1.03,IF(AH85&lt;0,1.01,IF(AH85&gt;10,1.1,(1+AH85/100))))</f>
        <v>1.2320000000000002</v>
      </c>
      <c r="AS85" s="166">
        <f t="shared" si="28"/>
        <v>1.2443200000000003</v>
      </c>
      <c r="AT85" s="166">
        <f t="shared" si="29"/>
        <v>1.2567632000000004</v>
      </c>
      <c r="AU85" s="166">
        <f t="shared" si="29"/>
        <v>1.2693308320000005</v>
      </c>
      <c r="AV85" s="166">
        <f t="shared" si="29"/>
        <v>1.2820241403200006</v>
      </c>
      <c r="AW85" s="157">
        <f t="shared" si="30"/>
        <v>6.2844381723200016</v>
      </c>
      <c r="AX85" s="173">
        <f t="shared" si="31"/>
        <v>26.799309903283593</v>
      </c>
      <c r="AY85" s="174">
        <v>1.25</v>
      </c>
      <c r="AZ85" s="169">
        <v>15.879999999999999</v>
      </c>
      <c r="BA85" s="169">
        <v>-38.72</v>
      </c>
      <c r="BB85" s="169">
        <v>-2.71</v>
      </c>
      <c r="BC85" s="169">
        <v>-11.469999999999999</v>
      </c>
      <c r="BE85" s="77">
        <v>1981</v>
      </c>
      <c r="BF85" s="77">
        <f t="shared" si="32"/>
        <v>4</v>
      </c>
      <c r="BG85" s="175">
        <v>6.4</v>
      </c>
      <c r="BH85" t="s">
        <v>939</v>
      </c>
      <c r="BI85" t="s">
        <v>940</v>
      </c>
    </row>
    <row r="86" spans="1:64" ht="11.25" customHeight="1" x14ac:dyDescent="0.2">
      <c r="A86" s="204" t="s">
        <v>1288</v>
      </c>
      <c r="B86" s="153" t="s">
        <v>846</v>
      </c>
      <c r="C86" s="154" t="s">
        <v>117</v>
      </c>
      <c r="D86" s="154" t="s">
        <v>958</v>
      </c>
      <c r="E86" s="155">
        <v>13</v>
      </c>
      <c r="F86" s="298">
        <v>282</v>
      </c>
      <c r="G86" s="298" t="s">
        <v>88</v>
      </c>
      <c r="H86" s="298" t="s">
        <v>88</v>
      </c>
      <c r="I86" s="156">
        <v>29.18</v>
      </c>
      <c r="J86" s="157">
        <f t="shared" si="18"/>
        <v>4.3865661411925982</v>
      </c>
      <c r="K86" s="158">
        <v>0.32</v>
      </c>
      <c r="L86" s="126">
        <v>4</v>
      </c>
      <c r="M86" s="82">
        <f t="shared" si="19"/>
        <v>1.28</v>
      </c>
      <c r="N86" s="159" t="s">
        <v>628</v>
      </c>
      <c r="O86" s="160">
        <v>0.30375000000000002</v>
      </c>
      <c r="P86" s="161">
        <v>44617</v>
      </c>
      <c r="Q86" s="161">
        <v>44651</v>
      </c>
      <c r="R86" s="82">
        <f t="shared" si="20"/>
        <v>5.3497942386831223</v>
      </c>
      <c r="S86" s="162">
        <f>IF(INDEX([1]Historical!$D$7:$D$1229,MATCH(B86,[1]Historical!$B$7:$B$1253,0))=0,"n/a",(INDEX([1]Historical!$C$7:$C$1231,MATCH(B86,[1]Historical!$B$7:$B$1253,0))/INDEX([1]Historical!$D$7:$D$1229,MATCH(B86,[1]Historical!$B$7:$B$1253,0))-1)*100)</f>
        <v>4.9827188940092304</v>
      </c>
      <c r="T86" s="162">
        <f>IF(INDEX([1]Historical!$F$7:$F$1222,MATCH(B86,[1]Historical!$B$7:$B$1253,0))=0,"n/a",((INDEX([1]Historical!$C$7:$C$1231,MATCH(B86,[1]Historical!$B$7:$B$1253,0))/INDEX([1]Historical!$F$7:$F$1222,MATCH(B86,[1]Historical!$B$7:$B$1253,0)))^(1/3)-1)*100)</f>
        <v>5.1414171132046604</v>
      </c>
      <c r="U86" s="162">
        <f>IF(INDEX([1]Historical!$H$7:$H$1222,MATCH(B86,[1]Historical!$B$7:$B$1253,0))=0,"n/a",((INDEX([1]Historical!$C$7:$C$1231,MATCH(B86,[1]Historical!$B$7:$B$1253,0))/INDEX([1]Historical!$H$7:$H$1222,MATCH(B86,[1]Historical!$B$7:$B$1253,0)))^(1/5)-1)*100)</f>
        <v>5.0585759050103096</v>
      </c>
      <c r="V86" s="162">
        <f>IF(INDEX([1]Historical!$N$7:$N$1222,MATCH(B86,[1]Historical!$B$7:$B$1253,0))=0,"n/a",((INDEX([1]Historical!$C$7:$C$1231,MATCH(B86,[1]Historical!$B$7:$B$1253,0))/INDEX([1]Historical!$N$7:$N$1222,MATCH(B86,[1]Historical!$B$7:$B$1253,0)))^(1/10)-1)*100)</f>
        <v>5.770385669456668</v>
      </c>
      <c r="W86" s="163">
        <f t="shared" si="21"/>
        <v>0.87664433450019619</v>
      </c>
      <c r="X86" s="164" t="str">
        <f t="shared" si="22"/>
        <v>n/a</v>
      </c>
      <c r="Y86" s="153" t="s">
        <v>992</v>
      </c>
      <c r="Z86" s="157" t="str">
        <f t="shared" si="23"/>
        <v>n/a</v>
      </c>
      <c r="AA86" s="166" t="str">
        <f t="shared" si="24"/>
        <v>n/a</v>
      </c>
      <c r="AB86" s="126">
        <v>12</v>
      </c>
      <c r="AC86" s="167">
        <v>-0.53</v>
      </c>
      <c r="AD86" s="167" t="s">
        <v>95</v>
      </c>
      <c r="AE86" s="167">
        <v>1.9</v>
      </c>
      <c r="AF86" s="167">
        <v>1.53</v>
      </c>
      <c r="AG86" s="167" t="s">
        <v>95</v>
      </c>
      <c r="AH86" s="167">
        <v>52.2</v>
      </c>
      <c r="AI86" s="167">
        <v>109.1</v>
      </c>
      <c r="AJ86" s="167">
        <v>-24.560000000000002</v>
      </c>
      <c r="AK86" s="167" t="s">
        <v>95</v>
      </c>
      <c r="AL86" s="168">
        <v>8010</v>
      </c>
      <c r="AM86" s="169" t="s">
        <v>95</v>
      </c>
      <c r="AN86" s="167" t="s">
        <v>95</v>
      </c>
      <c r="AO86" s="170" t="str">
        <f t="shared" si="25"/>
        <v>n/a</v>
      </c>
      <c r="AP86" s="171">
        <f t="shared" si="26"/>
        <v>9.445142046202907</v>
      </c>
      <c r="AQ86" s="172" t="str">
        <f t="shared" si="27"/>
        <v>n/a</v>
      </c>
      <c r="AR86" s="157">
        <f>INDEX([1]Historical!$C$7:$C$1231,MATCH(B86,[1]Historical!$B$7:$B$1253,0))*IF(AH86="n/a",1.03,IF(AH86&lt;0,1.01,IF(AH86&gt;10,1.1,(1+AH86/100))))</f>
        <v>1.3365000000000002</v>
      </c>
      <c r="AS86" s="166">
        <f t="shared" si="28"/>
        <v>1.4701500000000003</v>
      </c>
      <c r="AT86" s="166">
        <f t="shared" si="29"/>
        <v>1.5142545000000003</v>
      </c>
      <c r="AU86" s="166">
        <f t="shared" si="29"/>
        <v>1.5596821350000003</v>
      </c>
      <c r="AV86" s="166">
        <f t="shared" si="29"/>
        <v>1.6064725990500004</v>
      </c>
      <c r="AW86" s="157">
        <f t="shared" si="30"/>
        <v>7.4870592340500011</v>
      </c>
      <c r="AX86" s="173">
        <f t="shared" si="31"/>
        <v>25.658187916552439</v>
      </c>
      <c r="AY86" s="174" t="s">
        <v>95</v>
      </c>
      <c r="AZ86" s="169">
        <v>6.81</v>
      </c>
      <c r="BA86" s="169">
        <v>-30.44</v>
      </c>
      <c r="BB86" s="169">
        <v>-13.59</v>
      </c>
      <c r="BC86" s="169">
        <v>-18.190000000000001</v>
      </c>
      <c r="BE86" s="77">
        <v>2010</v>
      </c>
      <c r="BF86" s="77">
        <f t="shared" si="32"/>
        <v>1</v>
      </c>
      <c r="BG86" s="175" t="s">
        <v>95</v>
      </c>
      <c r="BH86" t="s">
        <v>939</v>
      </c>
      <c r="BI86" t="s">
        <v>993</v>
      </c>
    </row>
    <row r="87" spans="1:64" ht="11.25" customHeight="1" x14ac:dyDescent="0.2">
      <c r="A87" s="176" t="s">
        <v>1289</v>
      </c>
      <c r="B87" s="153" t="s">
        <v>197</v>
      </c>
      <c r="C87" s="154" t="s">
        <v>127</v>
      </c>
      <c r="D87" s="154" t="s">
        <v>994</v>
      </c>
      <c r="E87" s="155">
        <v>37</v>
      </c>
      <c r="F87" s="298">
        <v>73</v>
      </c>
      <c r="G87" s="298" t="s">
        <v>104</v>
      </c>
      <c r="H87" s="298" t="s">
        <v>104</v>
      </c>
      <c r="I87" s="167">
        <v>68</v>
      </c>
      <c r="J87" s="157">
        <f t="shared" si="18"/>
        <v>1.1088235294117648</v>
      </c>
      <c r="K87" s="158">
        <v>0.1885</v>
      </c>
      <c r="L87" s="126">
        <v>4</v>
      </c>
      <c r="M87" s="82">
        <f t="shared" si="19"/>
        <v>0.754</v>
      </c>
      <c r="N87" s="159" t="s">
        <v>183</v>
      </c>
      <c r="O87" s="160">
        <v>0.17949999999999999</v>
      </c>
      <c r="P87" s="161">
        <v>44532</v>
      </c>
      <c r="Q87" s="161">
        <v>44558</v>
      </c>
      <c r="R87" s="82">
        <f t="shared" si="20"/>
        <v>5.0139275766016764</v>
      </c>
      <c r="S87" s="162">
        <f>IF(INDEX([1]Historical!$D$7:$D$1229,MATCH(B87,[1]Historical!$B$7:$B$1253,0))=0,"n/a",(INDEX([1]Historical!$C$7:$C$1231,MATCH(B87,[1]Historical!$B$7:$B$1253,0))/INDEX([1]Historical!$D$7:$D$1229,MATCH(B87,[1]Historical!$B$7:$B$1253,0))-1)*100)</f>
        <v>2.9833620195065969</v>
      </c>
      <c r="T87" s="162">
        <f>IF(INDEX([1]Historical!$F$7:$F$1222,MATCH(B87,[1]Historical!$B$7:$B$1253,0))=0,"n/a",((INDEX([1]Historical!$C$7:$C$1231,MATCH(B87,[1]Historical!$B$7:$B$1253,0))/INDEX([1]Historical!$F$7:$F$1222,MATCH(B87,[1]Historical!$B$7:$B$1253,0)))^(1/3)-1)*100)</f>
        <v>4.3443942006099245</v>
      </c>
      <c r="U87" s="162">
        <f>IF(INDEX([1]Historical!$H$7:$H$1222,MATCH(B87,[1]Historical!$B$7:$B$1253,0))=0,"n/a",((INDEX([1]Historical!$C$7:$C$1231,MATCH(B87,[1]Historical!$B$7:$B$1253,0))/INDEX([1]Historical!$H$7:$H$1222,MATCH(B87,[1]Historical!$B$7:$B$1253,0)))^(1/5)-1)*100)</f>
        <v>5.7073313473118059</v>
      </c>
      <c r="V87" s="162">
        <f>IF(INDEX([1]Historical!$N$7:$N$1222,MATCH(B87,[1]Historical!$B$7:$B$1253,0))=0,"n/a",((INDEX([1]Historical!$C$7:$C$1231,MATCH(B87,[1]Historical!$B$7:$B$1253,0))/INDEX([1]Historical!$N$7:$N$1222,MATCH(B87,[1]Historical!$B$7:$B$1253,0)))^(1/10)-1)*100)</f>
        <v>7.4702951580083887</v>
      </c>
      <c r="W87" s="163">
        <f t="shared" si="21"/>
        <v>0.76400345991595386</v>
      </c>
      <c r="X87" s="164">
        <f t="shared" si="22"/>
        <v>1.1647614994513888</v>
      </c>
      <c r="Y87" s="317"/>
      <c r="Z87" s="157">
        <f t="shared" si="23"/>
        <v>40.537634408602145</v>
      </c>
      <c r="AA87" s="166">
        <f t="shared" si="24"/>
        <v>36.559139784946233</v>
      </c>
      <c r="AB87" s="126">
        <v>4</v>
      </c>
      <c r="AC87" s="167">
        <v>1.86</v>
      </c>
      <c r="AD87" s="167">
        <v>4</v>
      </c>
      <c r="AE87" s="167">
        <v>7.94</v>
      </c>
      <c r="AF87" s="167">
        <v>11.63</v>
      </c>
      <c r="AG87" s="167">
        <v>32.6</v>
      </c>
      <c r="AH87" s="167">
        <v>-7.1999999999999993</v>
      </c>
      <c r="AI87" s="167">
        <v>8.68</v>
      </c>
      <c r="AJ87" s="167">
        <v>4.9000000000000004</v>
      </c>
      <c r="AK87" s="167">
        <v>9.15</v>
      </c>
      <c r="AL87" s="168">
        <v>32009.999999999996</v>
      </c>
      <c r="AM87" s="169">
        <v>0.3</v>
      </c>
      <c r="AN87" s="167">
        <v>0.8</v>
      </c>
      <c r="AO87" s="170">
        <f t="shared" si="25"/>
        <v>-29.74298490822266</v>
      </c>
      <c r="AP87" s="171">
        <f t="shared" si="26"/>
        <v>6.8161548767235711</v>
      </c>
      <c r="AQ87" s="172">
        <f t="shared" si="27"/>
        <v>334.70694889976664</v>
      </c>
      <c r="AR87" s="157">
        <f>INDEX([1]Historical!$C$7:$C$1231,MATCH(B87,[1]Historical!$B$7:$B$1253,0))*IF(AH87="n/a",1.03,IF(AH87&lt;0,1.01,IF(AH87&gt;10,1.1,(1+AH87/100))))</f>
        <v>0.72517999999999994</v>
      </c>
      <c r="AS87" s="166">
        <f t="shared" si="28"/>
        <v>0.78812562399999997</v>
      </c>
      <c r="AT87" s="166">
        <f t="shared" ref="AT87:AV102" si="33">IF($AK87="n/a",1.03*AS87,IF($AK87&lt;0,1.01*AS87,IF($AK87&gt;10,1.1*AS87,(1+$AK87/100)*AS87)))</f>
        <v>0.86023911859599989</v>
      </c>
      <c r="AU87" s="166">
        <f t="shared" si="33"/>
        <v>0.93895099794753378</v>
      </c>
      <c r="AV87" s="166">
        <f t="shared" si="33"/>
        <v>1.0248650142597331</v>
      </c>
      <c r="AW87" s="157">
        <f t="shared" si="30"/>
        <v>4.3373607548032664</v>
      </c>
      <c r="AX87" s="173">
        <f t="shared" si="31"/>
        <v>6.3784716982400971</v>
      </c>
      <c r="AY87" s="174">
        <v>0.66</v>
      </c>
      <c r="AZ87" s="169">
        <v>12.9</v>
      </c>
      <c r="BA87" s="169">
        <v>-12.989999999999998</v>
      </c>
      <c r="BB87" s="169">
        <v>-2.2800000000000002</v>
      </c>
      <c r="BC87" s="169">
        <v>-0.73</v>
      </c>
      <c r="BE87" s="77">
        <v>1985</v>
      </c>
      <c r="BF87" s="77">
        <f t="shared" si="32"/>
        <v>4</v>
      </c>
      <c r="BG87" s="175">
        <v>13.900000000000002</v>
      </c>
      <c r="BH87" t="s">
        <v>939</v>
      </c>
      <c r="BI87" t="s">
        <v>940</v>
      </c>
    </row>
    <row r="88" spans="1:64" ht="11.25" customHeight="1" x14ac:dyDescent="0.2">
      <c r="A88" s="176" t="s">
        <v>177</v>
      </c>
      <c r="B88" s="153" t="s">
        <v>178</v>
      </c>
      <c r="C88" s="154" t="s">
        <v>90</v>
      </c>
      <c r="D88" s="154" t="s">
        <v>969</v>
      </c>
      <c r="E88" s="155">
        <v>19</v>
      </c>
      <c r="F88" s="298">
        <v>201</v>
      </c>
      <c r="G88" s="298" t="s">
        <v>104</v>
      </c>
      <c r="H88" s="298" t="s">
        <v>104</v>
      </c>
      <c r="I88" s="156">
        <v>30.01</v>
      </c>
      <c r="J88" s="157">
        <f t="shared" si="18"/>
        <v>3.4655114961679439</v>
      </c>
      <c r="K88" s="158">
        <v>0.26</v>
      </c>
      <c r="L88" s="126">
        <v>4</v>
      </c>
      <c r="M88" s="82">
        <f t="shared" si="19"/>
        <v>1.04</v>
      </c>
      <c r="N88" s="159" t="s">
        <v>161</v>
      </c>
      <c r="O88" s="160">
        <v>0.24</v>
      </c>
      <c r="P88" s="161">
        <v>44697</v>
      </c>
      <c r="Q88" s="161">
        <v>44729</v>
      </c>
      <c r="R88" s="82">
        <f t="shared" si="20"/>
        <v>8.333333333333341</v>
      </c>
      <c r="S88" s="162">
        <f>IF(INDEX([1]Historical!$D$7:$D$1229,MATCH(B88,[1]Historical!$B$7:$B$1253,0))=0,"n/a",(INDEX([1]Historical!$C$7:$C$1231,MATCH(B88,[1]Historical!$B$7:$B$1253,0))/INDEX([1]Historical!$D$7:$D$1229,MATCH(B88,[1]Historical!$B$7:$B$1253,0))-1)*100)</f>
        <v>6.8181818181818121</v>
      </c>
      <c r="T88" s="162">
        <f>IF(INDEX([1]Historical!$F$7:$F$1222,MATCH(B88,[1]Historical!$B$7:$B$1253,0))=0,"n/a",((INDEX([1]Historical!$C$7:$C$1231,MATCH(B88,[1]Historical!$B$7:$B$1253,0))/INDEX([1]Historical!$F$7:$F$1222,MATCH(B88,[1]Historical!$B$7:$B$1253,0)))^(1/3)-1)*100)</f>
        <v>6.1140526388784755</v>
      </c>
      <c r="U88" s="162">
        <f>IF(INDEX([1]Historical!$H$7:$H$1222,MATCH(B88,[1]Historical!$B$7:$B$1253,0))=0,"n/a",((INDEX([1]Historical!$C$7:$C$1231,MATCH(B88,[1]Historical!$B$7:$B$1253,0))/INDEX([1]Historical!$H$7:$H$1222,MATCH(B88,[1]Historical!$B$7:$B$1253,0)))^(1/5)-1)*100)</f>
        <v>5.2830658025427413</v>
      </c>
      <c r="V88" s="162">
        <f>IF(INDEX([1]Historical!$N$7:$N$1222,MATCH(B88,[1]Historical!$B$7:$B$1253,0))=0,"n/a",((INDEX([1]Historical!$C$7:$C$1231,MATCH(B88,[1]Historical!$B$7:$B$1253,0))/INDEX([1]Historical!$N$7:$N$1222,MATCH(B88,[1]Historical!$B$7:$B$1253,0)))^(1/10)-1)*100)</f>
        <v>6.8045182038845242</v>
      </c>
      <c r="W88" s="163">
        <f t="shared" si="21"/>
        <v>0.77640556527966598</v>
      </c>
      <c r="X88" s="164">
        <f t="shared" si="22"/>
        <v>0.53908834719823884</v>
      </c>
      <c r="Y88" s="227"/>
      <c r="Z88" s="157">
        <f t="shared" si="23"/>
        <v>38.518518518518519</v>
      </c>
      <c r="AA88" s="166">
        <f t="shared" si="24"/>
        <v>11.114814814814814</v>
      </c>
      <c r="AB88" s="126">
        <v>12</v>
      </c>
      <c r="AC88" s="167">
        <v>2.7</v>
      </c>
      <c r="AD88" s="167" t="s">
        <v>95</v>
      </c>
      <c r="AE88" s="167">
        <v>3.81</v>
      </c>
      <c r="AF88" s="167">
        <v>1.17</v>
      </c>
      <c r="AG88" s="167">
        <v>9.5</v>
      </c>
      <c r="AH88" s="167">
        <v>20</v>
      </c>
      <c r="AI88" s="167">
        <v>12.86</v>
      </c>
      <c r="AJ88" s="167">
        <v>9.8000000000000007</v>
      </c>
      <c r="AK88" s="167" t="s">
        <v>95</v>
      </c>
      <c r="AL88" s="168">
        <v>438.09</v>
      </c>
      <c r="AM88" s="169">
        <v>0.89999999999999991</v>
      </c>
      <c r="AN88" s="167">
        <v>0.15</v>
      </c>
      <c r="AO88" s="170">
        <f t="shared" si="25"/>
        <v>-2.3662375161041282</v>
      </c>
      <c r="AP88" s="171">
        <f t="shared" si="26"/>
        <v>8.7485772987106856</v>
      </c>
      <c r="AQ88" s="172">
        <f t="shared" si="27"/>
        <v>-23.975637433098441</v>
      </c>
      <c r="AR88" s="157">
        <f>INDEX([1]Historical!$C$7:$C$1231,MATCH(B88,[1]Historical!$B$7:$B$1253,0))*IF(AH88="n/a",1.03,IF(AH88&lt;0,1.01,IF(AH88&gt;10,1.1,(1+AH88/100))))</f>
        <v>1.034</v>
      </c>
      <c r="AS88" s="166">
        <f t="shared" si="28"/>
        <v>1.1374000000000002</v>
      </c>
      <c r="AT88" s="166">
        <f t="shared" si="33"/>
        <v>1.1715220000000002</v>
      </c>
      <c r="AU88" s="166">
        <f t="shared" si="33"/>
        <v>1.2066676600000001</v>
      </c>
      <c r="AV88" s="166">
        <f t="shared" si="33"/>
        <v>1.2428676898000002</v>
      </c>
      <c r="AW88" s="157">
        <f t="shared" si="30"/>
        <v>5.7924573498000012</v>
      </c>
      <c r="AX88" s="173">
        <f t="shared" si="31"/>
        <v>19.301757246917699</v>
      </c>
      <c r="AY88" s="174">
        <v>0.85</v>
      </c>
      <c r="AZ88" s="169">
        <v>25.040000000000003</v>
      </c>
      <c r="BA88" s="169">
        <v>-8.8800000000000008</v>
      </c>
      <c r="BB88" s="169">
        <v>6.97</v>
      </c>
      <c r="BC88" s="169">
        <v>7.02</v>
      </c>
      <c r="BE88" s="77">
        <v>2004</v>
      </c>
      <c r="BF88" s="77">
        <f t="shared" si="32"/>
        <v>2</v>
      </c>
      <c r="BG88" s="175">
        <v>1</v>
      </c>
      <c r="BH88" t="s">
        <v>939</v>
      </c>
      <c r="BI88" t="s">
        <v>940</v>
      </c>
    </row>
    <row r="89" spans="1:64" ht="11.25" customHeight="1" x14ac:dyDescent="0.2">
      <c r="A89" s="176" t="s">
        <v>1290</v>
      </c>
      <c r="B89" s="153" t="s">
        <v>194</v>
      </c>
      <c r="C89" s="154" t="s">
        <v>117</v>
      </c>
      <c r="D89" s="154" t="s">
        <v>953</v>
      </c>
      <c r="E89" s="155">
        <v>15</v>
      </c>
      <c r="F89" s="298">
        <v>250</v>
      </c>
      <c r="G89" s="298" t="s">
        <v>88</v>
      </c>
      <c r="H89" s="298" t="s">
        <v>88</v>
      </c>
      <c r="I89" s="156">
        <v>36.380000000000003</v>
      </c>
      <c r="J89" s="157">
        <f t="shared" si="18"/>
        <v>3.9582188015393065</v>
      </c>
      <c r="K89" s="158">
        <v>0.36</v>
      </c>
      <c r="L89" s="126">
        <v>4</v>
      </c>
      <c r="M89" s="82">
        <f t="shared" si="19"/>
        <v>1.44</v>
      </c>
      <c r="N89" s="159" t="s">
        <v>628</v>
      </c>
      <c r="O89" s="226">
        <v>0.34</v>
      </c>
      <c r="P89" s="161">
        <v>44617</v>
      </c>
      <c r="Q89" s="161">
        <v>44651</v>
      </c>
      <c r="R89" s="82">
        <f t="shared" si="20"/>
        <v>5.8823529411764595</v>
      </c>
      <c r="S89" s="162">
        <f>IF(INDEX([1]Historical!$D$7:$D$1229,MATCH(B89,[1]Historical!$B$7:$B$1253,0))=0,"n/a",(INDEX([1]Historical!$C$7:$C$1231,MATCH(B89,[1]Historical!$B$7:$B$1253,0))/INDEX([1]Historical!$D$7:$D$1229,MATCH(B89,[1]Historical!$B$7:$B$1253,0))-1)*100)</f>
        <v>5.1546391752577581</v>
      </c>
      <c r="T89" s="162">
        <f>IF(INDEX([1]Historical!$F$7:$F$1222,MATCH(B89,[1]Historical!$B$7:$B$1253,0))=0,"n/a",((INDEX([1]Historical!$C$7:$C$1231,MATCH(B89,[1]Historical!$B$7:$B$1253,0))/INDEX([1]Historical!$F$7:$F$1222,MATCH(B89,[1]Historical!$B$7:$B$1253,0)))^(1/3)-1)*100)</f>
        <v>6.4330733339932555</v>
      </c>
      <c r="U89" s="162">
        <f>IF(INDEX([1]Historical!$H$7:$H$1222,MATCH(B89,[1]Historical!$B$7:$B$1253,0))=0,"n/a",((INDEX([1]Historical!$C$7:$C$1231,MATCH(B89,[1]Historical!$B$7:$B$1253,0))/INDEX([1]Historical!$H$7:$H$1222,MATCH(B89,[1]Historical!$B$7:$B$1253,0)))^(1/5)-1)*100)</f>
        <v>7.9905546948798589</v>
      </c>
      <c r="V89" s="162">
        <f>IF(INDEX([1]Historical!$N$7:$N$1222,MATCH(B89,[1]Historical!$B$7:$B$1253,0))=0,"n/a",((INDEX([1]Historical!$C$7:$C$1231,MATCH(B89,[1]Historical!$B$7:$B$1253,0))/INDEX([1]Historical!$N$7:$N$1222,MATCH(B89,[1]Historical!$B$7:$B$1253,0)))^(1/10)-1)*100)</f>
        <v>9.9234874889701388</v>
      </c>
      <c r="W89" s="163">
        <f t="shared" si="21"/>
        <v>0.80521638222059366</v>
      </c>
      <c r="X89" s="164">
        <f t="shared" si="22"/>
        <v>0.61942284456433017</v>
      </c>
      <c r="Y89" s="177" t="s">
        <v>995</v>
      </c>
      <c r="Z89" s="157">
        <f t="shared" si="23"/>
        <v>167.44186046511626</v>
      </c>
      <c r="AA89" s="166">
        <f t="shared" si="24"/>
        <v>42.302325581395351</v>
      </c>
      <c r="AB89" s="126">
        <v>12</v>
      </c>
      <c r="AC89" s="167">
        <v>0.86</v>
      </c>
      <c r="AD89" s="167" t="s">
        <v>95</v>
      </c>
      <c r="AE89" s="167">
        <v>1.77</v>
      </c>
      <c r="AF89" s="167">
        <v>2.11</v>
      </c>
      <c r="AG89" s="167">
        <v>4.9000000000000004</v>
      </c>
      <c r="AH89" s="167">
        <v>403.2</v>
      </c>
      <c r="AI89" s="167">
        <v>37.93</v>
      </c>
      <c r="AJ89" s="167">
        <v>12.9</v>
      </c>
      <c r="AK89" s="167" t="s">
        <v>95</v>
      </c>
      <c r="AL89" s="168">
        <v>23560</v>
      </c>
      <c r="AM89" s="169">
        <v>42.3</v>
      </c>
      <c r="AN89" s="167">
        <v>4.29</v>
      </c>
      <c r="AO89" s="170">
        <f t="shared" si="25"/>
        <v>-30.353552084976187</v>
      </c>
      <c r="AP89" s="171">
        <f t="shared" si="26"/>
        <v>11.948773496419165</v>
      </c>
      <c r="AQ89" s="172">
        <f t="shared" si="27"/>
        <v>99.173745454949369</v>
      </c>
      <c r="AR89" s="157">
        <f>INDEX([1]Historical!$C$7:$C$1231,MATCH(B89,[1]Historical!$B$7:$B$1253,0))*IF(AH89="n/a",1.03,IF(AH89&lt;0,1.01,IF(AH89&gt;10,1.1,(1+AH89/100))))</f>
        <v>1.4960000000000002</v>
      </c>
      <c r="AS89" s="166">
        <f t="shared" si="28"/>
        <v>1.6456000000000004</v>
      </c>
      <c r="AT89" s="166">
        <f t="shared" si="33"/>
        <v>1.6949680000000005</v>
      </c>
      <c r="AU89" s="166">
        <f t="shared" si="33"/>
        <v>1.7458170400000006</v>
      </c>
      <c r="AV89" s="166">
        <f t="shared" si="33"/>
        <v>1.7981915512000006</v>
      </c>
      <c r="AW89" s="157">
        <f t="shared" si="30"/>
        <v>8.3805765912000023</v>
      </c>
      <c r="AX89" s="173">
        <f t="shared" si="31"/>
        <v>23.03621932710281</v>
      </c>
      <c r="AY89" s="174">
        <v>0.78</v>
      </c>
      <c r="AZ89" s="169">
        <v>13.370000000000001</v>
      </c>
      <c r="BA89" s="169">
        <v>-20.919999999999998</v>
      </c>
      <c r="BB89" s="169">
        <v>-5.55</v>
      </c>
      <c r="BC89" s="169">
        <v>-9.01</v>
      </c>
      <c r="BE89" s="77">
        <v>2008</v>
      </c>
      <c r="BF89" s="77">
        <f t="shared" si="32"/>
        <v>2</v>
      </c>
      <c r="BG89" s="175">
        <v>0.5</v>
      </c>
      <c r="BH89" t="s">
        <v>939</v>
      </c>
      <c r="BI89" t="s">
        <v>993</v>
      </c>
    </row>
    <row r="90" spans="1:64" ht="11.25" customHeight="1" x14ac:dyDescent="0.2">
      <c r="A90" s="112" t="s">
        <v>1291</v>
      </c>
      <c r="B90" s="153" t="s">
        <v>663</v>
      </c>
      <c r="C90" s="154" t="s">
        <v>90</v>
      </c>
      <c r="D90" s="154" t="s">
        <v>972</v>
      </c>
      <c r="E90" s="155">
        <v>12</v>
      </c>
      <c r="F90" s="298">
        <v>374</v>
      </c>
      <c r="G90" s="298" t="s">
        <v>30</v>
      </c>
      <c r="H90" s="298" t="s">
        <v>30</v>
      </c>
      <c r="I90" s="156">
        <v>42.11</v>
      </c>
      <c r="J90" s="157">
        <f t="shared" si="18"/>
        <v>3.5146046069817145</v>
      </c>
      <c r="K90" s="158">
        <v>0.37</v>
      </c>
      <c r="L90" s="126">
        <v>4</v>
      </c>
      <c r="M90" s="82">
        <f t="shared" si="19"/>
        <v>1.48</v>
      </c>
      <c r="N90" s="159" t="s">
        <v>403</v>
      </c>
      <c r="O90" s="160">
        <v>0.34</v>
      </c>
      <c r="P90" s="161">
        <v>44764</v>
      </c>
      <c r="Q90" s="161">
        <v>44778</v>
      </c>
      <c r="R90" s="82">
        <f t="shared" si="20"/>
        <v>8.8235294117646959</v>
      </c>
      <c r="S90" s="162">
        <f>IF(INDEX([1]Historical!$D$7:$D$1229,MATCH(B90,[1]Historical!$B$7:$B$1253,0))=0,"n/a",(INDEX([1]Historical!$C$7:$C$1231,MATCH(B90,[1]Historical!$B$7:$B$1253,0))/INDEX([1]Historical!$D$7:$D$1229,MATCH(B90,[1]Historical!$B$7:$B$1253,0))-1)*100)</f>
        <v>4.8387096774193505</v>
      </c>
      <c r="T90" s="162">
        <f>IF(INDEX([1]Historical!$F$7:$F$1222,MATCH(B90,[1]Historical!$B$7:$B$1253,0))=0,"n/a",((INDEX([1]Historical!$C$7:$C$1231,MATCH(B90,[1]Historical!$B$7:$B$1253,0))/INDEX([1]Historical!$F$7:$F$1222,MATCH(B90,[1]Historical!$B$7:$B$1253,0)))^(1/3)-1)*100)</f>
        <v>7.7217345015941907</v>
      </c>
      <c r="U90" s="162">
        <f>IF(INDEX([1]Historical!$H$7:$H$1222,MATCH(B90,[1]Historical!$B$7:$B$1253,0))=0,"n/a",((INDEX([1]Historical!$C$7:$C$1231,MATCH(B90,[1]Historical!$B$7:$B$1253,0))/INDEX([1]Historical!$H$7:$H$1222,MATCH(B90,[1]Historical!$B$7:$B$1253,0)))^(1/5)-1)*100)</f>
        <v>12.543954530480296</v>
      </c>
      <c r="V90" s="162">
        <f>IF(INDEX([1]Historical!$N$7:$N$1222,MATCH(B90,[1]Historical!$B$7:$B$1253,0))=0,"n/a",((INDEX([1]Historical!$C$7:$C$1231,MATCH(B90,[1]Historical!$B$7:$B$1253,0))/INDEX([1]Historical!$N$7:$N$1222,MATCH(B90,[1]Historical!$B$7:$B$1253,0)))^(1/10)-1)*100)</f>
        <v>10.476577475618431</v>
      </c>
      <c r="W90" s="163">
        <f t="shared" si="21"/>
        <v>1.1973332473962188</v>
      </c>
      <c r="X90" s="164">
        <f t="shared" si="22"/>
        <v>2.2006937772772446</v>
      </c>
      <c r="Y90" s="180"/>
      <c r="Z90" s="157">
        <f t="shared" si="23"/>
        <v>45.121951219512198</v>
      </c>
      <c r="AA90" s="166">
        <f t="shared" si="24"/>
        <v>12.838414634146343</v>
      </c>
      <c r="AB90" s="126">
        <v>12</v>
      </c>
      <c r="AC90" s="167">
        <v>3.28</v>
      </c>
      <c r="AD90" s="167">
        <v>2.88</v>
      </c>
      <c r="AE90" s="167">
        <v>7.24</v>
      </c>
      <c r="AF90" s="167">
        <v>0.95</v>
      </c>
      <c r="AG90" s="167">
        <v>9</v>
      </c>
      <c r="AH90" s="167">
        <v>8.3000000000000007</v>
      </c>
      <c r="AI90" s="167">
        <v>34.04</v>
      </c>
      <c r="AJ90" s="167">
        <v>5.7</v>
      </c>
      <c r="AK90" s="167">
        <v>4.47</v>
      </c>
      <c r="AL90" s="168">
        <v>33660</v>
      </c>
      <c r="AM90" s="169">
        <v>0.1</v>
      </c>
      <c r="AN90" s="167">
        <v>0.78</v>
      </c>
      <c r="AO90" s="170">
        <f t="shared" si="25"/>
        <v>3.2201445033156659</v>
      </c>
      <c r="AP90" s="171">
        <f t="shared" si="26"/>
        <v>16.058559137462009</v>
      </c>
      <c r="AQ90" s="172">
        <f t="shared" si="27"/>
        <v>-26.374841551005357</v>
      </c>
      <c r="AR90" s="157">
        <f>INDEX([1]Historical!$C$7:$C$1231,MATCH(B90,[1]Historical!$B$7:$B$1253,0))*IF(AH90="n/a",1.03,IF(AH90&lt;0,1.01,IF(AH90&gt;10,1.1,(1+AH90/100))))</f>
        <v>1.4078999999999999</v>
      </c>
      <c r="AS90" s="166">
        <f t="shared" si="28"/>
        <v>1.5486900000000001</v>
      </c>
      <c r="AT90" s="166">
        <f t="shared" si="33"/>
        <v>1.6179164430000001</v>
      </c>
      <c r="AU90" s="166">
        <f t="shared" si="33"/>
        <v>1.6902373080021</v>
      </c>
      <c r="AV90" s="166">
        <f t="shared" si="33"/>
        <v>1.7657909156697937</v>
      </c>
      <c r="AW90" s="157">
        <f t="shared" si="30"/>
        <v>8.030534666671894</v>
      </c>
      <c r="AX90" s="173">
        <f t="shared" si="31"/>
        <v>19.070374416223924</v>
      </c>
      <c r="AY90" s="174">
        <v>1.0900000000000001</v>
      </c>
      <c r="AZ90" s="169">
        <v>16.259999999999998</v>
      </c>
      <c r="BA90" s="169">
        <v>-34.839999999999996</v>
      </c>
      <c r="BB90" s="169">
        <v>1.96</v>
      </c>
      <c r="BC90" s="169">
        <v>-9.68</v>
      </c>
      <c r="BE90" s="77">
        <v>2011</v>
      </c>
      <c r="BF90" s="77">
        <f t="shared" si="32"/>
        <v>1</v>
      </c>
      <c r="BG90" s="175">
        <v>0.70000000000000007</v>
      </c>
      <c r="BH90" t="s">
        <v>939</v>
      </c>
      <c r="BI90" t="s">
        <v>940</v>
      </c>
    </row>
    <row r="91" spans="1:64" s="252" customFormat="1" ht="11.25" customHeight="1" x14ac:dyDescent="0.2">
      <c r="A91" s="208" t="s">
        <v>1292</v>
      </c>
      <c r="B91" s="184" t="s">
        <v>184</v>
      </c>
      <c r="C91" s="154" t="s">
        <v>117</v>
      </c>
      <c r="D91" s="154" t="s">
        <v>953</v>
      </c>
      <c r="E91" s="185">
        <v>52</v>
      </c>
      <c r="F91" s="298">
        <v>32</v>
      </c>
      <c r="G91" s="297" t="s">
        <v>30</v>
      </c>
      <c r="H91" s="297" t="s">
        <v>30</v>
      </c>
      <c r="I91" s="195">
        <v>65.37</v>
      </c>
      <c r="J91" s="187">
        <f t="shared" si="18"/>
        <v>3.8243842741318645</v>
      </c>
      <c r="K91" s="188">
        <v>0.625</v>
      </c>
      <c r="L91" s="189">
        <v>4</v>
      </c>
      <c r="M91" s="190">
        <f t="shared" si="19"/>
        <v>2.5</v>
      </c>
      <c r="N91" s="191" t="s">
        <v>116</v>
      </c>
      <c r="O91" s="192">
        <v>0.59499999999999997</v>
      </c>
      <c r="P91" s="193">
        <v>44881</v>
      </c>
      <c r="Q91" s="193">
        <v>44896</v>
      </c>
      <c r="R91" s="190">
        <f t="shared" si="20"/>
        <v>5.0420168067226943</v>
      </c>
      <c r="S91" s="162">
        <f>IF(INDEX([1]Historical!$D$7:$D$1229,MATCH(B91,[1]Historical!$B$7:$B$1253,0))=0,"n/a",(INDEX([1]Historical!$C$7:$C$1231,MATCH(B91,[1]Historical!$B$7:$B$1253,0))/INDEX([1]Historical!$D$7:$D$1229,MATCH(B91,[1]Historical!$B$7:$B$1253,0))-1)*100)</f>
        <v>5.5299539170506895</v>
      </c>
      <c r="T91" s="162">
        <f>IF(INDEX([1]Historical!$F$7:$F$1222,MATCH(B91,[1]Historical!$B$7:$B$1253,0))=0,"n/a",((INDEX([1]Historical!$C$7:$C$1231,MATCH(B91,[1]Historical!$B$7:$B$1253,0))/INDEX([1]Historical!$F$7:$F$1222,MATCH(B91,[1]Historical!$B$7:$B$1253,0)))^(1/3)-1)*100)</f>
        <v>5.8667037376161968</v>
      </c>
      <c r="U91" s="162">
        <f>IF(INDEX([1]Historical!$H$7:$H$1222,MATCH(B91,[1]Historical!$B$7:$B$1253,0))=0,"n/a",((INDEX([1]Historical!$C$7:$C$1231,MATCH(B91,[1]Historical!$B$7:$B$1253,0))/INDEX([1]Historical!$H$7:$H$1222,MATCH(B91,[1]Historical!$B$7:$B$1253,0)))^(1/5)-1)*100)</f>
        <v>6.3910855335624683</v>
      </c>
      <c r="V91" s="162">
        <f>IF(INDEX([1]Historical!$N$7:$N$1222,MATCH(B91,[1]Historical!$B$7:$B$1253,0))=0,"n/a",((INDEX([1]Historical!$C$7:$C$1231,MATCH(B91,[1]Historical!$B$7:$B$1253,0))/INDEX([1]Historical!$N$7:$N$1222,MATCH(B91,[1]Historical!$B$7:$B$1253,0)))^(1/10)-1)*100)</f>
        <v>4.6039929240880184</v>
      </c>
      <c r="W91" s="163">
        <f t="shared" si="21"/>
        <v>1.3881614587469084</v>
      </c>
      <c r="X91" s="164">
        <f t="shared" si="22"/>
        <v>0.83001110825486601</v>
      </c>
      <c r="Y91" s="184"/>
      <c r="Z91" s="187">
        <f t="shared" si="23"/>
        <v>60.53268765133172</v>
      </c>
      <c r="AA91" s="194">
        <f t="shared" si="24"/>
        <v>15.828087167070219</v>
      </c>
      <c r="AB91" s="189">
        <v>12</v>
      </c>
      <c r="AC91" s="195">
        <v>4.13</v>
      </c>
      <c r="AD91" s="195">
        <v>3.41</v>
      </c>
      <c r="AE91" s="195">
        <v>1.88</v>
      </c>
      <c r="AF91" s="195">
        <v>1.48</v>
      </c>
      <c r="AG91" s="195">
        <v>9.5</v>
      </c>
      <c r="AH91" s="195">
        <v>2.6</v>
      </c>
      <c r="AI91" s="195">
        <v>4.3900000000000006</v>
      </c>
      <c r="AJ91" s="195">
        <v>7.7</v>
      </c>
      <c r="AK91" s="195">
        <v>4.67</v>
      </c>
      <c r="AL91" s="196">
        <v>4210</v>
      </c>
      <c r="AM91" s="197">
        <v>0.3</v>
      </c>
      <c r="AN91" s="195">
        <v>1.55</v>
      </c>
      <c r="AO91" s="198">
        <f t="shared" si="25"/>
        <v>-5.6126173593758857</v>
      </c>
      <c r="AP91" s="199">
        <f t="shared" si="26"/>
        <v>10.215469807694333</v>
      </c>
      <c r="AQ91" s="172">
        <f t="shared" si="27"/>
        <v>2.0360916697048426</v>
      </c>
      <c r="AR91" s="157">
        <f>INDEX([1]Historical!$C$7:$C$1231,MATCH(B91,[1]Historical!$B$7:$B$1253,0))*IF(AH91="n/a",1.03,IF(AH91&lt;0,1.01,IF(AH91&gt;10,1.1,(1+AH91/100))))</f>
        <v>2.3495400000000002</v>
      </c>
      <c r="AS91" s="194">
        <f t="shared" si="28"/>
        <v>2.4526848060000002</v>
      </c>
      <c r="AT91" s="194">
        <f t="shared" si="33"/>
        <v>2.5672251864402003</v>
      </c>
      <c r="AU91" s="194">
        <f t="shared" si="33"/>
        <v>2.6871146026469575</v>
      </c>
      <c r="AV91" s="194">
        <f t="shared" si="33"/>
        <v>2.8126028545905704</v>
      </c>
      <c r="AW91" s="187">
        <f t="shared" si="30"/>
        <v>12.869167449677729</v>
      </c>
      <c r="AX91" s="200">
        <f t="shared" si="31"/>
        <v>19.68665664628687</v>
      </c>
      <c r="AY91" s="201">
        <v>0.5</v>
      </c>
      <c r="AZ91" s="197">
        <v>10.66</v>
      </c>
      <c r="BA91" s="197">
        <v>-19.25</v>
      </c>
      <c r="BB91" s="197">
        <v>-8.17</v>
      </c>
      <c r="BC91" s="197">
        <v>-9.82</v>
      </c>
      <c r="BD91" s="202"/>
      <c r="BE91" s="77">
        <v>1972</v>
      </c>
      <c r="BF91" s="77">
        <f t="shared" si="32"/>
        <v>6</v>
      </c>
      <c r="BG91" s="203">
        <v>2.9000000000000004</v>
      </c>
      <c r="BH91" t="s">
        <v>939</v>
      </c>
      <c r="BI91" t="s">
        <v>940</v>
      </c>
    </row>
    <row r="92" spans="1:64" ht="11.25" customHeight="1" x14ac:dyDescent="0.2">
      <c r="A92" s="112" t="s">
        <v>175</v>
      </c>
      <c r="B92" s="178" t="s">
        <v>616</v>
      </c>
      <c r="C92" s="154" t="s">
        <v>90</v>
      </c>
      <c r="D92" s="154" t="s">
        <v>969</v>
      </c>
      <c r="E92" s="155">
        <v>22</v>
      </c>
      <c r="F92" s="298">
        <v>157</v>
      </c>
      <c r="G92" s="298" t="s">
        <v>88</v>
      </c>
      <c r="H92" s="298" t="s">
        <v>88</v>
      </c>
      <c r="I92" s="156">
        <v>397</v>
      </c>
      <c r="J92" s="157">
        <f t="shared" si="18"/>
        <v>4.4080604534005037</v>
      </c>
      <c r="K92" s="209">
        <v>8.75</v>
      </c>
      <c r="L92" s="126">
        <v>2</v>
      </c>
      <c r="M92" s="82">
        <f t="shared" si="19"/>
        <v>17.5</v>
      </c>
      <c r="N92" s="159" t="s">
        <v>176</v>
      </c>
      <c r="O92" s="210">
        <v>8.25</v>
      </c>
      <c r="P92" s="161">
        <v>44560</v>
      </c>
      <c r="Q92" s="161">
        <v>44572</v>
      </c>
      <c r="R92" s="82">
        <f t="shared" si="20"/>
        <v>6.0606060606060606</v>
      </c>
      <c r="S92" s="162">
        <f>IF(INDEX([1]Historical!$D$7:$D$1229,MATCH(B92,[1]Historical!$B$7:$B$1253,0))=0,"n/a",(INDEX([1]Historical!$C$7:$C$1231,MATCH(B92,[1]Historical!$B$7:$B$1253,0))/INDEX([1]Historical!$D$7:$D$1229,MATCH(B92,[1]Historical!$B$7:$B$1253,0))-1)*100)</f>
        <v>6.4516129032258007</v>
      </c>
      <c r="T92" s="162">
        <f>IF(INDEX([1]Historical!$F$7:$F$1222,MATCH(B92,[1]Historical!$B$7:$B$1253,0))=0,"n/a",((INDEX([1]Historical!$C$7:$C$1231,MATCH(B92,[1]Historical!$B$7:$B$1253,0))/INDEX([1]Historical!$F$7:$F$1222,MATCH(B92,[1]Historical!$B$7:$B$1253,0)))^(1/3)-1)*100)</f>
        <v>4.6422696369909255</v>
      </c>
      <c r="U92" s="162">
        <f>IF(INDEX([1]Historical!$H$7:$H$1222,MATCH(B92,[1]Historical!$B$7:$B$1253,0))=0,"n/a",((INDEX([1]Historical!$C$7:$C$1231,MATCH(B92,[1]Historical!$B$7:$B$1253,0))/INDEX([1]Historical!$H$7:$H$1222,MATCH(B92,[1]Historical!$B$7:$B$1253,0)))^(1/5)-1)*100)</f>
        <v>5.2094608173952617</v>
      </c>
      <c r="V92" s="162">
        <f>IF(INDEX([1]Historical!$N$7:$N$1222,MATCH(B92,[1]Historical!$B$7:$B$1253,0))=0,"n/a",((INDEX([1]Historical!$C$7:$C$1231,MATCH(B92,[1]Historical!$B$7:$B$1253,0))/INDEX([1]Historical!$N$7:$N$1222,MATCH(B92,[1]Historical!$B$7:$B$1253,0)))^(1/10)-1)*100)</f>
        <v>6.3676082061075334</v>
      </c>
      <c r="W92" s="163">
        <f t="shared" si="21"/>
        <v>0.81811893080962061</v>
      </c>
      <c r="X92" s="164" t="str">
        <f t="shared" si="22"/>
        <v>n/a</v>
      </c>
      <c r="Y92" s="178"/>
      <c r="Z92" s="157" t="str">
        <f t="shared" si="23"/>
        <v>n/a</v>
      </c>
      <c r="AA92" s="166" t="str">
        <f t="shared" si="24"/>
        <v>n/a</v>
      </c>
      <c r="AB92" s="126">
        <v>12</v>
      </c>
      <c r="AC92" s="167" t="s">
        <v>95</v>
      </c>
      <c r="AD92" s="167" t="s">
        <v>95</v>
      </c>
      <c r="AE92" s="167" t="s">
        <v>95</v>
      </c>
      <c r="AF92" s="167" t="s">
        <v>95</v>
      </c>
      <c r="AG92" s="167" t="s">
        <v>95</v>
      </c>
      <c r="AH92" s="167" t="s">
        <v>95</v>
      </c>
      <c r="AI92" s="167" t="s">
        <v>95</v>
      </c>
      <c r="AJ92" s="167" t="s">
        <v>95</v>
      </c>
      <c r="AK92" s="167" t="s">
        <v>95</v>
      </c>
      <c r="AL92" s="168" t="s">
        <v>95</v>
      </c>
      <c r="AM92" s="169" t="s">
        <v>95</v>
      </c>
      <c r="AN92" s="167" t="s">
        <v>95</v>
      </c>
      <c r="AO92" s="170" t="str">
        <f t="shared" si="25"/>
        <v>n/a</v>
      </c>
      <c r="AP92" s="171">
        <f t="shared" si="26"/>
        <v>9.6175212707957662</v>
      </c>
      <c r="AQ92" s="172" t="str">
        <f t="shared" si="27"/>
        <v>n/a</v>
      </c>
      <c r="AR92" s="157">
        <f>INDEX([1]Historical!$C$7:$C$1231,MATCH(B92,[1]Historical!$B$7:$B$1253,0))*IF(AH92="n/a",1.03,IF(AH92&lt;0,1.01,IF(AH92&gt;10,1.1,(1+AH92/100))))</f>
        <v>16.995000000000001</v>
      </c>
      <c r="AS92" s="166">
        <f t="shared" si="28"/>
        <v>17.504850000000001</v>
      </c>
      <c r="AT92" s="166">
        <f t="shared" si="33"/>
        <v>18.029995500000002</v>
      </c>
      <c r="AU92" s="166">
        <f t="shared" si="33"/>
        <v>18.570895365000002</v>
      </c>
      <c r="AV92" s="166">
        <f t="shared" si="33"/>
        <v>19.128022225950001</v>
      </c>
      <c r="AW92" s="157">
        <f t="shared" si="30"/>
        <v>90.228763090950011</v>
      </c>
      <c r="AX92" s="173">
        <f t="shared" si="31"/>
        <v>22.727648133740558</v>
      </c>
      <c r="AY92" s="174" t="s">
        <v>95</v>
      </c>
      <c r="AZ92" s="169" t="s">
        <v>95</v>
      </c>
      <c r="BA92" s="169" t="s">
        <v>95</v>
      </c>
      <c r="BB92" s="169" t="s">
        <v>95</v>
      </c>
      <c r="BC92" s="169" t="s">
        <v>95</v>
      </c>
      <c r="BD92" s="100" t="s">
        <v>932</v>
      </c>
      <c r="BE92" s="77">
        <v>2001</v>
      </c>
      <c r="BF92" s="77">
        <f t="shared" si="32"/>
        <v>3</v>
      </c>
      <c r="BG92" s="175" t="s">
        <v>95</v>
      </c>
      <c r="BH92" t="s">
        <v>939</v>
      </c>
      <c r="BI92" t="s">
        <v>940</v>
      </c>
    </row>
    <row r="93" spans="1:64" ht="11.25" customHeight="1" x14ac:dyDescent="0.2">
      <c r="A93" s="112" t="s">
        <v>1293</v>
      </c>
      <c r="B93" s="153" t="s">
        <v>185</v>
      </c>
      <c r="C93" s="154" t="s">
        <v>90</v>
      </c>
      <c r="D93" s="154" t="s">
        <v>972</v>
      </c>
      <c r="E93" s="155">
        <v>13</v>
      </c>
      <c r="F93" s="298">
        <v>283</v>
      </c>
      <c r="G93" s="298" t="s">
        <v>88</v>
      </c>
      <c r="H93" s="298" t="s">
        <v>88</v>
      </c>
      <c r="I93" s="156">
        <v>645.91</v>
      </c>
      <c r="J93" s="157">
        <f t="shared" si="18"/>
        <v>3.0220928612345372</v>
      </c>
      <c r="K93" s="158">
        <v>4.88</v>
      </c>
      <c r="L93" s="126">
        <v>4</v>
      </c>
      <c r="M93" s="82">
        <f t="shared" si="19"/>
        <v>19.52</v>
      </c>
      <c r="N93" s="159" t="s">
        <v>549</v>
      </c>
      <c r="O93" s="160">
        <v>4.13</v>
      </c>
      <c r="P93" s="161">
        <v>44624</v>
      </c>
      <c r="Q93" s="161">
        <v>44643</v>
      </c>
      <c r="R93" s="82">
        <f t="shared" si="20"/>
        <v>18.159806295399516</v>
      </c>
      <c r="S93" s="162">
        <f>IF(INDEX([1]Historical!$D$7:$D$1229,MATCH(B93,[1]Historical!$B$7:$B$1253,0))=0,"n/a",(INDEX([1]Historical!$C$7:$C$1231,MATCH(B93,[1]Historical!$B$7:$B$1253,0))/INDEX([1]Historical!$D$7:$D$1229,MATCH(B93,[1]Historical!$B$7:$B$1253,0))-1)*100)</f>
        <v>13.774104683195599</v>
      </c>
      <c r="T93" s="162">
        <f>IF(INDEX([1]Historical!$F$7:$F$1222,MATCH(B93,[1]Historical!$B$7:$B$1253,0))=0,"n/a",((INDEX([1]Historical!$C$7:$C$1231,MATCH(B93,[1]Historical!$B$7:$B$1253,0))/INDEX([1]Historical!$F$7:$F$1222,MATCH(B93,[1]Historical!$B$7:$B$1253,0)))^(1/3)-1)*100)</f>
        <v>11.18218168334848</v>
      </c>
      <c r="U93" s="162">
        <f>IF(INDEX([1]Historical!$H$7:$H$1222,MATCH(B93,[1]Historical!$B$7:$B$1253,0))=0,"n/a",((INDEX([1]Historical!$C$7:$C$1231,MATCH(B93,[1]Historical!$B$7:$B$1253,0))/INDEX([1]Historical!$H$7:$H$1222,MATCH(B93,[1]Historical!$B$7:$B$1253,0)))^(1/5)-1)*100)</f>
        <v>12.518235728113481</v>
      </c>
      <c r="V93" s="162">
        <f>IF(INDEX([1]Historical!$N$7:$N$1222,MATCH(B93,[1]Historical!$B$7:$B$1253,0))=0,"n/a",((INDEX([1]Historical!$C$7:$C$1231,MATCH(B93,[1]Historical!$B$7:$B$1253,0))/INDEX([1]Historical!$N$7:$N$1222,MATCH(B93,[1]Historical!$B$7:$B$1253,0)))^(1/10)-1)*100)</f>
        <v>11.625838795469502</v>
      </c>
      <c r="W93" s="163">
        <f t="shared" si="21"/>
        <v>1.0767597889789888</v>
      </c>
      <c r="X93" s="164">
        <f t="shared" si="22"/>
        <v>0.83454904854089873</v>
      </c>
      <c r="Y93" s="153"/>
      <c r="Z93" s="157">
        <f t="shared" si="23"/>
        <v>53.774104683195603</v>
      </c>
      <c r="AA93" s="166">
        <f t="shared" si="24"/>
        <v>17.79366391184573</v>
      </c>
      <c r="AB93" s="126">
        <v>12</v>
      </c>
      <c r="AC93" s="167">
        <v>36.299999999999997</v>
      </c>
      <c r="AD93" s="167" t="s">
        <v>95</v>
      </c>
      <c r="AE93" s="167">
        <v>5.24</v>
      </c>
      <c r="AF93" s="167">
        <v>2.71</v>
      </c>
      <c r="AG93" s="167">
        <v>16.5</v>
      </c>
      <c r="AH93" s="167">
        <v>20</v>
      </c>
      <c r="AI93" s="167">
        <v>-2.0099999999999998</v>
      </c>
      <c r="AJ93" s="167">
        <v>15</v>
      </c>
      <c r="AK93" s="167">
        <v>-1.05</v>
      </c>
      <c r="AL93" s="168">
        <v>97640</v>
      </c>
      <c r="AM93" s="169">
        <v>0.6</v>
      </c>
      <c r="AN93" s="167">
        <v>0</v>
      </c>
      <c r="AO93" s="170">
        <f t="shared" si="25"/>
        <v>-2.253335322497712</v>
      </c>
      <c r="AP93" s="171">
        <f t="shared" si="26"/>
        <v>15.540328589348018</v>
      </c>
      <c r="AQ93" s="172">
        <f t="shared" si="27"/>
        <v>46.394944055230923</v>
      </c>
      <c r="AR93" s="157">
        <f>INDEX([1]Historical!$C$7:$C$1231,MATCH(B93,[1]Historical!$B$7:$B$1253,0))*IF(AH93="n/a",1.03,IF(AH93&lt;0,1.01,IF(AH93&gt;10,1.1,(1+AH93/100))))</f>
        <v>18.172000000000001</v>
      </c>
      <c r="AS93" s="166">
        <f t="shared" si="28"/>
        <v>18.353719999999999</v>
      </c>
      <c r="AT93" s="166">
        <f t="shared" si="33"/>
        <v>18.537257199999999</v>
      </c>
      <c r="AU93" s="166">
        <f t="shared" si="33"/>
        <v>18.722629771999998</v>
      </c>
      <c r="AV93" s="166">
        <f t="shared" si="33"/>
        <v>18.909856069719996</v>
      </c>
      <c r="AW93" s="157">
        <f t="shared" si="30"/>
        <v>92.695463041719989</v>
      </c>
      <c r="AX93" s="173">
        <f t="shared" si="31"/>
        <v>14.351142270861263</v>
      </c>
      <c r="AY93" s="174">
        <v>1.31</v>
      </c>
      <c r="AZ93" s="169">
        <v>28.38</v>
      </c>
      <c r="BA93" s="169">
        <v>-33.629999999999995</v>
      </c>
      <c r="BB93" s="169">
        <v>3.82</v>
      </c>
      <c r="BC93" s="169">
        <v>-4.4799999999999995</v>
      </c>
      <c r="BE93" s="77">
        <v>2010</v>
      </c>
      <c r="BF93" s="77">
        <f t="shared" si="32"/>
        <v>1</v>
      </c>
      <c r="BG93" s="175">
        <v>4.2</v>
      </c>
      <c r="BH93" t="s">
        <v>939</v>
      </c>
      <c r="BI93" t="s">
        <v>940</v>
      </c>
    </row>
    <row r="94" spans="1:64" ht="11.25" customHeight="1" x14ac:dyDescent="0.2">
      <c r="A94" s="112" t="s">
        <v>1294</v>
      </c>
      <c r="B94" s="153" t="s">
        <v>166</v>
      </c>
      <c r="C94" s="154" t="s">
        <v>922</v>
      </c>
      <c r="D94" s="154" t="s">
        <v>974</v>
      </c>
      <c r="E94" s="155">
        <v>30</v>
      </c>
      <c r="F94" s="298">
        <v>103</v>
      </c>
      <c r="G94" s="298" t="s">
        <v>30</v>
      </c>
      <c r="H94" s="298" t="s">
        <v>104</v>
      </c>
      <c r="I94" s="167">
        <v>112.48</v>
      </c>
      <c r="J94" s="157">
        <f t="shared" si="18"/>
        <v>0.80014224751066865</v>
      </c>
      <c r="K94" s="209">
        <v>0.22500000000000001</v>
      </c>
      <c r="L94" s="126">
        <v>4</v>
      </c>
      <c r="M94" s="82">
        <f t="shared" si="19"/>
        <v>0.9</v>
      </c>
      <c r="N94" s="159" t="s">
        <v>167</v>
      </c>
      <c r="O94" s="210">
        <v>0.2</v>
      </c>
      <c r="P94" s="161">
        <v>44798</v>
      </c>
      <c r="Q94" s="161">
        <v>44813</v>
      </c>
      <c r="R94" s="82">
        <f t="shared" si="20"/>
        <v>12.499999999999996</v>
      </c>
      <c r="S94" s="162">
        <f>IF(INDEX([1]Historical!$D$7:$D$1229,MATCH(B94,[1]Historical!$B$7:$B$1253,0))=0,"n/a",(INDEX([1]Historical!$C$7:$C$1231,MATCH(B94,[1]Historical!$B$7:$B$1253,0))/INDEX([1]Historical!$D$7:$D$1229,MATCH(B94,[1]Historical!$B$7:$B$1253,0))-1)*100)</f>
        <v>8.5714285714285854</v>
      </c>
      <c r="T94" s="162">
        <f>IF(INDEX([1]Historical!$F$7:$F$1222,MATCH(B94,[1]Historical!$B$7:$B$1253,0))=0,"n/a",((INDEX([1]Historical!$C$7:$C$1231,MATCH(B94,[1]Historical!$B$7:$B$1253,0))/INDEX([1]Historical!$F$7:$F$1222,MATCH(B94,[1]Historical!$B$7:$B$1253,0)))^(1/3)-1)*100)</f>
        <v>10.715524489384997</v>
      </c>
      <c r="U94" s="162">
        <f>IF(INDEX([1]Historical!$H$7:$H$1222,MATCH(B94,[1]Historical!$B$7:$B$1253,0))=0,"n/a",((INDEX([1]Historical!$C$7:$C$1231,MATCH(B94,[1]Historical!$B$7:$B$1253,0))/INDEX([1]Historical!$H$7:$H$1222,MATCH(B94,[1]Historical!$B$7:$B$1253,0)))^(1/5)-1)*100)</f>
        <v>12.064750186187467</v>
      </c>
      <c r="V94" s="162">
        <f>IF(INDEX([1]Historical!$N$7:$N$1222,MATCH(B94,[1]Historical!$B$7:$B$1253,0))=0,"n/a",((INDEX([1]Historical!$C$7:$C$1231,MATCH(B94,[1]Historical!$B$7:$B$1253,0))/INDEX([1]Historical!$N$7:$N$1222,MATCH(B94,[1]Historical!$B$7:$B$1253,0)))^(1/10)-1)*100)</f>
        <v>9.7410809684315147</v>
      </c>
      <c r="W94" s="163">
        <f t="shared" si="21"/>
        <v>1.2385432607824944</v>
      </c>
      <c r="X94" s="164">
        <f t="shared" si="22"/>
        <v>0.90712407414943363</v>
      </c>
      <c r="Y94" s="165"/>
      <c r="Z94" s="157">
        <f t="shared" si="23"/>
        <v>39.823008849557532</v>
      </c>
      <c r="AA94" s="166">
        <f t="shared" si="24"/>
        <v>49.769911504424783</v>
      </c>
      <c r="AB94" s="126">
        <v>12</v>
      </c>
      <c r="AC94" s="167">
        <v>2.2599999999999998</v>
      </c>
      <c r="AD94" s="167">
        <v>3.32</v>
      </c>
      <c r="AE94" s="167">
        <v>5.87</v>
      </c>
      <c r="AF94" s="167">
        <v>7.72</v>
      </c>
      <c r="AG94" s="167">
        <v>16</v>
      </c>
      <c r="AH94" s="167">
        <v>22.900000000000002</v>
      </c>
      <c r="AI94" s="167">
        <v>12.16</v>
      </c>
      <c r="AJ94" s="167">
        <v>13.3</v>
      </c>
      <c r="AK94" s="167">
        <v>14.899999999999999</v>
      </c>
      <c r="AL94" s="168">
        <v>3250</v>
      </c>
      <c r="AM94" s="169">
        <v>0.2</v>
      </c>
      <c r="AN94" s="167">
        <v>0</v>
      </c>
      <c r="AO94" s="170">
        <f t="shared" si="25"/>
        <v>-36.905019070726645</v>
      </c>
      <c r="AP94" s="171">
        <f t="shared" si="26"/>
        <v>12.864892433698136</v>
      </c>
      <c r="AQ94" s="172">
        <f t="shared" si="27"/>
        <v>313.23854655858111</v>
      </c>
      <c r="AR94" s="157">
        <f>INDEX([1]Historical!$C$7:$C$1231,MATCH(B94,[1]Historical!$B$7:$B$1253,0))*IF(AH94="n/a",1.03,IF(AH94&lt;0,1.01,IF(AH94&gt;10,1.1,(1+AH94/100))))</f>
        <v>0.83600000000000008</v>
      </c>
      <c r="AS94" s="166">
        <f t="shared" si="28"/>
        <v>0.9196000000000002</v>
      </c>
      <c r="AT94" s="166">
        <f t="shared" si="33"/>
        <v>1.0115600000000002</v>
      </c>
      <c r="AU94" s="166">
        <f t="shared" si="33"/>
        <v>1.1127160000000003</v>
      </c>
      <c r="AV94" s="166">
        <f t="shared" si="33"/>
        <v>1.2239876000000003</v>
      </c>
      <c r="AW94" s="157">
        <f t="shared" si="30"/>
        <v>5.1038636000000013</v>
      </c>
      <c r="AX94" s="173">
        <f t="shared" si="31"/>
        <v>4.5375743243243258</v>
      </c>
      <c r="AY94" s="174">
        <v>0.88</v>
      </c>
      <c r="AZ94" s="169">
        <v>53.66</v>
      </c>
      <c r="BA94" s="169">
        <v>-0.47000000000000003</v>
      </c>
      <c r="BB94" s="169">
        <v>16.3</v>
      </c>
      <c r="BC94" s="169">
        <v>22.84</v>
      </c>
      <c r="BE94" s="77">
        <v>1993</v>
      </c>
      <c r="BF94" s="77">
        <f t="shared" si="32"/>
        <v>3</v>
      </c>
      <c r="BG94" s="175">
        <v>12</v>
      </c>
      <c r="BH94" t="s">
        <v>939</v>
      </c>
      <c r="BI94" t="s">
        <v>940</v>
      </c>
    </row>
    <row r="95" spans="1:64" ht="11.25" customHeight="1" x14ac:dyDescent="0.2">
      <c r="A95" s="205" t="s">
        <v>1792</v>
      </c>
      <c r="B95" s="153" t="s">
        <v>1793</v>
      </c>
      <c r="C95" s="154" t="s">
        <v>90</v>
      </c>
      <c r="D95" s="154" t="s">
        <v>969</v>
      </c>
      <c r="E95" s="155">
        <v>7</v>
      </c>
      <c r="F95" s="298">
        <v>634</v>
      </c>
      <c r="G95" s="298" t="s">
        <v>88</v>
      </c>
      <c r="H95" s="298" t="s">
        <v>88</v>
      </c>
      <c r="I95" s="156">
        <v>92.08</v>
      </c>
      <c r="J95" s="157">
        <f t="shared" si="18"/>
        <v>4.7033014769765424</v>
      </c>
      <c r="K95" s="158">
        <v>1.0827</v>
      </c>
      <c r="L95" s="126">
        <v>4</v>
      </c>
      <c r="M95" s="82">
        <f t="shared" si="19"/>
        <v>4.3308</v>
      </c>
      <c r="N95" s="159" t="s">
        <v>199</v>
      </c>
      <c r="O95" s="160">
        <v>1.046</v>
      </c>
      <c r="P95" s="161">
        <v>44774</v>
      </c>
      <c r="Q95" s="161">
        <v>44799</v>
      </c>
      <c r="R95" s="82">
        <f t="shared" si="20"/>
        <v>3.5086042065009515</v>
      </c>
      <c r="S95" s="162">
        <f>IF(INDEX([1]Historical!$D$7:$D$1229,MATCH(B95,[1]Historical!$B$7:$B$1253,0))=0,"n/a",(INDEX([1]Historical!$C$7:$C$1231,MATCH(B95,[1]Historical!$B$7:$B$1253,0))/INDEX([1]Historical!$D$7:$D$1229,MATCH(B95,[1]Historical!$B$7:$B$1253,0))-1)*100)</f>
        <v>7.8085802292718665</v>
      </c>
      <c r="T95" s="162">
        <f>IF(INDEX([1]Historical!$F$7:$F$1222,MATCH(B95,[1]Historical!$B$7:$B$1253,0))=0,"n/a",((INDEX([1]Historical!$C$7:$C$1231,MATCH(B95,[1]Historical!$B$7:$B$1253,0))/INDEX([1]Historical!$F$7:$F$1222,MATCH(B95,[1]Historical!$B$7:$B$1253,0)))^(1/3)-1)*100)</f>
        <v>4.7698296922109806</v>
      </c>
      <c r="U95" s="162">
        <f>IF(INDEX([1]Historical!$H$7:$H$1222,MATCH(B95,[1]Historical!$B$7:$B$1253,0))=0,"n/a",((INDEX([1]Historical!$C$7:$C$1231,MATCH(B95,[1]Historical!$B$7:$B$1253,0))/INDEX([1]Historical!$H$7:$H$1222,MATCH(B95,[1]Historical!$B$7:$B$1253,0)))^(1/5)-1)*100)</f>
        <v>5.8182773697618595</v>
      </c>
      <c r="V95" s="162">
        <f>IF(INDEX([1]Historical!$N$7:$N$1222,MATCH(B95,[1]Historical!$B$7:$B$1253,0))=0,"n/a",((INDEX([1]Historical!$C$7:$C$1231,MATCH(B95,[1]Historical!$B$7:$B$1253,0))/INDEX([1]Historical!$N$7:$N$1222,MATCH(B95,[1]Historical!$B$7:$B$1253,0)))^(1/10)-1)*100)</f>
        <v>1.6654506113408907</v>
      </c>
      <c r="W95" s="163">
        <f t="shared" si="21"/>
        <v>3.49351540666669</v>
      </c>
      <c r="X95" s="164">
        <f t="shared" si="22"/>
        <v>0.53872938608906107</v>
      </c>
      <c r="Y95" s="180" t="s">
        <v>1794</v>
      </c>
      <c r="Z95" s="157">
        <f t="shared" si="23"/>
        <v>35.095623987034038</v>
      </c>
      <c r="AA95" s="166">
        <f t="shared" si="24"/>
        <v>7.4619124797406808</v>
      </c>
      <c r="AB95" s="126">
        <v>10</v>
      </c>
      <c r="AC95" s="167">
        <v>12.34</v>
      </c>
      <c r="AD95" s="167">
        <v>1.38</v>
      </c>
      <c r="AE95" s="167">
        <v>3.76</v>
      </c>
      <c r="AF95" s="167">
        <v>1.34</v>
      </c>
      <c r="AG95" s="167">
        <v>18.600000000000001</v>
      </c>
      <c r="AH95" s="167">
        <v>53.300000000000004</v>
      </c>
      <c r="AI95" s="167">
        <v>6.7100000000000009</v>
      </c>
      <c r="AJ95" s="167">
        <v>10.8</v>
      </c>
      <c r="AK95" s="167">
        <v>5.5</v>
      </c>
      <c r="AL95" s="168">
        <v>63140</v>
      </c>
      <c r="AM95" s="169">
        <v>0.1</v>
      </c>
      <c r="AN95" s="167">
        <v>2.73</v>
      </c>
      <c r="AO95" s="170">
        <f t="shared" si="25"/>
        <v>3.0596663669977211</v>
      </c>
      <c r="AP95" s="171">
        <f t="shared" si="26"/>
        <v>10.521578846738402</v>
      </c>
      <c r="AQ95" s="172">
        <f t="shared" si="27"/>
        <v>-33.336791013491606</v>
      </c>
      <c r="AR95" s="157">
        <f>INDEX([1]Historical!$C$7:$C$1231,MATCH(B95,[1]Historical!$B$7:$B$1253,0))*IF(AH95="n/a",1.03,IF(AH95&lt;0,1.01,IF(AH95&gt;10,1.1,(1+AH95/100))))</f>
        <v>3.7345000000000002</v>
      </c>
      <c r="AS95" s="166">
        <f t="shared" si="28"/>
        <v>3.9850849500000001</v>
      </c>
      <c r="AT95" s="166">
        <f t="shared" si="33"/>
        <v>4.2042646222500002</v>
      </c>
      <c r="AU95" s="166">
        <f t="shared" si="33"/>
        <v>4.4354991764737504</v>
      </c>
      <c r="AV95" s="166">
        <f t="shared" si="33"/>
        <v>4.6794516311798064</v>
      </c>
      <c r="AW95" s="157">
        <f t="shared" si="30"/>
        <v>21.038800379903556</v>
      </c>
      <c r="AX95" s="173">
        <f t="shared" si="31"/>
        <v>22.848393114578144</v>
      </c>
      <c r="AY95" s="174">
        <v>1.1200000000000001</v>
      </c>
      <c r="AZ95" s="169">
        <v>12.879999999999999</v>
      </c>
      <c r="BA95" s="169">
        <v>-25</v>
      </c>
      <c r="BB95" s="169">
        <v>-0.4</v>
      </c>
      <c r="BC95" s="169">
        <v>-11.65</v>
      </c>
      <c r="BE95" s="77">
        <v>2016</v>
      </c>
      <c r="BF95" s="77">
        <f t="shared" si="32"/>
        <v>1</v>
      </c>
      <c r="BG95" s="175">
        <v>1.0999999999999999</v>
      </c>
      <c r="BH95" t="s">
        <v>1023</v>
      </c>
      <c r="BI95" t="s">
        <v>940</v>
      </c>
      <c r="BJ95" s="112"/>
      <c r="BK95" s="112"/>
      <c r="BL95" s="112"/>
    </row>
    <row r="96" spans="1:64" ht="11.25" customHeight="1" x14ac:dyDescent="0.2">
      <c r="A96" s="176" t="s">
        <v>172</v>
      </c>
      <c r="B96" s="153" t="s">
        <v>173</v>
      </c>
      <c r="C96" s="154" t="s">
        <v>90</v>
      </c>
      <c r="D96" s="154" t="s">
        <v>969</v>
      </c>
      <c r="E96" s="155">
        <v>18</v>
      </c>
      <c r="F96" s="298">
        <v>219</v>
      </c>
      <c r="G96" s="298" t="s">
        <v>88</v>
      </c>
      <c r="H96" s="298" t="s">
        <v>88</v>
      </c>
      <c r="I96" s="156">
        <v>36.1</v>
      </c>
      <c r="J96" s="157">
        <f t="shared" si="18"/>
        <v>2.7700831024930745</v>
      </c>
      <c r="K96" s="228">
        <v>0.25</v>
      </c>
      <c r="L96" s="126">
        <v>4</v>
      </c>
      <c r="M96" s="82">
        <f t="shared" si="19"/>
        <v>1</v>
      </c>
      <c r="N96" s="159" t="s">
        <v>98</v>
      </c>
      <c r="O96" s="226">
        <v>0.24</v>
      </c>
      <c r="P96" s="161">
        <v>44777</v>
      </c>
      <c r="Q96" s="161">
        <v>44785</v>
      </c>
      <c r="R96" s="82">
        <f t="shared" si="20"/>
        <v>4.1666666666666705</v>
      </c>
      <c r="S96" s="162">
        <f>IF(INDEX([1]Historical!$D$7:$D$1229,MATCH(B96,[1]Historical!$B$7:$B$1253,0))=0,"n/a",(INDEX([1]Historical!$C$7:$C$1231,MATCH(B96,[1]Historical!$B$7:$B$1253,0))/INDEX([1]Historical!$D$7:$D$1229,MATCH(B96,[1]Historical!$B$7:$B$1253,0))-1)*100)</f>
        <v>2.1739130434782483</v>
      </c>
      <c r="T96" s="162">
        <f>IF(INDEX([1]Historical!$F$7:$F$1222,MATCH(B96,[1]Historical!$B$7:$B$1253,0))=0,"n/a",((INDEX([1]Historical!$C$7:$C$1231,MATCH(B96,[1]Historical!$B$7:$B$1253,0))/INDEX([1]Historical!$F$7:$F$1222,MATCH(B96,[1]Historical!$B$7:$B$1253,0)))^(1/3)-1)*100)</f>
        <v>13.968467749475423</v>
      </c>
      <c r="U96" s="162">
        <f>IF(INDEX([1]Historical!$H$7:$H$1222,MATCH(B96,[1]Historical!$B$7:$B$1253,0))=0,"n/a",((INDEX([1]Historical!$C$7:$C$1231,MATCH(B96,[1]Historical!$B$7:$B$1253,0))/INDEX([1]Historical!$H$7:$H$1222,MATCH(B96,[1]Historical!$B$7:$B$1253,0)))^(1/5)-1)*100)</f>
        <v>13.008610609940119</v>
      </c>
      <c r="V96" s="162">
        <f>IF(INDEX([1]Historical!$N$7:$N$1222,MATCH(B96,[1]Historical!$B$7:$B$1253,0))=0,"n/a",((INDEX([1]Historical!$C$7:$C$1231,MATCH(B96,[1]Historical!$B$7:$B$1253,0))/INDEX([1]Historical!$N$7:$N$1222,MATCH(B96,[1]Historical!$B$7:$B$1253,0)))^(1/10)-1)*100)</f>
        <v>11.205034523276813</v>
      </c>
      <c r="W96" s="163">
        <f t="shared" si="21"/>
        <v>1.1609612253239061</v>
      </c>
      <c r="X96" s="164">
        <f t="shared" si="22"/>
        <v>3.2521526524850297</v>
      </c>
      <c r="Y96" s="218" t="s">
        <v>901</v>
      </c>
      <c r="Z96" s="157">
        <f t="shared" si="23"/>
        <v>36.764705882352935</v>
      </c>
      <c r="AA96" s="166">
        <f t="shared" si="24"/>
        <v>13.272058823529411</v>
      </c>
      <c r="AB96" s="126">
        <v>12</v>
      </c>
      <c r="AC96" s="167">
        <v>2.72</v>
      </c>
      <c r="AD96" s="167">
        <v>1.35</v>
      </c>
      <c r="AE96" s="167">
        <v>4.41</v>
      </c>
      <c r="AF96" s="167">
        <v>1.43</v>
      </c>
      <c r="AG96" s="167">
        <v>8</v>
      </c>
      <c r="AH96" s="167">
        <v>3.6999999999999997</v>
      </c>
      <c r="AI96" s="167">
        <v>7.85</v>
      </c>
      <c r="AJ96" s="167">
        <v>4</v>
      </c>
      <c r="AK96" s="167">
        <v>10</v>
      </c>
      <c r="AL96" s="168">
        <v>560.99</v>
      </c>
      <c r="AM96" s="169">
        <v>0.5</v>
      </c>
      <c r="AN96" s="167">
        <v>0</v>
      </c>
      <c r="AO96" s="170">
        <f t="shared" si="25"/>
        <v>2.5066348889037826</v>
      </c>
      <c r="AP96" s="171">
        <f t="shared" si="26"/>
        <v>15.778693712433194</v>
      </c>
      <c r="AQ96" s="172">
        <f t="shared" si="27"/>
        <v>-8.1570322836078564</v>
      </c>
      <c r="AR96" s="157">
        <f>INDEX([1]Historical!$C$7:$C$1231,MATCH(B96,[1]Historical!$B$7:$B$1253,0))*IF(AH96="n/a",1.03,IF(AH96&lt;0,1.01,IF(AH96&gt;10,1.1,(1+AH96/100))))</f>
        <v>0.97477999999999987</v>
      </c>
      <c r="AS96" s="166">
        <f t="shared" si="28"/>
        <v>1.0513002299999998</v>
      </c>
      <c r="AT96" s="166">
        <f t="shared" si="33"/>
        <v>1.1564302529999999</v>
      </c>
      <c r="AU96" s="166">
        <f t="shared" si="33"/>
        <v>1.2720732782999999</v>
      </c>
      <c r="AV96" s="166">
        <f t="shared" si="33"/>
        <v>1.39928060613</v>
      </c>
      <c r="AW96" s="157">
        <f t="shared" si="30"/>
        <v>5.853864367429999</v>
      </c>
      <c r="AX96" s="173">
        <f t="shared" si="31"/>
        <v>16.21569076850415</v>
      </c>
      <c r="AY96" s="174">
        <v>0.74</v>
      </c>
      <c r="AZ96" s="169">
        <v>20.82</v>
      </c>
      <c r="BA96" s="169">
        <v>-8.9499999999999993</v>
      </c>
      <c r="BB96" s="169">
        <v>14.299999999999999</v>
      </c>
      <c r="BC96" s="169">
        <v>8.6499999999999986</v>
      </c>
      <c r="BE96" s="77">
        <v>2005</v>
      </c>
      <c r="BF96" s="77">
        <f t="shared" si="32"/>
        <v>2</v>
      </c>
      <c r="BG96" s="175">
        <v>0.8</v>
      </c>
      <c r="BH96" t="s">
        <v>939</v>
      </c>
      <c r="BI96" t="s">
        <v>940</v>
      </c>
    </row>
    <row r="97" spans="1:64" ht="11.25" customHeight="1" x14ac:dyDescent="0.2">
      <c r="A97" s="112" t="s">
        <v>1295</v>
      </c>
      <c r="B97" s="153" t="s">
        <v>192</v>
      </c>
      <c r="C97" s="154" t="s">
        <v>137</v>
      </c>
      <c r="D97" s="154" t="s">
        <v>996</v>
      </c>
      <c r="E97" s="155">
        <v>13</v>
      </c>
      <c r="F97" s="298">
        <v>274</v>
      </c>
      <c r="G97" s="298" t="s">
        <v>104</v>
      </c>
      <c r="H97" s="298" t="s">
        <v>104</v>
      </c>
      <c r="I97" s="156">
        <v>77.47</v>
      </c>
      <c r="J97" s="157">
        <f t="shared" si="18"/>
        <v>2.7881760681554151</v>
      </c>
      <c r="K97" s="158">
        <v>0.54</v>
      </c>
      <c r="L97" s="126">
        <v>4</v>
      </c>
      <c r="M97" s="82">
        <f t="shared" si="19"/>
        <v>2.16</v>
      </c>
      <c r="N97" s="159" t="s">
        <v>201</v>
      </c>
      <c r="O97" s="160">
        <v>0.49</v>
      </c>
      <c r="P97" s="161">
        <v>44567</v>
      </c>
      <c r="Q97" s="161">
        <v>44593</v>
      </c>
      <c r="R97" s="82">
        <f t="shared" si="20"/>
        <v>10.204081632653072</v>
      </c>
      <c r="S97" s="162">
        <f>IF(INDEX([1]Historical!$D$7:$D$1229,MATCH(B97,[1]Historical!$B$7:$B$1253,0))=0,"n/a",(INDEX([1]Historical!$C$7:$C$1231,MATCH(B97,[1]Historical!$B$7:$B$1253,0))/INDEX([1]Historical!$D$7:$D$1229,MATCH(B97,[1]Historical!$B$7:$B$1253,0))-1)*100)</f>
        <v>8.8888888888888786</v>
      </c>
      <c r="T97" s="162">
        <f>IF(INDEX([1]Historical!$F$7:$F$1222,MATCH(B97,[1]Historical!$B$7:$B$1253,0))=0,"n/a",((INDEX([1]Historical!$C$7:$C$1231,MATCH(B97,[1]Historical!$B$7:$B$1253,0))/INDEX([1]Historical!$F$7:$F$1222,MATCH(B97,[1]Historical!$B$7:$B$1253,0)))^(1/3)-1)*100)</f>
        <v>6.998748056507953</v>
      </c>
      <c r="U97" s="162">
        <f>IF(INDEX([1]Historical!$H$7:$H$1222,MATCH(B97,[1]Historical!$B$7:$B$1253,0))=0,"n/a",((INDEX([1]Historical!$C$7:$C$1231,MATCH(B97,[1]Historical!$B$7:$B$1253,0))/INDEX([1]Historical!$H$7:$H$1222,MATCH(B97,[1]Historical!$B$7:$B$1253,0)))^(1/5)-1)*100)</f>
        <v>5.2161718884977448</v>
      </c>
      <c r="V97" s="162">
        <f>IF(INDEX([1]Historical!$N$7:$N$1222,MATCH(B97,[1]Historical!$B$7:$B$1253,0))=0,"n/a",((INDEX([1]Historical!$C$7:$C$1231,MATCH(B97,[1]Historical!$B$7:$B$1253,0))/INDEX([1]Historical!$N$7:$N$1222,MATCH(B97,[1]Historical!$B$7:$B$1253,0)))^(1/10)-1)*100)</f>
        <v>4.0323033089643134</v>
      </c>
      <c r="W97" s="163">
        <f t="shared" si="21"/>
        <v>1.2935961133929443</v>
      </c>
      <c r="X97" s="164">
        <f t="shared" si="22"/>
        <v>1.5806581480296196</v>
      </c>
      <c r="Y97" s="165"/>
      <c r="Z97" s="157">
        <f t="shared" si="23"/>
        <v>70.358306188925084</v>
      </c>
      <c r="AA97" s="166">
        <f t="shared" si="24"/>
        <v>25.234527687296417</v>
      </c>
      <c r="AB97" s="126">
        <v>8</v>
      </c>
      <c r="AC97" s="167">
        <v>3.07</v>
      </c>
      <c r="AD97" s="167">
        <v>6.26</v>
      </c>
      <c r="AE97" s="167">
        <v>3.39</v>
      </c>
      <c r="AF97" s="167">
        <v>5.0199999999999996</v>
      </c>
      <c r="AG97" s="167">
        <v>20.100000000000001</v>
      </c>
      <c r="AH97" s="167">
        <v>178</v>
      </c>
      <c r="AI97" s="167">
        <v>4.58</v>
      </c>
      <c r="AJ97" s="167">
        <v>3.3000000000000003</v>
      </c>
      <c r="AK97" s="167">
        <v>4</v>
      </c>
      <c r="AL97" s="168">
        <v>158610</v>
      </c>
      <c r="AM97" s="169">
        <v>0.1</v>
      </c>
      <c r="AN97" s="167">
        <v>1.2</v>
      </c>
      <c r="AO97" s="170">
        <f t="shared" si="25"/>
        <v>-17.230179730643258</v>
      </c>
      <c r="AP97" s="171">
        <f t="shared" si="26"/>
        <v>8.0043479566531595</v>
      </c>
      <c r="AQ97" s="172">
        <f t="shared" si="27"/>
        <v>137.2783915715209</v>
      </c>
      <c r="AR97" s="157">
        <f>INDEX([1]Historical!$C$7:$C$1231,MATCH(B97,[1]Historical!$B$7:$B$1253,0))*IF(AH97="n/a",1.03,IF(AH97&lt;0,1.01,IF(AH97&gt;10,1.1,(1+AH97/100))))</f>
        <v>2.1560000000000001</v>
      </c>
      <c r="AS97" s="166">
        <f t="shared" si="28"/>
        <v>2.2547448000000001</v>
      </c>
      <c r="AT97" s="166">
        <f t="shared" si="33"/>
        <v>2.344934592</v>
      </c>
      <c r="AU97" s="166">
        <f t="shared" si="33"/>
        <v>2.4387319756800001</v>
      </c>
      <c r="AV97" s="166">
        <f t="shared" si="33"/>
        <v>2.5362812547072</v>
      </c>
      <c r="AW97" s="157">
        <f t="shared" si="30"/>
        <v>11.730692622387199</v>
      </c>
      <c r="AX97" s="173">
        <f t="shared" si="31"/>
        <v>15.142239089179293</v>
      </c>
      <c r="AY97" s="174">
        <v>0.37</v>
      </c>
      <c r="AZ97" s="169">
        <v>45.57</v>
      </c>
      <c r="BA97" s="169">
        <v>-3.8699999999999997</v>
      </c>
      <c r="BB97" s="169">
        <v>9.17</v>
      </c>
      <c r="BC97" s="169">
        <v>7.21</v>
      </c>
      <c r="BE97" s="77">
        <v>2010</v>
      </c>
      <c r="BF97" s="77">
        <f t="shared" si="32"/>
        <v>1</v>
      </c>
      <c r="BG97" s="175">
        <v>6.5</v>
      </c>
      <c r="BH97" t="s">
        <v>939</v>
      </c>
      <c r="BI97" t="s">
        <v>940</v>
      </c>
    </row>
    <row r="98" spans="1:64" s="252" customFormat="1" ht="11.25" customHeight="1" x14ac:dyDescent="0.2">
      <c r="A98" s="236" t="s">
        <v>1795</v>
      </c>
      <c r="B98" s="184" t="s">
        <v>1796</v>
      </c>
      <c r="C98" s="154" t="s">
        <v>90</v>
      </c>
      <c r="D98" s="154" t="s">
        <v>969</v>
      </c>
      <c r="E98" s="185">
        <v>6</v>
      </c>
      <c r="F98" s="298">
        <v>679</v>
      </c>
      <c r="G98" s="297" t="s">
        <v>88</v>
      </c>
      <c r="H98" s="297" t="s">
        <v>88</v>
      </c>
      <c r="I98" s="186">
        <v>48.32</v>
      </c>
      <c r="J98" s="187">
        <f t="shared" si="18"/>
        <v>6.641556291390728</v>
      </c>
      <c r="K98" s="188">
        <v>0.80230000000000001</v>
      </c>
      <c r="L98" s="189">
        <v>4</v>
      </c>
      <c r="M98" s="190">
        <f t="shared" si="19"/>
        <v>3.2092000000000001</v>
      </c>
      <c r="N98" s="191" t="s">
        <v>1797</v>
      </c>
      <c r="O98" s="192">
        <v>0.78290000000000004</v>
      </c>
      <c r="P98" s="193">
        <v>44743</v>
      </c>
      <c r="Q98" s="193">
        <v>44769</v>
      </c>
      <c r="R98" s="190">
        <f t="shared" si="20"/>
        <v>2.4779665346787549</v>
      </c>
      <c r="S98" s="162">
        <f>IF(INDEX([1]Historical!$D$7:$D$1229,MATCH(B98,[1]Historical!$B$7:$B$1253,0))=0,"n/a",(INDEX([1]Historical!$C$7:$C$1231,MATCH(B98,[1]Historical!$B$7:$B$1253,0))/INDEX([1]Historical!$D$7:$D$1229,MATCH(B98,[1]Historical!$B$7:$B$1253,0))-1)*100)</f>
        <v>7.3803912766992052</v>
      </c>
      <c r="T98" s="162">
        <f>IF(INDEX([1]Historical!$F$7:$F$1222,MATCH(B98,[1]Historical!$B$7:$B$1253,0))=0,"n/a",((INDEX([1]Historical!$C$7:$C$1231,MATCH(B98,[1]Historical!$B$7:$B$1253,0))/INDEX([1]Historical!$F$7:$F$1222,MATCH(B98,[1]Historical!$B$7:$B$1253,0)))^(1/3)-1)*100)</f>
        <v>3.9817075764860821</v>
      </c>
      <c r="U98" s="162">
        <f>IF(INDEX([1]Historical!$H$7:$H$1222,MATCH(B98,[1]Historical!$B$7:$B$1253,0))=0,"n/a",((INDEX([1]Historical!$C$7:$C$1231,MATCH(B98,[1]Historical!$B$7:$B$1253,0))/INDEX([1]Historical!$H$7:$H$1222,MATCH(B98,[1]Historical!$B$7:$B$1253,0)))^(1/5)-1)*100)</f>
        <v>5.7203545703599534</v>
      </c>
      <c r="V98" s="162">
        <f>IF(INDEX([1]Historical!$N$7:$N$1222,MATCH(B98,[1]Historical!$B$7:$B$1253,0))=0,"n/a",((INDEX([1]Historical!$C$7:$C$1231,MATCH(B98,[1]Historical!$B$7:$B$1253,0))/INDEX([1]Historical!$N$7:$N$1222,MATCH(B98,[1]Historical!$B$7:$B$1253,0)))^(1/10)-1)*100)</f>
        <v>3.3098017292576776</v>
      </c>
      <c r="W98" s="163">
        <f t="shared" si="21"/>
        <v>1.7283073242102978</v>
      </c>
      <c r="X98" s="164">
        <f t="shared" si="22"/>
        <v>0.95339242839332561</v>
      </c>
      <c r="Y98" s="227" t="s">
        <v>1794</v>
      </c>
      <c r="Z98" s="187">
        <f t="shared" si="23"/>
        <v>52.097402597402599</v>
      </c>
      <c r="AA98" s="194">
        <f t="shared" si="24"/>
        <v>7.8441558441558437</v>
      </c>
      <c r="AB98" s="189">
        <v>10</v>
      </c>
      <c r="AC98" s="195">
        <v>6.16</v>
      </c>
      <c r="AD98" s="195">
        <v>1.9</v>
      </c>
      <c r="AE98" s="195">
        <v>2.74</v>
      </c>
      <c r="AF98" s="195">
        <v>1.21</v>
      </c>
      <c r="AG98" s="195">
        <v>15.5</v>
      </c>
      <c r="AH98" s="195">
        <v>45.300000000000004</v>
      </c>
      <c r="AI98" s="195">
        <v>-0.08</v>
      </c>
      <c r="AJ98" s="195">
        <v>6</v>
      </c>
      <c r="AK98" s="195">
        <v>4.1500000000000004</v>
      </c>
      <c r="AL98" s="196">
        <v>57800</v>
      </c>
      <c r="AM98" s="197">
        <v>0.02</v>
      </c>
      <c r="AN98" s="195">
        <v>0.13</v>
      </c>
      <c r="AO98" s="198">
        <f t="shared" si="25"/>
        <v>4.5177550175948378</v>
      </c>
      <c r="AP98" s="199">
        <f t="shared" si="26"/>
        <v>12.361910861750681</v>
      </c>
      <c r="AQ98" s="172">
        <f t="shared" si="27"/>
        <v>-35.050691316899304</v>
      </c>
      <c r="AR98" s="157">
        <f>INDEX([1]Historical!$C$7:$C$1231,MATCH(B98,[1]Historical!$B$7:$B$1253,0))*IF(AH98="n/a",1.03,IF(AH98&lt;0,1.01,IF(AH98&gt;10,1.1,(1+AH98/100))))</f>
        <v>3.1576600000000004</v>
      </c>
      <c r="AS98" s="194">
        <f t="shared" si="28"/>
        <v>3.1892366000000005</v>
      </c>
      <c r="AT98" s="194">
        <f t="shared" si="33"/>
        <v>3.3215899189000009</v>
      </c>
      <c r="AU98" s="194">
        <f t="shared" si="33"/>
        <v>3.4594359005343511</v>
      </c>
      <c r="AV98" s="194">
        <f t="shared" si="33"/>
        <v>3.603002490406527</v>
      </c>
      <c r="AW98" s="187">
        <f t="shared" si="30"/>
        <v>16.73092490984088</v>
      </c>
      <c r="AX98" s="200">
        <f t="shared" si="31"/>
        <v>34.625258505465396</v>
      </c>
      <c r="AY98" s="201">
        <v>0.97</v>
      </c>
      <c r="AZ98" s="197">
        <v>6.76</v>
      </c>
      <c r="BA98" s="197">
        <v>-35.449999999999996</v>
      </c>
      <c r="BB98" s="197">
        <v>-6.59</v>
      </c>
      <c r="BC98" s="197">
        <v>-23.03</v>
      </c>
      <c r="BD98" s="202"/>
      <c r="BE98" s="77">
        <v>2017</v>
      </c>
      <c r="BF98" s="77">
        <f t="shared" si="32"/>
        <v>1</v>
      </c>
      <c r="BG98" s="203">
        <v>0.8</v>
      </c>
      <c r="BH98" t="s">
        <v>1023</v>
      </c>
      <c r="BI98" t="s">
        <v>940</v>
      </c>
      <c r="BJ98" s="208"/>
      <c r="BK98" s="208"/>
      <c r="BL98" s="208"/>
    </row>
    <row r="99" spans="1:64" ht="11.25" customHeight="1" x14ac:dyDescent="0.2">
      <c r="A99" s="205" t="s">
        <v>1214</v>
      </c>
      <c r="B99" s="153" t="s">
        <v>1215</v>
      </c>
      <c r="C99" s="154" t="s">
        <v>90</v>
      </c>
      <c r="D99" s="154" t="s">
        <v>969</v>
      </c>
      <c r="E99" s="155">
        <v>6</v>
      </c>
      <c r="F99" s="298">
        <v>645</v>
      </c>
      <c r="G99" s="298" t="s">
        <v>88</v>
      </c>
      <c r="H99" s="298" t="s">
        <v>88</v>
      </c>
      <c r="I99" s="156">
        <v>75.95</v>
      </c>
      <c r="J99" s="157">
        <f t="shared" si="18"/>
        <v>3.68663594470046</v>
      </c>
      <c r="K99" s="158">
        <v>0.7</v>
      </c>
      <c r="L99" s="126">
        <v>4</v>
      </c>
      <c r="M99" s="82">
        <f t="shared" si="19"/>
        <v>2.8</v>
      </c>
      <c r="N99" s="159" t="s">
        <v>167</v>
      </c>
      <c r="O99" s="160">
        <v>0.67</v>
      </c>
      <c r="P99" s="182">
        <v>44438</v>
      </c>
      <c r="Q99" s="182">
        <v>44454</v>
      </c>
      <c r="R99" s="82">
        <f t="shared" si="20"/>
        <v>4.4776119402984946</v>
      </c>
      <c r="S99" s="162">
        <f>IF(INDEX([1]Historical!$D$7:$D$1229,MATCH(B99,[1]Historical!$B$7:$B$1253,0))=0,"n/a",(INDEX([1]Historical!$C$7:$C$1231,MATCH(B99,[1]Historical!$B$7:$B$1253,0))/INDEX([1]Historical!$D$7:$D$1229,MATCH(B99,[1]Historical!$B$7:$B$1253,0))-1)*100)</f>
        <v>2.2388059701492491</v>
      </c>
      <c r="T99" s="162">
        <f>IF(INDEX([1]Historical!$F$7:$F$1222,MATCH(B99,[1]Historical!$B$7:$B$1253,0))=0,"n/a",((INDEX([1]Historical!$C$7:$C$1231,MATCH(B99,[1]Historical!$B$7:$B$1253,0))/INDEX([1]Historical!$F$7:$F$1222,MATCH(B99,[1]Historical!$B$7:$B$1253,0)))^(1/3)-1)*100)</f>
        <v>5.4010413807842328</v>
      </c>
      <c r="U99" s="162">
        <f>IF(INDEX([1]Historical!$H$7:$H$1222,MATCH(B99,[1]Historical!$B$7:$B$1253,0))=0,"n/a",((INDEX([1]Historical!$C$7:$C$1231,MATCH(B99,[1]Historical!$B$7:$B$1253,0))/INDEX([1]Historical!$H$7:$H$1222,MATCH(B99,[1]Historical!$B$7:$B$1253,0)))^(1/5)-1)*100)</f>
        <v>7.710428028660643</v>
      </c>
      <c r="V99" s="162">
        <f>IF(INDEX([1]Historical!$N$7:$N$1222,MATCH(B99,[1]Historical!$B$7:$B$1253,0))=0,"n/a",((INDEX([1]Historical!$C$7:$C$1231,MATCH(B99,[1]Historical!$B$7:$B$1253,0))/INDEX([1]Historical!$N$7:$N$1222,MATCH(B99,[1]Historical!$B$7:$B$1253,0)))^(1/10)-1)*100)</f>
        <v>4.2912339045013903</v>
      </c>
      <c r="W99" s="163">
        <f t="shared" si="21"/>
        <v>1.7967857731019063</v>
      </c>
      <c r="X99" s="164">
        <f t="shared" si="22"/>
        <v>0.95190469489637575</v>
      </c>
      <c r="Y99" s="180"/>
      <c r="Z99" s="157">
        <f t="shared" si="23"/>
        <v>50.632911392405056</v>
      </c>
      <c r="AA99" s="166">
        <f t="shared" si="24"/>
        <v>13.734177215189874</v>
      </c>
      <c r="AB99" s="126">
        <v>12</v>
      </c>
      <c r="AC99" s="167">
        <v>5.53</v>
      </c>
      <c r="AD99" s="167">
        <v>1.52</v>
      </c>
      <c r="AE99" s="167">
        <v>5.3</v>
      </c>
      <c r="AF99" s="167">
        <v>2.56</v>
      </c>
      <c r="AG99" s="167">
        <v>18.399999999999999</v>
      </c>
      <c r="AH99" s="167">
        <v>62.1</v>
      </c>
      <c r="AI99" s="167">
        <v>5</v>
      </c>
      <c r="AJ99" s="167">
        <v>8.1</v>
      </c>
      <c r="AK99" s="167">
        <v>9</v>
      </c>
      <c r="AL99" s="168">
        <v>2950</v>
      </c>
      <c r="AM99" s="169">
        <v>1.2</v>
      </c>
      <c r="AN99" s="167">
        <v>0.01</v>
      </c>
      <c r="AO99" s="170">
        <f t="shared" si="25"/>
        <v>-2.3371132418287708</v>
      </c>
      <c r="AP99" s="171">
        <f t="shared" si="26"/>
        <v>11.397063973361103</v>
      </c>
      <c r="AQ99" s="172">
        <f t="shared" si="27"/>
        <v>25.005766393014529</v>
      </c>
      <c r="AR99" s="157">
        <f>INDEX([1]Historical!$C$7:$C$1231,MATCH(B99,[1]Historical!$B$7:$B$1253,0))*IF(AH99="n/a",1.03,IF(AH99&lt;0,1.01,IF(AH99&gt;10,1.1,(1+AH99/100))))</f>
        <v>3.0140000000000007</v>
      </c>
      <c r="AS99" s="166">
        <f t="shared" si="28"/>
        <v>3.1647000000000007</v>
      </c>
      <c r="AT99" s="166">
        <f t="shared" si="33"/>
        <v>3.449523000000001</v>
      </c>
      <c r="AU99" s="166">
        <f t="shared" si="33"/>
        <v>3.7599800700000015</v>
      </c>
      <c r="AV99" s="166">
        <f t="shared" si="33"/>
        <v>4.0983782763000018</v>
      </c>
      <c r="AW99" s="157">
        <f t="shared" si="30"/>
        <v>17.486581346300007</v>
      </c>
      <c r="AX99" s="173">
        <f t="shared" si="31"/>
        <v>23.02380690757078</v>
      </c>
      <c r="AY99" s="174">
        <v>1.02</v>
      </c>
      <c r="AZ99" s="169">
        <v>8.27</v>
      </c>
      <c r="BA99" s="169">
        <v>-17.79</v>
      </c>
      <c r="BB99" s="169">
        <v>-2.48</v>
      </c>
      <c r="BC99" s="169">
        <v>-4.95</v>
      </c>
      <c r="BE99" s="77">
        <v>2016</v>
      </c>
      <c r="BF99" s="77">
        <f t="shared" si="32"/>
        <v>1</v>
      </c>
      <c r="BG99" s="175">
        <v>1.0999999999999999</v>
      </c>
      <c r="BH99" t="s">
        <v>939</v>
      </c>
      <c r="BI99" t="s">
        <v>940</v>
      </c>
      <c r="BJ99" s="112"/>
      <c r="BK99" s="112"/>
      <c r="BL99" s="112"/>
    </row>
    <row r="100" spans="1:64" ht="11.25" customHeight="1" x14ac:dyDescent="0.2">
      <c r="A100" s="176" t="s">
        <v>1296</v>
      </c>
      <c r="B100" s="153" t="s">
        <v>187</v>
      </c>
      <c r="C100" s="154" t="s">
        <v>90</v>
      </c>
      <c r="D100" s="154" t="s">
        <v>969</v>
      </c>
      <c r="E100" s="155">
        <v>17</v>
      </c>
      <c r="F100" s="298">
        <v>229</v>
      </c>
      <c r="G100" s="298" t="s">
        <v>30</v>
      </c>
      <c r="H100" s="298" t="s">
        <v>30</v>
      </c>
      <c r="I100" s="156">
        <v>110.19</v>
      </c>
      <c r="J100" s="157">
        <f t="shared" si="18"/>
        <v>1.9239495417006991</v>
      </c>
      <c r="K100" s="158">
        <v>0.53</v>
      </c>
      <c r="L100" s="126">
        <v>4</v>
      </c>
      <c r="M100" s="82">
        <f t="shared" si="19"/>
        <v>2.12</v>
      </c>
      <c r="N100" s="159" t="s">
        <v>342</v>
      </c>
      <c r="O100" s="160">
        <v>0.52</v>
      </c>
      <c r="P100" s="224">
        <v>44512</v>
      </c>
      <c r="Q100" s="224">
        <v>44524</v>
      </c>
      <c r="R100" s="82">
        <f t="shared" si="20"/>
        <v>1.9230769230769247</v>
      </c>
      <c r="S100" s="162">
        <f>IF(INDEX([1]Historical!$D$7:$D$1229,MATCH(B100,[1]Historical!$B$7:$B$1253,0))=0,"n/a",(INDEX([1]Historical!$C$7:$C$1231,MATCH(B100,[1]Historical!$B$7:$B$1253,0))/INDEX([1]Historical!$D$7:$D$1229,MATCH(B100,[1]Historical!$B$7:$B$1253,0))-1)*100)</f>
        <v>1.9512195121951237</v>
      </c>
      <c r="T100" s="162">
        <f>IF(INDEX([1]Historical!$F$7:$F$1222,MATCH(B100,[1]Historical!$B$7:$B$1253,0))=0,"n/a",((INDEX([1]Historical!$C$7:$C$1231,MATCH(B100,[1]Historical!$B$7:$B$1253,0))/INDEX([1]Historical!$F$7:$F$1222,MATCH(B100,[1]Historical!$B$7:$B$1253,0)))^(1/3)-1)*100)</f>
        <v>3.228011545636722</v>
      </c>
      <c r="U100" s="162">
        <f>IF(INDEX([1]Historical!$H$7:$H$1222,MATCH(B100,[1]Historical!$B$7:$B$1253,0))=0,"n/a",((INDEX([1]Historical!$C$7:$C$1231,MATCH(B100,[1]Historical!$B$7:$B$1253,0))/INDEX([1]Historical!$H$7:$H$1222,MATCH(B100,[1]Historical!$B$7:$B$1253,0)))^(1/5)-1)*100)</f>
        <v>3.853236759941292</v>
      </c>
      <c r="V100" s="162">
        <f>IF(INDEX([1]Historical!$N$7:$N$1222,MATCH(B100,[1]Historical!$B$7:$B$1253,0))=0,"n/a",((INDEX([1]Historical!$C$7:$C$1231,MATCH(B100,[1]Historical!$B$7:$B$1253,0))/INDEX([1]Historical!$N$7:$N$1222,MATCH(B100,[1]Historical!$B$7:$B$1253,0)))^(1/10)-1)*100)</f>
        <v>6.3424800092764411</v>
      </c>
      <c r="W100" s="163">
        <f t="shared" si="21"/>
        <v>0.60752840439474631</v>
      </c>
      <c r="X100" s="164">
        <f t="shared" si="22"/>
        <v>0.187962768777624</v>
      </c>
      <c r="Y100" s="178"/>
      <c r="Z100" s="157">
        <f t="shared" si="23"/>
        <v>27.319587628865982</v>
      </c>
      <c r="AA100" s="166">
        <f t="shared" si="24"/>
        <v>14.199742268041238</v>
      </c>
      <c r="AB100" s="126">
        <v>12</v>
      </c>
      <c r="AC100" s="167">
        <v>7.76</v>
      </c>
      <c r="AD100" s="167">
        <v>2</v>
      </c>
      <c r="AE100" s="167">
        <v>6.05</v>
      </c>
      <c r="AF100" s="167">
        <v>1.55</v>
      </c>
      <c r="AG100" s="167">
        <v>10.4</v>
      </c>
      <c r="AH100" s="167">
        <v>44.5</v>
      </c>
      <c r="AI100" s="167">
        <v>19.009999999999998</v>
      </c>
      <c r="AJ100" s="167">
        <v>20.5</v>
      </c>
      <c r="AK100" s="167">
        <v>7.0000000000000009</v>
      </c>
      <c r="AL100" s="168">
        <v>7040</v>
      </c>
      <c r="AM100" s="169">
        <v>0.2</v>
      </c>
      <c r="AN100" s="167">
        <v>0.04</v>
      </c>
      <c r="AO100" s="170">
        <f t="shared" si="25"/>
        <v>-8.4225559663992478</v>
      </c>
      <c r="AP100" s="171">
        <f t="shared" si="26"/>
        <v>5.7771863016419909</v>
      </c>
      <c r="AQ100" s="172">
        <f t="shared" si="27"/>
        <v>-1.0957803046830694</v>
      </c>
      <c r="AR100" s="157">
        <f>INDEX([1]Historical!$C$7:$C$1231,MATCH(B100,[1]Historical!$B$7:$B$1253,0))*IF(AH100="n/a",1.03,IF(AH100&lt;0,1.01,IF(AH100&gt;10,1.1,(1+AH100/100))))</f>
        <v>2.2989999999999999</v>
      </c>
      <c r="AS100" s="166">
        <f t="shared" si="28"/>
        <v>2.5289000000000001</v>
      </c>
      <c r="AT100" s="166">
        <f t="shared" si="33"/>
        <v>2.7059230000000003</v>
      </c>
      <c r="AU100" s="166">
        <f t="shared" si="33"/>
        <v>2.8953376100000003</v>
      </c>
      <c r="AV100" s="166">
        <f t="shared" si="33"/>
        <v>3.0980112427000006</v>
      </c>
      <c r="AW100" s="157">
        <f t="shared" si="30"/>
        <v>13.5271718527</v>
      </c>
      <c r="AX100" s="173">
        <f t="shared" si="31"/>
        <v>12.276224569107905</v>
      </c>
      <c r="AY100" s="174">
        <v>1.31</v>
      </c>
      <c r="AZ100" s="169">
        <v>56.940000000000005</v>
      </c>
      <c r="BA100" s="169">
        <v>-8.33</v>
      </c>
      <c r="BB100" s="169">
        <v>18.78</v>
      </c>
      <c r="BC100" s="169">
        <v>20.990000000000002</v>
      </c>
      <c r="BE100" s="77">
        <v>2005</v>
      </c>
      <c r="BF100" s="77">
        <f t="shared" si="32"/>
        <v>2</v>
      </c>
      <c r="BG100" s="175">
        <v>1.0999999999999999</v>
      </c>
      <c r="BH100" t="s">
        <v>939</v>
      </c>
      <c r="BI100" t="s">
        <v>940</v>
      </c>
    </row>
    <row r="101" spans="1:64" ht="12" customHeight="1" x14ac:dyDescent="0.2">
      <c r="A101" s="204" t="s">
        <v>793</v>
      </c>
      <c r="B101" s="153" t="s">
        <v>794</v>
      </c>
      <c r="C101" s="154" t="s">
        <v>90</v>
      </c>
      <c r="D101" s="154" t="s">
        <v>969</v>
      </c>
      <c r="E101" s="155">
        <v>10</v>
      </c>
      <c r="F101" s="298">
        <v>466</v>
      </c>
      <c r="G101" s="298" t="s">
        <v>88</v>
      </c>
      <c r="H101" s="298" t="s">
        <v>88</v>
      </c>
      <c r="I101" s="156">
        <v>27.65</v>
      </c>
      <c r="J101" s="157">
        <f t="shared" si="18"/>
        <v>2.6763110307414104</v>
      </c>
      <c r="K101" s="158">
        <v>0.185</v>
      </c>
      <c r="L101" s="126">
        <v>4</v>
      </c>
      <c r="M101" s="82">
        <f t="shared" si="19"/>
        <v>0.74</v>
      </c>
      <c r="N101" s="159" t="s">
        <v>268</v>
      </c>
      <c r="O101" s="160">
        <v>0.185</v>
      </c>
      <c r="P101" s="161">
        <v>44602</v>
      </c>
      <c r="Q101" s="161">
        <v>44610</v>
      </c>
      <c r="R101" s="82">
        <f t="shared" si="20"/>
        <v>0</v>
      </c>
      <c r="S101" s="162">
        <f>IF(INDEX([1]Historical!$D$7:$D$1229,MATCH(B101,[1]Historical!$B$7:$B$1253,0))=0,"n/a",(INDEX([1]Historical!$C$7:$C$1231,MATCH(B101,[1]Historical!$B$7:$B$1253,0))/INDEX([1]Historical!$D$7:$D$1229,MATCH(B101,[1]Historical!$B$7:$B$1253,0))-1)*100)</f>
        <v>2.857142857142847</v>
      </c>
      <c r="T101" s="162">
        <f>IF(INDEX([1]Historical!$F$7:$F$1222,MATCH(B101,[1]Historical!$B$7:$B$1253,0))=0,"n/a",((INDEX([1]Historical!$C$7:$C$1231,MATCH(B101,[1]Historical!$B$7:$B$1253,0))/INDEX([1]Historical!$F$7:$F$1222,MATCH(B101,[1]Historical!$B$7:$B$1253,0)))^(1/3)-1)*100)</f>
        <v>6.2658569182611146</v>
      </c>
      <c r="U101" s="162">
        <f>IF(INDEX([1]Historical!$H$7:$H$1222,MATCH(B101,[1]Historical!$B$7:$B$1253,0))=0,"n/a",((INDEX([1]Historical!$C$7:$C$1231,MATCH(B101,[1]Historical!$B$7:$B$1253,0))/INDEX([1]Historical!$H$7:$H$1222,MATCH(B101,[1]Historical!$B$7:$B$1253,0)))^(1/5)-1)*100)</f>
        <v>8.4471771197698544</v>
      </c>
      <c r="V101" s="162">
        <f>IF(INDEX([1]Historical!$N$7:$N$1222,MATCH(B101,[1]Historical!$B$7:$B$1253,0))=0,"n/a",((INDEX([1]Historical!$C$7:$C$1231,MATCH(B101,[1]Historical!$B$7:$B$1253,0))/INDEX([1]Historical!$N$7:$N$1222,MATCH(B101,[1]Historical!$B$7:$B$1253,0)))^(1/10)-1)*100)</f>
        <v>33.5141362540313</v>
      </c>
      <c r="W101" s="163">
        <f t="shared" si="21"/>
        <v>0.25204818216831631</v>
      </c>
      <c r="X101" s="164" t="str">
        <f t="shared" si="22"/>
        <v>n/a</v>
      </c>
      <c r="Y101" s="178"/>
      <c r="Z101" s="157" t="str">
        <f t="shared" si="23"/>
        <v>n/a</v>
      </c>
      <c r="AA101" s="166" t="str">
        <f t="shared" si="24"/>
        <v>n/a</v>
      </c>
      <c r="AB101" s="126">
        <v>12</v>
      </c>
      <c r="AC101" s="167" t="s">
        <v>95</v>
      </c>
      <c r="AD101" s="167" t="s">
        <v>95</v>
      </c>
      <c r="AE101" s="167" t="s">
        <v>95</v>
      </c>
      <c r="AF101" s="167" t="s">
        <v>95</v>
      </c>
      <c r="AG101" s="167" t="s">
        <v>95</v>
      </c>
      <c r="AH101" s="167" t="s">
        <v>95</v>
      </c>
      <c r="AI101" s="167" t="s">
        <v>95</v>
      </c>
      <c r="AJ101" s="167" t="s">
        <v>95</v>
      </c>
      <c r="AK101" s="167" t="s">
        <v>95</v>
      </c>
      <c r="AL101" s="168" t="s">
        <v>95</v>
      </c>
      <c r="AM101" s="169" t="s">
        <v>95</v>
      </c>
      <c r="AN101" s="167" t="s">
        <v>95</v>
      </c>
      <c r="AO101" s="170" t="str">
        <f t="shared" si="25"/>
        <v>n/a</v>
      </c>
      <c r="AP101" s="171">
        <f t="shared" si="26"/>
        <v>11.123488150511264</v>
      </c>
      <c r="AQ101" s="172" t="str">
        <f t="shared" si="27"/>
        <v>n/a</v>
      </c>
      <c r="AR101" s="157">
        <f>INDEX([1]Historical!$C$7:$C$1231,MATCH(B101,[1]Historical!$B$7:$B$1253,0))*IF(AH101="n/a",1.03,IF(AH101&lt;0,1.01,IF(AH101&gt;10,1.1,(1+AH101/100))))</f>
        <v>0.6741818181818181</v>
      </c>
      <c r="AS101" s="166">
        <f t="shared" si="28"/>
        <v>0.69440727272727265</v>
      </c>
      <c r="AT101" s="166">
        <f t="shared" si="33"/>
        <v>0.71523949090909089</v>
      </c>
      <c r="AU101" s="166">
        <f t="shared" si="33"/>
        <v>0.73669667563636365</v>
      </c>
      <c r="AV101" s="166">
        <f t="shared" si="33"/>
        <v>0.7587975759054546</v>
      </c>
      <c r="AW101" s="157">
        <f t="shared" si="30"/>
        <v>3.57932283336</v>
      </c>
      <c r="AX101" s="173">
        <f t="shared" si="31"/>
        <v>12.945109704737796</v>
      </c>
      <c r="AY101" s="174" t="s">
        <v>95</v>
      </c>
      <c r="AZ101" s="169" t="s">
        <v>95</v>
      </c>
      <c r="BA101" s="169" t="s">
        <v>95</v>
      </c>
      <c r="BB101" s="169" t="s">
        <v>95</v>
      </c>
      <c r="BC101" s="169" t="s">
        <v>95</v>
      </c>
      <c r="BD101" s="100" t="s">
        <v>932</v>
      </c>
      <c r="BE101" s="77">
        <v>2013</v>
      </c>
      <c r="BF101" s="77">
        <f t="shared" si="32"/>
        <v>1</v>
      </c>
      <c r="BG101" s="175" t="s">
        <v>95</v>
      </c>
      <c r="BH101" t="s">
        <v>939</v>
      </c>
      <c r="BI101" t="s">
        <v>940</v>
      </c>
    </row>
    <row r="102" spans="1:64" ht="11.25" customHeight="1" x14ac:dyDescent="0.2">
      <c r="A102" s="205" t="s">
        <v>997</v>
      </c>
      <c r="B102" s="153" t="s">
        <v>998</v>
      </c>
      <c r="C102" s="154" t="s">
        <v>90</v>
      </c>
      <c r="D102" s="154" t="s">
        <v>969</v>
      </c>
      <c r="E102" s="155">
        <v>8</v>
      </c>
      <c r="F102" s="298">
        <v>583</v>
      </c>
      <c r="G102" s="298" t="s">
        <v>88</v>
      </c>
      <c r="H102" s="298" t="s">
        <v>88</v>
      </c>
      <c r="I102" s="156">
        <v>70.72</v>
      </c>
      <c r="J102" s="157">
        <f t="shared" si="18"/>
        <v>3.1108597285067878</v>
      </c>
      <c r="K102" s="158">
        <v>0.55000000000000004</v>
      </c>
      <c r="L102" s="126">
        <v>4</v>
      </c>
      <c r="M102" s="82">
        <f t="shared" si="19"/>
        <v>2.2000000000000002</v>
      </c>
      <c r="N102" s="159" t="s">
        <v>988</v>
      </c>
      <c r="O102" s="160">
        <v>0.45</v>
      </c>
      <c r="P102" s="161">
        <v>44634</v>
      </c>
      <c r="Q102" s="161">
        <v>44652</v>
      </c>
      <c r="R102" s="82">
        <f t="shared" si="20"/>
        <v>22.222222222222229</v>
      </c>
      <c r="S102" s="162">
        <f>IF(INDEX([1]Historical!$D$7:$D$1229,MATCH(B102,[1]Historical!$B$7:$B$1253,0))=0,"n/a",(INDEX([1]Historical!$C$7:$C$1231,MATCH(B102,[1]Historical!$B$7:$B$1253,0))/INDEX([1]Historical!$D$7:$D$1229,MATCH(B102,[1]Historical!$B$7:$B$1253,0))-1)*100)</f>
        <v>13.33333333333333</v>
      </c>
      <c r="T102" s="162">
        <f>IF(INDEX([1]Historical!$F$7:$F$1222,MATCH(B102,[1]Historical!$B$7:$B$1253,0))=0,"n/a",((INDEX([1]Historical!$C$7:$C$1231,MATCH(B102,[1]Historical!$B$7:$B$1253,0))/INDEX([1]Historical!$F$7:$F$1222,MATCH(B102,[1]Historical!$B$7:$B$1253,0)))^(1/3)-1)*100)</f>
        <v>19.348319192733697</v>
      </c>
      <c r="U102" s="162">
        <f>IF(INDEX([1]Historical!$H$7:$H$1222,MATCH(B102,[1]Historical!$B$7:$B$1253,0))=0,"n/a",((INDEX([1]Historical!$C$7:$C$1231,MATCH(B102,[1]Historical!$B$7:$B$1253,0))/INDEX([1]Historical!$H$7:$H$1222,MATCH(B102,[1]Historical!$B$7:$B$1253,0)))^(1/5)-1)*100)</f>
        <v>23.157122757056104</v>
      </c>
      <c r="V102" s="162" t="str">
        <f>IF(INDEX([1]Historical!$N$7:$N$1222,MATCH(B102,[1]Historical!$B$7:$B$1253,0))=0,"n/a",((INDEX([1]Historical!$C$7:$C$1231,MATCH(B102,[1]Historical!$B$7:$B$1253,0))/INDEX([1]Historical!$N$7:$N$1222,MATCH(B102,[1]Historical!$B$7:$B$1253,0)))^(1/10)-1)*100)</f>
        <v>n/a</v>
      </c>
      <c r="W102" s="163" t="str">
        <f t="shared" si="21"/>
        <v>n/a</v>
      </c>
      <c r="X102" s="164">
        <f t="shared" si="22"/>
        <v>0.56343364372399285</v>
      </c>
      <c r="Y102" s="178"/>
      <c r="Z102" s="157">
        <f t="shared" si="23"/>
        <v>16.011644832605533</v>
      </c>
      <c r="AA102" s="166">
        <f t="shared" si="24"/>
        <v>5.1470160116448325</v>
      </c>
      <c r="AB102" s="126">
        <v>12</v>
      </c>
      <c r="AC102" s="167">
        <v>13.74</v>
      </c>
      <c r="AD102" s="167">
        <v>1.03</v>
      </c>
      <c r="AE102" s="167">
        <v>2.2200000000000002</v>
      </c>
      <c r="AF102" s="167">
        <v>1.26</v>
      </c>
      <c r="AG102" s="167">
        <v>16.900000000000002</v>
      </c>
      <c r="AH102" s="167">
        <v>95.199999999999989</v>
      </c>
      <c r="AI102" s="167">
        <v>-11.65</v>
      </c>
      <c r="AJ102" s="167">
        <v>41.099999999999994</v>
      </c>
      <c r="AK102" s="167">
        <v>5</v>
      </c>
      <c r="AL102" s="168">
        <v>5090</v>
      </c>
      <c r="AM102" s="169">
        <v>0.89999999999999991</v>
      </c>
      <c r="AN102" s="167">
        <v>0.14000000000000001</v>
      </c>
      <c r="AO102" s="170">
        <f t="shared" si="25"/>
        <v>21.12096647391806</v>
      </c>
      <c r="AP102" s="171">
        <f t="shared" si="26"/>
        <v>26.267982485562893</v>
      </c>
      <c r="AQ102" s="172">
        <f t="shared" si="27"/>
        <v>-46.312674060621106</v>
      </c>
      <c r="AR102" s="157">
        <f>INDEX([1]Historical!$C$7:$C$1231,MATCH(B102,[1]Historical!$B$7:$B$1253,0))*IF(AH102="n/a",1.03,IF(AH102&lt;0,1.01,IF(AH102&gt;10,1.1,(1+AH102/100))))</f>
        <v>1.87</v>
      </c>
      <c r="AS102" s="166">
        <f t="shared" si="28"/>
        <v>1.8887</v>
      </c>
      <c r="AT102" s="166">
        <f t="shared" si="33"/>
        <v>1.9831350000000001</v>
      </c>
      <c r="AU102" s="166">
        <f t="shared" si="33"/>
        <v>2.08229175</v>
      </c>
      <c r="AV102" s="166">
        <f t="shared" si="33"/>
        <v>2.1864063375000002</v>
      </c>
      <c r="AW102" s="157">
        <f t="shared" si="30"/>
        <v>10.010533087500001</v>
      </c>
      <c r="AX102" s="173">
        <f t="shared" si="31"/>
        <v>14.155165564903847</v>
      </c>
      <c r="AY102" s="174">
        <v>0.88</v>
      </c>
      <c r="AZ102" s="169">
        <v>4.93</v>
      </c>
      <c r="BA102" s="169">
        <v>-28.910000000000004</v>
      </c>
      <c r="BB102" s="169">
        <v>-6.2399999999999993</v>
      </c>
      <c r="BC102" s="169">
        <v>-12.280000000000001</v>
      </c>
      <c r="BE102" s="77">
        <v>2015</v>
      </c>
      <c r="BF102" s="77">
        <f t="shared" si="32"/>
        <v>1</v>
      </c>
      <c r="BG102" s="175">
        <v>1.2</v>
      </c>
      <c r="BH102" t="s">
        <v>939</v>
      </c>
      <c r="BI102" t="s">
        <v>940</v>
      </c>
      <c r="BJ102" s="112"/>
      <c r="BK102" s="112"/>
      <c r="BL102" s="112"/>
    </row>
    <row r="103" spans="1:64" ht="11.25" customHeight="1" x14ac:dyDescent="0.2">
      <c r="A103" s="176" t="s">
        <v>1297</v>
      </c>
      <c r="B103" s="153" t="s">
        <v>193</v>
      </c>
      <c r="C103" s="154" t="s">
        <v>922</v>
      </c>
      <c r="D103" s="154" t="s">
        <v>949</v>
      </c>
      <c r="E103" s="155">
        <v>16</v>
      </c>
      <c r="F103" s="298">
        <v>246</v>
      </c>
      <c r="G103" s="298" t="s">
        <v>88</v>
      </c>
      <c r="H103" s="298" t="s">
        <v>88</v>
      </c>
      <c r="I103" s="156">
        <v>150.06</v>
      </c>
      <c r="J103" s="157">
        <f t="shared" si="18"/>
        <v>1.9325603092096495</v>
      </c>
      <c r="K103" s="158">
        <v>0.72499999999999998</v>
      </c>
      <c r="L103" s="126">
        <v>4</v>
      </c>
      <c r="M103" s="82">
        <f t="shared" si="19"/>
        <v>2.9</v>
      </c>
      <c r="N103" s="159" t="s">
        <v>99</v>
      </c>
      <c r="O103" s="160">
        <v>0.64</v>
      </c>
      <c r="P103" s="161">
        <v>44818</v>
      </c>
      <c r="Q103" s="161">
        <v>44839</v>
      </c>
      <c r="R103" s="82">
        <f t="shared" si="20"/>
        <v>13.281249999999995</v>
      </c>
      <c r="S103" s="162">
        <f>IF(INDEX([1]Historical!$D$7:$D$1229,MATCH(B103,[1]Historical!$B$7:$B$1253,0))=0,"n/a",(INDEX([1]Historical!$C$7:$C$1231,MATCH(B103,[1]Historical!$B$7:$B$1253,0))/INDEX([1]Historical!$D$7:$D$1229,MATCH(B103,[1]Historical!$B$7:$B$1253,0))-1)*100)</f>
        <v>7.7448747152619735</v>
      </c>
      <c r="T103" s="162">
        <f>IF(INDEX([1]Historical!$F$7:$F$1222,MATCH(B103,[1]Historical!$B$7:$B$1253,0))=0,"n/a",((INDEX([1]Historical!$C$7:$C$1231,MATCH(B103,[1]Historical!$B$7:$B$1253,0))/INDEX([1]Historical!$F$7:$F$1222,MATCH(B103,[1]Historical!$B$7:$B$1253,0)))^(1/3)-1)*100)</f>
        <v>14.390867279919938</v>
      </c>
      <c r="U103" s="162">
        <f>IF(INDEX([1]Historical!$H$7:$H$1222,MATCH(B103,[1]Historical!$B$7:$B$1253,0))=0,"n/a",((INDEX([1]Historical!$C$7:$C$1231,MATCH(B103,[1]Historical!$B$7:$B$1253,0))/INDEX([1]Historical!$H$7:$H$1222,MATCH(B103,[1]Historical!$B$7:$B$1253,0)))^(1/5)-1)*100)</f>
        <v>13.96859824969059</v>
      </c>
      <c r="V103" s="162">
        <f>IF(INDEX([1]Historical!$N$7:$N$1222,MATCH(B103,[1]Historical!$B$7:$B$1253,0))=0,"n/a",((INDEX([1]Historical!$C$7:$C$1231,MATCH(B103,[1]Historical!$B$7:$B$1253,0))/INDEX([1]Historical!$N$7:$N$1222,MATCH(B103,[1]Historical!$B$7:$B$1253,0)))^(1/10)-1)*100)</f>
        <v>14.511770903825226</v>
      </c>
      <c r="W103" s="163">
        <f t="shared" si="21"/>
        <v>0.96257020195988219</v>
      </c>
      <c r="X103" s="164">
        <f t="shared" si="22"/>
        <v>1.26987256815369</v>
      </c>
      <c r="Y103" s="153"/>
      <c r="Z103" s="157">
        <f t="shared" si="23"/>
        <v>63.73626373626373</v>
      </c>
      <c r="AA103" s="166">
        <f t="shared" si="24"/>
        <v>32.980219780219784</v>
      </c>
      <c r="AB103" s="126">
        <v>12</v>
      </c>
      <c r="AC103" s="167">
        <v>4.55</v>
      </c>
      <c r="AD103" s="167">
        <v>2.77</v>
      </c>
      <c r="AE103" s="167">
        <v>2.99</v>
      </c>
      <c r="AF103" s="167">
        <v>9.1</v>
      </c>
      <c r="AG103" s="167">
        <v>29.799999999999997</v>
      </c>
      <c r="AH103" s="167">
        <v>-2.1</v>
      </c>
      <c r="AI103" s="167">
        <v>8.94</v>
      </c>
      <c r="AJ103" s="167">
        <v>11</v>
      </c>
      <c r="AK103" s="167">
        <v>11.799999999999999</v>
      </c>
      <c r="AL103" s="168">
        <v>17060</v>
      </c>
      <c r="AM103" s="169">
        <v>0.6</v>
      </c>
      <c r="AN103" s="167">
        <v>1.98</v>
      </c>
      <c r="AO103" s="170">
        <f t="shared" si="25"/>
        <v>-17.079061221319545</v>
      </c>
      <c r="AP103" s="171">
        <f t="shared" si="26"/>
        <v>15.901158558900239</v>
      </c>
      <c r="AQ103" s="172">
        <f t="shared" si="27"/>
        <v>265.22139404293756</v>
      </c>
      <c r="AR103" s="157">
        <f>INDEX([1]Historical!$C$7:$C$1231,MATCH(B103,[1]Historical!$B$7:$B$1253,0))*IF(AH103="n/a",1.03,IF(AH103&lt;0,1.01,IF(AH103&gt;10,1.1,(1+AH103/100))))</f>
        <v>2.3886500000000002</v>
      </c>
      <c r="AS103" s="166">
        <f t="shared" si="28"/>
        <v>2.6021953099999999</v>
      </c>
      <c r="AT103" s="166">
        <f t="shared" ref="AT103:AV118" si="34">IF($AK103="n/a",1.03*AS103,IF($AK103&lt;0,1.01*AS103,IF($AK103&gt;10,1.1*AS103,(1+$AK103/100)*AS103)))</f>
        <v>2.8624148410000001</v>
      </c>
      <c r="AU103" s="166">
        <f t="shared" si="34"/>
        <v>3.1486563251000002</v>
      </c>
      <c r="AV103" s="166">
        <f t="shared" si="34"/>
        <v>3.4635219576100003</v>
      </c>
      <c r="AW103" s="157">
        <f t="shared" si="30"/>
        <v>14.46543843371</v>
      </c>
      <c r="AX103" s="173">
        <f t="shared" si="31"/>
        <v>9.6397697145874979</v>
      </c>
      <c r="AY103" s="174">
        <v>0.94</v>
      </c>
      <c r="AZ103" s="169">
        <v>13.34</v>
      </c>
      <c r="BA103" s="169">
        <v>-19.059999999999999</v>
      </c>
      <c r="BB103" s="169">
        <v>-4.41</v>
      </c>
      <c r="BC103" s="169">
        <v>-1.25</v>
      </c>
      <c r="BE103" s="77">
        <v>2007</v>
      </c>
      <c r="BF103" s="77">
        <f t="shared" si="32"/>
        <v>2</v>
      </c>
      <c r="BG103" s="175">
        <v>6.6000000000000005</v>
      </c>
      <c r="BH103" t="s">
        <v>939</v>
      </c>
      <c r="BI103" t="s">
        <v>940</v>
      </c>
    </row>
    <row r="104" spans="1:64" ht="11.25" customHeight="1" x14ac:dyDescent="0.2">
      <c r="A104" s="176" t="s">
        <v>1298</v>
      </c>
      <c r="B104" s="153" t="s">
        <v>189</v>
      </c>
      <c r="C104" s="154" t="s">
        <v>94</v>
      </c>
      <c r="D104" s="154" t="s">
        <v>943</v>
      </c>
      <c r="E104" s="155">
        <v>37</v>
      </c>
      <c r="F104" s="298">
        <v>76</v>
      </c>
      <c r="G104" s="298" t="s">
        <v>30</v>
      </c>
      <c r="H104" s="298" t="s">
        <v>30</v>
      </c>
      <c r="I104" s="167">
        <v>45.75</v>
      </c>
      <c r="J104" s="157">
        <f t="shared" si="18"/>
        <v>2.0109289617486339</v>
      </c>
      <c r="K104" s="209">
        <v>0.23</v>
      </c>
      <c r="L104" s="126">
        <v>4</v>
      </c>
      <c r="M104" s="82">
        <f t="shared" si="19"/>
        <v>0.92</v>
      </c>
      <c r="N104" s="159" t="s">
        <v>190</v>
      </c>
      <c r="O104" s="210">
        <v>0.22500000000000001</v>
      </c>
      <c r="P104" s="161">
        <v>44840</v>
      </c>
      <c r="Q104" s="161">
        <v>44862</v>
      </c>
      <c r="R104" s="82">
        <f t="shared" si="20"/>
        <v>2.2222222222222241</v>
      </c>
      <c r="S104" s="162">
        <f>IF(INDEX([1]Historical!$D$7:$D$1229,MATCH(B104,[1]Historical!$B$7:$B$1253,0))=0,"n/a",(INDEX([1]Historical!$C$7:$C$1231,MATCH(B104,[1]Historical!$B$7:$B$1253,0))/INDEX([1]Historical!$D$7:$D$1229,MATCH(B104,[1]Historical!$B$7:$B$1253,0))-1)*100)</f>
        <v>1.4326647564469885</v>
      </c>
      <c r="T104" s="162">
        <f>IF(INDEX([1]Historical!$F$7:$F$1222,MATCH(B104,[1]Historical!$B$7:$B$1253,0))=0,"n/a",((INDEX([1]Historical!$C$7:$C$1231,MATCH(B104,[1]Historical!$B$7:$B$1253,0))/INDEX([1]Historical!$F$7:$F$1222,MATCH(B104,[1]Historical!$B$7:$B$1253,0)))^(1/3)-1)*100)</f>
        <v>1.9981762821657423</v>
      </c>
      <c r="U104" s="162">
        <f>IF(INDEX([1]Historical!$H$7:$H$1222,MATCH(B104,[1]Historical!$B$7:$B$1253,0))=0,"n/a",((INDEX([1]Historical!$C$7:$C$1231,MATCH(B104,[1]Historical!$B$7:$B$1253,0))/INDEX([1]Historical!$H$7:$H$1222,MATCH(B104,[1]Historical!$B$7:$B$1253,0)))^(1/5)-1)*100)</f>
        <v>1.7241290608433602</v>
      </c>
      <c r="V104" s="162">
        <f>IF(INDEX([1]Historical!$N$7:$N$1222,MATCH(B104,[1]Historical!$B$7:$B$1253,0))=0,"n/a",((INDEX([1]Historical!$C$7:$C$1231,MATCH(B104,[1]Historical!$B$7:$B$1253,0))/INDEX([1]Historical!$N$7:$N$1222,MATCH(B104,[1]Historical!$B$7:$B$1253,0)))^(1/10)-1)*100)</f>
        <v>2.014176100368581</v>
      </c>
      <c r="W104" s="163">
        <f t="shared" si="21"/>
        <v>0.85599717945608422</v>
      </c>
      <c r="X104" s="164">
        <f t="shared" si="22"/>
        <v>0.17959677717118336</v>
      </c>
      <c r="Y104" s="153"/>
      <c r="Z104" s="157">
        <f t="shared" si="23"/>
        <v>31.833910034602077</v>
      </c>
      <c r="AA104" s="166">
        <f t="shared" si="24"/>
        <v>15.830449826989618</v>
      </c>
      <c r="AB104" s="126">
        <v>7</v>
      </c>
      <c r="AC104" s="167">
        <v>2.89</v>
      </c>
      <c r="AD104" s="167">
        <v>2.2799999999999998</v>
      </c>
      <c r="AE104" s="167">
        <v>1.72</v>
      </c>
      <c r="AF104" s="167">
        <v>2.54</v>
      </c>
      <c r="AG104" s="167">
        <v>15.9</v>
      </c>
      <c r="AH104" s="167">
        <v>17.5</v>
      </c>
      <c r="AI104" s="167">
        <v>4.07</v>
      </c>
      <c r="AJ104" s="167">
        <v>9.6</v>
      </c>
      <c r="AK104" s="167">
        <v>7.0000000000000009</v>
      </c>
      <c r="AL104" s="168">
        <v>2250</v>
      </c>
      <c r="AM104" s="169">
        <v>1.6</v>
      </c>
      <c r="AN104" s="167">
        <v>0.1</v>
      </c>
      <c r="AO104" s="170">
        <f t="shared" si="25"/>
        <v>-12.095391804397623</v>
      </c>
      <c r="AP104" s="171">
        <f t="shared" si="26"/>
        <v>3.735058022591994</v>
      </c>
      <c r="AQ104" s="172">
        <f t="shared" si="27"/>
        <v>33.68178228839416</v>
      </c>
      <c r="AR104" s="157">
        <f>INDEX([1]Historical!$C$7:$C$1231,MATCH(B104,[1]Historical!$B$7:$B$1253,0))*IF(AH104="n/a",1.03,IF(AH104&lt;0,1.01,IF(AH104&gt;10,1.1,(1+AH104/100))))</f>
        <v>0.97350000000000014</v>
      </c>
      <c r="AS104" s="166">
        <f t="shared" si="28"/>
        <v>1.0131214500000001</v>
      </c>
      <c r="AT104" s="166">
        <f t="shared" si="34"/>
        <v>1.0840399515000001</v>
      </c>
      <c r="AU104" s="166">
        <f t="shared" si="34"/>
        <v>1.1599227481050001</v>
      </c>
      <c r="AV104" s="166">
        <f t="shared" si="34"/>
        <v>1.2411173404723501</v>
      </c>
      <c r="AW104" s="157">
        <f t="shared" si="30"/>
        <v>5.4717014900773506</v>
      </c>
      <c r="AX104" s="173">
        <f t="shared" si="31"/>
        <v>11.960003256999673</v>
      </c>
      <c r="AY104" s="174">
        <v>0.76</v>
      </c>
      <c r="AZ104" s="169">
        <v>12.91</v>
      </c>
      <c r="BA104" s="169">
        <v>-18.23</v>
      </c>
      <c r="BB104" s="169">
        <v>3.64</v>
      </c>
      <c r="BC104" s="169">
        <v>-1.24</v>
      </c>
      <c r="BE104" s="77">
        <v>1986</v>
      </c>
      <c r="BF104" s="77">
        <f t="shared" si="32"/>
        <v>4</v>
      </c>
      <c r="BG104" s="175">
        <v>10.8</v>
      </c>
      <c r="BH104" t="s">
        <v>939</v>
      </c>
      <c r="BI104" t="s">
        <v>940</v>
      </c>
    </row>
    <row r="105" spans="1:64" ht="11.25" customHeight="1" x14ac:dyDescent="0.2">
      <c r="A105" s="205" t="s">
        <v>1815</v>
      </c>
      <c r="B105" s="153" t="s">
        <v>1816</v>
      </c>
      <c r="C105" s="154" t="s">
        <v>90</v>
      </c>
      <c r="D105" s="154" t="s">
        <v>969</v>
      </c>
      <c r="E105" s="155">
        <v>5</v>
      </c>
      <c r="F105" s="298">
        <v>708</v>
      </c>
      <c r="G105" s="298" t="s">
        <v>88</v>
      </c>
      <c r="H105" s="298" t="s">
        <v>88</v>
      </c>
      <c r="I105" s="156">
        <v>13.75</v>
      </c>
      <c r="J105" s="157">
        <f t="shared" si="18"/>
        <v>3.9272727272727277</v>
      </c>
      <c r="K105" s="158">
        <v>0.13500000000000001</v>
      </c>
      <c r="L105" s="126">
        <v>4</v>
      </c>
      <c r="M105" s="82">
        <f t="shared" si="19"/>
        <v>0.54</v>
      </c>
      <c r="N105" s="159" t="s">
        <v>199</v>
      </c>
      <c r="O105" s="160">
        <v>0.13</v>
      </c>
      <c r="P105" s="161">
        <v>44874</v>
      </c>
      <c r="Q105" s="161">
        <v>44890</v>
      </c>
      <c r="R105" s="82">
        <f t="shared" si="20"/>
        <v>3.8461538461538494</v>
      </c>
      <c r="S105" s="162">
        <f>IF(INDEX([1]Historical!$D$7:$D$1229,MATCH(B105,[1]Historical!$B$7:$B$1253,0))=0,"n/a",(INDEX([1]Historical!$C$7:$C$1231,MATCH(B105,[1]Historical!$B$7:$B$1253,0))/INDEX([1]Historical!$D$7:$D$1229,MATCH(B105,[1]Historical!$B$7:$B$1253,0))-1)*100)</f>
        <v>4.3478260869565188</v>
      </c>
      <c r="T105" s="162">
        <f>IF(INDEX([1]Historical!$F$7:$F$1222,MATCH(B105,[1]Historical!$B$7:$B$1253,0))=0,"n/a",((INDEX([1]Historical!$C$7:$C$1231,MATCH(B105,[1]Historical!$B$7:$B$1253,0))/INDEX([1]Historical!$F$7:$F$1222,MATCH(B105,[1]Historical!$B$7:$B$1253,0)))^(1/3)-1)*100)</f>
        <v>6.7123573594819463</v>
      </c>
      <c r="U105" s="162">
        <f>IF(INDEX([1]Historical!$H$7:$H$1222,MATCH(B105,[1]Historical!$B$7:$B$1253,0))=0,"n/a",((INDEX([1]Historical!$C$7:$C$1231,MATCH(B105,[1]Historical!$B$7:$B$1253,0))/INDEX([1]Historical!$H$7:$H$1222,MATCH(B105,[1]Historical!$B$7:$B$1253,0)))^(1/5)-1)*100)</f>
        <v>5.9223841048812176</v>
      </c>
      <c r="V105" s="162">
        <f>IF(INDEX([1]Historical!$N$7:$N$1222,MATCH(B105,[1]Historical!$B$7:$B$1253,0))=0,"n/a",((INDEX([1]Historical!$C$7:$C$1231,MATCH(B105,[1]Historical!$B$7:$B$1253,0))/INDEX([1]Historical!$N$7:$N$1222,MATCH(B105,[1]Historical!$B$7:$B$1253,0)))^(1/10)-1)*100)</f>
        <v>3.5085517211504103</v>
      </c>
      <c r="W105" s="163">
        <f t="shared" si="21"/>
        <v>1.6879854069642564</v>
      </c>
      <c r="X105" s="164">
        <f t="shared" si="22"/>
        <v>0.40288327244089917</v>
      </c>
      <c r="Y105" s="180"/>
      <c r="Z105" s="157">
        <f t="shared" si="23"/>
        <v>38.571428571428577</v>
      </c>
      <c r="AA105" s="166">
        <f t="shared" si="24"/>
        <v>9.8214285714285712</v>
      </c>
      <c r="AB105" s="126">
        <v>12</v>
      </c>
      <c r="AC105" s="167">
        <v>1.4</v>
      </c>
      <c r="AD105" s="167">
        <v>1.62</v>
      </c>
      <c r="AE105" s="167">
        <v>3.16</v>
      </c>
      <c r="AF105" s="167">
        <v>1.0900000000000001</v>
      </c>
      <c r="AG105" s="167">
        <v>11.600000000000001</v>
      </c>
      <c r="AH105" s="167">
        <v>145</v>
      </c>
      <c r="AI105" s="167">
        <v>14.21</v>
      </c>
      <c r="AJ105" s="167">
        <v>14.7</v>
      </c>
      <c r="AK105" s="167">
        <v>6</v>
      </c>
      <c r="AL105" s="168">
        <v>1010</v>
      </c>
      <c r="AM105" s="169">
        <v>2.7</v>
      </c>
      <c r="AN105" s="167">
        <v>0.18</v>
      </c>
      <c r="AO105" s="170">
        <f t="shared" si="25"/>
        <v>2.8228260725374099E-2</v>
      </c>
      <c r="AP105" s="171">
        <f t="shared" si="26"/>
        <v>9.8496568321539453</v>
      </c>
      <c r="AQ105" s="172">
        <f t="shared" si="27"/>
        <v>-31.022202790053456</v>
      </c>
      <c r="AR105" s="157">
        <f>INDEX([1]Historical!$C$7:$C$1231,MATCH(B105,[1]Historical!$B$7:$B$1253,0))*IF(AH105="n/a",1.03,IF(AH105&lt;0,1.01,IF(AH105&gt;10,1.1,(1+AH105/100))))</f>
        <v>0.52800000000000002</v>
      </c>
      <c r="AS105" s="166">
        <f t="shared" si="28"/>
        <v>0.58080000000000009</v>
      </c>
      <c r="AT105" s="166">
        <f t="shared" si="34"/>
        <v>0.61564800000000008</v>
      </c>
      <c r="AU105" s="166">
        <f t="shared" si="34"/>
        <v>0.65258688000000009</v>
      </c>
      <c r="AV105" s="166">
        <f t="shared" si="34"/>
        <v>0.6917420928000001</v>
      </c>
      <c r="AW105" s="157">
        <f t="shared" si="30"/>
        <v>3.0687769728000003</v>
      </c>
      <c r="AX105" s="173">
        <f t="shared" si="31"/>
        <v>22.318377984000001</v>
      </c>
      <c r="AY105" s="174">
        <v>0.71</v>
      </c>
      <c r="AZ105" s="169">
        <v>18.690000000000001</v>
      </c>
      <c r="BA105" s="169">
        <v>-22.49</v>
      </c>
      <c r="BB105" s="169">
        <v>8.68</v>
      </c>
      <c r="BC105" s="169">
        <v>-5.0500000000000007</v>
      </c>
      <c r="BE105" s="77">
        <v>2018</v>
      </c>
      <c r="BF105" s="77">
        <f t="shared" si="32"/>
        <v>1</v>
      </c>
      <c r="BG105" s="175">
        <v>1.3</v>
      </c>
      <c r="BH105" t="s">
        <v>939</v>
      </c>
      <c r="BI105" t="s">
        <v>940</v>
      </c>
      <c r="BJ105" s="112"/>
      <c r="BK105" s="112"/>
      <c r="BL105" s="112"/>
    </row>
    <row r="106" spans="1:64" s="252" customFormat="1" ht="11.25" customHeight="1" x14ac:dyDescent="0.2">
      <c r="A106" s="208" t="s">
        <v>1299</v>
      </c>
      <c r="B106" s="184" t="s">
        <v>196</v>
      </c>
      <c r="C106" s="154" t="s">
        <v>90</v>
      </c>
      <c r="D106" s="154" t="s">
        <v>110</v>
      </c>
      <c r="E106" s="185">
        <v>29</v>
      </c>
      <c r="F106" s="298">
        <v>120</v>
      </c>
      <c r="G106" s="297" t="s">
        <v>88</v>
      </c>
      <c r="H106" s="297" t="s">
        <v>88</v>
      </c>
      <c r="I106" s="195">
        <v>58.79</v>
      </c>
      <c r="J106" s="187">
        <f t="shared" si="18"/>
        <v>0.78244599421670358</v>
      </c>
      <c r="K106" s="231">
        <v>0.115</v>
      </c>
      <c r="L106" s="189">
        <v>4</v>
      </c>
      <c r="M106" s="190">
        <f t="shared" si="19"/>
        <v>0.46</v>
      </c>
      <c r="N106" s="191" t="s">
        <v>174</v>
      </c>
      <c r="O106" s="232">
        <v>0.10249999999999999</v>
      </c>
      <c r="P106" s="193">
        <v>44866</v>
      </c>
      <c r="Q106" s="193">
        <v>44881</v>
      </c>
      <c r="R106" s="190">
        <f t="shared" si="20"/>
        <v>12.195121951219525</v>
      </c>
      <c r="S106" s="162">
        <f>IF(INDEX([1]Historical!$D$7:$D$1229,MATCH(B106,[1]Historical!$B$7:$B$1253,0))=0,"n/a",(INDEX([1]Historical!$C$7:$C$1231,MATCH(B106,[1]Historical!$B$7:$B$1253,0))/INDEX([1]Historical!$D$7:$D$1229,MATCH(B106,[1]Historical!$B$7:$B$1253,0))-1)*100)</f>
        <v>9.3525179856115201</v>
      </c>
      <c r="T106" s="162">
        <f>IF(INDEX([1]Historical!$F$7:$F$1222,MATCH(B106,[1]Historical!$B$7:$B$1253,0))=0,"n/a",((INDEX([1]Historical!$C$7:$C$1231,MATCH(B106,[1]Historical!$B$7:$B$1253,0))/INDEX([1]Historical!$F$7:$F$1222,MATCH(B106,[1]Historical!$B$7:$B$1253,0)))^(1/3)-1)*100)</f>
        <v>7.603876929916531</v>
      </c>
      <c r="U106" s="162">
        <f>IF(INDEX([1]Historical!$H$7:$H$1222,MATCH(B106,[1]Historical!$B$7:$B$1253,0))=0,"n/a",((INDEX([1]Historical!$C$7:$C$1231,MATCH(B106,[1]Historical!$B$7:$B$1253,0))/INDEX([1]Historical!$H$7:$H$1222,MATCH(B106,[1]Historical!$B$7:$B$1253,0)))^(1/5)-1)*100)</f>
        <v>8.6264296308498523</v>
      </c>
      <c r="V106" s="162">
        <f>IF(INDEX([1]Historical!$N$7:$N$1222,MATCH(B106,[1]Historical!$B$7:$B$1253,0))=0,"n/a",((INDEX([1]Historical!$C$7:$C$1231,MATCH(B106,[1]Historical!$B$7:$B$1253,0))/INDEX([1]Historical!$N$7:$N$1222,MATCH(B106,[1]Historical!$B$7:$B$1253,0)))^(1/10)-1)*100)</f>
        <v>8.8661897462401171</v>
      </c>
      <c r="W106" s="163">
        <f t="shared" si="21"/>
        <v>0.97295793094300287</v>
      </c>
      <c r="X106" s="164">
        <f t="shared" si="22"/>
        <v>0.48192344306423762</v>
      </c>
      <c r="Y106" s="318"/>
      <c r="Z106" s="187">
        <f t="shared" si="23"/>
        <v>20.81447963800905</v>
      </c>
      <c r="AA106" s="194">
        <f t="shared" si="24"/>
        <v>26.601809954751133</v>
      </c>
      <c r="AB106" s="189">
        <v>12</v>
      </c>
      <c r="AC106" s="195">
        <v>2.21</v>
      </c>
      <c r="AD106" s="195">
        <v>2.0099999999999998</v>
      </c>
      <c r="AE106" s="195">
        <v>4.71</v>
      </c>
      <c r="AF106" s="195">
        <v>3.8</v>
      </c>
      <c r="AG106" s="195" t="s">
        <v>95</v>
      </c>
      <c r="AH106" s="195">
        <v>22.7</v>
      </c>
      <c r="AI106" s="195">
        <v>10.91</v>
      </c>
      <c r="AJ106" s="195">
        <v>17.899999999999999</v>
      </c>
      <c r="AK106" s="195">
        <v>13.22</v>
      </c>
      <c r="AL106" s="196">
        <v>16059.999999999998</v>
      </c>
      <c r="AM106" s="197">
        <v>0.3</v>
      </c>
      <c r="AN106" s="195">
        <v>0.99</v>
      </c>
      <c r="AO106" s="198">
        <f t="shared" si="25"/>
        <v>-17.192934329684576</v>
      </c>
      <c r="AP106" s="199">
        <f t="shared" si="26"/>
        <v>9.4088756250665551</v>
      </c>
      <c r="AQ106" s="172">
        <f t="shared" si="27"/>
        <v>111.96108429830467</v>
      </c>
      <c r="AR106" s="157">
        <f>INDEX([1]Historical!$C$7:$C$1231,MATCH(B106,[1]Historical!$B$7:$B$1253,0))*IF(AH106="n/a",1.03,IF(AH106&lt;0,1.01,IF(AH106&gt;10,1.1,(1+AH106/100))))</f>
        <v>0.41800000000000004</v>
      </c>
      <c r="AS106" s="194">
        <f t="shared" si="28"/>
        <v>0.4598000000000001</v>
      </c>
      <c r="AT106" s="194">
        <f t="shared" si="34"/>
        <v>0.50578000000000012</v>
      </c>
      <c r="AU106" s="194">
        <f t="shared" si="34"/>
        <v>0.55635800000000013</v>
      </c>
      <c r="AV106" s="194">
        <f t="shared" si="34"/>
        <v>0.61199380000000014</v>
      </c>
      <c r="AW106" s="187">
        <f t="shared" si="30"/>
        <v>2.5519318000000006</v>
      </c>
      <c r="AX106" s="200">
        <f t="shared" si="31"/>
        <v>4.3407582922265702</v>
      </c>
      <c r="AY106" s="201">
        <v>0.75</v>
      </c>
      <c r="AZ106" s="197">
        <v>11.110000000000001</v>
      </c>
      <c r="BA106" s="197">
        <v>-20.549999999999997</v>
      </c>
      <c r="BB106" s="197">
        <v>-5.35</v>
      </c>
      <c r="BC106" s="197">
        <v>-7.12</v>
      </c>
      <c r="BD106" s="202"/>
      <c r="BE106" s="77">
        <v>1995</v>
      </c>
      <c r="BF106" s="77">
        <f t="shared" si="32"/>
        <v>3</v>
      </c>
      <c r="BG106" s="203" t="s">
        <v>95</v>
      </c>
      <c r="BH106" t="s">
        <v>939</v>
      </c>
      <c r="BI106" t="s">
        <v>940</v>
      </c>
    </row>
    <row r="107" spans="1:64" ht="11.25" customHeight="1" x14ac:dyDescent="0.2">
      <c r="A107" s="176" t="s">
        <v>775</v>
      </c>
      <c r="B107" s="153" t="s">
        <v>776</v>
      </c>
      <c r="C107" s="154" t="s">
        <v>90</v>
      </c>
      <c r="D107" s="154" t="s">
        <v>969</v>
      </c>
      <c r="E107" s="155">
        <v>10</v>
      </c>
      <c r="F107" s="298">
        <v>462</v>
      </c>
      <c r="G107" s="298" t="s">
        <v>88</v>
      </c>
      <c r="H107" s="298" t="s">
        <v>88</v>
      </c>
      <c r="I107" s="156">
        <v>22.05</v>
      </c>
      <c r="J107" s="157">
        <f t="shared" si="18"/>
        <v>4.1723356009070294</v>
      </c>
      <c r="K107" s="158">
        <v>0.23</v>
      </c>
      <c r="L107" s="126">
        <v>4</v>
      </c>
      <c r="M107" s="82">
        <f t="shared" si="19"/>
        <v>0.92</v>
      </c>
      <c r="N107" s="159" t="s">
        <v>89</v>
      </c>
      <c r="O107" s="160">
        <v>0.22</v>
      </c>
      <c r="P107" s="161">
        <v>44589</v>
      </c>
      <c r="Q107" s="161">
        <v>44606</v>
      </c>
      <c r="R107" s="82">
        <f t="shared" si="20"/>
        <v>4.5454545454545494</v>
      </c>
      <c r="S107" s="162">
        <f>IF(INDEX([1]Historical!$D$7:$D$1229,MATCH(B107,[1]Historical!$B$7:$B$1253,0))=0,"n/a",(INDEX([1]Historical!$C$7:$C$1231,MATCH(B107,[1]Historical!$B$7:$B$1253,0))/INDEX([1]Historical!$D$7:$D$1229,MATCH(B107,[1]Historical!$B$7:$B$1253,0))-1)*100)</f>
        <v>7.4999999999999956</v>
      </c>
      <c r="T107" s="162">
        <f>IF(INDEX([1]Historical!$F$7:$F$1222,MATCH(B107,[1]Historical!$B$7:$B$1253,0))=0,"n/a",((INDEX([1]Historical!$C$7:$C$1231,MATCH(B107,[1]Historical!$B$7:$B$1253,0))/INDEX([1]Historical!$F$7:$F$1222,MATCH(B107,[1]Historical!$B$7:$B$1253,0)))^(1/3)-1)*100)</f>
        <v>10.3501240610526</v>
      </c>
      <c r="U107" s="162">
        <f>IF(INDEX([1]Historical!$H$7:$H$1222,MATCH(B107,[1]Historical!$B$7:$B$1253,0))=0,"n/a",((INDEX([1]Historical!$C$7:$C$1231,MATCH(B107,[1]Historical!$B$7:$B$1253,0))/INDEX([1]Historical!$H$7:$H$1222,MATCH(B107,[1]Historical!$B$7:$B$1253,0)))^(1/5)-1)*100)</f>
        <v>12.370274760425982</v>
      </c>
      <c r="V107" s="162">
        <f>IF(INDEX([1]Historical!$N$7:$N$1222,MATCH(B107,[1]Historical!$B$7:$B$1253,0))=0,"n/a",((INDEX([1]Historical!$C$7:$C$1231,MATCH(B107,[1]Historical!$B$7:$B$1253,0))/INDEX([1]Historical!$N$7:$N$1222,MATCH(B107,[1]Historical!$B$7:$B$1253,0)))^(1/10)-1)*100)</f>
        <v>13.613181351402259</v>
      </c>
      <c r="W107" s="163">
        <f t="shared" si="21"/>
        <v>0.90869830064753754</v>
      </c>
      <c r="X107" s="164">
        <f t="shared" si="22"/>
        <v>0.73632587859678456</v>
      </c>
      <c r="Y107" s="212"/>
      <c r="Z107" s="157">
        <f t="shared" si="23"/>
        <v>38.493723849372387</v>
      </c>
      <c r="AA107" s="166">
        <f t="shared" si="24"/>
        <v>9.2259414225941416</v>
      </c>
      <c r="AB107" s="126">
        <v>12</v>
      </c>
      <c r="AC107" s="167">
        <v>2.39</v>
      </c>
      <c r="AD107" s="167">
        <v>1.1499999999999999</v>
      </c>
      <c r="AE107" s="167">
        <v>2.85</v>
      </c>
      <c r="AF107" s="167">
        <v>1.1000000000000001</v>
      </c>
      <c r="AG107" s="167">
        <v>11.600000000000001</v>
      </c>
      <c r="AH107" s="167">
        <v>20.8</v>
      </c>
      <c r="AI107" s="167">
        <v>14.82</v>
      </c>
      <c r="AJ107" s="167">
        <v>16.8</v>
      </c>
      <c r="AK107" s="167">
        <v>8</v>
      </c>
      <c r="AL107" s="168">
        <v>325.24</v>
      </c>
      <c r="AM107" s="169">
        <v>1.3</v>
      </c>
      <c r="AN107" s="167">
        <v>0.28000000000000003</v>
      </c>
      <c r="AO107" s="170">
        <f t="shared" si="25"/>
        <v>7.3166689387388697</v>
      </c>
      <c r="AP107" s="171">
        <f t="shared" si="26"/>
        <v>16.542610361333011</v>
      </c>
      <c r="AQ107" s="172">
        <f t="shared" si="27"/>
        <v>-32.84003982248035</v>
      </c>
      <c r="AR107" s="157">
        <f>INDEX([1]Historical!$C$7:$C$1231,MATCH(B107,[1]Historical!$B$7:$B$1253,0))*IF(AH107="n/a",1.03,IF(AH107&lt;0,1.01,IF(AH107&gt;10,1.1,(1+AH107/100))))</f>
        <v>0.94600000000000006</v>
      </c>
      <c r="AS107" s="166">
        <f t="shared" si="28"/>
        <v>1.0406000000000002</v>
      </c>
      <c r="AT107" s="166">
        <f t="shared" si="34"/>
        <v>1.1238480000000002</v>
      </c>
      <c r="AU107" s="166">
        <f t="shared" si="34"/>
        <v>1.2137558400000004</v>
      </c>
      <c r="AV107" s="166">
        <f t="shared" si="34"/>
        <v>1.3108563072000006</v>
      </c>
      <c r="AW107" s="157">
        <f t="shared" si="30"/>
        <v>5.6350601472000017</v>
      </c>
      <c r="AX107" s="173">
        <f t="shared" si="31"/>
        <v>25.555828331972798</v>
      </c>
      <c r="AY107" s="174">
        <v>0.98</v>
      </c>
      <c r="AZ107" s="169">
        <v>12.389999999999999</v>
      </c>
      <c r="BA107" s="169">
        <v>-23.76</v>
      </c>
      <c r="BB107" s="169">
        <v>5.42</v>
      </c>
      <c r="BC107" s="169">
        <v>-4.2700000000000005</v>
      </c>
      <c r="BE107" s="77">
        <v>2013</v>
      </c>
      <c r="BF107" s="77">
        <f t="shared" si="32"/>
        <v>1</v>
      </c>
      <c r="BG107" s="175">
        <v>1.2</v>
      </c>
      <c r="BH107" t="s">
        <v>939</v>
      </c>
      <c r="BI107" t="s">
        <v>940</v>
      </c>
    </row>
    <row r="108" spans="1:64" ht="11.25" customHeight="1" x14ac:dyDescent="0.2">
      <c r="A108" s="112" t="s">
        <v>1300</v>
      </c>
      <c r="B108" s="153" t="s">
        <v>1000</v>
      </c>
      <c r="C108" s="154" t="s">
        <v>90</v>
      </c>
      <c r="D108" s="154" t="s">
        <v>969</v>
      </c>
      <c r="E108" s="155">
        <v>8</v>
      </c>
      <c r="F108" s="298">
        <v>579</v>
      </c>
      <c r="G108" s="298" t="s">
        <v>88</v>
      </c>
      <c r="H108" s="298" t="s">
        <v>88</v>
      </c>
      <c r="I108" s="156">
        <v>30.64</v>
      </c>
      <c r="J108" s="157">
        <f t="shared" si="18"/>
        <v>2.6109660574412534</v>
      </c>
      <c r="K108" s="158">
        <v>0.2</v>
      </c>
      <c r="L108" s="126">
        <v>4</v>
      </c>
      <c r="M108" s="82">
        <f t="shared" si="19"/>
        <v>0.8</v>
      </c>
      <c r="N108" s="159" t="s">
        <v>199</v>
      </c>
      <c r="O108" s="160">
        <v>0.18</v>
      </c>
      <c r="P108" s="161">
        <v>44603</v>
      </c>
      <c r="Q108" s="161">
        <v>44616</v>
      </c>
      <c r="R108" s="82">
        <f t="shared" si="20"/>
        <v>11.111111111111121</v>
      </c>
      <c r="S108" s="162">
        <f>IF(INDEX([1]Historical!$D$7:$D$1229,MATCH(B108,[1]Historical!$B$7:$B$1253,0))=0,"n/a",(INDEX([1]Historical!$C$7:$C$1231,MATCH(B108,[1]Historical!$B$7:$B$1253,0))/INDEX([1]Historical!$D$7:$D$1229,MATCH(B108,[1]Historical!$B$7:$B$1253,0))-1)*100)</f>
        <v>14.285714285714279</v>
      </c>
      <c r="T108" s="162">
        <f>IF(INDEX([1]Historical!$F$7:$F$1222,MATCH(B108,[1]Historical!$B$7:$B$1253,0))=0,"n/a",((INDEX([1]Historical!$C$7:$C$1231,MATCH(B108,[1]Historical!$B$7:$B$1253,0))/INDEX([1]Historical!$F$7:$F$1222,MATCH(B108,[1]Historical!$B$7:$B$1253,0)))^(1/3)-1)*100)</f>
        <v>10.064241629820891</v>
      </c>
      <c r="U108" s="162">
        <f>IF(INDEX([1]Historical!$H$7:$H$1222,MATCH(B108,[1]Historical!$B$7:$B$1253,0))=0,"n/a",((INDEX([1]Historical!$C$7:$C$1231,MATCH(B108,[1]Historical!$B$7:$B$1253,0))/INDEX([1]Historical!$H$7:$H$1222,MATCH(B108,[1]Historical!$B$7:$B$1253,0)))^(1/5)-1)*100)</f>
        <v>23.808784136769123</v>
      </c>
      <c r="V108" s="162" t="str">
        <f>IF(INDEX([1]Historical!$N$7:$N$1222,MATCH(B108,[1]Historical!$B$7:$B$1253,0))=0,"n/a",((INDEX([1]Historical!$C$7:$C$1231,MATCH(B108,[1]Historical!$B$7:$B$1253,0))/INDEX([1]Historical!$N$7:$N$1222,MATCH(B108,[1]Historical!$B$7:$B$1253,0)))^(1/10)-1)*100)</f>
        <v>n/a</v>
      </c>
      <c r="W108" s="163" t="str">
        <f t="shared" si="21"/>
        <v>n/a</v>
      </c>
      <c r="X108" s="164">
        <f t="shared" si="22"/>
        <v>1.5068850719474127</v>
      </c>
      <c r="Y108" s="178"/>
      <c r="Z108" s="157">
        <f t="shared" si="23"/>
        <v>21.680216802168022</v>
      </c>
      <c r="AA108" s="166">
        <f t="shared" si="24"/>
        <v>8.3035230352303522</v>
      </c>
      <c r="AB108" s="126">
        <v>12</v>
      </c>
      <c r="AC108" s="167">
        <v>3.69</v>
      </c>
      <c r="AD108" s="167" t="s">
        <v>95</v>
      </c>
      <c r="AE108" s="167">
        <v>2.74</v>
      </c>
      <c r="AF108" s="167">
        <v>1.03</v>
      </c>
      <c r="AG108" s="167">
        <v>13.700000000000001</v>
      </c>
      <c r="AH108" s="167">
        <v>348</v>
      </c>
      <c r="AI108" s="167">
        <v>-22.27</v>
      </c>
      <c r="AJ108" s="167">
        <v>15.8</v>
      </c>
      <c r="AK108" s="167" t="s">
        <v>95</v>
      </c>
      <c r="AL108" s="168">
        <v>232.55</v>
      </c>
      <c r="AM108" s="169">
        <v>8.3000000000000007</v>
      </c>
      <c r="AN108" s="167">
        <v>0.15</v>
      </c>
      <c r="AO108" s="170">
        <f t="shared" si="25"/>
        <v>18.116227158980024</v>
      </c>
      <c r="AP108" s="171">
        <f t="shared" si="26"/>
        <v>26.419750194210376</v>
      </c>
      <c r="AQ108" s="172">
        <f t="shared" si="27"/>
        <v>-38.346384349380301</v>
      </c>
      <c r="AR108" s="157">
        <f>INDEX([1]Historical!$C$7:$C$1231,MATCH(B108,[1]Historical!$B$7:$B$1253,0))*IF(AH108="n/a",1.03,IF(AH108&lt;0,1.01,IF(AH108&gt;10,1.1,(1+AH108/100))))</f>
        <v>0.70400000000000007</v>
      </c>
      <c r="AS108" s="166">
        <f t="shared" si="28"/>
        <v>0.71104000000000012</v>
      </c>
      <c r="AT108" s="166">
        <f t="shared" si="34"/>
        <v>0.73237120000000011</v>
      </c>
      <c r="AU108" s="166">
        <f t="shared" si="34"/>
        <v>0.75434233600000011</v>
      </c>
      <c r="AV108" s="166">
        <f t="shared" si="34"/>
        <v>0.77697260608000018</v>
      </c>
      <c r="AW108" s="157">
        <f t="shared" si="30"/>
        <v>3.6787261420800008</v>
      </c>
      <c r="AX108" s="173">
        <f t="shared" si="31"/>
        <v>12.006286364490865</v>
      </c>
      <c r="AY108" s="174">
        <v>0.74</v>
      </c>
      <c r="AZ108" s="169">
        <v>10.37</v>
      </c>
      <c r="BA108" s="169">
        <v>-16.900000000000002</v>
      </c>
      <c r="BB108" s="169">
        <v>0.47000000000000003</v>
      </c>
      <c r="BC108" s="169">
        <v>-6.43</v>
      </c>
      <c r="BE108" s="77">
        <v>2015</v>
      </c>
      <c r="BF108" s="77">
        <f t="shared" si="32"/>
        <v>1</v>
      </c>
      <c r="BG108" s="175">
        <v>1.2</v>
      </c>
      <c r="BH108" t="s">
        <v>939</v>
      </c>
      <c r="BI108" t="s">
        <v>940</v>
      </c>
      <c r="BJ108" s="112"/>
      <c r="BK108" s="112"/>
      <c r="BL108" s="112"/>
    </row>
    <row r="109" spans="1:64" ht="11.25" customHeight="1" x14ac:dyDescent="0.2">
      <c r="A109" s="205" t="s">
        <v>1001</v>
      </c>
      <c r="B109" s="153" t="s">
        <v>1002</v>
      </c>
      <c r="C109" s="154" t="s">
        <v>94</v>
      </c>
      <c r="D109" s="154" t="s">
        <v>1003</v>
      </c>
      <c r="E109" s="155">
        <v>7</v>
      </c>
      <c r="F109" s="298">
        <v>625</v>
      </c>
      <c r="G109" s="298" t="s">
        <v>88</v>
      </c>
      <c r="H109" s="298" t="s">
        <v>88</v>
      </c>
      <c r="I109" s="156">
        <v>56.98</v>
      </c>
      <c r="J109" s="157">
        <f t="shared" si="18"/>
        <v>1.5444015444015444</v>
      </c>
      <c r="K109" s="158">
        <v>0.22</v>
      </c>
      <c r="L109" s="126">
        <v>4</v>
      </c>
      <c r="M109" s="82">
        <f t="shared" si="19"/>
        <v>0.88</v>
      </c>
      <c r="N109" s="159" t="s">
        <v>151</v>
      </c>
      <c r="O109" s="160">
        <v>0.21</v>
      </c>
      <c r="P109" s="161">
        <v>44629</v>
      </c>
      <c r="Q109" s="161">
        <v>44649</v>
      </c>
      <c r="R109" s="82">
        <f t="shared" si="20"/>
        <v>4.7619047619047663</v>
      </c>
      <c r="S109" s="162">
        <f>IF(INDEX([1]Historical!$D$7:$D$1229,MATCH(B109,[1]Historical!$B$7:$B$1253,0))=0,"n/a",(INDEX([1]Historical!$C$7:$C$1231,MATCH(B109,[1]Historical!$B$7:$B$1253,0))/INDEX([1]Historical!$D$7:$D$1229,MATCH(B109,[1]Historical!$B$7:$B$1253,0))-1)*100)</f>
        <v>10.526315789473673</v>
      </c>
      <c r="T109" s="162">
        <f>IF(INDEX([1]Historical!$F$7:$F$1222,MATCH(B109,[1]Historical!$B$7:$B$1253,0))=0,"n/a",((INDEX([1]Historical!$C$7:$C$1231,MATCH(B109,[1]Historical!$B$7:$B$1253,0))/INDEX([1]Historical!$F$7:$F$1222,MATCH(B109,[1]Historical!$B$7:$B$1253,0)))^(1/3)-1)*100)</f>
        <v>9.4879784971972256</v>
      </c>
      <c r="U109" s="162">
        <f>IF(INDEX([1]Historical!$H$7:$H$1222,MATCH(B109,[1]Historical!$B$7:$B$1253,0))=0,"n/a",((INDEX([1]Historical!$C$7:$C$1231,MATCH(B109,[1]Historical!$B$7:$B$1253,0))/INDEX([1]Historical!$H$7:$H$1222,MATCH(B109,[1]Historical!$B$7:$B$1253,0)))^(1/5)-1)*100)</f>
        <v>18.466445254224407</v>
      </c>
      <c r="V109" s="162" t="str">
        <f>IF(INDEX([1]Historical!$N$7:$N$1222,MATCH(B109,[1]Historical!$B$7:$B$1253,0))=0,"n/a",((INDEX([1]Historical!$C$7:$C$1231,MATCH(B109,[1]Historical!$B$7:$B$1253,0))/INDEX([1]Historical!$N$7:$N$1222,MATCH(B109,[1]Historical!$B$7:$B$1253,0)))^(1/10)-1)*100)</f>
        <v>n/a</v>
      </c>
      <c r="W109" s="163" t="str">
        <f t="shared" si="21"/>
        <v>n/a</v>
      </c>
      <c r="X109" s="164">
        <f t="shared" si="22"/>
        <v>1.4315073840484036</v>
      </c>
      <c r="Y109" s="178"/>
      <c r="Z109" s="157">
        <f t="shared" si="23"/>
        <v>26.268656716417908</v>
      </c>
      <c r="AA109" s="166">
        <f t="shared" si="24"/>
        <v>17.008955223880594</v>
      </c>
      <c r="AB109" s="126">
        <v>12</v>
      </c>
      <c r="AC109" s="167">
        <v>3.35</v>
      </c>
      <c r="AD109" s="167">
        <v>5.45</v>
      </c>
      <c r="AE109" s="167">
        <v>2.34</v>
      </c>
      <c r="AF109" s="167">
        <v>7.45</v>
      </c>
      <c r="AG109" s="167">
        <v>48.1</v>
      </c>
      <c r="AH109" s="167">
        <v>11.200000000000001</v>
      </c>
      <c r="AI109" s="167">
        <v>-2.02</v>
      </c>
      <c r="AJ109" s="167">
        <v>12.9</v>
      </c>
      <c r="AK109" s="167">
        <v>3.1399999999999997</v>
      </c>
      <c r="AL109" s="168">
        <v>5100</v>
      </c>
      <c r="AM109" s="169">
        <v>0.1</v>
      </c>
      <c r="AN109" s="167">
        <v>0</v>
      </c>
      <c r="AO109" s="170">
        <f t="shared" si="25"/>
        <v>3.0018915747453576</v>
      </c>
      <c r="AP109" s="171">
        <f t="shared" si="26"/>
        <v>20.010846798625952</v>
      </c>
      <c r="AQ109" s="172">
        <f t="shared" si="27"/>
        <v>137.31527685798574</v>
      </c>
      <c r="AR109" s="157">
        <f>INDEX([1]Historical!$C$7:$C$1231,MATCH(B109,[1]Historical!$B$7:$B$1253,0))*IF(AH109="n/a",1.03,IF(AH109&lt;0,1.01,IF(AH109&gt;10,1.1,(1+AH109/100))))</f>
        <v>0.92400000000000004</v>
      </c>
      <c r="AS109" s="166">
        <f t="shared" si="28"/>
        <v>0.93324000000000007</v>
      </c>
      <c r="AT109" s="166">
        <f t="shared" si="34"/>
        <v>0.96254373600000021</v>
      </c>
      <c r="AU109" s="166">
        <f t="shared" si="34"/>
        <v>0.99276760931040031</v>
      </c>
      <c r="AV109" s="166">
        <f t="shared" si="34"/>
        <v>1.023940512242747</v>
      </c>
      <c r="AW109" s="157">
        <f t="shared" si="30"/>
        <v>4.8364918575531473</v>
      </c>
      <c r="AX109" s="173">
        <f t="shared" si="31"/>
        <v>8.4880516980574718</v>
      </c>
      <c r="AY109" s="174">
        <v>0.78</v>
      </c>
      <c r="AZ109" s="169">
        <v>33.82</v>
      </c>
      <c r="BA109" s="169">
        <v>-1.79</v>
      </c>
      <c r="BB109" s="169">
        <v>7.33</v>
      </c>
      <c r="BC109" s="169">
        <v>9.39</v>
      </c>
      <c r="BE109" s="77">
        <v>2016</v>
      </c>
      <c r="BF109" s="77">
        <f t="shared" si="32"/>
        <v>1</v>
      </c>
      <c r="BG109" s="175">
        <v>12.1</v>
      </c>
      <c r="BH109" t="s">
        <v>939</v>
      </c>
      <c r="BI109" t="s">
        <v>940</v>
      </c>
      <c r="BJ109" s="112"/>
      <c r="BK109" s="112"/>
      <c r="BL109" s="112"/>
    </row>
    <row r="110" spans="1:64" ht="11.25" customHeight="1" x14ac:dyDescent="0.2">
      <c r="A110" s="205" t="s">
        <v>1004</v>
      </c>
      <c r="B110" s="153" t="s">
        <v>1005</v>
      </c>
      <c r="C110" s="154" t="s">
        <v>981</v>
      </c>
      <c r="D110" s="154" t="s">
        <v>238</v>
      </c>
      <c r="E110" s="155">
        <v>8</v>
      </c>
      <c r="F110" s="298">
        <v>598</v>
      </c>
      <c r="G110" s="298" t="s">
        <v>88</v>
      </c>
      <c r="H110" s="298" t="s">
        <v>88</v>
      </c>
      <c r="I110" s="156">
        <v>859.43</v>
      </c>
      <c r="J110" s="157">
        <f t="shared" si="18"/>
        <v>1.3264605610695461</v>
      </c>
      <c r="K110" s="158">
        <v>2.85</v>
      </c>
      <c r="L110" s="126">
        <v>4</v>
      </c>
      <c r="M110" s="82">
        <f t="shared" si="19"/>
        <v>11.4</v>
      </c>
      <c r="N110" s="159" t="s">
        <v>1006</v>
      </c>
      <c r="O110" s="160">
        <v>2.75</v>
      </c>
      <c r="P110" s="161">
        <v>44802</v>
      </c>
      <c r="Q110" s="161">
        <v>44820</v>
      </c>
      <c r="R110" s="82">
        <f t="shared" si="20"/>
        <v>3.6363636363636398</v>
      </c>
      <c r="S110" s="162">
        <f>IF(INDEX([1]Historical!$D$7:$D$1229,MATCH(B110,[1]Historical!$B$7:$B$1253,0))=0,"n/a",(INDEX([1]Historical!$C$7:$C$1231,MATCH(B110,[1]Historical!$B$7:$B$1253,0))/INDEX([1]Historical!$D$7:$D$1229,MATCH(B110,[1]Historical!$B$7:$B$1253,0))-1)*100)</f>
        <v>10.526315789473696</v>
      </c>
      <c r="T110" s="162">
        <f>IF(INDEX([1]Historical!$F$7:$F$1222,MATCH(B110,[1]Historical!$B$7:$B$1253,0))=0,"n/a",((INDEX([1]Historical!$C$7:$C$1231,MATCH(B110,[1]Historical!$B$7:$B$1253,0))/INDEX([1]Historical!$F$7:$F$1222,MATCH(B110,[1]Historical!$B$7:$B$1253,0)))^(1/3)-1)*100)</f>
        <v>11.868894208139679</v>
      </c>
      <c r="U110" s="162">
        <f>IF(INDEX([1]Historical!$H$7:$H$1222,MATCH(B110,[1]Historical!$B$7:$B$1253,0))=0,"n/a",((INDEX([1]Historical!$C$7:$C$1231,MATCH(B110,[1]Historical!$B$7:$B$1253,0))/INDEX([1]Historical!$H$7:$H$1222,MATCH(B110,[1]Historical!$B$7:$B$1253,0)))^(1/5)-1)*100)</f>
        <v>11.842691472014465</v>
      </c>
      <c r="V110" s="162" t="str">
        <f>IF(INDEX([1]Historical!$N$7:$N$1222,MATCH(B110,[1]Historical!$B$7:$B$1253,0))=0,"n/a",((INDEX([1]Historical!$C$7:$C$1231,MATCH(B110,[1]Historical!$B$7:$B$1253,0))/INDEX([1]Historical!$N$7:$N$1222,MATCH(B110,[1]Historical!$B$7:$B$1253,0)))^(1/10)-1)*100)</f>
        <v>n/a</v>
      </c>
      <c r="W110" s="163" t="str">
        <f t="shared" si="21"/>
        <v>n/a</v>
      </c>
      <c r="X110" s="164">
        <f t="shared" si="22"/>
        <v>0.54574615078407673</v>
      </c>
      <c r="Y110" s="178"/>
      <c r="Z110" s="157">
        <f t="shared" si="23"/>
        <v>20.152024041011138</v>
      </c>
      <c r="AA110" s="166">
        <f t="shared" si="24"/>
        <v>15.192328089093158</v>
      </c>
      <c r="AB110" s="126">
        <v>12</v>
      </c>
      <c r="AC110" s="167">
        <v>56.57</v>
      </c>
      <c r="AD110" s="167">
        <v>1.55</v>
      </c>
      <c r="AE110" s="167">
        <v>2.81</v>
      </c>
      <c r="AF110" s="167">
        <v>2.73</v>
      </c>
      <c r="AG110" s="167">
        <v>19.400000000000002</v>
      </c>
      <c r="AH110" s="167">
        <v>-9.3000000000000007</v>
      </c>
      <c r="AI110" s="167">
        <v>-8.39</v>
      </c>
      <c r="AJ110" s="167">
        <v>21.7</v>
      </c>
      <c r="AK110" s="167">
        <v>10</v>
      </c>
      <c r="AL110" s="168">
        <v>4830</v>
      </c>
      <c r="AM110" s="169">
        <v>0.3</v>
      </c>
      <c r="AN110" s="167">
        <v>2.0099999999999998</v>
      </c>
      <c r="AO110" s="170">
        <f t="shared" si="25"/>
        <v>-2.023176056009147</v>
      </c>
      <c r="AP110" s="171">
        <f t="shared" si="26"/>
        <v>13.169152033084011</v>
      </c>
      <c r="AQ110" s="172">
        <f t="shared" si="27"/>
        <v>35.769503502933354</v>
      </c>
      <c r="AR110" s="157">
        <f>INDEX([1]Historical!$C$7:$C$1231,MATCH(B110,[1]Historical!$B$7:$B$1253,0))*IF(AH110="n/a",1.03,IF(AH110&lt;0,1.01,IF(AH110&gt;10,1.1,(1+AH110/100))))</f>
        <v>10.605</v>
      </c>
      <c r="AS110" s="166">
        <f t="shared" si="28"/>
        <v>10.71105</v>
      </c>
      <c r="AT110" s="166">
        <f t="shared" si="34"/>
        <v>11.782155000000001</v>
      </c>
      <c r="AU110" s="166">
        <f t="shared" si="34"/>
        <v>12.960370500000002</v>
      </c>
      <c r="AV110" s="166">
        <f t="shared" si="34"/>
        <v>14.256407550000002</v>
      </c>
      <c r="AW110" s="157">
        <f t="shared" si="30"/>
        <v>60.314983050000009</v>
      </c>
      <c r="AX110" s="173">
        <f t="shared" si="31"/>
        <v>7.0180216015265948</v>
      </c>
      <c r="AY110" s="174">
        <v>0.83</v>
      </c>
      <c r="AZ110" s="169">
        <v>17.66</v>
      </c>
      <c r="BA110" s="169">
        <v>-54.03</v>
      </c>
      <c r="BB110" s="169">
        <v>-11.35</v>
      </c>
      <c r="BC110" s="169">
        <v>-32.61</v>
      </c>
      <c r="BE110" s="77">
        <v>2015</v>
      </c>
      <c r="BF110" s="77">
        <f t="shared" si="32"/>
        <v>1</v>
      </c>
      <c r="BG110" s="175">
        <v>5.2</v>
      </c>
      <c r="BH110" t="s">
        <v>939</v>
      </c>
      <c r="BI110" t="s">
        <v>940</v>
      </c>
      <c r="BJ110" s="112"/>
      <c r="BK110" s="112"/>
      <c r="BL110" s="112"/>
    </row>
    <row r="111" spans="1:64" ht="11.25" customHeight="1" x14ac:dyDescent="0.2">
      <c r="A111" s="205" t="s">
        <v>1007</v>
      </c>
      <c r="B111" s="153" t="s">
        <v>1008</v>
      </c>
      <c r="C111" s="154" t="s">
        <v>90</v>
      </c>
      <c r="D111" s="154" t="s">
        <v>969</v>
      </c>
      <c r="E111" s="155">
        <v>6</v>
      </c>
      <c r="F111" s="298">
        <v>653</v>
      </c>
      <c r="G111" s="298" t="s">
        <v>88</v>
      </c>
      <c r="H111" s="298" t="s">
        <v>88</v>
      </c>
      <c r="I111" s="156">
        <v>43.52</v>
      </c>
      <c r="J111" s="157">
        <f t="shared" si="18"/>
        <v>3.6764705882352944</v>
      </c>
      <c r="K111" s="158">
        <v>0.4</v>
      </c>
      <c r="L111" s="126">
        <v>4</v>
      </c>
      <c r="M111" s="82">
        <f t="shared" si="19"/>
        <v>1.6</v>
      </c>
      <c r="N111" s="159" t="s">
        <v>309</v>
      </c>
      <c r="O111" s="160">
        <v>0.36</v>
      </c>
      <c r="P111" s="161">
        <v>44574</v>
      </c>
      <c r="Q111" s="161">
        <v>44592</v>
      </c>
      <c r="R111" s="82">
        <f t="shared" si="20"/>
        <v>11.111111111111121</v>
      </c>
      <c r="S111" s="162">
        <f>IF(INDEX([1]Historical!$D$7:$D$1229,MATCH(B111,[1]Historical!$B$7:$B$1253,0))=0,"n/a",(INDEX([1]Historical!$C$7:$C$1231,MATCH(B111,[1]Historical!$B$7:$B$1253,0))/INDEX([1]Historical!$D$7:$D$1229,MATCH(B111,[1]Historical!$B$7:$B$1253,0))-1)*100)</f>
        <v>6.8181818181818121</v>
      </c>
      <c r="T111" s="162">
        <f>IF(INDEX([1]Historical!$F$7:$F$1222,MATCH(B111,[1]Historical!$B$7:$B$1253,0))=0,"n/a",((INDEX([1]Historical!$C$7:$C$1231,MATCH(B111,[1]Historical!$B$7:$B$1253,0))/INDEX([1]Historical!$F$7:$F$1222,MATCH(B111,[1]Historical!$B$7:$B$1253,0)))^(1/3)-1)*100)</f>
        <v>8.6280897659601674</v>
      </c>
      <c r="U111" s="162">
        <f>IF(INDEX([1]Historical!$H$7:$H$1222,MATCH(B111,[1]Historical!$B$7:$B$1253,0))=0,"n/a",((INDEX([1]Historical!$C$7:$C$1231,MATCH(B111,[1]Historical!$B$7:$B$1253,0))/INDEX([1]Historical!$H$7:$H$1222,MATCH(B111,[1]Historical!$B$7:$B$1253,0)))^(1/5)-1)*100)</f>
        <v>12.00201219146695</v>
      </c>
      <c r="V111" s="162">
        <f>IF(INDEX([1]Historical!$N$7:$N$1222,MATCH(B111,[1]Historical!$B$7:$B$1253,0))=0,"n/a",((INDEX([1]Historical!$C$7:$C$1231,MATCH(B111,[1]Historical!$B$7:$B$1253,0))/INDEX([1]Historical!$N$7:$N$1222,MATCH(B111,[1]Historical!$B$7:$B$1253,0)))^(1/10)-1)*100)</f>
        <v>7.7782221547402441</v>
      </c>
      <c r="W111" s="163">
        <f t="shared" si="21"/>
        <v>1.5430276935652476</v>
      </c>
      <c r="X111" s="164">
        <f t="shared" si="22"/>
        <v>0.97577334889975198</v>
      </c>
      <c r="Y111" s="180"/>
      <c r="Z111" s="157">
        <f t="shared" si="23"/>
        <v>36.281179138321995</v>
      </c>
      <c r="AA111" s="166">
        <f t="shared" si="24"/>
        <v>9.8684807256235825</v>
      </c>
      <c r="AB111" s="126">
        <v>12</v>
      </c>
      <c r="AC111" s="167">
        <v>4.41</v>
      </c>
      <c r="AD111" s="167" t="s">
        <v>95</v>
      </c>
      <c r="AE111" s="167">
        <v>4.0599999999999996</v>
      </c>
      <c r="AF111" s="167">
        <v>1.43</v>
      </c>
      <c r="AG111" s="167">
        <v>13.100000000000001</v>
      </c>
      <c r="AH111" s="167">
        <v>16.400000000000002</v>
      </c>
      <c r="AI111" s="167">
        <v>3.63</v>
      </c>
      <c r="AJ111" s="167">
        <v>12.3</v>
      </c>
      <c r="AK111" s="167" t="s">
        <v>95</v>
      </c>
      <c r="AL111" s="168">
        <v>617</v>
      </c>
      <c r="AM111" s="169">
        <v>3.1</v>
      </c>
      <c r="AN111" s="167">
        <v>0.1</v>
      </c>
      <c r="AO111" s="170">
        <f t="shared" si="25"/>
        <v>5.8100020540786605</v>
      </c>
      <c r="AP111" s="171">
        <f t="shared" si="26"/>
        <v>15.678482779702243</v>
      </c>
      <c r="AQ111" s="172">
        <f t="shared" si="27"/>
        <v>-20.804244115843005</v>
      </c>
      <c r="AR111" s="157">
        <f>INDEX([1]Historical!$C$7:$C$1231,MATCH(B111,[1]Historical!$B$7:$B$1253,0))*IF(AH111="n/a",1.03,IF(AH111&lt;0,1.01,IF(AH111&gt;10,1.1,(1+AH111/100))))</f>
        <v>1.5509999999999999</v>
      </c>
      <c r="AS111" s="166">
        <f t="shared" si="28"/>
        <v>1.6073012999999998</v>
      </c>
      <c r="AT111" s="166">
        <f t="shared" si="34"/>
        <v>1.655520339</v>
      </c>
      <c r="AU111" s="166">
        <f t="shared" si="34"/>
        <v>1.7051859491700001</v>
      </c>
      <c r="AV111" s="166">
        <f t="shared" si="34"/>
        <v>1.7563415276451002</v>
      </c>
      <c r="AW111" s="157">
        <f t="shared" si="30"/>
        <v>8.2753491158151</v>
      </c>
      <c r="AX111" s="173">
        <f t="shared" si="31"/>
        <v>19.015048519795723</v>
      </c>
      <c r="AY111" s="174">
        <v>0.73</v>
      </c>
      <c r="AZ111" s="169">
        <v>7.5600000000000005</v>
      </c>
      <c r="BA111" s="169">
        <v>-16.559999999999999</v>
      </c>
      <c r="BB111" s="169">
        <v>-1.72</v>
      </c>
      <c r="BC111" s="169">
        <v>-5.42</v>
      </c>
      <c r="BE111" s="77">
        <v>2017</v>
      </c>
      <c r="BF111" s="77">
        <f t="shared" si="32"/>
        <v>1</v>
      </c>
      <c r="BG111" s="175">
        <v>1.2</v>
      </c>
      <c r="BH111" t="s">
        <v>939</v>
      </c>
      <c r="BI111" t="s">
        <v>940</v>
      </c>
      <c r="BJ111" s="112"/>
      <c r="BK111" s="112"/>
      <c r="BL111" s="112"/>
    </row>
    <row r="112" spans="1:64" ht="11.25" customHeight="1" x14ac:dyDescent="0.2">
      <c r="A112" s="112" t="s">
        <v>1732</v>
      </c>
      <c r="B112" s="153" t="s">
        <v>1733</v>
      </c>
      <c r="C112" s="154" t="s">
        <v>90</v>
      </c>
      <c r="D112" s="154" t="s">
        <v>969</v>
      </c>
      <c r="E112" s="155">
        <v>9</v>
      </c>
      <c r="F112" s="298">
        <v>529</v>
      </c>
      <c r="G112" s="298" t="s">
        <v>104</v>
      </c>
      <c r="H112" s="298" t="s">
        <v>104</v>
      </c>
      <c r="I112" s="156">
        <v>27.65</v>
      </c>
      <c r="J112" s="157">
        <f t="shared" si="18"/>
        <v>3.1826401446654615</v>
      </c>
      <c r="K112" s="158">
        <v>0.22</v>
      </c>
      <c r="L112" s="126">
        <v>4</v>
      </c>
      <c r="M112" s="82">
        <f t="shared" si="19"/>
        <v>0.88</v>
      </c>
      <c r="N112" s="159" t="s">
        <v>183</v>
      </c>
      <c r="O112" s="160">
        <v>0.2</v>
      </c>
      <c r="P112" s="161">
        <v>44634</v>
      </c>
      <c r="Q112" s="161">
        <v>44652</v>
      </c>
      <c r="R112" s="82">
        <f t="shared" si="20"/>
        <v>9.9999999999999947</v>
      </c>
      <c r="S112" s="162">
        <f>IF(INDEX([1]Historical!$D$7:$D$1229,MATCH(B112,[1]Historical!$B$7:$B$1253,0))=0,"n/a",(INDEX([1]Historical!$C$7:$C$1231,MATCH(B112,[1]Historical!$B$7:$B$1253,0))/INDEX([1]Historical!$D$7:$D$1229,MATCH(B112,[1]Historical!$B$7:$B$1253,0))-1)*100)</f>
        <v>4.0540540540540571</v>
      </c>
      <c r="T112" s="162">
        <f>IF(INDEX([1]Historical!$F$7:$F$1222,MATCH(B112,[1]Historical!$B$7:$B$1253,0))=0,"n/a",((INDEX([1]Historical!$C$7:$C$1231,MATCH(B112,[1]Historical!$B$7:$B$1253,0))/INDEX([1]Historical!$F$7:$F$1222,MATCH(B112,[1]Historical!$B$7:$B$1253,0)))^(1/3)-1)*100)</f>
        <v>9.2813969149440965</v>
      </c>
      <c r="U112" s="162">
        <f>IF(INDEX([1]Historical!$H$7:$H$1222,MATCH(B112,[1]Historical!$B$7:$B$1253,0))=0,"n/a",((INDEX([1]Historical!$C$7:$C$1231,MATCH(B112,[1]Historical!$B$7:$B$1253,0))/INDEX([1]Historical!$H$7:$H$1222,MATCH(B112,[1]Historical!$B$7:$B$1253,0)))^(1/5)-1)*100)</f>
        <v>12.621254069680464</v>
      </c>
      <c r="V112" s="162">
        <f>IF(INDEX([1]Historical!$N$7:$N$1222,MATCH(B112,[1]Historical!$B$7:$B$1253,0))=0,"n/a",((INDEX([1]Historical!$C$7:$C$1231,MATCH(B112,[1]Historical!$B$7:$B$1253,0))/INDEX([1]Historical!$N$7:$N$1222,MATCH(B112,[1]Historical!$B$7:$B$1253,0)))^(1/10)-1)*100)</f>
        <v>8.2037389818342845</v>
      </c>
      <c r="W112" s="163">
        <f t="shared" si="21"/>
        <v>1.5384758215282055</v>
      </c>
      <c r="X112" s="164">
        <f t="shared" si="22"/>
        <v>7.0118078164891475</v>
      </c>
      <c r="Y112" s="212"/>
      <c r="Z112" s="157">
        <f t="shared" si="23"/>
        <v>51.162790697674424</v>
      </c>
      <c r="AA112" s="166">
        <f t="shared" si="24"/>
        <v>16.075581395348838</v>
      </c>
      <c r="AB112" s="126">
        <v>12</v>
      </c>
      <c r="AC112" s="167">
        <v>1.72</v>
      </c>
      <c r="AD112" s="167">
        <v>3.22</v>
      </c>
      <c r="AE112" s="167">
        <v>3.56</v>
      </c>
      <c r="AF112" s="167">
        <v>1.19</v>
      </c>
      <c r="AG112" s="167">
        <v>5.3</v>
      </c>
      <c r="AH112" s="167">
        <v>-27.3</v>
      </c>
      <c r="AI112" s="167">
        <v>19.79</v>
      </c>
      <c r="AJ112" s="167">
        <v>1.7999999999999998</v>
      </c>
      <c r="AK112" s="167">
        <v>5</v>
      </c>
      <c r="AL112" s="168">
        <v>4900</v>
      </c>
      <c r="AM112" s="169">
        <v>0.70000000000000007</v>
      </c>
      <c r="AN112" s="167">
        <v>0.11</v>
      </c>
      <c r="AO112" s="170">
        <f t="shared" si="25"/>
        <v>-0.27168718100291223</v>
      </c>
      <c r="AP112" s="171">
        <f t="shared" si="26"/>
        <v>15.803894214345926</v>
      </c>
      <c r="AQ112" s="172">
        <f t="shared" si="27"/>
        <v>-7.7926446403057348</v>
      </c>
      <c r="AR112" s="157">
        <f>INDEX([1]Historical!$C$7:$C$1231,MATCH(B112,[1]Historical!$B$7:$B$1253,0))*IF(AH112="n/a",1.03,IF(AH112&lt;0,1.01,IF(AH112&gt;10,1.1,(1+AH112/100))))</f>
        <v>0.77770000000000006</v>
      </c>
      <c r="AS112" s="166">
        <f t="shared" si="28"/>
        <v>0.85547000000000017</v>
      </c>
      <c r="AT112" s="166">
        <f t="shared" si="34"/>
        <v>0.89824350000000019</v>
      </c>
      <c r="AU112" s="166">
        <f t="shared" si="34"/>
        <v>0.94315567500000019</v>
      </c>
      <c r="AV112" s="166">
        <f t="shared" si="34"/>
        <v>0.99031345875000021</v>
      </c>
      <c r="AW112" s="157">
        <f t="shared" si="30"/>
        <v>4.4648826337500012</v>
      </c>
      <c r="AX112" s="173">
        <f t="shared" si="31"/>
        <v>16.147857626582287</v>
      </c>
      <c r="AY112" s="174">
        <v>1</v>
      </c>
      <c r="AZ112" s="169">
        <v>25.45</v>
      </c>
      <c r="BA112" s="169">
        <v>-19.25</v>
      </c>
      <c r="BB112" s="169">
        <v>4.38</v>
      </c>
      <c r="BC112" s="169">
        <v>1.41</v>
      </c>
      <c r="BE112" s="77">
        <v>2013</v>
      </c>
      <c r="BF112" s="77">
        <f t="shared" si="32"/>
        <v>1</v>
      </c>
      <c r="BG112" s="175">
        <v>0.5</v>
      </c>
      <c r="BH112" t="s">
        <v>939</v>
      </c>
      <c r="BI112" t="s">
        <v>940</v>
      </c>
    </row>
    <row r="113" spans="1:64" ht="11.25" customHeight="1" x14ac:dyDescent="0.2">
      <c r="A113" s="112" t="s">
        <v>1301</v>
      </c>
      <c r="B113" s="153" t="s">
        <v>208</v>
      </c>
      <c r="C113" s="154" t="s">
        <v>137</v>
      </c>
      <c r="D113" s="154" t="s">
        <v>942</v>
      </c>
      <c r="E113" s="155">
        <v>26</v>
      </c>
      <c r="F113" s="298">
        <v>137</v>
      </c>
      <c r="G113" s="298" t="s">
        <v>88</v>
      </c>
      <c r="H113" s="298" t="s">
        <v>88</v>
      </c>
      <c r="I113" s="167">
        <v>75.900000000000006</v>
      </c>
      <c r="J113" s="157">
        <f t="shared" si="18"/>
        <v>2.6123847167325427</v>
      </c>
      <c r="K113" s="209">
        <v>0.49569999999999997</v>
      </c>
      <c r="L113" s="126">
        <v>4</v>
      </c>
      <c r="M113" s="82">
        <f t="shared" si="19"/>
        <v>1.9827999999999999</v>
      </c>
      <c r="N113" s="159" t="s">
        <v>164</v>
      </c>
      <c r="O113" s="210">
        <v>0.49080000000000001</v>
      </c>
      <c r="P113" s="161">
        <v>44742</v>
      </c>
      <c r="Q113" s="161">
        <v>44757</v>
      </c>
      <c r="R113" s="82">
        <f t="shared" si="20"/>
        <v>0.99837000814995103</v>
      </c>
      <c r="S113" s="162">
        <f>IF(INDEX([1]Historical!$D$7:$D$1229,MATCH(B113,[1]Historical!$B$7:$B$1253,0))=0,"n/a",(INDEX([1]Historical!$C$7:$C$1231,MATCH(B113,[1]Historical!$B$7:$B$1253,0))/INDEX([1]Historical!$D$7:$D$1229,MATCH(B113,[1]Historical!$B$7:$B$1253,0))-1)*100)</f>
        <v>1.0031023784901727</v>
      </c>
      <c r="T113" s="162">
        <f>IF(INDEX([1]Historical!$F$7:$F$1222,MATCH(B113,[1]Historical!$B$7:$B$1253,0))=0,"n/a",((INDEX([1]Historical!$C$7:$C$1231,MATCH(B113,[1]Historical!$B$7:$B$1253,0))/INDEX([1]Historical!$F$7:$F$1222,MATCH(B113,[1]Historical!$B$7:$B$1253,0)))^(1/3)-1)*100)</f>
        <v>1.3567748900666476</v>
      </c>
      <c r="U113" s="162">
        <f>IF(INDEX([1]Historical!$H$7:$H$1222,MATCH(B113,[1]Historical!$B$7:$B$1253,0))=0,"n/a",((INDEX([1]Historical!$C$7:$C$1231,MATCH(B113,[1]Historical!$B$7:$B$1253,0))/INDEX([1]Historical!$H$7:$H$1222,MATCH(B113,[1]Historical!$B$7:$B$1253,0)))^(1/5)-1)*100)</f>
        <v>3.1623846457122129</v>
      </c>
      <c r="V113" s="162">
        <f>IF(INDEX([1]Historical!$N$7:$N$1222,MATCH(B113,[1]Historical!$B$7:$B$1253,0))=0,"n/a",((INDEX([1]Historical!$C$7:$C$1231,MATCH(B113,[1]Historical!$B$7:$B$1253,0))/INDEX([1]Historical!$N$7:$N$1222,MATCH(B113,[1]Historical!$B$7:$B$1253,0)))^(1/10)-1)*100)</f>
        <v>9.0680963440568529</v>
      </c>
      <c r="W113" s="163">
        <f t="shared" si="21"/>
        <v>0.34873743349504782</v>
      </c>
      <c r="X113" s="164" t="str">
        <f t="shared" si="22"/>
        <v>n/a</v>
      </c>
      <c r="Y113" s="178"/>
      <c r="Z113" s="157" t="str">
        <f t="shared" si="23"/>
        <v>n/a</v>
      </c>
      <c r="AA113" s="166" t="str">
        <f t="shared" si="24"/>
        <v>n/a</v>
      </c>
      <c r="AB113" s="126">
        <v>6</v>
      </c>
      <c r="AC113" s="167">
        <v>-3.44</v>
      </c>
      <c r="AD113" s="167" t="s">
        <v>95</v>
      </c>
      <c r="AE113" s="167">
        <v>0.11</v>
      </c>
      <c r="AF113" s="167" t="s">
        <v>95</v>
      </c>
      <c r="AG113" s="167">
        <v>-378.90000000000003</v>
      </c>
      <c r="AH113" s="167">
        <v>-260.89999999999998</v>
      </c>
      <c r="AI113" s="167">
        <v>15.7</v>
      </c>
      <c r="AJ113" s="167">
        <v>-23.1</v>
      </c>
      <c r="AK113" s="167">
        <v>10</v>
      </c>
      <c r="AL113" s="168">
        <v>19740</v>
      </c>
      <c r="AM113" s="169">
        <v>0.5</v>
      </c>
      <c r="AN113" s="167" t="s">
        <v>95</v>
      </c>
      <c r="AO113" s="170" t="str">
        <f t="shared" si="25"/>
        <v>n/a</v>
      </c>
      <c r="AP113" s="171">
        <f t="shared" si="26"/>
        <v>5.774769362444756</v>
      </c>
      <c r="AQ113" s="172" t="str">
        <f t="shared" si="27"/>
        <v>n/a</v>
      </c>
      <c r="AR113" s="157">
        <f>INDEX([1]Historical!$C$7:$C$1231,MATCH(B113,[1]Historical!$B$7:$B$1253,0))*IF(AH113="n/a",1.03,IF(AH113&lt;0,1.01,IF(AH113&gt;10,1.1,(1+AH113/100))))</f>
        <v>1.972934</v>
      </c>
      <c r="AS113" s="166">
        <f t="shared" si="28"/>
        <v>2.1702273999999999</v>
      </c>
      <c r="AT113" s="166">
        <f t="shared" si="34"/>
        <v>2.3872501399999999</v>
      </c>
      <c r="AU113" s="166">
        <f t="shared" si="34"/>
        <v>2.6259751540000003</v>
      </c>
      <c r="AV113" s="166">
        <f t="shared" si="34"/>
        <v>2.8885726694000007</v>
      </c>
      <c r="AW113" s="157">
        <f t="shared" si="30"/>
        <v>12.0449593634</v>
      </c>
      <c r="AX113" s="173">
        <f t="shared" si="31"/>
        <v>15.869511677733861</v>
      </c>
      <c r="AY113" s="174">
        <v>0.81</v>
      </c>
      <c r="AZ113" s="169">
        <v>65.539999999999992</v>
      </c>
      <c r="BA113" s="169">
        <v>-1.68</v>
      </c>
      <c r="BB113" s="169">
        <v>9.379999999999999</v>
      </c>
      <c r="BC113" s="169">
        <v>27.58</v>
      </c>
      <c r="BE113" s="77">
        <v>1997</v>
      </c>
      <c r="BF113" s="77">
        <f t="shared" si="32"/>
        <v>3</v>
      </c>
      <c r="BG113" s="175">
        <v>-2.1999999999999997</v>
      </c>
      <c r="BH113" t="s">
        <v>939</v>
      </c>
      <c r="BI113" t="s">
        <v>940</v>
      </c>
    </row>
    <row r="114" spans="1:64" s="252" customFormat="1" ht="11.25" customHeight="1" x14ac:dyDescent="0.2">
      <c r="A114" s="183" t="s">
        <v>1302</v>
      </c>
      <c r="B114" s="184" t="s">
        <v>211</v>
      </c>
      <c r="C114" s="154" t="s">
        <v>922</v>
      </c>
      <c r="D114" s="154" t="s">
        <v>949</v>
      </c>
      <c r="E114" s="185">
        <v>21</v>
      </c>
      <c r="F114" s="298">
        <v>171</v>
      </c>
      <c r="G114" s="297" t="s">
        <v>104</v>
      </c>
      <c r="H114" s="297" t="s">
        <v>104</v>
      </c>
      <c r="I114" s="186">
        <v>42.78</v>
      </c>
      <c r="J114" s="187">
        <f t="shared" si="18"/>
        <v>2.7115474520804113</v>
      </c>
      <c r="K114" s="188">
        <v>0.28999999999999998</v>
      </c>
      <c r="L114" s="189">
        <v>4</v>
      </c>
      <c r="M114" s="190">
        <f t="shared" si="19"/>
        <v>1.1599999999999999</v>
      </c>
      <c r="N114" s="191" t="s">
        <v>167</v>
      </c>
      <c r="O114" s="319">
        <v>0.28000000000000003</v>
      </c>
      <c r="P114" s="193">
        <v>44897</v>
      </c>
      <c r="Q114" s="193">
        <v>44910</v>
      </c>
      <c r="R114" s="190">
        <f t="shared" si="20"/>
        <v>3.5714285714285547</v>
      </c>
      <c r="S114" s="162">
        <f>IF(INDEX([1]Historical!$D$7:$D$1229,MATCH(B114,[1]Historical!$B$7:$B$1253,0))=0,"n/a",(INDEX([1]Historical!$C$7:$C$1231,MATCH(B114,[1]Historical!$B$7:$B$1253,0))/INDEX([1]Historical!$D$7:$D$1229,MATCH(B114,[1]Historical!$B$7:$B$1253,0))-1)*100)</f>
        <v>0.92592592592593004</v>
      </c>
      <c r="T114" s="162">
        <f>IF(INDEX([1]Historical!$F$7:$F$1222,MATCH(B114,[1]Historical!$B$7:$B$1253,0))=0,"n/a",((INDEX([1]Historical!$C$7:$C$1231,MATCH(B114,[1]Historical!$B$7:$B$1253,0))/INDEX([1]Historical!$F$7:$F$1222,MATCH(B114,[1]Historical!$B$7:$B$1253,0)))^(1/3)-1)*100)</f>
        <v>8.6431937830855787</v>
      </c>
      <c r="U114" s="162">
        <f>IF(INDEX([1]Historical!$H$7:$H$1222,MATCH(B114,[1]Historical!$B$7:$B$1253,0))=0,"n/a",((INDEX([1]Historical!$C$7:$C$1231,MATCH(B114,[1]Historical!$B$7:$B$1253,0))/INDEX([1]Historical!$H$7:$H$1222,MATCH(B114,[1]Historical!$B$7:$B$1253,0)))^(1/5)-1)*100)</f>
        <v>10.083463349843381</v>
      </c>
      <c r="V114" s="162">
        <f>IF(INDEX([1]Historical!$N$7:$N$1222,MATCH(B114,[1]Historical!$B$7:$B$1253,0))=0,"n/a",((INDEX([1]Historical!$C$7:$C$1231,MATCH(B114,[1]Historical!$B$7:$B$1253,0))/INDEX([1]Historical!$N$7:$N$1222,MATCH(B114,[1]Historical!$B$7:$B$1253,0)))^(1/10)-1)*100)</f>
        <v>10.069247289345483</v>
      </c>
      <c r="W114" s="163">
        <f t="shared" si="21"/>
        <v>1.0014118295131096</v>
      </c>
      <c r="X114" s="164">
        <f t="shared" si="22"/>
        <v>2.4593813048398485</v>
      </c>
      <c r="Y114" s="227"/>
      <c r="Z114" s="187">
        <f t="shared" si="23"/>
        <v>48.132780082987544</v>
      </c>
      <c r="AA114" s="194">
        <f t="shared" si="24"/>
        <v>17.751037344398341</v>
      </c>
      <c r="AB114" s="189">
        <v>12</v>
      </c>
      <c r="AC114" s="195">
        <v>2.41</v>
      </c>
      <c r="AD114" s="195" t="s">
        <v>95</v>
      </c>
      <c r="AE114" s="195">
        <v>3.27</v>
      </c>
      <c r="AF114" s="195">
        <v>2.85</v>
      </c>
      <c r="AG114" s="195">
        <v>13</v>
      </c>
      <c r="AH114" s="195">
        <v>15.5</v>
      </c>
      <c r="AI114" s="195" t="s">
        <v>95</v>
      </c>
      <c r="AJ114" s="195">
        <v>4.1000000000000005</v>
      </c>
      <c r="AK114" s="195" t="s">
        <v>95</v>
      </c>
      <c r="AL114" s="196">
        <v>574.92999999999995</v>
      </c>
      <c r="AM114" s="197">
        <v>0.89999999999999991</v>
      </c>
      <c r="AN114" s="195">
        <v>2.85</v>
      </c>
      <c r="AO114" s="198">
        <f t="shared" si="25"/>
        <v>-4.9560265424745484</v>
      </c>
      <c r="AP114" s="199">
        <f t="shared" si="26"/>
        <v>12.795010801923793</v>
      </c>
      <c r="AQ114" s="172">
        <f t="shared" si="27"/>
        <v>49.948815610209365</v>
      </c>
      <c r="AR114" s="157">
        <f>INDEX([1]Historical!$C$7:$C$1231,MATCH(B114,[1]Historical!$B$7:$B$1253,0))*IF(AH114="n/a",1.03,IF(AH114&lt;0,1.01,IF(AH114&gt;10,1.1,(1+AH114/100))))</f>
        <v>1.1990000000000003</v>
      </c>
      <c r="AS114" s="194">
        <f t="shared" si="28"/>
        <v>1.2349700000000003</v>
      </c>
      <c r="AT114" s="194">
        <f t="shared" si="34"/>
        <v>1.2720191000000003</v>
      </c>
      <c r="AU114" s="194">
        <f t="shared" si="34"/>
        <v>1.3101796730000004</v>
      </c>
      <c r="AV114" s="194">
        <f t="shared" si="34"/>
        <v>1.3494850631900004</v>
      </c>
      <c r="AW114" s="187">
        <f t="shared" si="30"/>
        <v>6.3656538361900017</v>
      </c>
      <c r="AX114" s="200">
        <f t="shared" si="31"/>
        <v>14.879976241678358</v>
      </c>
      <c r="AY114" s="201">
        <v>0.65</v>
      </c>
      <c r="AZ114" s="197">
        <v>34.339999999999996</v>
      </c>
      <c r="BA114" s="197">
        <v>-7.5200000000000005</v>
      </c>
      <c r="BB114" s="197">
        <v>15.17</v>
      </c>
      <c r="BC114" s="197">
        <v>14.89</v>
      </c>
      <c r="BD114" s="202"/>
      <c r="BE114" s="77">
        <v>2002</v>
      </c>
      <c r="BF114" s="77">
        <f t="shared" si="32"/>
        <v>2</v>
      </c>
      <c r="BG114" s="203">
        <v>1.2</v>
      </c>
      <c r="BH114" t="s">
        <v>939</v>
      </c>
      <c r="BI114" t="s">
        <v>940</v>
      </c>
    </row>
    <row r="115" spans="1:64" ht="11.25" customHeight="1" x14ac:dyDescent="0.2">
      <c r="A115" s="112" t="s">
        <v>1303</v>
      </c>
      <c r="B115" s="153" t="s">
        <v>210</v>
      </c>
      <c r="C115" s="154" t="s">
        <v>127</v>
      </c>
      <c r="D115" s="154" t="s">
        <v>973</v>
      </c>
      <c r="E115" s="155">
        <v>22</v>
      </c>
      <c r="F115" s="298">
        <v>160</v>
      </c>
      <c r="G115" s="298" t="s">
        <v>30</v>
      </c>
      <c r="H115" s="298" t="s">
        <v>30</v>
      </c>
      <c r="I115" s="156">
        <v>232.71</v>
      </c>
      <c r="J115" s="157">
        <f t="shared" si="18"/>
        <v>0.65317347771904943</v>
      </c>
      <c r="K115" s="209">
        <v>0.38</v>
      </c>
      <c r="L115" s="126">
        <v>4</v>
      </c>
      <c r="M115" s="82">
        <f t="shared" si="19"/>
        <v>1.52</v>
      </c>
      <c r="N115" s="159" t="s">
        <v>89</v>
      </c>
      <c r="O115" s="210">
        <v>0.35</v>
      </c>
      <c r="P115" s="161">
        <v>44771</v>
      </c>
      <c r="Q115" s="161">
        <v>44788</v>
      </c>
      <c r="R115" s="82">
        <f t="shared" si="20"/>
        <v>8.5714285714285801</v>
      </c>
      <c r="S115" s="162">
        <f>IF(INDEX([1]Historical!$D$7:$D$1229,MATCH(B115,[1]Historical!$B$7:$B$1253,0))=0,"n/a",(INDEX([1]Historical!$C$7:$C$1231,MATCH(B115,[1]Historical!$B$7:$B$1253,0))/INDEX([1]Historical!$D$7:$D$1229,MATCH(B115,[1]Historical!$B$7:$B$1253,0))-1)*100)</f>
        <v>7.03125</v>
      </c>
      <c r="T115" s="162">
        <f>IF(INDEX([1]Historical!$F$7:$F$1222,MATCH(B115,[1]Historical!$B$7:$B$1253,0))=0,"n/a",((INDEX([1]Historical!$C$7:$C$1231,MATCH(B115,[1]Historical!$B$7:$B$1253,0))/INDEX([1]Historical!$F$7:$F$1222,MATCH(B115,[1]Historical!$B$7:$B$1253,0)))^(1/3)-1)*100)</f>
        <v>7.5910041128383288</v>
      </c>
      <c r="U115" s="162">
        <f>IF(INDEX([1]Historical!$H$7:$H$1222,MATCH(B115,[1]Historical!$B$7:$B$1253,0))=0,"n/a",((INDEX([1]Historical!$C$7:$C$1231,MATCH(B115,[1]Historical!$B$7:$B$1253,0))/INDEX([1]Historical!$H$7:$H$1222,MATCH(B115,[1]Historical!$B$7:$B$1253,0)))^(1/5)-1)*100)</f>
        <v>8.289549742337087</v>
      </c>
      <c r="V115" s="162">
        <f>IF(INDEX([1]Historical!$N$7:$N$1222,MATCH(B115,[1]Historical!$B$7:$B$1253,0))=0,"n/a",((INDEX([1]Historical!$C$7:$C$1231,MATCH(B115,[1]Historical!$B$7:$B$1253,0))/INDEX([1]Historical!$N$7:$N$1222,MATCH(B115,[1]Historical!$B$7:$B$1253,0)))^(1/10)-1)*100)</f>
        <v>9.165289579363245</v>
      </c>
      <c r="W115" s="163">
        <f t="shared" si="21"/>
        <v>0.90445039085311696</v>
      </c>
      <c r="X115" s="164">
        <f t="shared" si="22"/>
        <v>0.54536511462743997</v>
      </c>
      <c r="Y115" s="220"/>
      <c r="Z115" s="157">
        <f t="shared" si="23"/>
        <v>15.215215215215213</v>
      </c>
      <c r="AA115" s="166">
        <f t="shared" si="24"/>
        <v>23.294294294294296</v>
      </c>
      <c r="AB115" s="126">
        <v>12</v>
      </c>
      <c r="AC115" s="167">
        <v>9.99</v>
      </c>
      <c r="AD115" s="167">
        <v>3.45</v>
      </c>
      <c r="AE115" s="167">
        <v>0.6</v>
      </c>
      <c r="AF115" s="167">
        <v>3.62</v>
      </c>
      <c r="AG115" s="167">
        <v>16.7</v>
      </c>
      <c r="AH115" s="167">
        <v>8.6</v>
      </c>
      <c r="AI115" s="167">
        <v>-2.23</v>
      </c>
      <c r="AJ115" s="167">
        <v>15.2</v>
      </c>
      <c r="AK115" s="167">
        <v>6.7100000000000009</v>
      </c>
      <c r="AL115" s="168">
        <v>8480</v>
      </c>
      <c r="AM115" s="169">
        <v>0.3</v>
      </c>
      <c r="AN115" s="167">
        <v>0.7</v>
      </c>
      <c r="AO115" s="170">
        <f t="shared" si="25"/>
        <v>-14.35157107423816</v>
      </c>
      <c r="AP115" s="171">
        <f t="shared" si="26"/>
        <v>8.942723220056136</v>
      </c>
      <c r="AQ115" s="172">
        <f t="shared" si="27"/>
        <v>93.592177694755875</v>
      </c>
      <c r="AR115" s="157">
        <f>INDEX([1]Historical!$C$7:$C$1231,MATCH(B115,[1]Historical!$B$7:$B$1253,0))*IF(AH115="n/a",1.03,IF(AH115&lt;0,1.01,IF(AH115&gt;10,1.1,(1+AH115/100))))</f>
        <v>1.4878200000000001</v>
      </c>
      <c r="AS115" s="166">
        <f t="shared" si="28"/>
        <v>1.5026982000000002</v>
      </c>
      <c r="AT115" s="166">
        <f t="shared" si="34"/>
        <v>1.6035292492200002</v>
      </c>
      <c r="AU115" s="166">
        <f t="shared" si="34"/>
        <v>1.711126061842662</v>
      </c>
      <c r="AV115" s="166">
        <f t="shared" si="34"/>
        <v>1.8259426205923046</v>
      </c>
      <c r="AW115" s="157">
        <f t="shared" si="30"/>
        <v>8.1311161316549665</v>
      </c>
      <c r="AX115" s="173">
        <f t="shared" si="31"/>
        <v>3.4940982904279863</v>
      </c>
      <c r="AY115" s="174">
        <v>0.8</v>
      </c>
      <c r="AZ115" s="169">
        <v>36.230000000000004</v>
      </c>
      <c r="BA115" s="169">
        <v>0.4</v>
      </c>
      <c r="BB115" s="169">
        <v>9.67</v>
      </c>
      <c r="BC115" s="169">
        <v>16.259999999999998</v>
      </c>
      <c r="BE115" s="77">
        <v>2000</v>
      </c>
      <c r="BF115" s="77">
        <f t="shared" si="32"/>
        <v>3</v>
      </c>
      <c r="BG115" s="175">
        <v>6.8000000000000007</v>
      </c>
      <c r="BH115" t="s">
        <v>939</v>
      </c>
      <c r="BI115" t="s">
        <v>940</v>
      </c>
    </row>
    <row r="116" spans="1:64" ht="11.25" customHeight="1" x14ac:dyDescent="0.2">
      <c r="A116" s="112" t="s">
        <v>212</v>
      </c>
      <c r="B116" s="153" t="s">
        <v>213</v>
      </c>
      <c r="C116" s="154" t="s">
        <v>94</v>
      </c>
      <c r="D116" s="154" t="s">
        <v>101</v>
      </c>
      <c r="E116" s="155">
        <v>29</v>
      </c>
      <c r="F116" s="298">
        <v>114</v>
      </c>
      <c r="G116" s="298" t="s">
        <v>30</v>
      </c>
      <c r="H116" s="298" t="s">
        <v>104</v>
      </c>
      <c r="I116" s="167">
        <v>216.46</v>
      </c>
      <c r="J116" s="157">
        <f t="shared" si="18"/>
        <v>2.2174997690104408</v>
      </c>
      <c r="K116" s="209">
        <v>1.2</v>
      </c>
      <c r="L116" s="126">
        <v>4</v>
      </c>
      <c r="M116" s="82">
        <f t="shared" si="19"/>
        <v>4.8</v>
      </c>
      <c r="N116" s="159" t="s">
        <v>122</v>
      </c>
      <c r="O116" s="210">
        <v>1.1100000000000001</v>
      </c>
      <c r="P116" s="161">
        <v>44761</v>
      </c>
      <c r="Q116" s="161">
        <v>44792</v>
      </c>
      <c r="R116" s="82">
        <f t="shared" si="20"/>
        <v>8.1081081081080946</v>
      </c>
      <c r="S116" s="162">
        <f>IF(INDEX([1]Historical!$D$7:$D$1229,MATCH(B116,[1]Historical!$B$7:$B$1253,0))=0,"n/a",(INDEX([1]Historical!$C$7:$C$1231,MATCH(B116,[1]Historical!$B$7:$B$1253,0))/INDEX([1]Historical!$D$7:$D$1229,MATCH(B116,[1]Historical!$B$7:$B$1253,0))-1)*100)</f>
        <v>3.8834951456310662</v>
      </c>
      <c r="T116" s="162">
        <f>IF(INDEX([1]Historical!$F$7:$F$1222,MATCH(B116,[1]Historical!$B$7:$B$1253,0))=0,"n/a",((INDEX([1]Historical!$C$7:$C$1231,MATCH(B116,[1]Historical!$B$7:$B$1253,0))/INDEX([1]Historical!$F$7:$F$1222,MATCH(B116,[1]Historical!$B$7:$B$1253,0)))^(1/3)-1)*100)</f>
        <v>9.2756273464356767</v>
      </c>
      <c r="U116" s="162">
        <f>IF(INDEX([1]Historical!$H$7:$H$1222,MATCH(B116,[1]Historical!$B$7:$B$1253,0))=0,"n/a",((INDEX([1]Historical!$C$7:$C$1231,MATCH(B116,[1]Historical!$B$7:$B$1253,0))/INDEX([1]Historical!$H$7:$H$1222,MATCH(B116,[1]Historical!$B$7:$B$1253,0)))^(1/5)-1)*100)</f>
        <v>6.8018094191804268</v>
      </c>
      <c r="V116" s="162">
        <f>IF(INDEX([1]Historical!$N$7:$N$1222,MATCH(B116,[1]Historical!$B$7:$B$1253,0))=0,"n/a",((INDEX([1]Historical!$C$7:$C$1231,MATCH(B116,[1]Historical!$B$7:$B$1253,0))/INDEX([1]Historical!$N$7:$N$1222,MATCH(B116,[1]Historical!$B$7:$B$1253,0)))^(1/10)-1)*100)</f>
        <v>9.0478547687389508</v>
      </c>
      <c r="W116" s="163">
        <f t="shared" si="21"/>
        <v>0.7517593499269255</v>
      </c>
      <c r="X116" s="164">
        <f t="shared" si="22"/>
        <v>4.4311462014204737E-2</v>
      </c>
      <c r="Y116" s="180"/>
      <c r="Z116" s="157">
        <f t="shared" si="23"/>
        <v>35.06208911614317</v>
      </c>
      <c r="AA116" s="166">
        <f t="shared" si="24"/>
        <v>15.811541271000731</v>
      </c>
      <c r="AB116" s="126">
        <v>12</v>
      </c>
      <c r="AC116" s="167">
        <v>13.69</v>
      </c>
      <c r="AD116" s="167">
        <v>1.24</v>
      </c>
      <c r="AE116" s="167">
        <v>1.98</v>
      </c>
      <c r="AF116" s="167">
        <v>7.41</v>
      </c>
      <c r="AG116" s="167">
        <v>39.4</v>
      </c>
      <c r="AH116" s="179">
        <v>121.2</v>
      </c>
      <c r="AI116" s="179">
        <v>9.1999999999999993</v>
      </c>
      <c r="AJ116" s="167">
        <v>153.5</v>
      </c>
      <c r="AK116" s="167">
        <v>12.91</v>
      </c>
      <c r="AL116" s="168">
        <v>111990</v>
      </c>
      <c r="AM116" s="169">
        <v>0.22999999999999998</v>
      </c>
      <c r="AN116" s="167">
        <v>2.35</v>
      </c>
      <c r="AO116" s="170">
        <f t="shared" si="25"/>
        <v>-6.7922320828098641</v>
      </c>
      <c r="AP116" s="171">
        <f t="shared" si="26"/>
        <v>9.0193091881908671</v>
      </c>
      <c r="AQ116" s="172">
        <f t="shared" si="27"/>
        <v>128.19438187466932</v>
      </c>
      <c r="AR116" s="157">
        <f>INDEX([1]Historical!$C$7:$C$1231,MATCH(B116,[1]Historical!$B$7:$B$1253,0))*IF(AH116="n/a",1.03,IF(AH116&lt;0,1.01,IF(AH116&gt;10,1.1,(1+AH116/100))))</f>
        <v>4.7080000000000011</v>
      </c>
      <c r="AS116" s="166">
        <f t="shared" si="28"/>
        <v>5.1411360000000013</v>
      </c>
      <c r="AT116" s="166">
        <f t="shared" si="34"/>
        <v>5.6552496000000021</v>
      </c>
      <c r="AU116" s="166">
        <f t="shared" si="34"/>
        <v>6.2207745600000024</v>
      </c>
      <c r="AV116" s="166">
        <f t="shared" si="34"/>
        <v>6.8428520160000028</v>
      </c>
      <c r="AW116" s="157">
        <f t="shared" si="30"/>
        <v>28.568012176000007</v>
      </c>
      <c r="AX116" s="173">
        <f t="shared" si="31"/>
        <v>13.197825083618223</v>
      </c>
      <c r="AY116" s="174">
        <v>1.0900000000000001</v>
      </c>
      <c r="AZ116" s="169">
        <v>34.78</v>
      </c>
      <c r="BA116" s="169">
        <v>-9.01</v>
      </c>
      <c r="BB116" s="169">
        <v>18.13</v>
      </c>
      <c r="BC116" s="169">
        <v>8.98</v>
      </c>
      <c r="BE116" s="77">
        <v>1994</v>
      </c>
      <c r="BF116" s="77">
        <f t="shared" si="32"/>
        <v>3</v>
      </c>
      <c r="BG116" s="175">
        <v>7.9</v>
      </c>
      <c r="BH116" t="s">
        <v>939</v>
      </c>
      <c r="BI116" t="s">
        <v>940</v>
      </c>
    </row>
    <row r="117" spans="1:64" ht="11.25" customHeight="1" x14ac:dyDescent="0.2">
      <c r="A117" s="112" t="s">
        <v>203</v>
      </c>
      <c r="B117" s="153" t="s">
        <v>204</v>
      </c>
      <c r="C117" s="154" t="s">
        <v>90</v>
      </c>
      <c r="D117" s="154" t="s">
        <v>969</v>
      </c>
      <c r="E117" s="155">
        <v>24</v>
      </c>
      <c r="F117" s="298">
        <v>148</v>
      </c>
      <c r="G117" s="298" t="s">
        <v>88</v>
      </c>
      <c r="H117" s="298" t="s">
        <v>88</v>
      </c>
      <c r="I117" s="156">
        <v>87.85</v>
      </c>
      <c r="J117" s="157">
        <f t="shared" si="18"/>
        <v>2.9140580535002849</v>
      </c>
      <c r="K117" s="158">
        <v>0.64</v>
      </c>
      <c r="L117" s="126">
        <v>4</v>
      </c>
      <c r="M117" s="82">
        <f t="shared" si="19"/>
        <v>2.56</v>
      </c>
      <c r="N117" s="159" t="s">
        <v>334</v>
      </c>
      <c r="O117" s="160">
        <v>0.61</v>
      </c>
      <c r="P117" s="161">
        <v>44601</v>
      </c>
      <c r="Q117" s="161">
        <v>44616</v>
      </c>
      <c r="R117" s="82">
        <f t="shared" si="20"/>
        <v>4.9180327868852505</v>
      </c>
      <c r="S117" s="162">
        <f>IF(INDEX([1]Historical!$D$7:$D$1229,MATCH(B117,[1]Historical!$B$7:$B$1253,0))=0,"n/a",(INDEX([1]Historical!$C$7:$C$1231,MATCH(B117,[1]Historical!$B$7:$B$1253,0))/INDEX([1]Historical!$D$7:$D$1229,MATCH(B117,[1]Historical!$B$7:$B$1253,0))-1)*100)</f>
        <v>12.264150943396213</v>
      </c>
      <c r="T117" s="162">
        <f>IF(INDEX([1]Historical!$F$7:$F$1222,MATCH(B117,[1]Historical!$B$7:$B$1253,0))=0,"n/a",((INDEX([1]Historical!$C$7:$C$1231,MATCH(B117,[1]Historical!$B$7:$B$1253,0))/INDEX([1]Historical!$F$7:$F$1222,MATCH(B117,[1]Historical!$B$7:$B$1253,0)))^(1/3)-1)*100)</f>
        <v>6.6858844342181811</v>
      </c>
      <c r="U117" s="162">
        <f>IF(INDEX([1]Historical!$H$7:$H$1222,MATCH(B117,[1]Historical!$B$7:$B$1253,0))=0,"n/a",((INDEX([1]Historical!$C$7:$C$1231,MATCH(B117,[1]Historical!$B$7:$B$1253,0))/INDEX([1]Historical!$H$7:$H$1222,MATCH(B117,[1]Historical!$B$7:$B$1253,0)))^(1/5)-1)*100)</f>
        <v>5.2814425168131063</v>
      </c>
      <c r="V117" s="162">
        <f>IF(INDEX([1]Historical!$N$7:$N$1222,MATCH(B117,[1]Historical!$B$7:$B$1253,0))=0,"n/a",((INDEX([1]Historical!$C$7:$C$1231,MATCH(B117,[1]Historical!$B$7:$B$1253,0))/INDEX([1]Historical!$N$7:$N$1222,MATCH(B117,[1]Historical!$B$7:$B$1253,0)))^(1/10)-1)*100)</f>
        <v>5.3001188263978039</v>
      </c>
      <c r="W117" s="163">
        <f t="shared" si="21"/>
        <v>0.99647624700569382</v>
      </c>
      <c r="X117" s="164">
        <f t="shared" si="22"/>
        <v>0.40316355090176381</v>
      </c>
      <c r="Y117" s="178"/>
      <c r="Z117" s="157">
        <f t="shared" si="23"/>
        <v>32.862644415917849</v>
      </c>
      <c r="AA117" s="166">
        <f t="shared" si="24"/>
        <v>11.277278562259307</v>
      </c>
      <c r="AB117" s="126">
        <v>12</v>
      </c>
      <c r="AC117" s="167">
        <v>7.79</v>
      </c>
      <c r="AD117" s="167" t="s">
        <v>95</v>
      </c>
      <c r="AE117" s="167">
        <v>4.6500000000000004</v>
      </c>
      <c r="AF117" s="167">
        <v>1.39</v>
      </c>
      <c r="AG117" s="167">
        <v>12.3</v>
      </c>
      <c r="AH117" s="167">
        <v>52.900000000000006</v>
      </c>
      <c r="AI117" s="167">
        <v>15.39</v>
      </c>
      <c r="AJ117" s="167">
        <v>13.100000000000001</v>
      </c>
      <c r="AK117" s="167" t="s">
        <v>95</v>
      </c>
      <c r="AL117" s="168">
        <v>669.48</v>
      </c>
      <c r="AM117" s="169">
        <v>2.1999999999999997</v>
      </c>
      <c r="AN117" s="167">
        <v>0</v>
      </c>
      <c r="AO117" s="170">
        <f t="shared" si="25"/>
        <v>-3.0817779919459145</v>
      </c>
      <c r="AP117" s="171">
        <f t="shared" si="26"/>
        <v>8.1955005703133921</v>
      </c>
      <c r="AQ117" s="172">
        <f t="shared" si="27"/>
        <v>-16.532329075422702</v>
      </c>
      <c r="AR117" s="157">
        <f>INDEX([1]Historical!$C$7:$C$1231,MATCH(B117,[1]Historical!$B$7:$B$1253,0))*IF(AH117="n/a",1.03,IF(AH117&lt;0,1.01,IF(AH117&gt;10,1.1,(1+AH117/100))))</f>
        <v>2.6179999999999999</v>
      </c>
      <c r="AS117" s="166">
        <f t="shared" si="28"/>
        <v>2.8797999999999999</v>
      </c>
      <c r="AT117" s="166">
        <f t="shared" si="34"/>
        <v>2.9661939999999998</v>
      </c>
      <c r="AU117" s="166">
        <f t="shared" si="34"/>
        <v>3.0551798199999998</v>
      </c>
      <c r="AV117" s="166">
        <f t="shared" si="34"/>
        <v>3.1468352145999998</v>
      </c>
      <c r="AW117" s="157">
        <f t="shared" si="30"/>
        <v>14.666009034599998</v>
      </c>
      <c r="AX117" s="173">
        <f t="shared" si="31"/>
        <v>16.694375679681276</v>
      </c>
      <c r="AY117" s="174">
        <v>0.48</v>
      </c>
      <c r="AZ117" s="169">
        <v>13.18</v>
      </c>
      <c r="BA117" s="169">
        <v>-9.9599999999999991</v>
      </c>
      <c r="BB117" s="169">
        <v>7.1</v>
      </c>
      <c r="BC117" s="169">
        <v>4.91</v>
      </c>
      <c r="BE117" s="77">
        <v>1999</v>
      </c>
      <c r="BF117" s="77">
        <f t="shared" si="32"/>
        <v>3</v>
      </c>
      <c r="BG117" s="175">
        <v>1.0999999999999999</v>
      </c>
      <c r="BH117" t="s">
        <v>939</v>
      </c>
      <c r="BI117" t="s">
        <v>940</v>
      </c>
    </row>
    <row r="118" spans="1:64" ht="11.25" customHeight="1" x14ac:dyDescent="0.2">
      <c r="A118" s="176" t="s">
        <v>691</v>
      </c>
      <c r="B118" s="153" t="s">
        <v>223</v>
      </c>
      <c r="C118" s="154" t="s">
        <v>90</v>
      </c>
      <c r="D118" s="154" t="s">
        <v>110</v>
      </c>
      <c r="E118" s="155">
        <v>29</v>
      </c>
      <c r="F118" s="298">
        <v>111</v>
      </c>
      <c r="G118" s="298" t="s">
        <v>30</v>
      </c>
      <c r="H118" s="298" t="s">
        <v>30</v>
      </c>
      <c r="I118" s="167">
        <v>214.89</v>
      </c>
      <c r="J118" s="157">
        <f t="shared" si="18"/>
        <v>1.5449764996044488</v>
      </c>
      <c r="K118" s="209">
        <v>0.83</v>
      </c>
      <c r="L118" s="126">
        <v>4</v>
      </c>
      <c r="M118" s="82">
        <f t="shared" si="19"/>
        <v>3.32</v>
      </c>
      <c r="N118" s="159" t="s">
        <v>533</v>
      </c>
      <c r="O118" s="210">
        <v>0.8</v>
      </c>
      <c r="P118" s="161">
        <v>44728</v>
      </c>
      <c r="Q118" s="161">
        <v>44750</v>
      </c>
      <c r="R118" s="82">
        <f t="shared" si="20"/>
        <v>3.7499999999999893</v>
      </c>
      <c r="S118" s="162">
        <f>IF(INDEX([1]Historical!$D$7:$D$1229,MATCH(B118,[1]Historical!$B$7:$B$1253,0))=0,"n/a",(INDEX([1]Historical!$C$7:$C$1231,MATCH(B118,[1]Historical!$B$7:$B$1253,0))/INDEX([1]Historical!$D$7:$D$1229,MATCH(B118,[1]Historical!$B$7:$B$1253,0))-1)*100)</f>
        <v>3.2679738562091609</v>
      </c>
      <c r="T118" s="162">
        <f>IF(INDEX([1]Historical!$F$7:$F$1222,MATCH(B118,[1]Historical!$B$7:$B$1253,0))=0,"n/a",((INDEX([1]Historical!$C$7:$C$1231,MATCH(B118,[1]Historical!$B$7:$B$1253,0))/INDEX([1]Historical!$F$7:$F$1222,MATCH(B118,[1]Historical!$B$7:$B$1253,0)))^(1/3)-1)*100)</f>
        <v>3.141046035603412</v>
      </c>
      <c r="U118" s="162">
        <f>IF(INDEX([1]Historical!$H$7:$H$1222,MATCH(B118,[1]Historical!$B$7:$B$1253,0))=0,"n/a",((INDEX([1]Historical!$C$7:$C$1231,MATCH(B118,[1]Historical!$B$7:$B$1253,0))/INDEX([1]Historical!$H$7:$H$1222,MATCH(B118,[1]Historical!$B$7:$B$1253,0)))^(1/5)-1)*100)</f>
        <v>3.044219892825617</v>
      </c>
      <c r="V118" s="162">
        <f>IF(INDEX([1]Historical!$N$7:$N$1222,MATCH(B118,[1]Historical!$B$7:$B$1253,0))=0,"n/a",((INDEX([1]Historical!$C$7:$C$1231,MATCH(B118,[1]Historical!$B$7:$B$1253,0))/INDEX([1]Historical!$N$7:$N$1222,MATCH(B118,[1]Historical!$B$7:$B$1253,0)))^(1/10)-1)*100)</f>
        <v>8.7964732345867667</v>
      </c>
      <c r="W118" s="163">
        <f t="shared" si="21"/>
        <v>0.34607277389943947</v>
      </c>
      <c r="X118" s="164">
        <f t="shared" si="22"/>
        <v>0.18120356504914387</v>
      </c>
      <c r="Y118" s="178" t="s">
        <v>715</v>
      </c>
      <c r="Z118" s="157">
        <f t="shared" si="23"/>
        <v>23.16817864619679</v>
      </c>
      <c r="AA118" s="166">
        <f t="shared" si="24"/>
        <v>14.995812979762734</v>
      </c>
      <c r="AB118" s="126">
        <v>12</v>
      </c>
      <c r="AC118" s="167">
        <v>14.33</v>
      </c>
      <c r="AD118" s="167">
        <v>0.92</v>
      </c>
      <c r="AE118" s="167">
        <v>2.0499999999999998</v>
      </c>
      <c r="AF118" s="167">
        <v>1.75</v>
      </c>
      <c r="AG118" s="167">
        <v>14.399999999999999</v>
      </c>
      <c r="AH118" s="167">
        <v>147.30000000000001</v>
      </c>
      <c r="AI118" s="167">
        <v>17.93</v>
      </c>
      <c r="AJ118" s="167">
        <v>16.8</v>
      </c>
      <c r="AK118" s="167">
        <v>16.2</v>
      </c>
      <c r="AL118" s="168">
        <v>86670</v>
      </c>
      <c r="AM118" s="169">
        <v>0.4</v>
      </c>
      <c r="AN118" s="167">
        <v>0.31</v>
      </c>
      <c r="AO118" s="170">
        <f t="shared" si="25"/>
        <v>-10.406616587332667</v>
      </c>
      <c r="AP118" s="171">
        <f t="shared" si="26"/>
        <v>4.5891963924300656</v>
      </c>
      <c r="AQ118" s="172">
        <f t="shared" si="27"/>
        <v>7.9972689255196627</v>
      </c>
      <c r="AR118" s="157">
        <f>INDEX([1]Historical!$C$7:$C$1231,MATCH(B118,[1]Historical!$B$7:$B$1253,0))*IF(AH118="n/a",1.03,IF(AH118&lt;0,1.01,IF(AH118&gt;10,1.1,(1+AH118/100))))</f>
        <v>3.4760000000000004</v>
      </c>
      <c r="AS118" s="166">
        <f t="shared" si="28"/>
        <v>3.8236000000000008</v>
      </c>
      <c r="AT118" s="166">
        <f t="shared" si="34"/>
        <v>4.205960000000001</v>
      </c>
      <c r="AU118" s="166">
        <f t="shared" si="34"/>
        <v>4.6265560000000017</v>
      </c>
      <c r="AV118" s="166">
        <f t="shared" si="34"/>
        <v>5.0892116000000023</v>
      </c>
      <c r="AW118" s="157">
        <f t="shared" si="30"/>
        <v>21.221327600000006</v>
      </c>
      <c r="AX118" s="173">
        <f t="shared" si="31"/>
        <v>9.87543747964075</v>
      </c>
      <c r="AY118" s="174">
        <v>0.69</v>
      </c>
      <c r="AZ118" s="169">
        <v>23.66</v>
      </c>
      <c r="BA118" s="169">
        <v>-1.87</v>
      </c>
      <c r="BB118" s="169">
        <v>12.11</v>
      </c>
      <c r="BC118" s="169">
        <v>7.89</v>
      </c>
      <c r="BE118" s="77">
        <v>1994</v>
      </c>
      <c r="BF118" s="77">
        <f t="shared" si="32"/>
        <v>3</v>
      </c>
      <c r="BG118" s="175">
        <v>4.1000000000000005</v>
      </c>
      <c r="BH118" t="s">
        <v>939</v>
      </c>
      <c r="BI118" t="s">
        <v>940</v>
      </c>
    </row>
    <row r="119" spans="1:64" ht="11.25" customHeight="1" x14ac:dyDescent="0.2">
      <c r="A119" s="205" t="s">
        <v>1009</v>
      </c>
      <c r="B119" s="153" t="s">
        <v>1010</v>
      </c>
      <c r="C119" s="154" t="s">
        <v>90</v>
      </c>
      <c r="D119" s="154" t="s">
        <v>969</v>
      </c>
      <c r="E119" s="155">
        <v>6</v>
      </c>
      <c r="F119" s="298">
        <v>655</v>
      </c>
      <c r="G119" s="298" t="s">
        <v>88</v>
      </c>
      <c r="H119" s="298" t="s">
        <v>88</v>
      </c>
      <c r="I119" s="156">
        <v>13.8</v>
      </c>
      <c r="J119" s="157">
        <f t="shared" si="18"/>
        <v>3.1159420289855069</v>
      </c>
      <c r="K119" s="158">
        <v>0.1075</v>
      </c>
      <c r="L119" s="126">
        <v>4</v>
      </c>
      <c r="M119" s="82">
        <f t="shared" si="19"/>
        <v>0.43</v>
      </c>
      <c r="N119" s="159" t="s">
        <v>89</v>
      </c>
      <c r="O119" s="160">
        <v>0.10249999999999999</v>
      </c>
      <c r="P119" s="161">
        <v>44595</v>
      </c>
      <c r="Q119" s="161">
        <v>44610</v>
      </c>
      <c r="R119" s="82">
        <f t="shared" si="20"/>
        <v>4.8780487804878092</v>
      </c>
      <c r="S119" s="162">
        <f>IF(INDEX([1]Historical!$D$7:$D$1229,MATCH(B119,[1]Historical!$B$7:$B$1253,0))=0,"n/a",(INDEX([1]Historical!$C$7:$C$1231,MATCH(B119,[1]Historical!$B$7:$B$1253,0))/INDEX([1]Historical!$D$7:$D$1229,MATCH(B119,[1]Historical!$B$7:$B$1253,0))-1)*100)</f>
        <v>2.4999999999999911</v>
      </c>
      <c r="T119" s="162">
        <f>IF(INDEX([1]Historical!$F$7:$F$1222,MATCH(B119,[1]Historical!$B$7:$B$1253,0))=0,"n/a",((INDEX([1]Historical!$C$7:$C$1231,MATCH(B119,[1]Historical!$B$7:$B$1253,0))/INDEX([1]Historical!$F$7:$F$1222,MATCH(B119,[1]Historical!$B$7:$B$1253,0)))^(1/3)-1)*100)</f>
        <v>27.03340927724809</v>
      </c>
      <c r="U119" s="162" t="str">
        <f>IF(INDEX([1]Historical!$H$7:$H$1222,MATCH(B119,[1]Historical!$B$7:$B$1253,0))=0,"n/a",((INDEX([1]Historical!$C$7:$C$1231,MATCH(B119,[1]Historical!$B$7:$B$1253,0))/INDEX([1]Historical!$H$7:$H$1222,MATCH(B119,[1]Historical!$B$7:$B$1253,0)))^(1/5)-1)*100)</f>
        <v>n/a</v>
      </c>
      <c r="V119" s="162" t="str">
        <f>IF(INDEX([1]Historical!$N$7:$N$1222,MATCH(B119,[1]Historical!$B$7:$B$1253,0))=0,"n/a",((INDEX([1]Historical!$C$7:$C$1231,MATCH(B119,[1]Historical!$B$7:$B$1253,0))/INDEX([1]Historical!$N$7:$N$1222,MATCH(B119,[1]Historical!$B$7:$B$1253,0)))^(1/10)-1)*100)</f>
        <v>n/a</v>
      </c>
      <c r="W119" s="163" t="str">
        <f t="shared" si="21"/>
        <v>n/a</v>
      </c>
      <c r="X119" s="164" t="str">
        <f t="shared" si="22"/>
        <v>n/a</v>
      </c>
      <c r="Y119" s="180"/>
      <c r="Z119" s="157">
        <f t="shared" si="23"/>
        <v>38.053097345132748</v>
      </c>
      <c r="AA119" s="166">
        <f t="shared" si="24"/>
        <v>12.212389380530976</v>
      </c>
      <c r="AB119" s="126">
        <v>12</v>
      </c>
      <c r="AC119" s="167">
        <v>1.1299999999999999</v>
      </c>
      <c r="AD119" s="167">
        <v>1.73</v>
      </c>
      <c r="AE119" s="167">
        <v>2.83</v>
      </c>
      <c r="AF119" s="167">
        <v>1.03</v>
      </c>
      <c r="AG119" s="167">
        <v>8.3000000000000007</v>
      </c>
      <c r="AH119" s="167">
        <v>33.300000000000004</v>
      </c>
      <c r="AI119" s="167">
        <v>7.66</v>
      </c>
      <c r="AJ119" s="167">
        <v>14.499999999999998</v>
      </c>
      <c r="AK119" s="167">
        <v>7.0000000000000009</v>
      </c>
      <c r="AL119" s="168">
        <v>241.33</v>
      </c>
      <c r="AM119" s="169">
        <v>6.4</v>
      </c>
      <c r="AN119" s="167">
        <v>0.27</v>
      </c>
      <c r="AO119" s="170" t="str">
        <f t="shared" si="25"/>
        <v>n/a</v>
      </c>
      <c r="AP119" s="171" t="str">
        <f t="shared" si="26"/>
        <v>n/a</v>
      </c>
      <c r="AQ119" s="172">
        <f t="shared" si="27"/>
        <v>-25.229949364893422</v>
      </c>
      <c r="AR119" s="157">
        <f>INDEX([1]Historical!$C$7:$C$1231,MATCH(B119,[1]Historical!$B$7:$B$1253,0))*IF(AH119="n/a",1.03,IF(AH119&lt;0,1.01,IF(AH119&gt;10,1.1,(1+AH119/100))))</f>
        <v>0.45100000000000001</v>
      </c>
      <c r="AS119" s="166">
        <f t="shared" si="28"/>
        <v>0.48554659999999999</v>
      </c>
      <c r="AT119" s="166">
        <f t="shared" ref="AT119:AV134" si="35">IF($AK119="n/a",1.03*AS119,IF($AK119&lt;0,1.01*AS119,IF($AK119&gt;10,1.1*AS119,(1+$AK119/100)*AS119)))</f>
        <v>0.51953486199999999</v>
      </c>
      <c r="AU119" s="166">
        <f t="shared" si="35"/>
        <v>0.55590230234000004</v>
      </c>
      <c r="AV119" s="166">
        <f t="shared" si="35"/>
        <v>0.5948154635038001</v>
      </c>
      <c r="AW119" s="157">
        <f t="shared" si="30"/>
        <v>2.6067992278438004</v>
      </c>
      <c r="AX119" s="173">
        <f t="shared" si="31"/>
        <v>18.889849477128987</v>
      </c>
      <c r="AY119" s="174">
        <v>0.53</v>
      </c>
      <c r="AZ119" s="169">
        <v>7.06</v>
      </c>
      <c r="BA119" s="169">
        <v>-28.42</v>
      </c>
      <c r="BB119" s="169">
        <v>0.01</v>
      </c>
      <c r="BC119" s="169">
        <v>-13.76</v>
      </c>
      <c r="BE119" s="77">
        <v>2017</v>
      </c>
      <c r="BF119" s="77">
        <f t="shared" si="32"/>
        <v>1</v>
      </c>
      <c r="BG119" s="175">
        <v>0.70000000000000007</v>
      </c>
      <c r="BH119" t="s">
        <v>939</v>
      </c>
      <c r="BI119" t="s">
        <v>940</v>
      </c>
      <c r="BJ119" s="112"/>
      <c r="BK119" s="112"/>
      <c r="BL119" s="112"/>
    </row>
    <row r="120" spans="1:64" ht="11.25" customHeight="1" x14ac:dyDescent="0.2">
      <c r="A120" s="112" t="s">
        <v>1304</v>
      </c>
      <c r="B120" s="153" t="s">
        <v>215</v>
      </c>
      <c r="C120" s="154" t="s">
        <v>90</v>
      </c>
      <c r="D120" s="154" t="s">
        <v>972</v>
      </c>
      <c r="E120" s="155">
        <v>13</v>
      </c>
      <c r="F120" s="298">
        <v>299</v>
      </c>
      <c r="G120" s="298" t="s">
        <v>88</v>
      </c>
      <c r="H120" s="298" t="s">
        <v>88</v>
      </c>
      <c r="I120" s="156">
        <v>124.5</v>
      </c>
      <c r="J120" s="157">
        <f t="shared" si="18"/>
        <v>1.6064257028112447</v>
      </c>
      <c r="K120" s="158">
        <v>0.5</v>
      </c>
      <c r="L120" s="126">
        <v>4</v>
      </c>
      <c r="M120" s="82">
        <f t="shared" si="19"/>
        <v>2</v>
      </c>
      <c r="N120" s="159" t="s">
        <v>167</v>
      </c>
      <c r="O120" s="160">
        <v>0.48</v>
      </c>
      <c r="P120" s="161">
        <v>44803</v>
      </c>
      <c r="Q120" s="161">
        <v>44819</v>
      </c>
      <c r="R120" s="82">
        <f t="shared" si="20"/>
        <v>4.1666666666666705</v>
      </c>
      <c r="S120" s="162">
        <f>IF(INDEX([1]Historical!$D$7:$D$1229,MATCH(B120,[1]Historical!$B$7:$B$1253,0))=0,"n/a",(INDEX([1]Historical!$C$7:$C$1231,MATCH(B120,[1]Historical!$B$7:$B$1253,0))/INDEX([1]Historical!$D$7:$D$1229,MATCH(B120,[1]Historical!$B$7:$B$1253,0))-1)*100)</f>
        <v>15.384615384615374</v>
      </c>
      <c r="T120" s="162">
        <f>IF(INDEX([1]Historical!$F$7:$F$1222,MATCH(B120,[1]Historical!$B$7:$B$1253,0))=0,"n/a",((INDEX([1]Historical!$C$7:$C$1231,MATCH(B120,[1]Historical!$B$7:$B$1253,0))/INDEX([1]Historical!$F$7:$F$1222,MATCH(B120,[1]Historical!$B$7:$B$1253,0)))^(1/3)-1)*100)</f>
        <v>15.772347264219455</v>
      </c>
      <c r="U120" s="162">
        <f>IF(INDEX([1]Historical!$H$7:$H$1222,MATCH(B120,[1]Historical!$B$7:$B$1253,0))=0,"n/a",((INDEX([1]Historical!$C$7:$C$1231,MATCH(B120,[1]Historical!$B$7:$B$1253,0))/INDEX([1]Historical!$H$7:$H$1222,MATCH(B120,[1]Historical!$B$7:$B$1253,0)))^(1/5)-1)*100)</f>
        <v>13.396657763302722</v>
      </c>
      <c r="V120" s="162">
        <f>IF(INDEX([1]Historical!$N$7:$N$1222,MATCH(B120,[1]Historical!$B$7:$B$1253,0))=0,"n/a",((INDEX([1]Historical!$C$7:$C$1231,MATCH(B120,[1]Historical!$B$7:$B$1253,0))/INDEX([1]Historical!$N$7:$N$1222,MATCH(B120,[1]Historical!$B$7:$B$1253,0)))^(1/10)-1)*100)</f>
        <v>15.128271105738422</v>
      </c>
      <c r="W120" s="163">
        <f t="shared" si="21"/>
        <v>0.88553792232220974</v>
      </c>
      <c r="X120" s="164">
        <f t="shared" si="22"/>
        <v>0.80219507564686965</v>
      </c>
      <c r="Y120" s="153"/>
      <c r="Z120" s="157">
        <f t="shared" si="23"/>
        <v>102.56410256410258</v>
      </c>
      <c r="AA120" s="166">
        <f t="shared" si="24"/>
        <v>63.846153846153847</v>
      </c>
      <c r="AB120" s="126">
        <v>12</v>
      </c>
      <c r="AC120" s="167">
        <v>1.95</v>
      </c>
      <c r="AD120" s="167">
        <v>15.24</v>
      </c>
      <c r="AE120" s="167">
        <v>3.61</v>
      </c>
      <c r="AF120" s="167">
        <v>4.09</v>
      </c>
      <c r="AG120" s="179">
        <v>6</v>
      </c>
      <c r="AH120" s="167">
        <v>15.1</v>
      </c>
      <c r="AI120" s="167">
        <v>3.73</v>
      </c>
      <c r="AJ120" s="167">
        <v>16.7</v>
      </c>
      <c r="AK120" s="167">
        <v>4.22</v>
      </c>
      <c r="AL120" s="168">
        <v>13150</v>
      </c>
      <c r="AM120" s="169">
        <v>0.2</v>
      </c>
      <c r="AN120" s="167">
        <v>0</v>
      </c>
      <c r="AO120" s="170">
        <f t="shared" si="25"/>
        <v>-48.843070380039876</v>
      </c>
      <c r="AP120" s="171">
        <f t="shared" si="26"/>
        <v>15.003083466113967</v>
      </c>
      <c r="AQ120" s="172">
        <f t="shared" si="27"/>
        <v>240.6730392298746</v>
      </c>
      <c r="AR120" s="157">
        <f>INDEX([1]Historical!$C$7:$C$1231,MATCH(B120,[1]Historical!$B$7:$B$1253,0))*IF(AH120="n/a",1.03,IF(AH120&lt;0,1.01,IF(AH120&gt;10,1.1,(1+AH120/100))))</f>
        <v>1.9800000000000002</v>
      </c>
      <c r="AS120" s="166">
        <f t="shared" si="28"/>
        <v>2.0538540000000003</v>
      </c>
      <c r="AT120" s="166">
        <f t="shared" si="35"/>
        <v>2.1405266388000004</v>
      </c>
      <c r="AU120" s="166">
        <f t="shared" si="35"/>
        <v>2.2308568629573604</v>
      </c>
      <c r="AV120" s="166">
        <f t="shared" si="35"/>
        <v>2.3249990225741612</v>
      </c>
      <c r="AW120" s="157">
        <f t="shared" si="30"/>
        <v>10.730236524331522</v>
      </c>
      <c r="AX120" s="173">
        <f t="shared" si="31"/>
        <v>8.6186638749650779</v>
      </c>
      <c r="AY120" s="174">
        <v>0.57999999999999996</v>
      </c>
      <c r="AZ120" s="169">
        <v>19.919999999999998</v>
      </c>
      <c r="BA120" s="169">
        <v>-8.2199999999999989</v>
      </c>
      <c r="BB120" s="169">
        <v>3.4000000000000004</v>
      </c>
      <c r="BC120" s="169">
        <v>6.35</v>
      </c>
      <c r="BE120" s="77">
        <v>2010</v>
      </c>
      <c r="BF120" s="77">
        <f t="shared" si="32"/>
        <v>1</v>
      </c>
      <c r="BG120" s="175">
        <v>2.8000000000000003</v>
      </c>
      <c r="BH120" t="s">
        <v>939</v>
      </c>
      <c r="BI120" t="s">
        <v>940</v>
      </c>
    </row>
    <row r="121" spans="1:64" s="252" customFormat="1" ht="11.25" customHeight="1" x14ac:dyDescent="0.2">
      <c r="A121" s="208" t="s">
        <v>1305</v>
      </c>
      <c r="B121" s="184" t="s">
        <v>239</v>
      </c>
      <c r="C121" s="154" t="s">
        <v>90</v>
      </c>
      <c r="D121" s="154" t="s">
        <v>969</v>
      </c>
      <c r="E121" s="185">
        <v>54</v>
      </c>
      <c r="F121" s="298">
        <v>25</v>
      </c>
      <c r="G121" s="297" t="s">
        <v>88</v>
      </c>
      <c r="H121" s="297" t="s">
        <v>88</v>
      </c>
      <c r="I121" s="195">
        <v>70.84</v>
      </c>
      <c r="J121" s="187">
        <f t="shared" si="18"/>
        <v>1.4963297571993224</v>
      </c>
      <c r="K121" s="188">
        <v>0.26500000000000001</v>
      </c>
      <c r="L121" s="189">
        <v>4</v>
      </c>
      <c r="M121" s="190">
        <f t="shared" si="19"/>
        <v>1.06</v>
      </c>
      <c r="N121" s="191" t="s">
        <v>308</v>
      </c>
      <c r="O121" s="319">
        <v>0.25</v>
      </c>
      <c r="P121" s="193">
        <v>44627</v>
      </c>
      <c r="Q121" s="193">
        <v>44643</v>
      </c>
      <c r="R121" s="190">
        <f t="shared" si="20"/>
        <v>6.0000000000000053</v>
      </c>
      <c r="S121" s="162">
        <f>IF(INDEX([1]Historical!$D$7:$D$1229,MATCH(B121,[1]Historical!$B$7:$B$1253,0))=0,"n/a",(INDEX([1]Historical!$C$7:$C$1231,MATCH(B121,[1]Historical!$B$7:$B$1253,0))/INDEX([1]Historical!$D$7:$D$1229,MATCH(B121,[1]Historical!$B$7:$B$1253,0))-1)*100)</f>
        <v>2.0833333333333259</v>
      </c>
      <c r="T121" s="162">
        <f>IF(INDEX([1]Historical!$F$7:$F$1222,MATCH(B121,[1]Historical!$B$7:$B$1253,0))=0,"n/a",((INDEX([1]Historical!$C$7:$C$1231,MATCH(B121,[1]Historical!$B$7:$B$1253,0))/INDEX([1]Historical!$F$7:$F$1222,MATCH(B121,[1]Historical!$B$7:$B$1253,0)))^(1/3)-1)*100)</f>
        <v>7.1881267668000737</v>
      </c>
      <c r="U121" s="162">
        <f>IF(INDEX([1]Historical!$H$7:$H$1222,MATCH(B121,[1]Historical!$B$7:$B$1253,0))=0,"n/a",((INDEX([1]Historical!$C$7:$C$1231,MATCH(B121,[1]Historical!$B$7:$B$1253,0))/INDEX([1]Historical!$H$7:$H$1222,MATCH(B121,[1]Historical!$B$7:$B$1253,0)))^(1/5)-1)*100)</f>
        <v>7.2360471980141838</v>
      </c>
      <c r="V121" s="162">
        <f>IF(INDEX([1]Historical!$N$7:$N$1222,MATCH(B121,[1]Historical!$B$7:$B$1253,0))=0,"n/a",((INDEX([1]Historical!$C$7:$C$1231,MATCH(B121,[1]Historical!$B$7:$B$1253,0))/INDEX([1]Historical!$N$7:$N$1222,MATCH(B121,[1]Historical!$B$7:$B$1253,0)))^(1/10)-1)*100)</f>
        <v>6.2666370795684712</v>
      </c>
      <c r="W121" s="163">
        <f t="shared" si="21"/>
        <v>1.1546938343703266</v>
      </c>
      <c r="X121" s="164">
        <f t="shared" si="22"/>
        <v>0.44944392534249583</v>
      </c>
      <c r="Y121" s="320" t="s">
        <v>240</v>
      </c>
      <c r="Z121" s="187">
        <f t="shared" si="23"/>
        <v>25.118483412322277</v>
      </c>
      <c r="AA121" s="194">
        <f t="shared" si="24"/>
        <v>16.786729857819907</v>
      </c>
      <c r="AB121" s="189">
        <v>12</v>
      </c>
      <c r="AC121" s="195">
        <v>4.22</v>
      </c>
      <c r="AD121" s="195" t="s">
        <v>95</v>
      </c>
      <c r="AE121" s="195">
        <v>9.66</v>
      </c>
      <c r="AF121" s="195">
        <v>3.18</v>
      </c>
      <c r="AG121" s="195">
        <v>16.400000000000002</v>
      </c>
      <c r="AH121" s="195">
        <v>55.800000000000004</v>
      </c>
      <c r="AI121" s="195">
        <v>3.5700000000000003</v>
      </c>
      <c r="AJ121" s="195">
        <v>16.100000000000001</v>
      </c>
      <c r="AK121" s="195" t="s">
        <v>95</v>
      </c>
      <c r="AL121" s="196">
        <v>8210</v>
      </c>
      <c r="AM121" s="197">
        <v>2.1999999999999997</v>
      </c>
      <c r="AN121" s="195">
        <v>0</v>
      </c>
      <c r="AO121" s="198">
        <f t="shared" si="25"/>
        <v>-8.0543529026064</v>
      </c>
      <c r="AP121" s="199">
        <f t="shared" si="26"/>
        <v>8.7323769552135069</v>
      </c>
      <c r="AQ121" s="172">
        <f t="shared" si="27"/>
        <v>54.030012873202104</v>
      </c>
      <c r="AR121" s="157">
        <f>INDEX([1]Historical!$C$7:$C$1231,MATCH(B121,[1]Historical!$B$7:$B$1253,0))*IF(AH121="n/a",1.03,IF(AH121&lt;0,1.01,IF(AH121&gt;10,1.1,(1+AH121/100))))</f>
        <v>1.1000000000000001</v>
      </c>
      <c r="AS121" s="194">
        <f t="shared" si="28"/>
        <v>1.1392700000000002</v>
      </c>
      <c r="AT121" s="194">
        <f t="shared" si="35"/>
        <v>1.1734481000000003</v>
      </c>
      <c r="AU121" s="194">
        <f t="shared" si="35"/>
        <v>1.2086515430000004</v>
      </c>
      <c r="AV121" s="194">
        <f t="shared" si="35"/>
        <v>1.2449110892900004</v>
      </c>
      <c r="AW121" s="187">
        <f t="shared" si="30"/>
        <v>5.8662807322900017</v>
      </c>
      <c r="AX121" s="200">
        <f t="shared" si="31"/>
        <v>8.2810287017080757</v>
      </c>
      <c r="AY121" s="201">
        <v>0.76</v>
      </c>
      <c r="AZ121" s="197">
        <v>12.8</v>
      </c>
      <c r="BA121" s="197">
        <v>-5.19</v>
      </c>
      <c r="BB121" s="197">
        <v>1.8499999999999999</v>
      </c>
      <c r="BC121" s="197">
        <v>2.02</v>
      </c>
      <c r="BD121" s="202"/>
      <c r="BE121" s="77">
        <v>1969</v>
      </c>
      <c r="BF121" s="77">
        <f t="shared" si="32"/>
        <v>7</v>
      </c>
      <c r="BG121" s="203">
        <v>1.5</v>
      </c>
      <c r="BH121" t="s">
        <v>939</v>
      </c>
      <c r="BI121" t="s">
        <v>940</v>
      </c>
    </row>
    <row r="122" spans="1:64" ht="11.25" customHeight="1" x14ac:dyDescent="0.2">
      <c r="A122" s="176" t="s">
        <v>1306</v>
      </c>
      <c r="B122" s="153" t="s">
        <v>796</v>
      </c>
      <c r="C122" s="154" t="s">
        <v>96</v>
      </c>
      <c r="D122" s="154" t="s">
        <v>911</v>
      </c>
      <c r="E122" s="155">
        <v>10</v>
      </c>
      <c r="F122" s="298">
        <v>451</v>
      </c>
      <c r="G122" s="298" t="s">
        <v>88</v>
      </c>
      <c r="H122" s="298" t="s">
        <v>88</v>
      </c>
      <c r="I122" s="156">
        <v>73.48</v>
      </c>
      <c r="J122" s="157">
        <f t="shared" si="18"/>
        <v>2.014153511159499</v>
      </c>
      <c r="K122" s="158">
        <v>0.37</v>
      </c>
      <c r="L122" s="126">
        <v>4</v>
      </c>
      <c r="M122" s="82">
        <f t="shared" si="19"/>
        <v>1.48</v>
      </c>
      <c r="N122" s="159" t="s">
        <v>153</v>
      </c>
      <c r="O122" s="160">
        <v>0.35</v>
      </c>
      <c r="P122" s="224">
        <v>44524</v>
      </c>
      <c r="Q122" s="224">
        <v>44540</v>
      </c>
      <c r="R122" s="82">
        <f t="shared" si="20"/>
        <v>5.7142857142857197</v>
      </c>
      <c r="S122" s="162">
        <f>IF(INDEX([1]Historical!$D$7:$D$1229,MATCH(B122,[1]Historical!$B$7:$B$1253,0))=0,"n/a",(INDEX([1]Historical!$C$7:$C$1231,MATCH(B122,[1]Historical!$B$7:$B$1253,0))/INDEX([1]Historical!$D$7:$D$1229,MATCH(B122,[1]Historical!$B$7:$B$1253,0))-1)*100)</f>
        <v>1.4285714285714235</v>
      </c>
      <c r="T122" s="162">
        <f>IF(INDEX([1]Historical!$F$7:$F$1222,MATCH(B122,[1]Historical!$B$7:$B$1253,0))=0,"n/a",((INDEX([1]Historical!$C$7:$C$1231,MATCH(B122,[1]Historical!$B$7:$B$1253,0))/INDEX([1]Historical!$F$7:$F$1222,MATCH(B122,[1]Historical!$B$7:$B$1253,0)))^(1/3)-1)*100)</f>
        <v>2.855126874788394</v>
      </c>
      <c r="U122" s="162">
        <f>IF(INDEX([1]Historical!$H$7:$H$1222,MATCH(B122,[1]Historical!$B$7:$B$1253,0))=0,"n/a",((INDEX([1]Historical!$C$7:$C$1231,MATCH(B122,[1]Historical!$B$7:$B$1253,0))/INDEX([1]Historical!$H$7:$H$1222,MATCH(B122,[1]Historical!$B$7:$B$1253,0)))^(1/5)-1)*100)</f>
        <v>4.8610167384929737</v>
      </c>
      <c r="V122" s="162">
        <f>IF(INDEX([1]Historical!$N$7:$N$1222,MATCH(B122,[1]Historical!$B$7:$B$1253,0))=0,"n/a",((INDEX([1]Historical!$C$7:$C$1231,MATCH(B122,[1]Historical!$B$7:$B$1253,0))/INDEX([1]Historical!$N$7:$N$1222,MATCH(B122,[1]Historical!$B$7:$B$1253,0)))^(1/10)-1)*100)</f>
        <v>7.0275502023475767</v>
      </c>
      <c r="W122" s="163">
        <f t="shared" si="21"/>
        <v>0.69170857532531538</v>
      </c>
      <c r="X122" s="164">
        <f t="shared" si="22"/>
        <v>0.36548998033781754</v>
      </c>
      <c r="Y122" s="180"/>
      <c r="Z122" s="157">
        <f t="shared" si="23"/>
        <v>59.91902834008097</v>
      </c>
      <c r="AA122" s="166">
        <f t="shared" si="24"/>
        <v>29.748987854251013</v>
      </c>
      <c r="AB122" s="126">
        <v>9</v>
      </c>
      <c r="AC122" s="167">
        <v>2.4700000000000002</v>
      </c>
      <c r="AD122" s="167">
        <v>1.82</v>
      </c>
      <c r="AE122" s="167">
        <v>0.99</v>
      </c>
      <c r="AF122" s="167">
        <v>4.58</v>
      </c>
      <c r="AG122" s="167">
        <v>16</v>
      </c>
      <c r="AH122" s="167">
        <v>199.6</v>
      </c>
      <c r="AI122" s="167">
        <v>12.839999999999998</v>
      </c>
      <c r="AJ122" s="167">
        <v>13.3</v>
      </c>
      <c r="AK122" s="167">
        <v>16.18</v>
      </c>
      <c r="AL122" s="168">
        <v>4080</v>
      </c>
      <c r="AM122" s="169">
        <v>0.70000000000000007</v>
      </c>
      <c r="AN122" s="167">
        <v>1.58</v>
      </c>
      <c r="AO122" s="170">
        <f t="shared" si="25"/>
        <v>-22.873817604598539</v>
      </c>
      <c r="AP122" s="171">
        <f t="shared" si="26"/>
        <v>6.8751702496524727</v>
      </c>
      <c r="AQ122" s="172">
        <f t="shared" si="27"/>
        <v>146.08071338257167</v>
      </c>
      <c r="AR122" s="157">
        <f>INDEX([1]Historical!$C$7:$C$1231,MATCH(B122,[1]Historical!$B$7:$B$1253,0))*IF(AH122="n/a",1.03,IF(AH122&lt;0,1.01,IF(AH122&gt;10,1.1,(1+AH122/100))))</f>
        <v>1.5620000000000001</v>
      </c>
      <c r="AS122" s="166">
        <f t="shared" si="28"/>
        <v>1.7182000000000002</v>
      </c>
      <c r="AT122" s="166">
        <f t="shared" si="35"/>
        <v>1.8900200000000003</v>
      </c>
      <c r="AU122" s="166">
        <f t="shared" si="35"/>
        <v>2.0790220000000006</v>
      </c>
      <c r="AV122" s="166">
        <f t="shared" si="35"/>
        <v>2.286924200000001</v>
      </c>
      <c r="AW122" s="157">
        <f t="shared" si="30"/>
        <v>9.536166200000002</v>
      </c>
      <c r="AX122" s="173">
        <f t="shared" si="31"/>
        <v>12.977907185628744</v>
      </c>
      <c r="AY122" s="174">
        <v>1.39</v>
      </c>
      <c r="AZ122" s="169">
        <v>44.190000000000005</v>
      </c>
      <c r="BA122" s="169">
        <v>-6.54</v>
      </c>
      <c r="BB122" s="169">
        <v>6.03</v>
      </c>
      <c r="BC122" s="169">
        <v>7.16</v>
      </c>
      <c r="BE122" s="77">
        <v>2012</v>
      </c>
      <c r="BF122" s="77">
        <f t="shared" si="32"/>
        <v>1</v>
      </c>
      <c r="BG122" s="175">
        <v>4.1000000000000005</v>
      </c>
      <c r="BH122" t="s">
        <v>939</v>
      </c>
      <c r="BI122" t="s">
        <v>940</v>
      </c>
    </row>
    <row r="123" spans="1:64" ht="11.25" customHeight="1" x14ac:dyDescent="0.2">
      <c r="A123" s="112" t="s">
        <v>1307</v>
      </c>
      <c r="B123" s="153" t="s">
        <v>241</v>
      </c>
      <c r="C123" s="154" t="s">
        <v>90</v>
      </c>
      <c r="D123" s="154" t="s">
        <v>969</v>
      </c>
      <c r="E123" s="155">
        <v>31</v>
      </c>
      <c r="F123" s="298">
        <v>94</v>
      </c>
      <c r="G123" s="298" t="s">
        <v>30</v>
      </c>
      <c r="H123" s="298" t="s">
        <v>30</v>
      </c>
      <c r="I123" s="167">
        <v>62.43</v>
      </c>
      <c r="J123" s="157">
        <f t="shared" si="18"/>
        <v>2.8191574563511135</v>
      </c>
      <c r="K123" s="209">
        <v>0.44</v>
      </c>
      <c r="L123" s="126">
        <v>4</v>
      </c>
      <c r="M123" s="82">
        <f t="shared" si="19"/>
        <v>1.76</v>
      </c>
      <c r="N123" s="159" t="s">
        <v>116</v>
      </c>
      <c r="O123" s="210">
        <v>0.43</v>
      </c>
      <c r="P123" s="161">
        <v>44818</v>
      </c>
      <c r="Q123" s="161">
        <v>44844</v>
      </c>
      <c r="R123" s="82">
        <f t="shared" si="20"/>
        <v>2.3255813953488391</v>
      </c>
      <c r="S123" s="162">
        <f>IF(INDEX([1]Historical!$D$7:$D$1229,MATCH(B123,[1]Historical!$B$7:$B$1253,0))=0,"n/a",(INDEX([1]Historical!$C$7:$C$1231,MATCH(B123,[1]Historical!$B$7:$B$1253,0))/INDEX([1]Historical!$D$7:$D$1229,MATCH(B123,[1]Historical!$B$7:$B$1253,0))-1)*100)</f>
        <v>2.4242424242424176</v>
      </c>
      <c r="T123" s="162">
        <f>IF(INDEX([1]Historical!$F$7:$F$1222,MATCH(B123,[1]Historical!$B$7:$B$1253,0))=0,"n/a",((INDEX([1]Historical!$C$7:$C$1231,MATCH(B123,[1]Historical!$B$7:$B$1253,0))/INDEX([1]Historical!$F$7:$F$1222,MATCH(B123,[1]Historical!$B$7:$B$1253,0)))^(1/3)-1)*100)</f>
        <v>6.4762849072449669</v>
      </c>
      <c r="U123" s="162">
        <f>IF(INDEX([1]Historical!$H$7:$H$1222,MATCH(B123,[1]Historical!$B$7:$B$1253,0))=0,"n/a",((INDEX([1]Historical!$C$7:$C$1231,MATCH(B123,[1]Historical!$B$7:$B$1253,0))/INDEX([1]Historical!$H$7:$H$1222,MATCH(B123,[1]Historical!$B$7:$B$1253,0)))^(1/5)-1)*100)</f>
        <v>6.2173197333575514</v>
      </c>
      <c r="V123" s="162">
        <f>IF(INDEX([1]Historical!$N$7:$N$1222,MATCH(B123,[1]Historical!$B$7:$B$1253,0))=0,"n/a",((INDEX([1]Historical!$C$7:$C$1231,MATCH(B123,[1]Historical!$B$7:$B$1253,0))/INDEX([1]Historical!$N$7:$N$1222,MATCH(B123,[1]Historical!$B$7:$B$1253,0)))^(1/10)-1)*100)</f>
        <v>5.387395206178347</v>
      </c>
      <c r="W123" s="163">
        <f t="shared" si="21"/>
        <v>1.1540493124074942</v>
      </c>
      <c r="X123" s="164">
        <f t="shared" si="22"/>
        <v>0.74015711111399418</v>
      </c>
      <c r="Y123" s="153"/>
      <c r="Z123" s="157">
        <f t="shared" si="23"/>
        <v>53.495440729483278</v>
      </c>
      <c r="AA123" s="166">
        <f t="shared" si="24"/>
        <v>18.975683890577507</v>
      </c>
      <c r="AB123" s="126">
        <v>12</v>
      </c>
      <c r="AC123" s="167">
        <v>3.29</v>
      </c>
      <c r="AD123" s="167">
        <v>2.35</v>
      </c>
      <c r="AE123" s="167">
        <v>5.03</v>
      </c>
      <c r="AF123" s="167">
        <v>2.0099999999999998</v>
      </c>
      <c r="AG123" s="167" t="s">
        <v>95</v>
      </c>
      <c r="AH123" s="167">
        <v>13</v>
      </c>
      <c r="AI123" s="167">
        <v>6.63</v>
      </c>
      <c r="AJ123" s="167">
        <v>8.4</v>
      </c>
      <c r="AK123" s="167">
        <v>8</v>
      </c>
      <c r="AL123" s="168">
        <v>3270</v>
      </c>
      <c r="AM123" s="169">
        <v>0.1</v>
      </c>
      <c r="AN123" s="167">
        <v>0</v>
      </c>
      <c r="AO123" s="170">
        <f t="shared" si="25"/>
        <v>-9.9392067008688425</v>
      </c>
      <c r="AP123" s="171">
        <f t="shared" si="26"/>
        <v>9.0364771897086644</v>
      </c>
      <c r="AQ123" s="172">
        <f t="shared" si="27"/>
        <v>30.19835230235919</v>
      </c>
      <c r="AR123" s="157">
        <f>INDEX([1]Historical!$C$7:$C$1231,MATCH(B123,[1]Historical!$B$7:$B$1253,0))*IF(AH123="n/a",1.03,IF(AH123&lt;0,1.01,IF(AH123&gt;10,1.1,(1+AH123/100))))</f>
        <v>1.859</v>
      </c>
      <c r="AS123" s="166">
        <f t="shared" si="28"/>
        <v>1.9822516999999999</v>
      </c>
      <c r="AT123" s="166">
        <f t="shared" si="35"/>
        <v>2.1408318360000003</v>
      </c>
      <c r="AU123" s="166">
        <f t="shared" si="35"/>
        <v>2.3120983828800004</v>
      </c>
      <c r="AV123" s="166">
        <f t="shared" si="35"/>
        <v>2.4970662535104005</v>
      </c>
      <c r="AW123" s="157">
        <f t="shared" si="30"/>
        <v>10.7912481723904</v>
      </c>
      <c r="AX123" s="173">
        <f t="shared" si="31"/>
        <v>17.285356675300978</v>
      </c>
      <c r="AY123" s="174">
        <v>0.67</v>
      </c>
      <c r="AZ123" s="169">
        <v>5.4399999999999995</v>
      </c>
      <c r="BA123" s="169">
        <v>-19.96</v>
      </c>
      <c r="BB123" s="169">
        <v>-1.82</v>
      </c>
      <c r="BC123" s="169">
        <v>-6.87</v>
      </c>
      <c r="BE123" s="77">
        <v>1993</v>
      </c>
      <c r="BF123" s="77">
        <f t="shared" si="32"/>
        <v>3</v>
      </c>
      <c r="BG123" s="175" t="s">
        <v>95</v>
      </c>
      <c r="BH123" t="s">
        <v>939</v>
      </c>
      <c r="BI123" t="s">
        <v>940</v>
      </c>
    </row>
    <row r="124" spans="1:64" ht="11.25" customHeight="1" x14ac:dyDescent="0.2">
      <c r="A124" s="204" t="s">
        <v>1308</v>
      </c>
      <c r="B124" s="153" t="s">
        <v>1011</v>
      </c>
      <c r="C124" s="154" t="s">
        <v>90</v>
      </c>
      <c r="D124" s="154" t="s">
        <v>969</v>
      </c>
      <c r="E124" s="155">
        <v>9</v>
      </c>
      <c r="F124" s="298">
        <v>559</v>
      </c>
      <c r="G124" s="298" t="s">
        <v>88</v>
      </c>
      <c r="H124" s="298" t="s">
        <v>88</v>
      </c>
      <c r="I124" s="156">
        <v>35.42</v>
      </c>
      <c r="J124" s="157">
        <f t="shared" si="18"/>
        <v>1.9198193111236592</v>
      </c>
      <c r="K124" s="158">
        <v>0.17</v>
      </c>
      <c r="L124" s="126">
        <v>4</v>
      </c>
      <c r="M124" s="82">
        <f t="shared" si="19"/>
        <v>0.68</v>
      </c>
      <c r="N124" s="159" t="s">
        <v>677</v>
      </c>
      <c r="O124" s="160">
        <v>0.16</v>
      </c>
      <c r="P124" s="161">
        <v>44813</v>
      </c>
      <c r="Q124" s="161">
        <v>44830</v>
      </c>
      <c r="R124" s="82">
        <f t="shared" si="20"/>
        <v>6.2500000000000053</v>
      </c>
      <c r="S124" s="162">
        <f>IF(INDEX([1]Historical!$D$7:$D$1229,MATCH(B124,[1]Historical!$B$7:$B$1253,0))=0,"n/a",(INDEX([1]Historical!$C$7:$C$1231,MATCH(B124,[1]Historical!$B$7:$B$1253,0))/INDEX([1]Historical!$D$7:$D$1229,MATCH(B124,[1]Historical!$B$7:$B$1253,0))-1)*100)</f>
        <v>8.7719298245614077</v>
      </c>
      <c r="T124" s="162">
        <f>IF(INDEX([1]Historical!$F$7:$F$1222,MATCH(B124,[1]Historical!$B$7:$B$1253,0))=0,"n/a",((INDEX([1]Historical!$C$7:$C$1231,MATCH(B124,[1]Historical!$B$7:$B$1253,0))/INDEX([1]Historical!$F$7:$F$1222,MATCH(B124,[1]Historical!$B$7:$B$1253,0)))^(1/3)-1)*100)</f>
        <v>24.66577380596615</v>
      </c>
      <c r="U124" s="162">
        <f>IF(INDEX([1]Historical!$H$7:$H$1222,MATCH(B124,[1]Historical!$B$7:$B$1253,0))=0,"n/a",((INDEX([1]Historical!$C$7:$C$1231,MATCH(B124,[1]Historical!$B$7:$B$1253,0))/INDEX([1]Historical!$H$7:$H$1222,MATCH(B124,[1]Historical!$B$7:$B$1253,0)))^(1/5)-1)*100)</f>
        <v>29.535424783841925</v>
      </c>
      <c r="V124" s="162">
        <f>IF(INDEX([1]Historical!$N$7:$N$1222,MATCH(B124,[1]Historical!$B$7:$B$1253,0))=0,"n/a",((INDEX([1]Historical!$C$7:$C$1231,MATCH(B124,[1]Historical!$B$7:$B$1253,0))/INDEX([1]Historical!$N$7:$N$1222,MATCH(B124,[1]Historical!$B$7:$B$1253,0)))^(1/10)-1)*100)</f>
        <v>7.5293556739927769</v>
      </c>
      <c r="W124" s="163">
        <f t="shared" si="21"/>
        <v>3.9227028264663515</v>
      </c>
      <c r="X124" s="164">
        <f t="shared" si="22"/>
        <v>1.256826586546465</v>
      </c>
      <c r="Y124" s="165"/>
      <c r="Z124" s="157">
        <f t="shared" si="23"/>
        <v>33.009708737864081</v>
      </c>
      <c r="AA124" s="166">
        <f t="shared" si="24"/>
        <v>17.194174757281555</v>
      </c>
      <c r="AB124" s="126">
        <v>12</v>
      </c>
      <c r="AC124" s="167">
        <v>2.06</v>
      </c>
      <c r="AD124" s="167">
        <v>2.85</v>
      </c>
      <c r="AE124" s="167">
        <v>5.12</v>
      </c>
      <c r="AF124" s="167">
        <v>1.56</v>
      </c>
      <c r="AG124" s="167">
        <v>8.5</v>
      </c>
      <c r="AH124" s="167">
        <v>5.3</v>
      </c>
      <c r="AI124" s="167">
        <v>34.18</v>
      </c>
      <c r="AJ124" s="167">
        <v>23.5</v>
      </c>
      <c r="AK124" s="167">
        <v>6</v>
      </c>
      <c r="AL124" s="168">
        <v>591.94000000000005</v>
      </c>
      <c r="AM124" s="169">
        <v>1.5</v>
      </c>
      <c r="AN124" s="167">
        <v>0.14000000000000001</v>
      </c>
      <c r="AO124" s="170">
        <f t="shared" si="25"/>
        <v>14.261069337684031</v>
      </c>
      <c r="AP124" s="171">
        <f t="shared" si="26"/>
        <v>31.455244094965586</v>
      </c>
      <c r="AQ124" s="172">
        <f t="shared" si="27"/>
        <v>9.1846806946005657</v>
      </c>
      <c r="AR124" s="157">
        <f>INDEX([1]Historical!$C$7:$C$1231,MATCH(B124,[1]Historical!$B$7:$B$1253,0))*IF(AH124="n/a",1.03,IF(AH124&lt;0,1.01,IF(AH124&gt;10,1.1,(1+AH124/100))))</f>
        <v>0.65286</v>
      </c>
      <c r="AS124" s="166">
        <f t="shared" si="28"/>
        <v>0.71814600000000006</v>
      </c>
      <c r="AT124" s="166">
        <f t="shared" si="35"/>
        <v>0.76123476000000012</v>
      </c>
      <c r="AU124" s="166">
        <f t="shared" si="35"/>
        <v>0.8069088456000002</v>
      </c>
      <c r="AV124" s="166">
        <f t="shared" si="35"/>
        <v>0.85532337633600031</v>
      </c>
      <c r="AW124" s="157">
        <f t="shared" si="30"/>
        <v>3.7944729819360008</v>
      </c>
      <c r="AX124" s="173">
        <f t="shared" si="31"/>
        <v>10.712797803320159</v>
      </c>
      <c r="AY124" s="174">
        <v>0.66</v>
      </c>
      <c r="AZ124" s="169">
        <v>44.99</v>
      </c>
      <c r="BA124" s="169">
        <v>-0.98</v>
      </c>
      <c r="BB124" s="169">
        <v>7.41</v>
      </c>
      <c r="BC124" s="169">
        <v>21.73</v>
      </c>
      <c r="BE124" s="77">
        <v>2014</v>
      </c>
      <c r="BF124" s="77">
        <f t="shared" si="32"/>
        <v>1</v>
      </c>
      <c r="BG124" s="175">
        <v>0.8</v>
      </c>
      <c r="BH124" t="s">
        <v>939</v>
      </c>
      <c r="BI124" t="s">
        <v>940</v>
      </c>
    </row>
    <row r="125" spans="1:64" ht="11.25" customHeight="1" x14ac:dyDescent="0.2">
      <c r="A125" s="112" t="s">
        <v>1309</v>
      </c>
      <c r="B125" s="153" t="s">
        <v>217</v>
      </c>
      <c r="C125" s="154" t="s">
        <v>90</v>
      </c>
      <c r="D125" s="154" t="s">
        <v>969</v>
      </c>
      <c r="E125" s="155">
        <v>25</v>
      </c>
      <c r="F125" s="298">
        <v>140</v>
      </c>
      <c r="G125" s="298" t="s">
        <v>104</v>
      </c>
      <c r="H125" s="298" t="s">
        <v>104</v>
      </c>
      <c r="I125" s="167">
        <v>44</v>
      </c>
      <c r="J125" s="157">
        <f t="shared" si="18"/>
        <v>3.8181818181818179</v>
      </c>
      <c r="K125" s="209">
        <v>0.42</v>
      </c>
      <c r="L125" s="126">
        <v>4</v>
      </c>
      <c r="M125" s="82">
        <f t="shared" si="19"/>
        <v>1.68</v>
      </c>
      <c r="N125" s="159" t="s">
        <v>167</v>
      </c>
      <c r="O125" s="210">
        <v>0.41</v>
      </c>
      <c r="P125" s="161">
        <v>44704</v>
      </c>
      <c r="Q125" s="161">
        <v>44721</v>
      </c>
      <c r="R125" s="82">
        <f t="shared" si="20"/>
        <v>2.4390243902439046</v>
      </c>
      <c r="S125" s="162">
        <f>IF(INDEX([1]Historical!$D$7:$D$1229,MATCH(B125,[1]Historical!$B$7:$B$1253,0))=0,"n/a",(INDEX([1]Historical!$C$7:$C$1231,MATCH(B125,[1]Historical!$B$7:$B$1253,0))/INDEX([1]Historical!$D$7:$D$1229,MATCH(B125,[1]Historical!$B$7:$B$1253,0))-1)*100)</f>
        <v>2.5157232704402288</v>
      </c>
      <c r="T125" s="162">
        <f>IF(INDEX([1]Historical!$F$7:$F$1222,MATCH(B125,[1]Historical!$B$7:$B$1253,0))=0,"n/a",((INDEX([1]Historical!$C$7:$C$1231,MATCH(B125,[1]Historical!$B$7:$B$1253,0))/INDEX([1]Historical!$F$7:$F$1222,MATCH(B125,[1]Historical!$B$7:$B$1253,0)))^(1/3)-1)*100)</f>
        <v>2.5817772505764225</v>
      </c>
      <c r="U125" s="162">
        <f>IF(INDEX([1]Historical!$H$7:$H$1222,MATCH(B125,[1]Historical!$B$7:$B$1253,0))=0,"n/a",((INDEX([1]Historical!$C$7:$C$1231,MATCH(B125,[1]Historical!$B$7:$B$1253,0))/INDEX([1]Historical!$H$7:$H$1222,MATCH(B125,[1]Historical!$B$7:$B$1253,0)))^(1/5)-1)*100)</f>
        <v>2.5810501320566281</v>
      </c>
      <c r="V125" s="162">
        <f>IF(INDEX([1]Historical!$N$7:$N$1222,MATCH(B125,[1]Historical!$B$7:$B$1253,0))=0,"n/a",((INDEX([1]Historical!$C$7:$C$1231,MATCH(B125,[1]Historical!$B$7:$B$1253,0))/INDEX([1]Historical!$N$7:$N$1222,MATCH(B125,[1]Historical!$B$7:$B$1253,0)))^(1/10)-1)*100)</f>
        <v>2.7724220986734105</v>
      </c>
      <c r="W125" s="163">
        <f t="shared" si="21"/>
        <v>0.93097300490125479</v>
      </c>
      <c r="X125" s="164" t="str">
        <f t="shared" si="22"/>
        <v>n/a</v>
      </c>
      <c r="Y125" s="153"/>
      <c r="Z125" s="157" t="str">
        <f t="shared" si="23"/>
        <v>n/a</v>
      </c>
      <c r="AA125" s="166" t="str">
        <f t="shared" si="24"/>
        <v>n/a</v>
      </c>
      <c r="AB125" s="126">
        <v>12</v>
      </c>
      <c r="AC125" s="167" t="s">
        <v>95</v>
      </c>
      <c r="AD125" s="167" t="s">
        <v>95</v>
      </c>
      <c r="AE125" s="167" t="s">
        <v>95</v>
      </c>
      <c r="AF125" s="167" t="s">
        <v>95</v>
      </c>
      <c r="AG125" s="167" t="s">
        <v>95</v>
      </c>
      <c r="AH125" s="167" t="s">
        <v>95</v>
      </c>
      <c r="AI125" s="167" t="s">
        <v>95</v>
      </c>
      <c r="AJ125" s="167" t="s">
        <v>95</v>
      </c>
      <c r="AK125" s="167" t="s">
        <v>95</v>
      </c>
      <c r="AL125" s="168" t="s">
        <v>95</v>
      </c>
      <c r="AM125" s="169" t="s">
        <v>95</v>
      </c>
      <c r="AN125" s="167" t="s">
        <v>95</v>
      </c>
      <c r="AO125" s="170" t="str">
        <f t="shared" si="25"/>
        <v>n/a</v>
      </c>
      <c r="AP125" s="171">
        <f t="shared" si="26"/>
        <v>6.3992319502384465</v>
      </c>
      <c r="AQ125" s="172" t="str">
        <f t="shared" si="27"/>
        <v>n/a</v>
      </c>
      <c r="AR125" s="157">
        <f>INDEX([1]Historical!$C$7:$C$1231,MATCH(B125,[1]Historical!$B$7:$B$1253,0))*IF(AH125="n/a",1.03,IF(AH125&lt;0,1.01,IF(AH125&gt;10,1.1,(1+AH125/100))))</f>
        <v>1.6788999999999998</v>
      </c>
      <c r="AS125" s="166">
        <f t="shared" si="28"/>
        <v>1.7292669999999999</v>
      </c>
      <c r="AT125" s="166">
        <f t="shared" si="35"/>
        <v>1.7811450099999999</v>
      </c>
      <c r="AU125" s="166">
        <f t="shared" si="35"/>
        <v>1.8345793603</v>
      </c>
      <c r="AV125" s="166">
        <f t="shared" si="35"/>
        <v>1.8896167411090001</v>
      </c>
      <c r="AW125" s="157">
        <f t="shared" si="30"/>
        <v>8.9135081114090013</v>
      </c>
      <c r="AX125" s="173">
        <f t="shared" si="31"/>
        <v>20.257972980475003</v>
      </c>
      <c r="AY125" s="174" t="s">
        <v>95</v>
      </c>
      <c r="AZ125" s="169" t="s">
        <v>95</v>
      </c>
      <c r="BA125" s="169" t="s">
        <v>95</v>
      </c>
      <c r="BB125" s="169" t="s">
        <v>95</v>
      </c>
      <c r="BC125" s="169" t="s">
        <v>95</v>
      </c>
      <c r="BD125" s="100" t="s">
        <v>932</v>
      </c>
      <c r="BE125" s="77">
        <v>1998</v>
      </c>
      <c r="BF125" s="77">
        <f t="shared" si="32"/>
        <v>3</v>
      </c>
      <c r="BG125" s="175" t="s">
        <v>95</v>
      </c>
      <c r="BH125" t="s">
        <v>939</v>
      </c>
      <c r="BI125" t="s">
        <v>940</v>
      </c>
    </row>
    <row r="126" spans="1:64" ht="11.25" customHeight="1" x14ac:dyDescent="0.2">
      <c r="A126" s="204" t="s">
        <v>1310</v>
      </c>
      <c r="B126" s="153" t="s">
        <v>1012</v>
      </c>
      <c r="C126" s="154" t="s">
        <v>947</v>
      </c>
      <c r="D126" s="154" t="s">
        <v>948</v>
      </c>
      <c r="E126" s="155">
        <v>9</v>
      </c>
      <c r="F126" s="298">
        <v>572</v>
      </c>
      <c r="G126" s="298" t="s">
        <v>88</v>
      </c>
      <c r="H126" s="298" t="s">
        <v>88</v>
      </c>
      <c r="I126" s="156">
        <v>133.26</v>
      </c>
      <c r="J126" s="157">
        <f t="shared" si="18"/>
        <v>4.6975836710190606</v>
      </c>
      <c r="K126" s="158">
        <v>1.5649999999999999</v>
      </c>
      <c r="L126" s="126">
        <v>4</v>
      </c>
      <c r="M126" s="82">
        <f t="shared" si="19"/>
        <v>6.26</v>
      </c>
      <c r="N126" s="159" t="s">
        <v>119</v>
      </c>
      <c r="O126" s="160">
        <v>1.47</v>
      </c>
      <c r="P126" s="161">
        <v>44909</v>
      </c>
      <c r="Q126" s="161">
        <v>44925</v>
      </c>
      <c r="R126" s="82">
        <f t="shared" si="20"/>
        <v>6.4625850340136042</v>
      </c>
      <c r="S126" s="162">
        <f>IF(INDEX([1]Historical!$D$7:$D$1229,MATCH(B126,[1]Historical!$B$7:$B$1253,0))=0,"n/a",(INDEX([1]Historical!$C$7:$C$1231,MATCH(B126,[1]Historical!$B$7:$B$1253,0))/INDEX([1]Historical!$D$7:$D$1229,MATCH(B126,[1]Historical!$B$7:$B$1253,0))-1)*100)</f>
        <v>10.750507099391493</v>
      </c>
      <c r="T126" s="162">
        <f>IF(INDEX([1]Historical!$F$7:$F$1222,MATCH(B126,[1]Historical!$B$7:$B$1253,0))=0,"n/a",((INDEX([1]Historical!$C$7:$C$1231,MATCH(B126,[1]Historical!$B$7:$B$1253,0))/INDEX([1]Historical!$F$7:$F$1222,MATCH(B126,[1]Historical!$B$7:$B$1253,0)))^(1/3)-1)*100)</f>
        <v>8.4972776386218474</v>
      </c>
      <c r="U126" s="162">
        <f>IF(INDEX([1]Historical!$H$7:$H$1222,MATCH(B126,[1]Historical!$B$7:$B$1253,0))=0,"n/a",((INDEX([1]Historical!$C$7:$C$1231,MATCH(B126,[1]Historical!$B$7:$B$1253,0))/INDEX([1]Historical!$H$7:$H$1222,MATCH(B126,[1]Historical!$B$7:$B$1253,0)))^(1/5)-1)*100)</f>
        <v>8.6569411193963433</v>
      </c>
      <c r="V126" s="162" t="str">
        <f>IF(INDEX([1]Historical!$N$7:$N$1222,MATCH(B126,[1]Historical!$B$7:$B$1253,0))=0,"n/a",((INDEX([1]Historical!$C$7:$C$1231,MATCH(B126,[1]Historical!$B$7:$B$1253,0))/INDEX([1]Historical!$N$7:$N$1222,MATCH(B126,[1]Historical!$B$7:$B$1253,0)))^(1/10)-1)*100)</f>
        <v>n/a</v>
      </c>
      <c r="W126" s="163" t="str">
        <f t="shared" si="21"/>
        <v>n/a</v>
      </c>
      <c r="X126" s="164">
        <f t="shared" si="22"/>
        <v>0.37803236329241668</v>
      </c>
      <c r="Y126" s="165"/>
      <c r="Z126" s="157">
        <f t="shared" si="23"/>
        <v>168.27956989247309</v>
      </c>
      <c r="AA126" s="166">
        <f t="shared" si="24"/>
        <v>35.822580645161288</v>
      </c>
      <c r="AB126" s="126">
        <v>12</v>
      </c>
      <c r="AC126" s="167">
        <v>3.72</v>
      </c>
      <c r="AD126" s="167">
        <v>3.62</v>
      </c>
      <c r="AE126" s="167">
        <v>8.06</v>
      </c>
      <c r="AF126" s="167">
        <v>7.3</v>
      </c>
      <c r="AG126" s="167">
        <v>17.899999999999999</v>
      </c>
      <c r="AH126" s="167">
        <v>13.5</v>
      </c>
      <c r="AI126" s="167">
        <v>-1.97</v>
      </c>
      <c r="AJ126" s="167">
        <v>22.900000000000002</v>
      </c>
      <c r="AK126" s="167">
        <v>9.85</v>
      </c>
      <c r="AL126" s="167">
        <v>55420</v>
      </c>
      <c r="AM126" s="169">
        <v>0.43</v>
      </c>
      <c r="AN126" s="167">
        <v>2.71</v>
      </c>
      <c r="AO126" s="170">
        <f t="shared" si="25"/>
        <v>-22.468055854745884</v>
      </c>
      <c r="AP126" s="171">
        <f t="shared" si="26"/>
        <v>13.354524790415404</v>
      </c>
      <c r="AQ126" s="172">
        <f t="shared" si="27"/>
        <v>240.91695874487766</v>
      </c>
      <c r="AR126" s="157">
        <f>INDEX([1]Historical!$C$7:$C$1231,MATCH(B126,[1]Historical!$B$7:$B$1253,0))*IF(AH126="n/a",1.03,IF(AH126&lt;0,1.01,IF(AH126&gt;10,1.1,(1+AH126/100))))</f>
        <v>6.0060000000000002</v>
      </c>
      <c r="AS126" s="166">
        <f t="shared" si="28"/>
        <v>6.0660600000000002</v>
      </c>
      <c r="AT126" s="166">
        <f t="shared" si="35"/>
        <v>6.6635669100000001</v>
      </c>
      <c r="AU126" s="166">
        <f t="shared" si="35"/>
        <v>7.3199282506350007</v>
      </c>
      <c r="AV126" s="166">
        <f t="shared" si="35"/>
        <v>8.0409411833225484</v>
      </c>
      <c r="AW126" s="157">
        <f t="shared" si="30"/>
        <v>34.096496343957554</v>
      </c>
      <c r="AX126" s="173">
        <f t="shared" si="31"/>
        <v>25.586444802609602</v>
      </c>
      <c r="AY126" s="174">
        <v>0.62</v>
      </c>
      <c r="AZ126" s="169">
        <v>9.49</v>
      </c>
      <c r="BA126" s="169">
        <v>-36.5</v>
      </c>
      <c r="BB126" s="169">
        <v>-12.61</v>
      </c>
      <c r="BC126" s="169">
        <v>-22.46</v>
      </c>
      <c r="BE126" s="77">
        <v>2014</v>
      </c>
      <c r="BF126" s="77">
        <f t="shared" si="32"/>
        <v>1</v>
      </c>
      <c r="BG126" s="175">
        <v>3.6999999999999997</v>
      </c>
      <c r="BH126" t="s">
        <v>939</v>
      </c>
      <c r="BI126" t="s">
        <v>945</v>
      </c>
    </row>
    <row r="127" spans="1:64" ht="11.25" customHeight="1" x14ac:dyDescent="0.2">
      <c r="A127" s="204" t="s">
        <v>1311</v>
      </c>
      <c r="B127" s="153" t="s">
        <v>753</v>
      </c>
      <c r="C127" s="154" t="s">
        <v>981</v>
      </c>
      <c r="D127" s="154" t="s">
        <v>1013</v>
      </c>
      <c r="E127" s="155">
        <v>11</v>
      </c>
      <c r="F127" s="298">
        <v>435</v>
      </c>
      <c r="G127" s="298" t="s">
        <v>88</v>
      </c>
      <c r="H127" s="298" t="s">
        <v>88</v>
      </c>
      <c r="I127" s="156">
        <v>52.51</v>
      </c>
      <c r="J127" s="157">
        <f t="shared" si="18"/>
        <v>6.8939249666730156</v>
      </c>
      <c r="K127" s="158">
        <v>0.90500000000000003</v>
      </c>
      <c r="L127" s="126">
        <v>4</v>
      </c>
      <c r="M127" s="82">
        <f t="shared" si="19"/>
        <v>3.62</v>
      </c>
      <c r="N127" s="159" t="s">
        <v>308</v>
      </c>
      <c r="O127" s="160">
        <v>0.88</v>
      </c>
      <c r="P127" s="161">
        <v>44790</v>
      </c>
      <c r="Q127" s="161">
        <v>44804</v>
      </c>
      <c r="R127" s="82">
        <f t="shared" si="20"/>
        <v>2.8409090909090935</v>
      </c>
      <c r="S127" s="162">
        <f>IF(INDEX([1]Historical!$D$7:$D$1229,MATCH(B127,[1]Historical!$B$7:$B$1253,0))=0,"n/a",(INDEX([1]Historical!$C$7:$C$1231,MATCH(B127,[1]Historical!$B$7:$B$1253,0))/INDEX([1]Historical!$D$7:$D$1229,MATCH(B127,[1]Historical!$B$7:$B$1253,0))-1)*100)</f>
        <v>14.234234234234243</v>
      </c>
      <c r="T127" s="162">
        <f>IF(INDEX([1]Historical!$F$7:$F$1222,MATCH(B127,[1]Historical!$B$7:$B$1253,0))=0,"n/a",((INDEX([1]Historical!$C$7:$C$1231,MATCH(B127,[1]Historical!$B$7:$B$1253,0))/INDEX([1]Historical!$F$7:$F$1222,MATCH(B127,[1]Historical!$B$7:$B$1253,0)))^(1/3)-1)*100)</f>
        <v>14.351307247645062</v>
      </c>
      <c r="U127" s="162">
        <f>IF(INDEX([1]Historical!$H$7:$H$1222,MATCH(B127,[1]Historical!$B$7:$B$1253,0))=0,"n/a",((INDEX([1]Historical!$C$7:$C$1231,MATCH(B127,[1]Historical!$B$7:$B$1253,0))/INDEX([1]Historical!$H$7:$H$1222,MATCH(B127,[1]Historical!$B$7:$B$1253,0)))^(1/5)-1)*100)</f>
        <v>15.988908876389306</v>
      </c>
      <c r="V127" s="162" t="str">
        <f>IF(INDEX([1]Historical!$N$7:$N$1222,MATCH(B127,[1]Historical!$B$7:$B$1253,0))=0,"n/a",((INDEX([1]Historical!$C$7:$C$1231,MATCH(B127,[1]Historical!$B$7:$B$1253,0))/INDEX([1]Historical!$N$7:$N$1222,MATCH(B127,[1]Historical!$B$7:$B$1253,0)))^(1/10)-1)*100)</f>
        <v>n/a</v>
      </c>
      <c r="W127" s="163" t="str">
        <f t="shared" si="21"/>
        <v>n/a</v>
      </c>
      <c r="X127" s="164">
        <f t="shared" si="22"/>
        <v>0.62701603436820808</v>
      </c>
      <c r="Y127" s="178"/>
      <c r="Z127" s="157">
        <f t="shared" si="23"/>
        <v>385.10638297872345</v>
      </c>
      <c r="AA127" s="166">
        <f t="shared" si="24"/>
        <v>55.861702127659576</v>
      </c>
      <c r="AB127" s="126">
        <v>12</v>
      </c>
      <c r="AC127" s="167">
        <v>0.94</v>
      </c>
      <c r="AD127" s="167" t="s">
        <v>95</v>
      </c>
      <c r="AE127" s="167">
        <v>4.22</v>
      </c>
      <c r="AF127" s="179" t="s">
        <v>95</v>
      </c>
      <c r="AG127" s="167">
        <v>-11.200000000000001</v>
      </c>
      <c r="AH127" s="167">
        <v>668.4</v>
      </c>
      <c r="AI127" s="167">
        <v>49.230000000000004</v>
      </c>
      <c r="AJ127" s="167">
        <v>25.5</v>
      </c>
      <c r="AK127" s="167">
        <v>-0.48</v>
      </c>
      <c r="AL127" s="168">
        <v>2500</v>
      </c>
      <c r="AM127" s="169">
        <v>0.6</v>
      </c>
      <c r="AN127" s="167" t="s">
        <v>95</v>
      </c>
      <c r="AO127" s="170">
        <f t="shared" si="25"/>
        <v>-32.978868284597255</v>
      </c>
      <c r="AP127" s="171">
        <f t="shared" si="26"/>
        <v>22.882833843062322</v>
      </c>
      <c r="AQ127" s="172" t="str">
        <f t="shared" si="27"/>
        <v>n/a</v>
      </c>
      <c r="AR127" s="157">
        <f>INDEX([1]Historical!$C$7:$C$1231,MATCH(B127,[1]Historical!$B$7:$B$1253,0))*IF(AH127="n/a",1.03,IF(AH127&lt;0,1.01,IF(AH127&gt;10,1.1,(1+AH127/100))))</f>
        <v>3.4870000000000001</v>
      </c>
      <c r="AS127" s="166">
        <f t="shared" si="28"/>
        <v>3.8357000000000006</v>
      </c>
      <c r="AT127" s="166">
        <f t="shared" si="35"/>
        <v>3.8740570000000005</v>
      </c>
      <c r="AU127" s="166">
        <f t="shared" si="35"/>
        <v>3.9127975700000004</v>
      </c>
      <c r="AV127" s="166">
        <f t="shared" si="35"/>
        <v>3.9519255457000004</v>
      </c>
      <c r="AW127" s="157">
        <f t="shared" si="30"/>
        <v>19.061480115700004</v>
      </c>
      <c r="AX127" s="173">
        <f t="shared" si="31"/>
        <v>36.300666760045715</v>
      </c>
      <c r="AY127" s="174">
        <v>0.33</v>
      </c>
      <c r="AZ127" s="169">
        <v>12.32</v>
      </c>
      <c r="BA127" s="169">
        <v>-34.770000000000003</v>
      </c>
      <c r="BB127" s="169">
        <v>-0.71000000000000008</v>
      </c>
      <c r="BC127" s="169">
        <v>-12.22</v>
      </c>
      <c r="BE127" s="77">
        <v>2012</v>
      </c>
      <c r="BF127" s="77">
        <f t="shared" si="32"/>
        <v>1</v>
      </c>
      <c r="BG127" s="175">
        <v>4.3999999999999995</v>
      </c>
      <c r="BH127" t="s">
        <v>939</v>
      </c>
      <c r="BI127" t="s">
        <v>940</v>
      </c>
    </row>
    <row r="128" spans="1:64" ht="11.25" customHeight="1" x14ac:dyDescent="0.2">
      <c r="A128" s="112" t="s">
        <v>1312</v>
      </c>
      <c r="B128" s="153" t="s">
        <v>798</v>
      </c>
      <c r="C128" s="154" t="s">
        <v>922</v>
      </c>
      <c r="D128" s="154" t="s">
        <v>974</v>
      </c>
      <c r="E128" s="155">
        <v>9</v>
      </c>
      <c r="F128" s="298">
        <v>513</v>
      </c>
      <c r="G128" s="298" t="s">
        <v>88</v>
      </c>
      <c r="H128" s="298" t="s">
        <v>88</v>
      </c>
      <c r="I128" s="156">
        <v>172.81</v>
      </c>
      <c r="J128" s="157">
        <f t="shared" si="18"/>
        <v>1.157340431687981</v>
      </c>
      <c r="K128" s="158">
        <v>0.5</v>
      </c>
      <c r="L128" s="126">
        <v>4</v>
      </c>
      <c r="M128" s="82">
        <f t="shared" si="19"/>
        <v>2</v>
      </c>
      <c r="N128" s="159" t="s">
        <v>140</v>
      </c>
      <c r="O128" s="160">
        <v>0.4</v>
      </c>
      <c r="P128" s="224">
        <v>44523</v>
      </c>
      <c r="Q128" s="224">
        <v>44540</v>
      </c>
      <c r="R128" s="82">
        <f t="shared" si="20"/>
        <v>24.999999999999993</v>
      </c>
      <c r="S128" s="162">
        <f>IF(INDEX([1]Historical!$D$7:$D$1229,MATCH(B128,[1]Historical!$B$7:$B$1253,0))=0,"n/a",(INDEX([1]Historical!$C$7:$C$1231,MATCH(B128,[1]Historical!$B$7:$B$1253,0))/INDEX([1]Historical!$D$7:$D$1229,MATCH(B128,[1]Historical!$B$7:$B$1253,0))-1)*100)</f>
        <v>10.389610389610393</v>
      </c>
      <c r="T128" s="162">
        <f>IF(INDEX([1]Historical!$F$7:$F$1222,MATCH(B128,[1]Historical!$B$7:$B$1253,0))=0,"n/a",((INDEX([1]Historical!$C$7:$C$1231,MATCH(B128,[1]Historical!$B$7:$B$1253,0))/INDEX([1]Historical!$F$7:$F$1222,MATCH(B128,[1]Historical!$B$7:$B$1253,0)))^(1/3)-1)*100)</f>
        <v>22.490496840755412</v>
      </c>
      <c r="U128" s="162">
        <f>IF(INDEX([1]Historical!$H$7:$H$1222,MATCH(B128,[1]Historical!$B$7:$B$1253,0))=0,"n/a",((INDEX([1]Historical!$C$7:$C$1231,MATCH(B128,[1]Historical!$B$7:$B$1253,0))/INDEX([1]Historical!$H$7:$H$1222,MATCH(B128,[1]Historical!$B$7:$B$1253,0)))^(1/5)-1)*100)</f>
        <v>28.644232635716826</v>
      </c>
      <c r="V128" s="162" t="str">
        <f>IF(INDEX([1]Historical!$N$7:$N$1222,MATCH(B128,[1]Historical!$B$7:$B$1253,0))=0,"n/a",((INDEX([1]Historical!$C$7:$C$1231,MATCH(B128,[1]Historical!$B$7:$B$1253,0))/INDEX([1]Historical!$N$7:$N$1222,MATCH(B128,[1]Historical!$B$7:$B$1253,0)))^(1/10)-1)*100)</f>
        <v>n/a</v>
      </c>
      <c r="W128" s="163" t="str">
        <f t="shared" si="21"/>
        <v>n/a</v>
      </c>
      <c r="X128" s="164">
        <f t="shared" si="22"/>
        <v>1.2787603855230725</v>
      </c>
      <c r="Y128" s="234"/>
      <c r="Z128" s="157">
        <f t="shared" si="23"/>
        <v>27.210884353741498</v>
      </c>
      <c r="AA128" s="166">
        <f t="shared" si="24"/>
        <v>23.51156462585034</v>
      </c>
      <c r="AB128" s="126">
        <v>12</v>
      </c>
      <c r="AC128" s="167">
        <v>7.35</v>
      </c>
      <c r="AD128" s="167">
        <v>1.64</v>
      </c>
      <c r="AE128" s="167">
        <v>0.99</v>
      </c>
      <c r="AF128" s="167">
        <v>21.13</v>
      </c>
      <c r="AG128" s="167">
        <v>114.19999999999999</v>
      </c>
      <c r="AH128" s="167">
        <v>29.2</v>
      </c>
      <c r="AI128" s="167">
        <v>8.89</v>
      </c>
      <c r="AJ128" s="167">
        <v>22.400000000000002</v>
      </c>
      <c r="AK128" s="167">
        <v>14.39</v>
      </c>
      <c r="AL128" s="168">
        <v>22780</v>
      </c>
      <c r="AM128" s="169">
        <v>0.2</v>
      </c>
      <c r="AN128" s="167">
        <v>5.95</v>
      </c>
      <c r="AO128" s="170">
        <f t="shared" si="25"/>
        <v>6.2900084415544661</v>
      </c>
      <c r="AP128" s="171">
        <f t="shared" si="26"/>
        <v>29.801573067404806</v>
      </c>
      <c r="AQ128" s="172">
        <f t="shared" si="27"/>
        <v>369.8933025671148</v>
      </c>
      <c r="AR128" s="157">
        <f>INDEX([1]Historical!$C$7:$C$1231,MATCH(B128,[1]Historical!$B$7:$B$1253,0))*IF(AH128="n/a",1.03,IF(AH128&lt;0,1.01,IF(AH128&gt;10,1.1,(1+AH128/100))))</f>
        <v>1.87</v>
      </c>
      <c r="AS128" s="166">
        <f t="shared" si="28"/>
        <v>2.0362430000000002</v>
      </c>
      <c r="AT128" s="166">
        <f t="shared" si="35"/>
        <v>2.2398673000000007</v>
      </c>
      <c r="AU128" s="166">
        <f t="shared" si="35"/>
        <v>2.4638540300000011</v>
      </c>
      <c r="AV128" s="166">
        <f t="shared" si="35"/>
        <v>2.7102394330000013</v>
      </c>
      <c r="AW128" s="157">
        <f t="shared" si="30"/>
        <v>11.320203763000004</v>
      </c>
      <c r="AX128" s="173">
        <f t="shared" si="31"/>
        <v>6.5506647549331651</v>
      </c>
      <c r="AY128" s="174">
        <v>1.1200000000000001</v>
      </c>
      <c r="AZ128" s="169">
        <v>16.830000000000002</v>
      </c>
      <c r="BA128" s="169">
        <v>-17.2</v>
      </c>
      <c r="BB128" s="169">
        <v>3.06</v>
      </c>
      <c r="BC128" s="169">
        <v>0.6</v>
      </c>
      <c r="BE128" s="77">
        <v>2014</v>
      </c>
      <c r="BF128" s="77">
        <f t="shared" si="32"/>
        <v>1</v>
      </c>
      <c r="BG128" s="175">
        <v>8.2000000000000011</v>
      </c>
      <c r="BH128" t="s">
        <v>939</v>
      </c>
      <c r="BI128" t="s">
        <v>940</v>
      </c>
    </row>
    <row r="129" spans="1:64" ht="11.25" customHeight="1" x14ac:dyDescent="0.2">
      <c r="A129" s="112" t="s">
        <v>1313</v>
      </c>
      <c r="B129" s="153" t="s">
        <v>218</v>
      </c>
      <c r="C129" s="154" t="s">
        <v>96</v>
      </c>
      <c r="D129" s="154" t="s">
        <v>911</v>
      </c>
      <c r="E129" s="155">
        <v>13</v>
      </c>
      <c r="F129" s="298">
        <v>304</v>
      </c>
      <c r="G129" s="298" t="s">
        <v>88</v>
      </c>
      <c r="H129" s="298" t="s">
        <v>88</v>
      </c>
      <c r="I129" s="156">
        <v>96.12</v>
      </c>
      <c r="J129" s="157">
        <f t="shared" si="18"/>
        <v>2.913025384935497</v>
      </c>
      <c r="K129" s="158">
        <v>0.7</v>
      </c>
      <c r="L129" s="126">
        <v>4</v>
      </c>
      <c r="M129" s="82">
        <f t="shared" si="19"/>
        <v>2.8</v>
      </c>
      <c r="N129" s="159" t="s">
        <v>700</v>
      </c>
      <c r="O129" s="160">
        <v>0.68</v>
      </c>
      <c r="P129" s="161">
        <v>44862</v>
      </c>
      <c r="Q129" s="161">
        <v>44879</v>
      </c>
      <c r="R129" s="82">
        <f t="shared" si="20"/>
        <v>2.9411764705882213</v>
      </c>
      <c r="S129" s="162">
        <f>IF(INDEX([1]Historical!$D$7:$D$1229,MATCH(B129,[1]Historical!$B$7:$B$1253,0))=0,"n/a",(INDEX([1]Historical!$C$7:$C$1231,MATCH(B129,[1]Historical!$B$7:$B$1253,0))/INDEX([1]Historical!$D$7:$D$1229,MATCH(B129,[1]Historical!$B$7:$B$1253,0))-1)*100)</f>
        <v>9.6774193548387224</v>
      </c>
      <c r="T129" s="162">
        <f>IF(INDEX([1]Historical!$F$7:$F$1222,MATCH(B129,[1]Historical!$B$7:$B$1253,0))=0,"n/a",((INDEX([1]Historical!$C$7:$C$1231,MATCH(B129,[1]Historical!$B$7:$B$1253,0))/INDEX([1]Historical!$F$7:$F$1222,MATCH(B129,[1]Historical!$B$7:$B$1253,0)))^(1/3)-1)*100)</f>
        <v>9.3541299792876842</v>
      </c>
      <c r="U129" s="162">
        <f>IF(INDEX([1]Historical!$H$7:$H$1222,MATCH(B129,[1]Historical!$B$7:$B$1253,0))=0,"n/a",((INDEX([1]Historical!$C$7:$C$1231,MATCH(B129,[1]Historical!$B$7:$B$1253,0))/INDEX([1]Historical!$H$7:$H$1222,MATCH(B129,[1]Historical!$B$7:$B$1253,0)))^(1/5)-1)*100)</f>
        <v>14.534932318460857</v>
      </c>
      <c r="V129" s="162">
        <f>IF(INDEX([1]Historical!$N$7:$N$1222,MATCH(B129,[1]Historical!$B$7:$B$1253,0))=0,"n/a",((INDEX([1]Historical!$C$7:$C$1231,MATCH(B129,[1]Historical!$B$7:$B$1253,0))/INDEX([1]Historical!$N$7:$N$1222,MATCH(B129,[1]Historical!$B$7:$B$1253,0)))^(1/10)-1)*100)</f>
        <v>27.478154107268104</v>
      </c>
      <c r="W129" s="163">
        <f t="shared" si="21"/>
        <v>0.52896319970111449</v>
      </c>
      <c r="X129" s="164">
        <f t="shared" si="22"/>
        <v>0.64599699193159366</v>
      </c>
      <c r="Y129" s="180"/>
      <c r="Z129" s="157">
        <f t="shared" si="23"/>
        <v>15.469613259668504</v>
      </c>
      <c r="AA129" s="166">
        <f t="shared" si="24"/>
        <v>5.3104972375690602</v>
      </c>
      <c r="AB129" s="126">
        <v>12</v>
      </c>
      <c r="AC129" s="167">
        <v>18.100000000000001</v>
      </c>
      <c r="AD129" s="167" t="s">
        <v>95</v>
      </c>
      <c r="AE129" s="167">
        <v>1.0900000000000001</v>
      </c>
      <c r="AF129" s="167">
        <v>2.13</v>
      </c>
      <c r="AG129" s="167">
        <v>44.7</v>
      </c>
      <c r="AH129" s="167">
        <v>1.2</v>
      </c>
      <c r="AI129" s="167">
        <v>-18.86</v>
      </c>
      <c r="AJ129" s="167">
        <v>22.5</v>
      </c>
      <c r="AK129" s="167">
        <v>-2.23</v>
      </c>
      <c r="AL129" s="168">
        <v>10380</v>
      </c>
      <c r="AM129" s="169">
        <v>0.3</v>
      </c>
      <c r="AN129" s="167">
        <v>0.79</v>
      </c>
      <c r="AO129" s="170">
        <f t="shared" si="25"/>
        <v>12.137460465827296</v>
      </c>
      <c r="AP129" s="171">
        <f t="shared" si="26"/>
        <v>17.447957703396355</v>
      </c>
      <c r="AQ129" s="172">
        <f t="shared" si="27"/>
        <v>-29.096751003694877</v>
      </c>
      <c r="AR129" s="157">
        <f>INDEX([1]Historical!$C$7:$C$1231,MATCH(B129,[1]Historical!$B$7:$B$1253,0))*IF(AH129="n/a",1.03,IF(AH129&lt;0,1.01,IF(AH129&gt;10,1.1,(1+AH129/100))))</f>
        <v>2.7526400000000004</v>
      </c>
      <c r="AS129" s="166">
        <f t="shared" si="28"/>
        <v>2.7801664000000006</v>
      </c>
      <c r="AT129" s="166">
        <f t="shared" si="35"/>
        <v>2.8079680640000007</v>
      </c>
      <c r="AU129" s="166">
        <f t="shared" si="35"/>
        <v>2.8360477446400005</v>
      </c>
      <c r="AV129" s="166">
        <f t="shared" si="35"/>
        <v>2.8644082220864004</v>
      </c>
      <c r="AW129" s="157">
        <f t="shared" si="30"/>
        <v>14.041230430726403</v>
      </c>
      <c r="AX129" s="173">
        <f t="shared" si="31"/>
        <v>14.608021671583856</v>
      </c>
      <c r="AY129" s="174">
        <v>1.25</v>
      </c>
      <c r="AZ129" s="169">
        <v>10.86</v>
      </c>
      <c r="BA129" s="169">
        <v>-45.540000000000006</v>
      </c>
      <c r="BB129" s="169">
        <v>-4.51</v>
      </c>
      <c r="BC129" s="169">
        <v>-25.75</v>
      </c>
      <c r="BE129" s="77">
        <v>2010</v>
      </c>
      <c r="BF129" s="77">
        <f t="shared" si="32"/>
        <v>1</v>
      </c>
      <c r="BG129" s="175">
        <v>16.100000000000001</v>
      </c>
      <c r="BH129" t="s">
        <v>939</v>
      </c>
      <c r="BI129" t="s">
        <v>940</v>
      </c>
    </row>
    <row r="130" spans="1:64" ht="11.25" customHeight="1" x14ac:dyDescent="0.2">
      <c r="A130" s="112" t="s">
        <v>1314</v>
      </c>
      <c r="B130" s="153" t="s">
        <v>664</v>
      </c>
      <c r="C130" s="154" t="s">
        <v>90</v>
      </c>
      <c r="D130" s="154" t="s">
        <v>969</v>
      </c>
      <c r="E130" s="155">
        <v>11</v>
      </c>
      <c r="F130" s="298">
        <v>439</v>
      </c>
      <c r="G130" s="298" t="s">
        <v>30</v>
      </c>
      <c r="H130" s="298" t="s">
        <v>30</v>
      </c>
      <c r="I130" s="156">
        <v>56.56</v>
      </c>
      <c r="J130" s="157">
        <f t="shared" si="18"/>
        <v>2.9702970297029703</v>
      </c>
      <c r="K130" s="158">
        <v>0.42</v>
      </c>
      <c r="L130" s="126">
        <v>4</v>
      </c>
      <c r="M130" s="82">
        <f t="shared" si="19"/>
        <v>1.68</v>
      </c>
      <c r="N130" s="159" t="s">
        <v>121</v>
      </c>
      <c r="O130" s="160">
        <v>0.4</v>
      </c>
      <c r="P130" s="161">
        <v>44818</v>
      </c>
      <c r="Q130" s="161">
        <v>44835</v>
      </c>
      <c r="R130" s="82">
        <f t="shared" si="20"/>
        <v>4.9999999999999902</v>
      </c>
      <c r="S130" s="162">
        <f>IF(INDEX([1]Historical!$D$7:$D$1229,MATCH(B130,[1]Historical!$B$7:$B$1253,0))=0,"n/a",(INDEX([1]Historical!$C$7:$C$1231,MATCH(B130,[1]Historical!$B$7:$B$1253,0))/INDEX([1]Historical!$D$7:$D$1229,MATCH(B130,[1]Historical!$B$7:$B$1253,0))-1)*100)</f>
        <v>2.6315789473684292</v>
      </c>
      <c r="T130" s="162">
        <f>IF(INDEX([1]Historical!$F$7:$F$1222,MATCH(B130,[1]Historical!$B$7:$B$1253,0))=0,"n/a",((INDEX([1]Historical!$C$7:$C$1231,MATCH(B130,[1]Historical!$B$7:$B$1253,0))/INDEX([1]Historical!$F$7:$F$1222,MATCH(B130,[1]Historical!$B$7:$B$1253,0)))^(1/3)-1)*100)</f>
        <v>4.1714007510293971</v>
      </c>
      <c r="U130" s="162">
        <f>IF(INDEX([1]Historical!$H$7:$H$1222,MATCH(B130,[1]Historical!$B$7:$B$1253,0))=0,"n/a",((INDEX([1]Historical!$C$7:$C$1231,MATCH(B130,[1]Historical!$B$7:$B$1253,0))/INDEX([1]Historical!$H$7:$H$1222,MATCH(B130,[1]Historical!$B$7:$B$1253,0)))^(1/5)-1)*100)</f>
        <v>4.0358274630921898</v>
      </c>
      <c r="V130" s="162">
        <f>IF(INDEX([1]Historical!$N$7:$N$1222,MATCH(B130,[1]Historical!$B$7:$B$1253,0))=0,"n/a",((INDEX([1]Historical!$C$7:$C$1231,MATCH(B130,[1]Historical!$B$7:$B$1253,0))/INDEX([1]Historical!$N$7:$N$1222,MATCH(B130,[1]Historical!$B$7:$B$1253,0)))^(1/10)-1)*100)</f>
        <v>4.5472129682976536</v>
      </c>
      <c r="W130" s="163">
        <f t="shared" si="21"/>
        <v>0.88753869485094472</v>
      </c>
      <c r="X130" s="164">
        <f t="shared" si="22"/>
        <v>0.2620667183826097</v>
      </c>
      <c r="Y130" s="180"/>
      <c r="Z130" s="157">
        <f t="shared" si="23"/>
        <v>22.919508867667123</v>
      </c>
      <c r="AA130" s="166">
        <f t="shared" si="24"/>
        <v>7.7162346521145979</v>
      </c>
      <c r="AB130" s="126">
        <v>12</v>
      </c>
      <c r="AC130" s="167">
        <v>7.33</v>
      </c>
      <c r="AD130" s="167" t="s">
        <v>95</v>
      </c>
      <c r="AE130" s="167">
        <v>2.17</v>
      </c>
      <c r="AF130" s="167">
        <v>1.04</v>
      </c>
      <c r="AG130" s="167">
        <v>13.4</v>
      </c>
      <c r="AH130" s="167">
        <v>31.2</v>
      </c>
      <c r="AI130" s="167" t="s">
        <v>95</v>
      </c>
      <c r="AJ130" s="167">
        <v>15.4</v>
      </c>
      <c r="AK130" s="167" t="s">
        <v>95</v>
      </c>
      <c r="AL130" s="168">
        <v>202.53</v>
      </c>
      <c r="AM130" s="169">
        <v>0.3</v>
      </c>
      <c r="AN130" s="167">
        <v>0.28000000000000003</v>
      </c>
      <c r="AO130" s="170">
        <f t="shared" si="25"/>
        <v>-0.71011015931943788</v>
      </c>
      <c r="AP130" s="171">
        <f t="shared" si="26"/>
        <v>7.00612449279516</v>
      </c>
      <c r="AQ130" s="172">
        <f t="shared" si="27"/>
        <v>-40.278855268100187</v>
      </c>
      <c r="AR130" s="157">
        <f>INDEX([1]Historical!$C$7:$C$1231,MATCH(B130,[1]Historical!$B$7:$B$1253,0))*IF(AH130="n/a",1.03,IF(AH130&lt;0,1.01,IF(AH130&gt;10,1.1,(1+AH130/100))))</f>
        <v>1.7160000000000002</v>
      </c>
      <c r="AS130" s="166">
        <f t="shared" si="28"/>
        <v>1.7674800000000002</v>
      </c>
      <c r="AT130" s="166">
        <f t="shared" si="35"/>
        <v>1.8205044000000001</v>
      </c>
      <c r="AU130" s="166">
        <f t="shared" si="35"/>
        <v>1.8751195320000003</v>
      </c>
      <c r="AV130" s="166">
        <f t="shared" si="35"/>
        <v>1.9313731179600002</v>
      </c>
      <c r="AW130" s="157">
        <f t="shared" si="30"/>
        <v>9.1104770499600001</v>
      </c>
      <c r="AX130" s="173">
        <f t="shared" si="31"/>
        <v>16.107632690876944</v>
      </c>
      <c r="AY130" s="174">
        <v>0.31</v>
      </c>
      <c r="AZ130" s="169">
        <v>31.230000000000004</v>
      </c>
      <c r="BA130" s="169">
        <v>-8.0299999999999994</v>
      </c>
      <c r="BB130" s="169">
        <v>6.25</v>
      </c>
      <c r="BC130" s="169">
        <v>11.5</v>
      </c>
      <c r="BE130" s="77">
        <v>2012</v>
      </c>
      <c r="BF130" s="77">
        <f t="shared" si="32"/>
        <v>1</v>
      </c>
      <c r="BG130" s="175">
        <v>1.2</v>
      </c>
      <c r="BH130" t="s">
        <v>939</v>
      </c>
      <c r="BI130" t="s">
        <v>940</v>
      </c>
    </row>
    <row r="131" spans="1:64" ht="11.25" customHeight="1" x14ac:dyDescent="0.2">
      <c r="A131" s="112" t="s">
        <v>1315</v>
      </c>
      <c r="B131" s="153" t="s">
        <v>248</v>
      </c>
      <c r="C131" s="154" t="s">
        <v>90</v>
      </c>
      <c r="D131" s="154" t="s">
        <v>969</v>
      </c>
      <c r="E131" s="155">
        <v>29</v>
      </c>
      <c r="F131" s="298">
        <v>115</v>
      </c>
      <c r="G131" s="298" t="s">
        <v>88</v>
      </c>
      <c r="H131" s="298" t="s">
        <v>88</v>
      </c>
      <c r="I131" s="167">
        <v>155.05000000000001</v>
      </c>
      <c r="J131" s="157">
        <f t="shared" si="18"/>
        <v>2.2444372782973234</v>
      </c>
      <c r="K131" s="209">
        <v>0.87</v>
      </c>
      <c r="L131" s="126">
        <v>4</v>
      </c>
      <c r="M131" s="82">
        <f t="shared" si="19"/>
        <v>3.48</v>
      </c>
      <c r="N131" s="159" t="s">
        <v>167</v>
      </c>
      <c r="O131" s="210">
        <v>0.75</v>
      </c>
      <c r="P131" s="161">
        <v>44803</v>
      </c>
      <c r="Q131" s="161">
        <v>44819</v>
      </c>
      <c r="R131" s="82">
        <f t="shared" si="20"/>
        <v>16</v>
      </c>
      <c r="S131" s="162">
        <f>IF(INDEX([1]Historical!$D$7:$D$1229,MATCH(B131,[1]Historical!$B$7:$B$1253,0))=0,"n/a",(INDEX([1]Historical!$C$7:$C$1231,MATCH(B131,[1]Historical!$B$7:$B$1253,0))/INDEX([1]Historical!$D$7:$D$1229,MATCH(B131,[1]Historical!$B$7:$B$1253,0))-1)*100)</f>
        <v>3.1578947368420929</v>
      </c>
      <c r="T131" s="162">
        <f>IF(INDEX([1]Historical!$F$7:$F$1222,MATCH(B131,[1]Historical!$B$7:$B$1253,0))=0,"n/a",((INDEX([1]Historical!$C$7:$C$1231,MATCH(B131,[1]Historical!$B$7:$B$1253,0))/INDEX([1]Historical!$F$7:$F$1222,MATCH(B131,[1]Historical!$B$7:$B$1253,0)))^(1/3)-1)*100)</f>
        <v>4.4501837059028659</v>
      </c>
      <c r="U131" s="162">
        <f>IF(INDEX([1]Historical!$H$7:$H$1222,MATCH(B131,[1]Historical!$B$7:$B$1253,0))=0,"n/a",((INDEX([1]Historical!$C$7:$C$1231,MATCH(B131,[1]Historical!$B$7:$B$1253,0))/INDEX([1]Historical!$H$7:$H$1222,MATCH(B131,[1]Historical!$B$7:$B$1253,0)))^(1/5)-1)*100)</f>
        <v>6.4588508860836225</v>
      </c>
      <c r="V131" s="162">
        <f>IF(INDEX([1]Historical!$N$7:$N$1222,MATCH(B131,[1]Historical!$B$7:$B$1253,0))=0,"n/a",((INDEX([1]Historical!$C$7:$C$1231,MATCH(B131,[1]Historical!$B$7:$B$1253,0))/INDEX([1]Historical!$N$7:$N$1222,MATCH(B131,[1]Historical!$B$7:$B$1253,0)))^(1/10)-1)*100)</f>
        <v>4.8551157657231281</v>
      </c>
      <c r="W131" s="163">
        <f t="shared" si="21"/>
        <v>1.330318616022049</v>
      </c>
      <c r="X131" s="164">
        <f t="shared" si="22"/>
        <v>0.86118011814448303</v>
      </c>
      <c r="Y131" s="153"/>
      <c r="Z131" s="157">
        <f t="shared" si="23"/>
        <v>53.703703703703695</v>
      </c>
      <c r="AA131" s="166">
        <f t="shared" si="24"/>
        <v>23.927469135802468</v>
      </c>
      <c r="AB131" s="126">
        <v>12</v>
      </c>
      <c r="AC131" s="167">
        <v>6.48</v>
      </c>
      <c r="AD131" s="167">
        <v>2.39</v>
      </c>
      <c r="AE131" s="167">
        <v>8.9499999999999993</v>
      </c>
      <c r="AF131" s="167">
        <v>3.73</v>
      </c>
      <c r="AG131" s="167">
        <v>13.8</v>
      </c>
      <c r="AH131" s="167">
        <v>32.5</v>
      </c>
      <c r="AI131" s="167">
        <v>25.180000000000003</v>
      </c>
      <c r="AJ131" s="167">
        <v>7.5</v>
      </c>
      <c r="AK131" s="167">
        <v>10.02</v>
      </c>
      <c r="AL131" s="168">
        <v>9500</v>
      </c>
      <c r="AM131" s="169">
        <v>0.5</v>
      </c>
      <c r="AN131" s="167">
        <v>0.08</v>
      </c>
      <c r="AO131" s="170">
        <f t="shared" si="25"/>
        <v>-15.224180971421521</v>
      </c>
      <c r="AP131" s="171">
        <f t="shared" si="26"/>
        <v>8.7032881643809468</v>
      </c>
      <c r="AQ131" s="172">
        <f t="shared" si="27"/>
        <v>99.164320629466602</v>
      </c>
      <c r="AR131" s="157">
        <f>INDEX([1]Historical!$C$7:$C$1231,MATCH(B131,[1]Historical!$B$7:$B$1253,0))*IF(AH131="n/a",1.03,IF(AH131&lt;0,1.01,IF(AH131&gt;10,1.1,(1+AH131/100))))</f>
        <v>3.234</v>
      </c>
      <c r="AS131" s="166">
        <f t="shared" si="28"/>
        <v>3.5574000000000003</v>
      </c>
      <c r="AT131" s="166">
        <f t="shared" si="35"/>
        <v>3.9131400000000007</v>
      </c>
      <c r="AU131" s="166">
        <f t="shared" si="35"/>
        <v>4.3044540000000016</v>
      </c>
      <c r="AV131" s="166">
        <f t="shared" si="35"/>
        <v>4.7348994000000024</v>
      </c>
      <c r="AW131" s="157">
        <f t="shared" si="30"/>
        <v>19.743893400000005</v>
      </c>
      <c r="AX131" s="173">
        <f t="shared" si="31"/>
        <v>12.733888036117383</v>
      </c>
      <c r="AY131" s="174">
        <v>1.1200000000000001</v>
      </c>
      <c r="AZ131" s="169">
        <v>37.61</v>
      </c>
      <c r="BA131" s="169">
        <v>-0.26</v>
      </c>
      <c r="BB131" s="169">
        <v>11.81</v>
      </c>
      <c r="BC131" s="169">
        <v>16.079999999999998</v>
      </c>
      <c r="BE131" s="77">
        <v>1994</v>
      </c>
      <c r="BF131" s="77">
        <f t="shared" si="32"/>
        <v>3</v>
      </c>
      <c r="BG131" s="175">
        <v>0.89999999999999991</v>
      </c>
      <c r="BH131" t="s">
        <v>939</v>
      </c>
      <c r="BI131" t="s">
        <v>940</v>
      </c>
    </row>
    <row r="132" spans="1:64" ht="11.25" customHeight="1" x14ac:dyDescent="0.2">
      <c r="A132" s="205" t="s">
        <v>1014</v>
      </c>
      <c r="B132" s="153" t="s">
        <v>1015</v>
      </c>
      <c r="C132" s="154" t="s">
        <v>922</v>
      </c>
      <c r="D132" s="154" t="s">
        <v>974</v>
      </c>
      <c r="E132" s="155">
        <v>7</v>
      </c>
      <c r="F132" s="298">
        <v>610</v>
      </c>
      <c r="G132" s="298" t="s">
        <v>88</v>
      </c>
      <c r="H132" s="298" t="s">
        <v>88</v>
      </c>
      <c r="I132" s="156">
        <v>46.23</v>
      </c>
      <c r="J132" s="157">
        <f t="shared" si="18"/>
        <v>0.56240536448193823</v>
      </c>
      <c r="K132" s="158">
        <v>6.5000000000000002E-2</v>
      </c>
      <c r="L132" s="126">
        <v>4</v>
      </c>
      <c r="M132" s="82">
        <f t="shared" si="19"/>
        <v>0.26</v>
      </c>
      <c r="N132" s="159" t="s">
        <v>677</v>
      </c>
      <c r="O132" s="160">
        <v>0.06</v>
      </c>
      <c r="P132" s="224">
        <v>44518</v>
      </c>
      <c r="Q132" s="224">
        <v>44533</v>
      </c>
      <c r="R132" s="82">
        <f t="shared" si="20"/>
        <v>8.333333333333341</v>
      </c>
      <c r="S132" s="162">
        <f>IF(INDEX([1]Historical!$D$7:$D$1229,MATCH(B132,[1]Historical!$B$7:$B$1253,0))=0,"n/a",(INDEX([1]Historical!$C$7:$C$1231,MATCH(B132,[1]Historical!$B$7:$B$1253,0))/INDEX([1]Historical!$D$7:$D$1229,MATCH(B132,[1]Historical!$B$7:$B$1253,0))-1)*100)</f>
        <v>8.8888888888888786</v>
      </c>
      <c r="T132" s="162">
        <f>IF(INDEX([1]Historical!$F$7:$F$1222,MATCH(B132,[1]Historical!$B$7:$B$1253,0))=0,"n/a",((INDEX([1]Historical!$C$7:$C$1231,MATCH(B132,[1]Historical!$B$7:$B$1253,0))/INDEX([1]Historical!$F$7:$F$1222,MATCH(B132,[1]Historical!$B$7:$B$1253,0)))^(1/3)-1)*100)</f>
        <v>9.8157887721507677</v>
      </c>
      <c r="U132" s="162">
        <f>IF(INDEX([1]Historical!$H$7:$H$1222,MATCH(B132,[1]Historical!$B$7:$B$1253,0))=0,"n/a",((INDEX([1]Historical!$C$7:$C$1231,MATCH(B132,[1]Historical!$B$7:$B$1253,0))/INDEX([1]Historical!$H$7:$H$1222,MATCH(B132,[1]Historical!$B$7:$B$1253,0)))^(1/5)-1)*100)</f>
        <v>10.68144305771952</v>
      </c>
      <c r="V132" s="162">
        <f>IF(INDEX([1]Historical!$N$7:$N$1222,MATCH(B132,[1]Historical!$B$7:$B$1253,0))=0,"n/a",((INDEX([1]Historical!$C$7:$C$1231,MATCH(B132,[1]Historical!$B$7:$B$1253,0))/INDEX([1]Historical!$N$7:$N$1222,MATCH(B132,[1]Historical!$B$7:$B$1253,0)))^(1/10)-1)*100)</f>
        <v>10.533101812280421</v>
      </c>
      <c r="W132" s="163">
        <f t="shared" si="21"/>
        <v>1.0140833391799318</v>
      </c>
      <c r="X132" s="164">
        <f t="shared" si="22"/>
        <v>0.79121800427552003</v>
      </c>
      <c r="Y132" s="178"/>
      <c r="Z132" s="157">
        <f t="shared" si="23"/>
        <v>17.931034482758623</v>
      </c>
      <c r="AA132" s="166">
        <f t="shared" si="24"/>
        <v>31.882758620689653</v>
      </c>
      <c r="AB132" s="126">
        <v>12</v>
      </c>
      <c r="AC132" s="167">
        <v>1.45</v>
      </c>
      <c r="AD132" s="167">
        <v>2.16</v>
      </c>
      <c r="AE132" s="167">
        <v>7.3</v>
      </c>
      <c r="AF132" s="167">
        <v>5.88</v>
      </c>
      <c r="AG132" s="167">
        <v>18.2</v>
      </c>
      <c r="AH132" s="167">
        <v>55.900000000000006</v>
      </c>
      <c r="AI132" s="167">
        <v>22.16</v>
      </c>
      <c r="AJ132" s="167">
        <v>13.5</v>
      </c>
      <c r="AK132" s="167">
        <v>15</v>
      </c>
      <c r="AL132" s="168">
        <v>7930</v>
      </c>
      <c r="AM132" s="169">
        <v>3.51</v>
      </c>
      <c r="AN132" s="167">
        <v>0</v>
      </c>
      <c r="AO132" s="170">
        <f t="shared" si="25"/>
        <v>-20.638910198488198</v>
      </c>
      <c r="AP132" s="171">
        <f t="shared" si="26"/>
        <v>11.243848422201458</v>
      </c>
      <c r="AQ132" s="172">
        <f t="shared" si="27"/>
        <v>188.65251750516393</v>
      </c>
      <c r="AR132" s="157">
        <f>INDEX([1]Historical!$C$7:$C$1231,MATCH(B132,[1]Historical!$B$7:$B$1253,0))*IF(AH132="n/a",1.03,IF(AH132&lt;0,1.01,IF(AH132&gt;10,1.1,(1+AH132/100))))</f>
        <v>0.26950000000000002</v>
      </c>
      <c r="AS132" s="166">
        <f t="shared" si="28"/>
        <v>0.29645000000000005</v>
      </c>
      <c r="AT132" s="166">
        <f t="shared" si="35"/>
        <v>0.32609500000000008</v>
      </c>
      <c r="AU132" s="166">
        <f t="shared" si="35"/>
        <v>0.35870450000000009</v>
      </c>
      <c r="AV132" s="166">
        <f t="shared" si="35"/>
        <v>0.39457495000000015</v>
      </c>
      <c r="AW132" s="157">
        <f t="shared" si="30"/>
        <v>1.6453244500000006</v>
      </c>
      <c r="AX132" s="173">
        <f t="shared" si="31"/>
        <v>3.5589972961280565</v>
      </c>
      <c r="AY132" s="174">
        <v>1.6</v>
      </c>
      <c r="AZ132" s="169">
        <v>14.99</v>
      </c>
      <c r="BA132" s="169">
        <v>-49.84</v>
      </c>
      <c r="BB132" s="169">
        <v>6.2399999999999993</v>
      </c>
      <c r="BC132" s="169">
        <v>-15.229999999999999</v>
      </c>
      <c r="BE132" s="77">
        <v>2015</v>
      </c>
      <c r="BF132" s="77">
        <f t="shared" si="32"/>
        <v>1</v>
      </c>
      <c r="BG132" s="175">
        <v>13</v>
      </c>
      <c r="BH132" t="s">
        <v>939</v>
      </c>
      <c r="BI132" t="s">
        <v>940</v>
      </c>
      <c r="BJ132" s="112"/>
      <c r="BK132" s="112"/>
      <c r="BL132" s="112"/>
    </row>
    <row r="133" spans="1:64" ht="11.25" customHeight="1" x14ac:dyDescent="0.2">
      <c r="A133" s="176" t="s">
        <v>1316</v>
      </c>
      <c r="B133" s="153" t="s">
        <v>692</v>
      </c>
      <c r="C133" s="154" t="s">
        <v>90</v>
      </c>
      <c r="D133" s="154" t="s">
        <v>969</v>
      </c>
      <c r="E133" s="155">
        <v>10</v>
      </c>
      <c r="F133" s="298">
        <v>507</v>
      </c>
      <c r="G133" s="298" t="s">
        <v>30</v>
      </c>
      <c r="H133" s="298" t="s">
        <v>30</v>
      </c>
      <c r="I133" s="156">
        <v>100.85</v>
      </c>
      <c r="J133" s="157">
        <f t="shared" si="18"/>
        <v>2.5780862667327717</v>
      </c>
      <c r="K133" s="158">
        <v>0.65</v>
      </c>
      <c r="L133" s="126">
        <v>4</v>
      </c>
      <c r="M133" s="82">
        <f t="shared" si="19"/>
        <v>2.6</v>
      </c>
      <c r="N133" s="159" t="s">
        <v>190</v>
      </c>
      <c r="O133" s="160">
        <v>0.6</v>
      </c>
      <c r="P133" s="161">
        <v>44847</v>
      </c>
      <c r="Q133" s="161">
        <v>44865</v>
      </c>
      <c r="R133" s="82">
        <f t="shared" si="20"/>
        <v>8.333333333333341</v>
      </c>
      <c r="S133" s="162">
        <f>IF(INDEX([1]Historical!$D$7:$D$1229,MATCH(B133,[1]Historical!$B$7:$B$1253,0))=0,"n/a",(INDEX([1]Historical!$C$7:$C$1231,MATCH(B133,[1]Historical!$B$7:$B$1253,0))/INDEX([1]Historical!$D$7:$D$1229,MATCH(B133,[1]Historical!$B$7:$B$1253,0))-1)*100)</f>
        <v>1.7543859649122862</v>
      </c>
      <c r="T133" s="162">
        <f>IF(INDEX([1]Historical!$F$7:$F$1222,MATCH(B133,[1]Historical!$B$7:$B$1253,0))=0,"n/a",((INDEX([1]Historical!$C$7:$C$1231,MATCH(B133,[1]Historical!$B$7:$B$1253,0))/INDEX([1]Historical!$F$7:$F$1222,MATCH(B133,[1]Historical!$B$7:$B$1253,0)))^(1/3)-1)*100)</f>
        <v>6.6968355618288955</v>
      </c>
      <c r="U133" s="162">
        <f>IF(INDEX([1]Historical!$H$7:$H$1222,MATCH(B133,[1]Historical!$B$7:$B$1253,0))=0,"n/a",((INDEX([1]Historical!$C$7:$C$1231,MATCH(B133,[1]Historical!$B$7:$B$1253,0))/INDEX([1]Historical!$H$7:$H$1222,MATCH(B133,[1]Historical!$B$7:$B$1253,0)))^(1/5)-1)*100)</f>
        <v>6.2914605914482502</v>
      </c>
      <c r="V133" s="162">
        <f>IF(INDEX([1]Historical!$N$7:$N$1222,MATCH(B133,[1]Historical!$B$7:$B$1253,0))=0,"n/a",((INDEX([1]Historical!$C$7:$C$1231,MATCH(B133,[1]Historical!$B$7:$B$1253,0))/INDEX([1]Historical!$N$7:$N$1222,MATCH(B133,[1]Historical!$B$7:$B$1253,0)))^(1/10)-1)*100)</f>
        <v>5.4860202419646509</v>
      </c>
      <c r="W133" s="163">
        <f t="shared" si="21"/>
        <v>1.1468168752500183</v>
      </c>
      <c r="X133" s="164">
        <f t="shared" si="22"/>
        <v>0.60494813379310097</v>
      </c>
      <c r="Y133" s="180"/>
      <c r="Z133" s="157">
        <f t="shared" si="23"/>
        <v>41.20443740095088</v>
      </c>
      <c r="AA133" s="166">
        <f t="shared" si="24"/>
        <v>15.982567353407291</v>
      </c>
      <c r="AB133" s="126">
        <v>12</v>
      </c>
      <c r="AC133" s="167">
        <v>6.31</v>
      </c>
      <c r="AD133" s="167">
        <v>2.02</v>
      </c>
      <c r="AE133" s="167">
        <v>8.4</v>
      </c>
      <c r="AF133" s="167">
        <v>2.5499999999999998</v>
      </c>
      <c r="AG133" s="167" t="s">
        <v>95</v>
      </c>
      <c r="AH133" s="167">
        <v>2.1</v>
      </c>
      <c r="AI133" s="167">
        <v>7.51</v>
      </c>
      <c r="AJ133" s="167">
        <v>10.4</v>
      </c>
      <c r="AK133" s="167">
        <v>8</v>
      </c>
      <c r="AL133" s="168">
        <v>1470</v>
      </c>
      <c r="AM133" s="169">
        <v>1.0999999999999999</v>
      </c>
      <c r="AN133" s="167">
        <v>0</v>
      </c>
      <c r="AO133" s="170">
        <f t="shared" si="25"/>
        <v>-7.1130204952262694</v>
      </c>
      <c r="AP133" s="171">
        <f t="shared" si="26"/>
        <v>8.8695468581810211</v>
      </c>
      <c r="AQ133" s="172">
        <f t="shared" si="27"/>
        <v>34.586687060279473</v>
      </c>
      <c r="AR133" s="157">
        <f>INDEX([1]Historical!$C$7:$C$1231,MATCH(B133,[1]Historical!$B$7:$B$1253,0))*IF(AH133="n/a",1.03,IF(AH133&lt;0,1.01,IF(AH133&gt;10,1.1,(1+AH133/100))))</f>
        <v>2.3687199999999997</v>
      </c>
      <c r="AS133" s="166">
        <f t="shared" si="28"/>
        <v>2.5466108719999996</v>
      </c>
      <c r="AT133" s="166">
        <f t="shared" si="35"/>
        <v>2.7503397417599995</v>
      </c>
      <c r="AU133" s="166">
        <f t="shared" si="35"/>
        <v>2.9703669211007995</v>
      </c>
      <c r="AV133" s="166">
        <f t="shared" si="35"/>
        <v>3.2079962747888637</v>
      </c>
      <c r="AW133" s="157">
        <f t="shared" si="30"/>
        <v>13.844033809649661</v>
      </c>
      <c r="AX133" s="173">
        <f t="shared" si="31"/>
        <v>13.727351323400756</v>
      </c>
      <c r="AY133" s="174">
        <v>0.52</v>
      </c>
      <c r="AZ133" s="169">
        <v>37.4</v>
      </c>
      <c r="BA133" s="169">
        <v>-2.09</v>
      </c>
      <c r="BB133" s="169">
        <v>12.04</v>
      </c>
      <c r="BC133" s="169">
        <v>21.63</v>
      </c>
      <c r="BE133" s="77">
        <v>2012</v>
      </c>
      <c r="BF133" s="77">
        <f t="shared" si="32"/>
        <v>1</v>
      </c>
      <c r="BG133" s="175" t="s">
        <v>95</v>
      </c>
      <c r="BH133" t="s">
        <v>939</v>
      </c>
      <c r="BI133" t="s">
        <v>940</v>
      </c>
    </row>
    <row r="134" spans="1:64" ht="11.25" customHeight="1" x14ac:dyDescent="0.2">
      <c r="A134" s="176" t="s">
        <v>1317</v>
      </c>
      <c r="B134" s="153" t="s">
        <v>1016</v>
      </c>
      <c r="C134" s="154" t="s">
        <v>947</v>
      </c>
      <c r="D134" s="154" t="s">
        <v>948</v>
      </c>
      <c r="E134" s="155">
        <v>8</v>
      </c>
      <c r="F134" s="298">
        <v>597</v>
      </c>
      <c r="G134" s="298" t="s">
        <v>88</v>
      </c>
      <c r="H134" s="298" t="s">
        <v>88</v>
      </c>
      <c r="I134" s="156">
        <v>34.6</v>
      </c>
      <c r="J134" s="157">
        <f t="shared" si="18"/>
        <v>5.1445086705202314</v>
      </c>
      <c r="K134" s="158">
        <v>0.44500000000000001</v>
      </c>
      <c r="L134" s="126">
        <v>4</v>
      </c>
      <c r="M134" s="82">
        <f t="shared" si="19"/>
        <v>1.78</v>
      </c>
      <c r="N134" s="159" t="s">
        <v>1017</v>
      </c>
      <c r="O134" s="160">
        <v>0.4425</v>
      </c>
      <c r="P134" s="161">
        <v>44874</v>
      </c>
      <c r="Q134" s="161">
        <v>44890</v>
      </c>
      <c r="R134" s="82">
        <f t="shared" si="20"/>
        <v>0.56497175141242995</v>
      </c>
      <c r="S134" s="162">
        <f>IF(INDEX([1]Historical!$D$7:$D$1229,MATCH(B134,[1]Historical!$B$7:$B$1253,0))=0,"n/a",(INDEX([1]Historical!$C$7:$C$1231,MATCH(B134,[1]Historical!$B$7:$B$1253,0))/INDEX([1]Historical!$D$7:$D$1229,MATCH(B134,[1]Historical!$B$7:$B$1253,0))-1)*100)</f>
        <v>2.3738872403560762</v>
      </c>
      <c r="T134" s="162">
        <f>IF(INDEX([1]Historical!$F$7:$F$1222,MATCH(B134,[1]Historical!$B$7:$B$1253,0))=0,"n/a",((INDEX([1]Historical!$C$7:$C$1231,MATCH(B134,[1]Historical!$B$7:$B$1253,0))/INDEX([1]Historical!$F$7:$F$1222,MATCH(B134,[1]Historical!$B$7:$B$1253,0)))^(1/3)-1)*100)</f>
        <v>2.4325586145465206</v>
      </c>
      <c r="U134" s="162">
        <f>IF(INDEX([1]Historical!$H$7:$H$1222,MATCH(B134,[1]Historical!$B$7:$B$1253,0))=0,"n/a",((INDEX([1]Historical!$C$7:$C$1231,MATCH(B134,[1]Historical!$B$7:$B$1253,0))/INDEX([1]Historical!$H$7:$H$1222,MATCH(B134,[1]Historical!$B$7:$B$1253,0)))^(1/5)-1)*100)</f>
        <v>2.4952764470199895</v>
      </c>
      <c r="V134" s="162" t="str">
        <f>IF(INDEX([1]Historical!$N$7:$N$1222,MATCH(B134,[1]Historical!$B$7:$B$1253,0))=0,"n/a",((INDEX([1]Historical!$C$7:$C$1231,MATCH(B134,[1]Historical!$B$7:$B$1253,0))/INDEX([1]Historical!$N$7:$N$1222,MATCH(B134,[1]Historical!$B$7:$B$1253,0)))^(1/10)-1)*100)</f>
        <v>n/a</v>
      </c>
      <c r="W134" s="163" t="str">
        <f t="shared" si="21"/>
        <v>n/a</v>
      </c>
      <c r="X134" s="164">
        <f t="shared" si="22"/>
        <v>8.5163018669624224E-2</v>
      </c>
      <c r="Y134" s="178"/>
      <c r="Z134" s="157">
        <f t="shared" si="23"/>
        <v>209.41176470588238</v>
      </c>
      <c r="AA134" s="166">
        <f t="shared" si="24"/>
        <v>40.705882352941181</v>
      </c>
      <c r="AB134" s="126">
        <v>12</v>
      </c>
      <c r="AC134" s="167">
        <v>0.85</v>
      </c>
      <c r="AD134" s="167" t="s">
        <v>95</v>
      </c>
      <c r="AE134" s="167">
        <v>8.92</v>
      </c>
      <c r="AF134" s="167">
        <v>1.71</v>
      </c>
      <c r="AG134" s="167">
        <v>4.3</v>
      </c>
      <c r="AH134" s="167">
        <v>8.6</v>
      </c>
      <c r="AI134" s="167">
        <v>16.23</v>
      </c>
      <c r="AJ134" s="167">
        <v>29.299999999999997</v>
      </c>
      <c r="AK134" s="167" t="s">
        <v>95</v>
      </c>
      <c r="AL134" s="168">
        <v>838.58</v>
      </c>
      <c r="AM134" s="169">
        <v>7.1</v>
      </c>
      <c r="AN134" s="167">
        <v>0.62</v>
      </c>
      <c r="AO134" s="170">
        <f t="shared" si="25"/>
        <v>-33.06609723540096</v>
      </c>
      <c r="AP134" s="171">
        <f t="shared" si="26"/>
        <v>7.6397851175402209</v>
      </c>
      <c r="AQ134" s="172">
        <f t="shared" si="27"/>
        <v>75.887664684693831</v>
      </c>
      <c r="AR134" s="157">
        <f>INDEX([1]Historical!$C$7:$C$1231,MATCH(B134,[1]Historical!$B$7:$B$1253,0))*IF(AH134="n/a",1.03,IF(AH134&lt;0,1.01,IF(AH134&gt;10,1.1,(1+AH134/100))))</f>
        <v>1.8733500000000003</v>
      </c>
      <c r="AS134" s="166">
        <f t="shared" si="28"/>
        <v>2.0606850000000003</v>
      </c>
      <c r="AT134" s="166">
        <f t="shared" si="35"/>
        <v>2.1225055500000005</v>
      </c>
      <c r="AU134" s="166">
        <f t="shared" si="35"/>
        <v>2.1861807165000005</v>
      </c>
      <c r="AV134" s="166">
        <f t="shared" si="35"/>
        <v>2.2517661379950007</v>
      </c>
      <c r="AW134" s="157">
        <f t="shared" si="30"/>
        <v>10.494487404495002</v>
      </c>
      <c r="AX134" s="173">
        <f t="shared" si="31"/>
        <v>30.330888452297692</v>
      </c>
      <c r="AY134" s="174">
        <v>0.68</v>
      </c>
      <c r="AZ134" s="169">
        <v>13.889999999999999</v>
      </c>
      <c r="BA134" s="169">
        <v>-29.37</v>
      </c>
      <c r="BB134" s="169">
        <v>0.89999999999999991</v>
      </c>
      <c r="BC134" s="169">
        <v>-9.43</v>
      </c>
      <c r="BE134" s="77">
        <v>2015</v>
      </c>
      <c r="BF134" s="77">
        <f t="shared" si="32"/>
        <v>1</v>
      </c>
      <c r="BG134" s="175">
        <v>2.6</v>
      </c>
      <c r="BH134" t="s">
        <v>939</v>
      </c>
      <c r="BI134" t="s">
        <v>945</v>
      </c>
      <c r="BJ134" s="112"/>
      <c r="BK134" s="112"/>
      <c r="BL134" s="112"/>
    </row>
    <row r="135" spans="1:64" ht="11.25" customHeight="1" x14ac:dyDescent="0.2">
      <c r="A135" s="112" t="s">
        <v>1318</v>
      </c>
      <c r="B135" s="153" t="s">
        <v>224</v>
      </c>
      <c r="C135" s="154" t="s">
        <v>127</v>
      </c>
      <c r="D135" s="154" t="s">
        <v>1018</v>
      </c>
      <c r="E135" s="155">
        <v>26</v>
      </c>
      <c r="F135" s="298">
        <v>135</v>
      </c>
      <c r="G135" s="298" t="s">
        <v>104</v>
      </c>
      <c r="H135" s="298" t="s">
        <v>104</v>
      </c>
      <c r="I135" s="156">
        <v>74.13</v>
      </c>
      <c r="J135" s="157">
        <f t="shared" ref="J135:J198" si="36">(M135/I135)*100</f>
        <v>1.41643059490085</v>
      </c>
      <c r="K135" s="209">
        <v>0.26250000000000001</v>
      </c>
      <c r="L135" s="126">
        <v>4</v>
      </c>
      <c r="M135" s="82">
        <f t="shared" ref="M135:M198" si="37">K135*L135</f>
        <v>1.05</v>
      </c>
      <c r="N135" s="159" t="s">
        <v>116</v>
      </c>
      <c r="O135" s="210">
        <v>0.2525</v>
      </c>
      <c r="P135" s="161">
        <v>44606</v>
      </c>
      <c r="Q135" s="161">
        <v>44621</v>
      </c>
      <c r="R135" s="82">
        <f t="shared" ref="R135:R198" si="38">(K135-O135)/O135*100</f>
        <v>3.9603960396039639</v>
      </c>
      <c r="S135" s="162">
        <f>IF(INDEX([1]Historical!$D$7:$D$1229,MATCH(B135,[1]Historical!$B$7:$B$1253,0))=0,"n/a",(INDEX([1]Historical!$C$7:$C$1231,MATCH(B135,[1]Historical!$B$7:$B$1253,0))/INDEX([1]Historical!$D$7:$D$1229,MATCH(B135,[1]Historical!$B$7:$B$1253,0))-1)*100)</f>
        <v>5.2083333333333481</v>
      </c>
      <c r="T135" s="162">
        <f>IF(INDEX([1]Historical!$F$7:$F$1222,MATCH(B135,[1]Historical!$B$7:$B$1253,0))=0,"n/a",((INDEX([1]Historical!$C$7:$C$1231,MATCH(B135,[1]Historical!$B$7:$B$1253,0))/INDEX([1]Historical!$F$7:$F$1222,MATCH(B135,[1]Historical!$B$7:$B$1253,0)))^(1/3)-1)*100)</f>
        <v>5.0191010067939912</v>
      </c>
      <c r="U135" s="162">
        <f>IF(INDEX([1]Historical!$H$7:$H$1222,MATCH(B135,[1]Historical!$B$7:$B$1253,0))=0,"n/a",((INDEX([1]Historical!$C$7:$C$1231,MATCH(B135,[1]Historical!$B$7:$B$1253,0))/INDEX([1]Historical!$H$7:$H$1222,MATCH(B135,[1]Historical!$B$7:$B$1253,0)))^(1/5)-1)*100)</f>
        <v>7.3031830278270871</v>
      </c>
      <c r="V135" s="162">
        <f>IF(INDEX([1]Historical!$N$7:$N$1222,MATCH(B135,[1]Historical!$B$7:$B$1253,0))=0,"n/a",((INDEX([1]Historical!$C$7:$C$1231,MATCH(B135,[1]Historical!$B$7:$B$1253,0))/INDEX([1]Historical!$N$7:$N$1222,MATCH(B135,[1]Historical!$B$7:$B$1253,0)))^(1/10)-1)*100)</f>
        <v>11.502407791609892</v>
      </c>
      <c r="W135" s="163">
        <f t="shared" ref="W135:W198" si="39">IF(OR(U135&lt;=0,U135="n/a",V135&lt;=0,V135="n/a"),"n/a",U135/V135)</f>
        <v>0.63492645715049234</v>
      </c>
      <c r="X135" s="164">
        <f t="shared" ref="X135:X198" si="40">IF(OR(AJ135&lt;=0,AJ135="n/a",U135&lt;=0,U135="n/a"),"n/a",U135/AJ135)</f>
        <v>0.53699875204610925</v>
      </c>
      <c r="Y135" s="165"/>
      <c r="Z135" s="157">
        <f t="shared" ref="Z135:Z198" si="41">IF(OR(AC135&lt;0.01,AC135="n/a"),"n/a",M135/AC135*100)</f>
        <v>33.333333333333336</v>
      </c>
      <c r="AA135" s="166">
        <f t="shared" ref="AA135:AA198" si="42">IF(OR(AC135&lt;0.01,AC135="n/a"),"n/a",I135/AC135)</f>
        <v>23.533333333333331</v>
      </c>
      <c r="AB135" s="126">
        <v>12</v>
      </c>
      <c r="AC135" s="167">
        <v>3.15</v>
      </c>
      <c r="AD135" s="167">
        <v>5.56</v>
      </c>
      <c r="AE135" s="167">
        <v>3.5</v>
      </c>
      <c r="AF135" s="167">
        <v>5.21</v>
      </c>
      <c r="AG135" s="167">
        <v>23.7</v>
      </c>
      <c r="AH135" s="167">
        <v>6.4</v>
      </c>
      <c r="AI135" s="167">
        <v>6.61</v>
      </c>
      <c r="AJ135" s="167">
        <v>13.600000000000001</v>
      </c>
      <c r="AK135" s="167">
        <v>4.37</v>
      </c>
      <c r="AL135" s="168">
        <v>18580</v>
      </c>
      <c r="AM135" s="169">
        <v>0.19</v>
      </c>
      <c r="AN135" s="167">
        <v>0.79</v>
      </c>
      <c r="AO135" s="170">
        <f t="shared" ref="AO135:AO198" si="43">IF(U135="n/a","n/a",IF(AA135&lt;0,"n/a",IF(AA135="n/a","n/a",J135+U135-AA135)))</f>
        <v>-14.813719710605394</v>
      </c>
      <c r="AP135" s="171">
        <f t="shared" ref="AP135:AP198" si="44">IF(U135="n/a","n/a",J135+U135)</f>
        <v>8.7196136227279375</v>
      </c>
      <c r="AQ135" s="172">
        <f t="shared" ref="AQ135:AQ198" si="45">IF(OR(AC135&lt;0.01,AC135="n/a",AF135="n/a"),"n/a",(I135/SQRT(22.5*AC135*(I135/AF135))-1)*100)</f>
        <v>133.43680245569834</v>
      </c>
      <c r="AR135" s="157">
        <f>INDEX([1]Historical!$C$7:$C$1231,MATCH(B135,[1]Historical!$B$7:$B$1253,0))*IF(AH135="n/a",1.03,IF(AH135&lt;0,1.01,IF(AH135&gt;10,1.1,(1+AH135/100))))</f>
        <v>1.07464</v>
      </c>
      <c r="AS135" s="166">
        <f t="shared" ref="AS135:AS198" si="46">IF($AI135="n/a",1.03*AR135,IF($AI135&lt;0,1.01*AR135,IF($AI135&gt;10,1.1*AR135,(1+$AI135/100)*AR135)))</f>
        <v>1.145673704</v>
      </c>
      <c r="AT135" s="166">
        <f t="shared" ref="AT135:AV150" si="47">IF($AK135="n/a",1.03*AS135,IF($AK135&lt;0,1.01*AS135,IF($AK135&gt;10,1.1*AS135,(1+$AK135/100)*AS135)))</f>
        <v>1.1957396448648001</v>
      </c>
      <c r="AU135" s="166">
        <f t="shared" si="47"/>
        <v>1.2479934673453921</v>
      </c>
      <c r="AV135" s="166">
        <f t="shared" si="47"/>
        <v>1.3025307818683858</v>
      </c>
      <c r="AW135" s="157">
        <f t="shared" ref="AW135:AW198" si="48">SUM(AR135:AV135)</f>
        <v>5.9665775980785778</v>
      </c>
      <c r="AX135" s="173">
        <f t="shared" ref="AX135:AX198" si="49">AW135/I135*100</f>
        <v>8.0488029112081172</v>
      </c>
      <c r="AY135" s="174">
        <v>0.45</v>
      </c>
      <c r="AZ135" s="169">
        <v>5.66</v>
      </c>
      <c r="BA135" s="169">
        <v>-29.59</v>
      </c>
      <c r="BB135" s="169">
        <v>-4.3</v>
      </c>
      <c r="BC135" s="169">
        <v>-18.55</v>
      </c>
      <c r="BE135" s="77">
        <v>1997</v>
      </c>
      <c r="BF135" s="77">
        <f t="shared" ref="BF135:BF198" si="50">IF(BE135&gt;2020,0,IF(BE135&gt;2008,1,IF(BE135&gt;2001,2,IF(BE135&gt;1990,3,IF(BE135&gt;1980,4,IF(BE135&gt;1973,5,IF(BE135&gt;1970,6,IF(BE135&gt;1960,7,IF(BE135&gt;1958,8,IF(BE135&gt;1953,9,10))))))))))</f>
        <v>3</v>
      </c>
      <c r="BG135" s="175">
        <v>10.199999999999999</v>
      </c>
      <c r="BH135" t="s">
        <v>939</v>
      </c>
      <c r="BI135" t="s">
        <v>940</v>
      </c>
    </row>
    <row r="136" spans="1:64" s="252" customFormat="1" ht="11.25" customHeight="1" x14ac:dyDescent="0.2">
      <c r="A136" s="183" t="s">
        <v>1319</v>
      </c>
      <c r="B136" s="184" t="s">
        <v>752</v>
      </c>
      <c r="C136" s="154" t="s">
        <v>100</v>
      </c>
      <c r="D136" s="154" t="s">
        <v>991</v>
      </c>
      <c r="E136" s="185">
        <v>12</v>
      </c>
      <c r="F136" s="298">
        <v>396</v>
      </c>
      <c r="G136" s="297" t="s">
        <v>88</v>
      </c>
      <c r="H136" s="297" t="s">
        <v>88</v>
      </c>
      <c r="I136" s="186">
        <v>207.91</v>
      </c>
      <c r="J136" s="187">
        <f t="shared" si="36"/>
        <v>0.34341782502044155</v>
      </c>
      <c r="K136" s="300">
        <v>0.71399999999999997</v>
      </c>
      <c r="L136" s="189">
        <v>1</v>
      </c>
      <c r="M136" s="190">
        <f t="shared" si="37"/>
        <v>0.71399999999999997</v>
      </c>
      <c r="N136" s="191" t="s">
        <v>170</v>
      </c>
      <c r="O136" s="321">
        <v>0.66700000000000004</v>
      </c>
      <c r="P136" s="193">
        <v>44896</v>
      </c>
      <c r="Q136" s="193">
        <v>44932</v>
      </c>
      <c r="R136" s="190">
        <f t="shared" si="38"/>
        <v>7.0464767616191786</v>
      </c>
      <c r="S136" s="162">
        <f>IF(INDEX([1]Historical!$D$7:$D$1229,MATCH(B136,[1]Historical!$B$7:$B$1253,0))=0,"n/a",(INDEX([1]Historical!$C$7:$C$1231,MATCH(B136,[1]Historical!$B$7:$B$1253,0))/INDEX([1]Historical!$D$7:$D$1229,MATCH(B136,[1]Historical!$B$7:$B$1253,0))-1)*100)</f>
        <v>7.2347266881028993</v>
      </c>
      <c r="T136" s="162">
        <f>IF(INDEX([1]Historical!$F$7:$F$1222,MATCH(B136,[1]Historical!$B$7:$B$1253,0))=0,"n/a",((INDEX([1]Historical!$C$7:$C$1231,MATCH(B136,[1]Historical!$B$7:$B$1253,0))/INDEX([1]Historical!$F$7:$F$1222,MATCH(B136,[1]Historical!$B$7:$B$1253,0)))^(1/3)-1)*100)</f>
        <v>7.0746084004187582</v>
      </c>
      <c r="U136" s="162">
        <f>IF(INDEX([1]Historical!$H$7:$H$1222,MATCH(B136,[1]Historical!$B$7:$B$1253,0))=0,"n/a",((INDEX([1]Historical!$C$7:$C$1231,MATCH(B136,[1]Historical!$B$7:$B$1253,0))/INDEX([1]Historical!$H$7:$H$1222,MATCH(B136,[1]Historical!$B$7:$B$1253,0)))^(1/5)-1)*100)</f>
        <v>8.6762468260703329</v>
      </c>
      <c r="V136" s="162">
        <f>IF(INDEX([1]Historical!$N$7:$N$1222,MATCH(B136,[1]Historical!$B$7:$B$1253,0))=0,"n/a",((INDEX([1]Historical!$C$7:$C$1231,MATCH(B136,[1]Historical!$B$7:$B$1253,0))/INDEX([1]Historical!$N$7:$N$1222,MATCH(B136,[1]Historical!$B$7:$B$1253,0)))^(1/10)-1)*100)</f>
        <v>12.800125756378677</v>
      </c>
      <c r="W136" s="163">
        <f t="shared" si="39"/>
        <v>0.67782512384667049</v>
      </c>
      <c r="X136" s="164">
        <f t="shared" si="40"/>
        <v>0.32253705673123911</v>
      </c>
      <c r="Y136" s="294" t="s">
        <v>995</v>
      </c>
      <c r="Z136" s="187">
        <f t="shared" si="41"/>
        <v>5.7441673370876911</v>
      </c>
      <c r="AA136" s="194">
        <f t="shared" si="42"/>
        <v>16.726468222043444</v>
      </c>
      <c r="AB136" s="189">
        <v>12</v>
      </c>
      <c r="AC136" s="195">
        <v>12.43</v>
      </c>
      <c r="AD136" s="195">
        <v>0.61</v>
      </c>
      <c r="AE136" s="195">
        <v>4.37</v>
      </c>
      <c r="AF136" s="195">
        <v>12.54</v>
      </c>
      <c r="AG136" s="195">
        <v>104.69999999999999</v>
      </c>
      <c r="AH136" s="195">
        <v>15.299999999999999</v>
      </c>
      <c r="AI136" s="195">
        <v>62.57</v>
      </c>
      <c r="AJ136" s="195">
        <v>26.900000000000002</v>
      </c>
      <c r="AK136" s="195">
        <v>26.700000000000003</v>
      </c>
      <c r="AL136" s="196">
        <v>7400</v>
      </c>
      <c r="AM136" s="197">
        <v>0.4</v>
      </c>
      <c r="AN136" s="195">
        <v>5.19</v>
      </c>
      <c r="AO136" s="198">
        <f t="shared" si="43"/>
        <v>-7.706803570952669</v>
      </c>
      <c r="AP136" s="199">
        <f t="shared" si="44"/>
        <v>9.0196646510907748</v>
      </c>
      <c r="AQ136" s="172">
        <f t="shared" si="45"/>
        <v>205.32307952537008</v>
      </c>
      <c r="AR136" s="157">
        <f>INDEX([1]Historical!$C$7:$C$1231,MATCH(B136,[1]Historical!$B$7:$B$1253,0))*IF(AH136="n/a",1.03,IF(AH136&lt;0,1.01,IF(AH136&gt;10,1.1,(1+AH136/100))))</f>
        <v>0.73370000000000013</v>
      </c>
      <c r="AS136" s="194">
        <f t="shared" si="46"/>
        <v>0.80707000000000018</v>
      </c>
      <c r="AT136" s="194">
        <f t="shared" si="47"/>
        <v>0.88777700000000026</v>
      </c>
      <c r="AU136" s="194">
        <f t="shared" si="47"/>
        <v>0.97655470000000033</v>
      </c>
      <c r="AV136" s="194">
        <f t="shared" si="47"/>
        <v>1.0742101700000004</v>
      </c>
      <c r="AW136" s="187">
        <f t="shared" si="48"/>
        <v>4.479311870000001</v>
      </c>
      <c r="AX136" s="200">
        <f t="shared" si="49"/>
        <v>2.1544475349911023</v>
      </c>
      <c r="AY136" s="201">
        <v>1.1000000000000001</v>
      </c>
      <c r="AZ136" s="197">
        <v>20.349999999999998</v>
      </c>
      <c r="BA136" s="197">
        <v>-16.61</v>
      </c>
      <c r="BB136" s="197">
        <v>4.79</v>
      </c>
      <c r="BC136" s="197">
        <v>1.01</v>
      </c>
      <c r="BD136" s="202"/>
      <c r="BE136" s="77">
        <v>2012</v>
      </c>
      <c r="BF136" s="77">
        <f t="shared" si="50"/>
        <v>1</v>
      </c>
      <c r="BG136" s="203">
        <v>12.6</v>
      </c>
      <c r="BH136" t="s">
        <v>939</v>
      </c>
      <c r="BI136" t="s">
        <v>940</v>
      </c>
    </row>
    <row r="137" spans="1:64" ht="11.25" customHeight="1" x14ac:dyDescent="0.2">
      <c r="A137" s="112" t="s">
        <v>1320</v>
      </c>
      <c r="B137" s="153" t="s">
        <v>219</v>
      </c>
      <c r="C137" s="154" t="s">
        <v>137</v>
      </c>
      <c r="D137" s="154" t="s">
        <v>942</v>
      </c>
      <c r="E137" s="155">
        <v>14</v>
      </c>
      <c r="F137" s="298">
        <v>266</v>
      </c>
      <c r="G137" s="298" t="s">
        <v>30</v>
      </c>
      <c r="H137" s="298" t="s">
        <v>30</v>
      </c>
      <c r="I137" s="156">
        <v>466.87</v>
      </c>
      <c r="J137" s="157">
        <f t="shared" si="36"/>
        <v>0.32557242915586782</v>
      </c>
      <c r="K137" s="158">
        <v>0.38</v>
      </c>
      <c r="L137" s="126">
        <v>4</v>
      </c>
      <c r="M137" s="82">
        <f t="shared" si="37"/>
        <v>1.52</v>
      </c>
      <c r="N137" s="159" t="s">
        <v>116</v>
      </c>
      <c r="O137" s="160">
        <v>0.36</v>
      </c>
      <c r="P137" s="161">
        <v>44785</v>
      </c>
      <c r="Q137" s="161">
        <v>44806</v>
      </c>
      <c r="R137" s="82">
        <f t="shared" si="38"/>
        <v>5.5555555555555607</v>
      </c>
      <c r="S137" s="162">
        <f>IF(INDEX([1]Historical!$D$7:$D$1229,MATCH(B137,[1]Historical!$B$7:$B$1253,0))=0,"n/a",(INDEX([1]Historical!$C$7:$C$1231,MATCH(B137,[1]Historical!$B$7:$B$1253,0))/INDEX([1]Historical!$D$7:$D$1229,MATCH(B137,[1]Historical!$B$7:$B$1253,0))-1)*100)</f>
        <v>6.0606060606060552</v>
      </c>
      <c r="T137" s="162">
        <f>IF(INDEX([1]Historical!$F$7:$F$1222,MATCH(B137,[1]Historical!$B$7:$B$1253,0))=0,"n/a",((INDEX([1]Historical!$C$7:$C$1231,MATCH(B137,[1]Historical!$B$7:$B$1253,0))/INDEX([1]Historical!$F$7:$F$1222,MATCH(B137,[1]Historical!$B$7:$B$1253,0)))^(1/3)-1)*100)</f>
        <v>6.469042607881903</v>
      </c>
      <c r="U137" s="162">
        <f>IF(INDEX([1]Historical!$H$7:$H$1222,MATCH(B137,[1]Historical!$B$7:$B$1253,0))=0,"n/a",((INDEX([1]Historical!$C$7:$C$1231,MATCH(B137,[1]Historical!$B$7:$B$1253,0))/INDEX([1]Historical!$H$7:$H$1222,MATCH(B137,[1]Historical!$B$7:$B$1253,0)))^(1/5)-1)*100)</f>
        <v>6.9610375725068785</v>
      </c>
      <c r="V137" s="162">
        <f>IF(INDEX([1]Historical!$N$7:$N$1222,MATCH(B137,[1]Historical!$B$7:$B$1253,0))=0,"n/a",((INDEX([1]Historical!$C$7:$C$1231,MATCH(B137,[1]Historical!$B$7:$B$1253,0))/INDEX([1]Historical!$N$7:$N$1222,MATCH(B137,[1]Historical!$B$7:$B$1253,0)))^(1/10)-1)*100)</f>
        <v>8.842291989017026</v>
      </c>
      <c r="W137" s="163">
        <f t="shared" si="39"/>
        <v>0.78724357679583012</v>
      </c>
      <c r="X137" s="164">
        <f t="shared" si="40"/>
        <v>0.32990699395767198</v>
      </c>
      <c r="Y137" s="222"/>
      <c r="Z137" s="157">
        <f t="shared" si="41"/>
        <v>8.4538375973303665</v>
      </c>
      <c r="AA137" s="166">
        <f t="shared" si="42"/>
        <v>25.966073414905448</v>
      </c>
      <c r="AB137" s="126">
        <v>12</v>
      </c>
      <c r="AC137" s="167">
        <v>17.98</v>
      </c>
      <c r="AD137" s="167">
        <v>3.62</v>
      </c>
      <c r="AE137" s="167">
        <v>3.21</v>
      </c>
      <c r="AF137" s="167">
        <v>10.07</v>
      </c>
      <c r="AG137" s="167">
        <v>40.300000000000004</v>
      </c>
      <c r="AH137" s="167">
        <v>-13.5</v>
      </c>
      <c r="AI137" s="167">
        <v>4.82</v>
      </c>
      <c r="AJ137" s="167">
        <v>21.099999999999998</v>
      </c>
      <c r="AK137" s="167">
        <v>7.1</v>
      </c>
      <c r="AL137" s="168">
        <v>6860</v>
      </c>
      <c r="AM137" s="169">
        <v>1.4000000000000001</v>
      </c>
      <c r="AN137" s="167">
        <v>0.19</v>
      </c>
      <c r="AO137" s="170">
        <f t="shared" si="43"/>
        <v>-18.679463413242701</v>
      </c>
      <c r="AP137" s="171">
        <f t="shared" si="44"/>
        <v>7.286610001662746</v>
      </c>
      <c r="AQ137" s="172">
        <f t="shared" si="45"/>
        <v>240.89969804627799</v>
      </c>
      <c r="AR137" s="157">
        <f>INDEX([1]Historical!$C$7:$C$1231,MATCH(B137,[1]Historical!$B$7:$B$1253,0))*IF(AH137="n/a",1.03,IF(AH137&lt;0,1.01,IF(AH137&gt;10,1.1,(1+AH137/100))))</f>
        <v>1.4139999999999999</v>
      </c>
      <c r="AS137" s="166">
        <f t="shared" si="46"/>
        <v>1.4821548</v>
      </c>
      <c r="AT137" s="166">
        <f t="shared" si="47"/>
        <v>1.5873877908</v>
      </c>
      <c r="AU137" s="166">
        <f t="shared" si="47"/>
        <v>1.7000923239468</v>
      </c>
      <c r="AV137" s="166">
        <f t="shared" si="47"/>
        <v>1.8207988789470226</v>
      </c>
      <c r="AW137" s="157">
        <f t="shared" si="48"/>
        <v>8.0044337936938224</v>
      </c>
      <c r="AX137" s="173">
        <f t="shared" si="49"/>
        <v>1.7144887856777737</v>
      </c>
      <c r="AY137" s="174">
        <v>0.54</v>
      </c>
      <c r="AZ137" s="169">
        <v>8.5299999999999994</v>
      </c>
      <c r="BA137" s="169">
        <v>-13.52</v>
      </c>
      <c r="BB137" s="169">
        <v>1.31</v>
      </c>
      <c r="BC137" s="169">
        <v>-2.4</v>
      </c>
      <c r="BE137" s="77">
        <v>2009</v>
      </c>
      <c r="BF137" s="77">
        <f t="shared" si="50"/>
        <v>1</v>
      </c>
      <c r="BG137" s="175">
        <v>21</v>
      </c>
      <c r="BH137" t="s">
        <v>939</v>
      </c>
      <c r="BI137" t="s">
        <v>940</v>
      </c>
    </row>
    <row r="138" spans="1:64" ht="11.25" customHeight="1" x14ac:dyDescent="0.2">
      <c r="A138" s="112" t="s">
        <v>1321</v>
      </c>
      <c r="B138" s="153" t="s">
        <v>200</v>
      </c>
      <c r="C138" s="154" t="s">
        <v>94</v>
      </c>
      <c r="D138" s="154" t="s">
        <v>1019</v>
      </c>
      <c r="E138" s="155">
        <v>24</v>
      </c>
      <c r="F138" s="298">
        <v>144</v>
      </c>
      <c r="G138" s="298" t="s">
        <v>88</v>
      </c>
      <c r="H138" s="298" t="s">
        <v>88</v>
      </c>
      <c r="I138" s="156">
        <v>97.72</v>
      </c>
      <c r="J138" s="157">
        <f t="shared" si="36"/>
        <v>2.2513303315595583</v>
      </c>
      <c r="K138" s="209">
        <v>0.55000000000000004</v>
      </c>
      <c r="L138" s="126">
        <v>4</v>
      </c>
      <c r="M138" s="82">
        <f t="shared" si="37"/>
        <v>2.2000000000000002</v>
      </c>
      <c r="N138" s="159" t="s">
        <v>628</v>
      </c>
      <c r="O138" s="210">
        <v>0.51</v>
      </c>
      <c r="P138" s="161">
        <v>44544</v>
      </c>
      <c r="Q138" s="161">
        <v>44564</v>
      </c>
      <c r="R138" s="82">
        <f t="shared" si="38"/>
        <v>7.8431372549019676</v>
      </c>
      <c r="S138" s="162">
        <f>IF(INDEX([1]Historical!$D$7:$D$1229,MATCH(B138,[1]Historical!$B$7:$B$1253,0))=0,"n/a",(INDEX([1]Historical!$C$7:$C$1231,MATCH(B138,[1]Historical!$B$7:$B$1253,0))/INDEX([1]Historical!$D$7:$D$1229,MATCH(B138,[1]Historical!$B$7:$B$1253,0))-1)*100)</f>
        <v>0</v>
      </c>
      <c r="T138" s="162">
        <f>IF(INDEX([1]Historical!$F$7:$F$1222,MATCH(B138,[1]Historical!$B$7:$B$1253,0))=0,"n/a",((INDEX([1]Historical!$C$7:$C$1231,MATCH(B138,[1]Historical!$B$7:$B$1253,0))/INDEX([1]Historical!$F$7:$F$1222,MATCH(B138,[1]Historical!$B$7:$B$1253,0)))^(1/3)-1)*100)</f>
        <v>2.7600024749230068</v>
      </c>
      <c r="U138" s="162">
        <f>IF(INDEX([1]Historical!$H$7:$H$1222,MATCH(B138,[1]Historical!$B$7:$B$1253,0))=0,"n/a",((INDEX([1]Historical!$C$7:$C$1231,MATCH(B138,[1]Historical!$B$7:$B$1253,0))/INDEX([1]Historical!$H$7:$H$1222,MATCH(B138,[1]Historical!$B$7:$B$1253,0)))^(1/5)-1)*100)</f>
        <v>3.2324379535307868</v>
      </c>
      <c r="V138" s="162">
        <f>IF(INDEX([1]Historical!$N$7:$N$1222,MATCH(B138,[1]Historical!$B$7:$B$1253,0))=0,"n/a",((INDEX([1]Historical!$C$7:$C$1231,MATCH(B138,[1]Historical!$B$7:$B$1253,0))/INDEX([1]Historical!$N$7:$N$1222,MATCH(B138,[1]Historical!$B$7:$B$1253,0)))^(1/10)-1)*100)</f>
        <v>5.4495891854766221</v>
      </c>
      <c r="W138" s="163">
        <f t="shared" si="39"/>
        <v>0.5931525925193345</v>
      </c>
      <c r="X138" s="164">
        <f t="shared" si="40"/>
        <v>0.27163344147317542</v>
      </c>
      <c r="Y138" s="180" t="s">
        <v>1812</v>
      </c>
      <c r="Z138" s="157">
        <f t="shared" si="41"/>
        <v>26.442307692307693</v>
      </c>
      <c r="AA138" s="166">
        <f t="shared" si="42"/>
        <v>11.745192307692307</v>
      </c>
      <c r="AB138" s="126">
        <v>12</v>
      </c>
      <c r="AC138" s="167">
        <v>8.32</v>
      </c>
      <c r="AD138" s="167">
        <v>1.91</v>
      </c>
      <c r="AE138" s="167">
        <v>0.45</v>
      </c>
      <c r="AF138" s="167">
        <v>6.12</v>
      </c>
      <c r="AG138" s="167">
        <v>54</v>
      </c>
      <c r="AH138" s="167">
        <v>69.599999999999994</v>
      </c>
      <c r="AI138" s="167">
        <v>-28.9</v>
      </c>
      <c r="AJ138" s="167">
        <v>11.899999999999999</v>
      </c>
      <c r="AK138" s="167">
        <v>6.1400000000000006</v>
      </c>
      <c r="AL138" s="168">
        <v>11990</v>
      </c>
      <c r="AM138" s="169">
        <v>0.6</v>
      </c>
      <c r="AN138" s="167">
        <v>1.1299999999999999</v>
      </c>
      <c r="AO138" s="170">
        <f t="shared" si="43"/>
        <v>-6.2614240226019611</v>
      </c>
      <c r="AP138" s="171">
        <f t="shared" si="44"/>
        <v>5.4837682850903455</v>
      </c>
      <c r="AQ138" s="172">
        <f t="shared" si="45"/>
        <v>78.737022121672013</v>
      </c>
      <c r="AR138" s="157">
        <f>INDEX([1]Historical!$C$7:$C$1231,MATCH(B138,[1]Historical!$B$7:$B$1253,0))*IF(AH138="n/a",1.03,IF(AH138&lt;0,1.01,IF(AH138&gt;10,1.1,(1+AH138/100))))</f>
        <v>2.2440000000000002</v>
      </c>
      <c r="AS138" s="166">
        <f t="shared" si="46"/>
        <v>2.2664400000000002</v>
      </c>
      <c r="AT138" s="166">
        <f t="shared" si="47"/>
        <v>2.4055994159999998</v>
      </c>
      <c r="AU138" s="166">
        <f t="shared" si="47"/>
        <v>2.5533032201423995</v>
      </c>
      <c r="AV138" s="166">
        <f t="shared" si="47"/>
        <v>2.7100760378591424</v>
      </c>
      <c r="AW138" s="157">
        <f t="shared" si="48"/>
        <v>12.179418674001543</v>
      </c>
      <c r="AX138" s="173">
        <f t="shared" si="49"/>
        <v>12.463588491610258</v>
      </c>
      <c r="AY138" s="174">
        <v>0.78</v>
      </c>
      <c r="AZ138" s="169">
        <v>12.879999999999999</v>
      </c>
      <c r="BA138" s="169">
        <v>-19.39</v>
      </c>
      <c r="BB138" s="169">
        <v>-5.89</v>
      </c>
      <c r="BC138" s="169">
        <v>-5.56</v>
      </c>
      <c r="BE138" s="77">
        <v>1999</v>
      </c>
      <c r="BF138" s="77">
        <f t="shared" si="50"/>
        <v>3</v>
      </c>
      <c r="BG138" s="175">
        <v>15.299999999999999</v>
      </c>
      <c r="BH138" t="s">
        <v>939</v>
      </c>
      <c r="BI138" t="s">
        <v>940</v>
      </c>
    </row>
    <row r="139" spans="1:64" ht="11.25" customHeight="1" x14ac:dyDescent="0.2">
      <c r="A139" s="112" t="s">
        <v>1322</v>
      </c>
      <c r="B139" s="153" t="s">
        <v>225</v>
      </c>
      <c r="C139" s="154" t="s">
        <v>90</v>
      </c>
      <c r="D139" s="154" t="s">
        <v>110</v>
      </c>
      <c r="E139" s="155">
        <v>62</v>
      </c>
      <c r="F139" s="298">
        <v>9</v>
      </c>
      <c r="G139" s="298" t="s">
        <v>30</v>
      </c>
      <c r="H139" s="298" t="s">
        <v>30</v>
      </c>
      <c r="I139" s="167">
        <v>103.32</v>
      </c>
      <c r="J139" s="157">
        <f t="shared" si="36"/>
        <v>2.6713124274099882</v>
      </c>
      <c r="K139" s="158">
        <v>0.69</v>
      </c>
      <c r="L139" s="126">
        <v>4</v>
      </c>
      <c r="M139" s="82">
        <f t="shared" si="37"/>
        <v>2.76</v>
      </c>
      <c r="N139" s="159" t="s">
        <v>112</v>
      </c>
      <c r="O139" s="160">
        <v>0.63</v>
      </c>
      <c r="P139" s="161">
        <v>44637</v>
      </c>
      <c r="Q139" s="161">
        <v>44666</v>
      </c>
      <c r="R139" s="82">
        <f t="shared" si="38"/>
        <v>9.5238095238095148</v>
      </c>
      <c r="S139" s="162">
        <f>IF(INDEX([1]Historical!$D$7:$D$1229,MATCH(B139,[1]Historical!$B$7:$B$1253,0))=0,"n/a",(INDEX([1]Historical!$C$7:$C$1231,MATCH(B139,[1]Historical!$B$7:$B$1253,0))/INDEX([1]Historical!$D$7:$D$1229,MATCH(B139,[1]Historical!$B$7:$B$1253,0))-1)*100)</f>
        <v>5.508474576271194</v>
      </c>
      <c r="T139" s="162">
        <f>IF(INDEX([1]Historical!$F$7:$F$1222,MATCH(B139,[1]Historical!$B$7:$B$1253,0))=0,"n/a",((INDEX([1]Historical!$C$7:$C$1231,MATCH(B139,[1]Historical!$B$7:$B$1253,0))/INDEX([1]Historical!$F$7:$F$1222,MATCH(B139,[1]Historical!$B$7:$B$1253,0)))^(1/3)-1)*100)</f>
        <v>6.011021750829304</v>
      </c>
      <c r="U139" s="162">
        <f>IF(INDEX([1]Historical!$H$7:$H$1222,MATCH(B139,[1]Historical!$B$7:$B$1253,0))=0,"n/a",((INDEX([1]Historical!$C$7:$C$1231,MATCH(B139,[1]Historical!$B$7:$B$1253,0))/INDEX([1]Historical!$H$7:$H$1222,MATCH(B139,[1]Historical!$B$7:$B$1253,0)))^(1/5)-1)*100)</f>
        <v>5.5575129527085432</v>
      </c>
      <c r="V139" s="162">
        <f>IF(INDEX([1]Historical!$N$7:$N$1222,MATCH(B139,[1]Historical!$B$7:$B$1253,0))=0,"n/a",((INDEX([1]Historical!$C$7:$C$1231,MATCH(B139,[1]Historical!$B$7:$B$1253,0))/INDEX([1]Historical!$N$7:$N$1222,MATCH(B139,[1]Historical!$B$7:$B$1253,0)))^(1/10)-1)*100)</f>
        <v>4.5057366483393535</v>
      </c>
      <c r="W139" s="163">
        <f t="shared" si="39"/>
        <v>1.2334304879440381</v>
      </c>
      <c r="X139" s="164">
        <f t="shared" si="40"/>
        <v>0.14435098578463748</v>
      </c>
      <c r="Y139" s="214"/>
      <c r="Z139" s="157">
        <f t="shared" si="41"/>
        <v>85.448916408668723</v>
      </c>
      <c r="AA139" s="166">
        <f t="shared" si="42"/>
        <v>31.987616099071204</v>
      </c>
      <c r="AB139" s="126">
        <v>12</v>
      </c>
      <c r="AC139" s="167">
        <v>3.23</v>
      </c>
      <c r="AD139" s="167" t="s">
        <v>95</v>
      </c>
      <c r="AE139" s="167">
        <v>2.2000000000000002</v>
      </c>
      <c r="AF139" s="167">
        <v>1.55</v>
      </c>
      <c r="AG139" s="167">
        <v>4.5999999999999996</v>
      </c>
      <c r="AH139" s="167">
        <v>141.79999999999998</v>
      </c>
      <c r="AI139" s="167">
        <v>17.96</v>
      </c>
      <c r="AJ139" s="167">
        <v>38.5</v>
      </c>
      <c r="AK139" s="167">
        <v>-1.3</v>
      </c>
      <c r="AL139" s="168">
        <v>15730</v>
      </c>
      <c r="AM139" s="169">
        <v>0.4</v>
      </c>
      <c r="AN139" s="167">
        <v>0.08</v>
      </c>
      <c r="AO139" s="170">
        <f t="shared" si="43"/>
        <v>-23.758790718952675</v>
      </c>
      <c r="AP139" s="171">
        <f t="shared" si="44"/>
        <v>8.2288253801185309</v>
      </c>
      <c r="AQ139" s="172">
        <f t="shared" si="45"/>
        <v>48.444984127768677</v>
      </c>
      <c r="AR139" s="157">
        <f>INDEX([1]Historical!$C$7:$C$1231,MATCH(B139,[1]Historical!$B$7:$B$1253,0))*IF(AH139="n/a",1.03,IF(AH139&lt;0,1.01,IF(AH139&gt;10,1.1,(1+AH139/100))))</f>
        <v>2.7390000000000003</v>
      </c>
      <c r="AS139" s="166">
        <f t="shared" si="46"/>
        <v>3.0129000000000006</v>
      </c>
      <c r="AT139" s="166">
        <f t="shared" si="47"/>
        <v>3.0430290000000007</v>
      </c>
      <c r="AU139" s="166">
        <f t="shared" si="47"/>
        <v>3.0734592900000006</v>
      </c>
      <c r="AV139" s="166">
        <f t="shared" si="47"/>
        <v>3.1041938829000006</v>
      </c>
      <c r="AW139" s="157">
        <f t="shared" si="48"/>
        <v>14.972582172900003</v>
      </c>
      <c r="AX139" s="173">
        <f t="shared" si="49"/>
        <v>14.491465517711966</v>
      </c>
      <c r="AY139" s="174">
        <v>0.59</v>
      </c>
      <c r="AZ139" s="169">
        <v>16.54</v>
      </c>
      <c r="BA139" s="169">
        <v>-27.860000000000003</v>
      </c>
      <c r="BB139" s="169">
        <v>5.6000000000000005</v>
      </c>
      <c r="BC139" s="169">
        <v>-10.6</v>
      </c>
      <c r="BE139" s="77">
        <v>1961</v>
      </c>
      <c r="BF139" s="77">
        <f t="shared" si="50"/>
        <v>7</v>
      </c>
      <c r="BG139" s="175">
        <v>1.7999999999999998</v>
      </c>
      <c r="BH139" t="s">
        <v>939</v>
      </c>
      <c r="BI139" t="s">
        <v>940</v>
      </c>
    </row>
    <row r="140" spans="1:64" ht="11.25" customHeight="1" x14ac:dyDescent="0.2">
      <c r="A140" s="205" t="s">
        <v>1323</v>
      </c>
      <c r="B140" s="153" t="s">
        <v>716</v>
      </c>
      <c r="C140" s="154" t="s">
        <v>90</v>
      </c>
      <c r="D140" s="154" t="s">
        <v>969</v>
      </c>
      <c r="E140" s="155">
        <v>11</v>
      </c>
      <c r="F140" s="298">
        <v>389</v>
      </c>
      <c r="G140" s="298" t="s">
        <v>88</v>
      </c>
      <c r="H140" s="298" t="s">
        <v>88</v>
      </c>
      <c r="I140" s="156">
        <v>23.7</v>
      </c>
      <c r="J140" s="157">
        <f t="shared" si="36"/>
        <v>2.3628691983122363</v>
      </c>
      <c r="K140" s="158">
        <v>0.14000000000000001</v>
      </c>
      <c r="L140" s="126">
        <v>4</v>
      </c>
      <c r="M140" s="82">
        <f t="shared" si="37"/>
        <v>0.56000000000000005</v>
      </c>
      <c r="N140" s="159" t="s">
        <v>201</v>
      </c>
      <c r="O140" s="160">
        <v>0.12</v>
      </c>
      <c r="P140" s="182">
        <v>44396</v>
      </c>
      <c r="Q140" s="182">
        <v>44410</v>
      </c>
      <c r="R140" s="82">
        <f t="shared" si="38"/>
        <v>16.666666666666682</v>
      </c>
      <c r="S140" s="162">
        <f>IF(INDEX([1]Historical!$D$7:$D$1229,MATCH(B140,[1]Historical!$B$7:$B$1253,0))=0,"n/a",(INDEX([1]Historical!$C$7:$C$1231,MATCH(B140,[1]Historical!$B$7:$B$1253,0))/INDEX([1]Historical!$D$7:$D$1229,MATCH(B140,[1]Historical!$B$7:$B$1253,0))-1)*100)</f>
        <v>18.181818181818187</v>
      </c>
      <c r="T140" s="162">
        <f>IF(INDEX([1]Historical!$F$7:$F$1222,MATCH(B140,[1]Historical!$B$7:$B$1253,0))=0,"n/a",((INDEX([1]Historical!$C$7:$C$1231,MATCH(B140,[1]Historical!$B$7:$B$1253,0))/INDEX([1]Historical!$F$7:$F$1222,MATCH(B140,[1]Historical!$B$7:$B$1253,0)))^(1/3)-1)*100)</f>
        <v>17.566734386037886</v>
      </c>
      <c r="U140" s="162">
        <f>IF(INDEX([1]Historical!$H$7:$H$1222,MATCH(B140,[1]Historical!$B$7:$B$1253,0))=0,"n/a",((INDEX([1]Historical!$C$7:$C$1231,MATCH(B140,[1]Historical!$B$7:$B$1253,0))/INDEX([1]Historical!$H$7:$H$1222,MATCH(B140,[1]Historical!$B$7:$B$1253,0)))^(1/5)-1)*100)</f>
        <v>18.772564182493777</v>
      </c>
      <c r="V140" s="162">
        <f>IF(INDEX([1]Historical!$N$7:$N$1222,MATCH(B140,[1]Historical!$B$7:$B$1253,0))=0,"n/a",((INDEX([1]Historical!$C$7:$C$1231,MATCH(B140,[1]Historical!$B$7:$B$1253,0))/INDEX([1]Historical!$N$7:$N$1222,MATCH(B140,[1]Historical!$B$7:$B$1253,0)))^(1/10)-1)*100)</f>
        <v>33.011199172252816</v>
      </c>
      <c r="W140" s="163">
        <f t="shared" si="39"/>
        <v>0.56867259152078431</v>
      </c>
      <c r="X140" s="164">
        <f t="shared" si="40"/>
        <v>1.7382003872679423</v>
      </c>
      <c r="Y140" s="180"/>
      <c r="Z140" s="157">
        <f t="shared" si="41"/>
        <v>22.764227642276424</v>
      </c>
      <c r="AA140" s="166">
        <f t="shared" si="42"/>
        <v>9.6341463414634152</v>
      </c>
      <c r="AB140" s="126">
        <v>12</v>
      </c>
      <c r="AC140" s="167">
        <v>2.46</v>
      </c>
      <c r="AD140" s="167">
        <v>1.19</v>
      </c>
      <c r="AE140" s="167">
        <v>3.44</v>
      </c>
      <c r="AF140" s="167">
        <v>1.1299999999999999</v>
      </c>
      <c r="AG140" s="167">
        <v>11.4</v>
      </c>
      <c r="AH140" s="167">
        <v>31.8</v>
      </c>
      <c r="AI140" s="167">
        <v>21.85</v>
      </c>
      <c r="AJ140" s="167">
        <v>10.8</v>
      </c>
      <c r="AK140" s="167">
        <v>8</v>
      </c>
      <c r="AL140" s="168">
        <v>347.64</v>
      </c>
      <c r="AM140" s="169">
        <v>0.89999999999999991</v>
      </c>
      <c r="AN140" s="167">
        <v>0.34</v>
      </c>
      <c r="AO140" s="170">
        <f t="shared" si="43"/>
        <v>11.501287039342598</v>
      </c>
      <c r="AP140" s="171">
        <f t="shared" si="44"/>
        <v>21.135433380806013</v>
      </c>
      <c r="AQ140" s="172">
        <f t="shared" si="45"/>
        <v>-30.440799423628739</v>
      </c>
      <c r="AR140" s="157">
        <f>INDEX([1]Historical!$C$7:$C$1231,MATCH(B140,[1]Historical!$B$7:$B$1253,0))*IF(AH140="n/a",1.03,IF(AH140&lt;0,1.01,IF(AH140&gt;10,1.1,(1+AH140/100))))</f>
        <v>0.57200000000000006</v>
      </c>
      <c r="AS140" s="166">
        <f t="shared" si="46"/>
        <v>0.62920000000000009</v>
      </c>
      <c r="AT140" s="166">
        <f t="shared" si="47"/>
        <v>0.67953600000000014</v>
      </c>
      <c r="AU140" s="166">
        <f t="shared" si="47"/>
        <v>0.73389888000000025</v>
      </c>
      <c r="AV140" s="166">
        <f t="shared" si="47"/>
        <v>0.79261079040000038</v>
      </c>
      <c r="AW140" s="157">
        <f t="shared" si="48"/>
        <v>3.4072456704000009</v>
      </c>
      <c r="AX140" s="173">
        <f t="shared" si="49"/>
        <v>14.376564010126586</v>
      </c>
      <c r="AY140" s="174">
        <v>0.79</v>
      </c>
      <c r="AZ140" s="169">
        <v>17.91</v>
      </c>
      <c r="BA140" s="169">
        <v>-8.64</v>
      </c>
      <c r="BB140" s="169">
        <v>10.8</v>
      </c>
      <c r="BC140" s="169">
        <v>6.3100000000000005</v>
      </c>
      <c r="BE140" s="77">
        <v>2011</v>
      </c>
      <c r="BF140" s="77">
        <f t="shared" si="50"/>
        <v>1</v>
      </c>
      <c r="BG140" s="175">
        <v>1.2</v>
      </c>
      <c r="BH140" t="s">
        <v>939</v>
      </c>
      <c r="BI140" t="s">
        <v>940</v>
      </c>
    </row>
    <row r="141" spans="1:64" ht="11.25" customHeight="1" x14ac:dyDescent="0.2">
      <c r="A141" s="112" t="s">
        <v>1324</v>
      </c>
      <c r="B141" s="153" t="s">
        <v>234</v>
      </c>
      <c r="C141" s="154" t="s">
        <v>127</v>
      </c>
      <c r="D141" s="154" t="s">
        <v>1018</v>
      </c>
      <c r="E141" s="155">
        <v>59</v>
      </c>
      <c r="F141" s="298">
        <v>14</v>
      </c>
      <c r="G141" s="298" t="s">
        <v>104</v>
      </c>
      <c r="H141" s="298" t="s">
        <v>104</v>
      </c>
      <c r="I141" s="167">
        <v>73.84</v>
      </c>
      <c r="J141" s="157">
        <f t="shared" si="36"/>
        <v>2.5460455037919822</v>
      </c>
      <c r="K141" s="158">
        <v>0.47</v>
      </c>
      <c r="L141" s="126">
        <v>4</v>
      </c>
      <c r="M141" s="82">
        <f t="shared" si="37"/>
        <v>1.88</v>
      </c>
      <c r="N141" s="159" t="s">
        <v>89</v>
      </c>
      <c r="O141" s="160">
        <v>0.45</v>
      </c>
      <c r="P141" s="161">
        <v>44671</v>
      </c>
      <c r="Q141" s="161">
        <v>44694</v>
      </c>
      <c r="R141" s="82">
        <f t="shared" si="38"/>
        <v>4.4444444444444366</v>
      </c>
      <c r="S141" s="162">
        <f>IF(INDEX([1]Historical!$D$7:$D$1229,MATCH(B141,[1]Historical!$B$7:$B$1253,0))=0,"n/a",(INDEX([1]Historical!$C$7:$C$1231,MATCH(B141,[1]Historical!$B$7:$B$1253,0))/INDEX([1]Historical!$D$7:$D$1229,MATCH(B141,[1]Historical!$B$7:$B$1253,0))-1)*100)</f>
        <v>2.2857142857142909</v>
      </c>
      <c r="T141" s="162">
        <f>IF(INDEX([1]Historical!$F$7:$F$1222,MATCH(B141,[1]Historical!$B$7:$B$1253,0))=0,"n/a",((INDEX([1]Historical!$C$7:$C$1231,MATCH(B141,[1]Historical!$B$7:$B$1253,0))/INDEX([1]Historical!$F$7:$F$1222,MATCH(B141,[1]Historical!$B$7:$B$1253,0)))^(1/3)-1)*100)</f>
        <v>2.5451160663553463</v>
      </c>
      <c r="U141" s="162">
        <f>IF(INDEX([1]Historical!$H$7:$H$1222,MATCH(B141,[1]Historical!$B$7:$B$1253,0))=0,"n/a",((INDEX([1]Historical!$C$7:$C$1231,MATCH(B141,[1]Historical!$B$7:$B$1253,0))/INDEX([1]Historical!$H$7:$H$1222,MATCH(B141,[1]Historical!$B$7:$B$1253,0)))^(1/5)-1)*100)</f>
        <v>2.921063823550818</v>
      </c>
      <c r="V141" s="162">
        <f>IF(INDEX([1]Historical!$N$7:$N$1222,MATCH(B141,[1]Historical!$B$7:$B$1253,0))=0,"n/a",((INDEX([1]Historical!$C$7:$C$1231,MATCH(B141,[1]Historical!$B$7:$B$1253,0))/INDEX([1]Historical!$N$7:$N$1222,MATCH(B141,[1]Historical!$B$7:$B$1253,0)))^(1/10)-1)*100)</f>
        <v>4.6612017063164535</v>
      </c>
      <c r="W141" s="163">
        <f t="shared" si="39"/>
        <v>0.62667612508432047</v>
      </c>
      <c r="X141" s="164" t="str">
        <f t="shared" si="40"/>
        <v>n/a</v>
      </c>
      <c r="Y141" s="212"/>
      <c r="Z141" s="157">
        <f t="shared" si="41"/>
        <v>81.385281385281388</v>
      </c>
      <c r="AA141" s="166">
        <f t="shared" si="42"/>
        <v>31.965367965367967</v>
      </c>
      <c r="AB141" s="126">
        <v>12</v>
      </c>
      <c r="AC141" s="167">
        <v>2.31</v>
      </c>
      <c r="AD141" s="167">
        <v>11.96</v>
      </c>
      <c r="AE141" s="167">
        <v>3.45</v>
      </c>
      <c r="AF141" s="179">
        <v>100.86</v>
      </c>
      <c r="AG141" s="235">
        <v>448.4</v>
      </c>
      <c r="AH141" s="167">
        <v>-18.600000000000001</v>
      </c>
      <c r="AI141" s="167">
        <v>7.35</v>
      </c>
      <c r="AJ141" s="167">
        <v>-1.2</v>
      </c>
      <c r="AK141" s="167">
        <v>2.71</v>
      </c>
      <c r="AL141" s="168">
        <v>61080</v>
      </c>
      <c r="AM141" s="169">
        <v>0.1</v>
      </c>
      <c r="AN141" s="179">
        <v>13.26</v>
      </c>
      <c r="AO141" s="170">
        <f t="shared" si="43"/>
        <v>-26.498258638025167</v>
      </c>
      <c r="AP141" s="171">
        <f t="shared" si="44"/>
        <v>5.4671093273428006</v>
      </c>
      <c r="AQ141" s="172">
        <f t="shared" si="45"/>
        <v>1097.0383847901014</v>
      </c>
      <c r="AR141" s="157">
        <f>INDEX([1]Historical!$C$7:$C$1231,MATCH(B141,[1]Historical!$B$7:$B$1253,0))*IF(AH141="n/a",1.03,IF(AH141&lt;0,1.01,IF(AH141&gt;10,1.1,(1+AH141/100))))</f>
        <v>1.8079000000000001</v>
      </c>
      <c r="AS141" s="166">
        <f t="shared" si="46"/>
        <v>1.9407806499999998</v>
      </c>
      <c r="AT141" s="166">
        <f t="shared" si="47"/>
        <v>1.9933758056149995</v>
      </c>
      <c r="AU141" s="166">
        <f t="shared" si="47"/>
        <v>2.0473962899471658</v>
      </c>
      <c r="AV141" s="166">
        <f t="shared" si="47"/>
        <v>2.1028807294047338</v>
      </c>
      <c r="AW141" s="157">
        <f t="shared" si="48"/>
        <v>9.8923334749669003</v>
      </c>
      <c r="AX141" s="173">
        <f t="shared" si="49"/>
        <v>13.396984662739571</v>
      </c>
      <c r="AY141" s="174">
        <v>0.51</v>
      </c>
      <c r="AZ141" s="169">
        <v>8.84</v>
      </c>
      <c r="BA141" s="169">
        <v>-13.750000000000002</v>
      </c>
      <c r="BB141" s="169">
        <v>-1.29</v>
      </c>
      <c r="BC141" s="169">
        <v>-4.91</v>
      </c>
      <c r="BE141" s="77">
        <v>1964</v>
      </c>
      <c r="BF141" s="77">
        <f t="shared" si="50"/>
        <v>7</v>
      </c>
      <c r="BG141" s="175">
        <v>12.3</v>
      </c>
      <c r="BH141" t="s">
        <v>939</v>
      </c>
      <c r="BI141" t="s">
        <v>940</v>
      </c>
    </row>
    <row r="142" spans="1:64" ht="11.25" customHeight="1" x14ac:dyDescent="0.2">
      <c r="A142" s="112" t="s">
        <v>1325</v>
      </c>
      <c r="B142" s="153" t="s">
        <v>228</v>
      </c>
      <c r="C142" s="154" t="s">
        <v>127</v>
      </c>
      <c r="D142" s="154" t="s">
        <v>1018</v>
      </c>
      <c r="E142" s="155">
        <v>45</v>
      </c>
      <c r="F142" s="298">
        <v>62</v>
      </c>
      <c r="G142" s="298" t="s">
        <v>30</v>
      </c>
      <c r="H142" s="298" t="s">
        <v>104</v>
      </c>
      <c r="I142" s="167">
        <v>146.04</v>
      </c>
      <c r="J142" s="157">
        <f t="shared" si="36"/>
        <v>3.2319912352780062</v>
      </c>
      <c r="K142" s="158">
        <v>1.18</v>
      </c>
      <c r="L142" s="126">
        <v>4</v>
      </c>
      <c r="M142" s="82">
        <f t="shared" si="37"/>
        <v>4.72</v>
      </c>
      <c r="N142" s="159" t="s">
        <v>403</v>
      </c>
      <c r="O142" s="160">
        <v>1.1599999999999999</v>
      </c>
      <c r="P142" s="161">
        <v>44768</v>
      </c>
      <c r="Q142" s="161">
        <v>44785</v>
      </c>
      <c r="R142" s="82">
        <f t="shared" si="38"/>
        <v>1.7241379310344844</v>
      </c>
      <c r="S142" s="162">
        <f>IF(INDEX([1]Historical!$D$7:$D$1229,MATCH(B142,[1]Historical!$B$7:$B$1253,0))=0,"n/a",(INDEX([1]Historical!$C$7:$C$1231,MATCH(B142,[1]Historical!$B$7:$B$1253,0))/INDEX([1]Historical!$D$7:$D$1229,MATCH(B142,[1]Historical!$B$7:$B$1253,0))-1)*100)</f>
        <v>4.6082949308755783</v>
      </c>
      <c r="T142" s="162">
        <f>IF(INDEX([1]Historical!$F$7:$F$1222,MATCH(B142,[1]Historical!$B$7:$B$1253,0))=0,"n/a",((INDEX([1]Historical!$C$7:$C$1231,MATCH(B142,[1]Historical!$B$7:$B$1253,0))/INDEX([1]Historical!$F$7:$F$1222,MATCH(B142,[1]Historical!$B$7:$B$1253,0)))^(1/3)-1)*100)</f>
        <v>6.8655284433581709</v>
      </c>
      <c r="U142" s="162">
        <f>IF(INDEX([1]Historical!$H$7:$H$1222,MATCH(B142,[1]Historical!$B$7:$B$1253,0))=0,"n/a",((INDEX([1]Historical!$C$7:$C$1231,MATCH(B142,[1]Historical!$B$7:$B$1253,0))/INDEX([1]Historical!$H$7:$H$1222,MATCH(B142,[1]Historical!$B$7:$B$1253,0)))^(1/5)-1)*100)</f>
        <v>7.6527779014981867</v>
      </c>
      <c r="V142" s="162">
        <f>IF(INDEX([1]Historical!$N$7:$N$1222,MATCH(B142,[1]Historical!$B$7:$B$1253,0))=0,"n/a",((INDEX([1]Historical!$C$7:$C$1231,MATCH(B142,[1]Historical!$B$7:$B$1253,0))/INDEX([1]Historical!$N$7:$N$1222,MATCH(B142,[1]Historical!$B$7:$B$1253,0)))^(1/10)-1)*100)</f>
        <v>7.0367223269633961</v>
      </c>
      <c r="W142" s="163">
        <f t="shared" si="39"/>
        <v>1.0875486548864066</v>
      </c>
      <c r="X142" s="164" t="str">
        <f t="shared" si="40"/>
        <v>n/a</v>
      </c>
      <c r="Y142" s="212"/>
      <c r="Z142" s="157">
        <f t="shared" si="41"/>
        <v>126.54155495978551</v>
      </c>
      <c r="AA142" s="166">
        <f t="shared" si="42"/>
        <v>39.152815013404826</v>
      </c>
      <c r="AB142" s="126">
        <v>6</v>
      </c>
      <c r="AC142" s="167">
        <v>3.73</v>
      </c>
      <c r="AD142" s="167">
        <v>3.13</v>
      </c>
      <c r="AE142" s="167">
        <v>2.48</v>
      </c>
      <c r="AF142" s="179">
        <v>32.85</v>
      </c>
      <c r="AG142" s="179">
        <v>112.9</v>
      </c>
      <c r="AH142" s="167">
        <v>-33.1</v>
      </c>
      <c r="AI142" s="167">
        <v>27.79</v>
      </c>
      <c r="AJ142" s="167">
        <v>-6.9</v>
      </c>
      <c r="AK142" s="167">
        <v>12.709999999999999</v>
      </c>
      <c r="AL142" s="168">
        <v>17650</v>
      </c>
      <c r="AM142" s="169">
        <v>0.1</v>
      </c>
      <c r="AN142" s="179">
        <v>4.88</v>
      </c>
      <c r="AO142" s="170">
        <f t="shared" si="43"/>
        <v>-28.268045876628634</v>
      </c>
      <c r="AP142" s="171">
        <f t="shared" si="44"/>
        <v>10.884769136776193</v>
      </c>
      <c r="AQ142" s="172">
        <f t="shared" si="45"/>
        <v>656.0628936773121</v>
      </c>
      <c r="AR142" s="157">
        <f>INDEX([1]Historical!$C$7:$C$1231,MATCH(B142,[1]Historical!$B$7:$B$1253,0))*IF(AH142="n/a",1.03,IF(AH142&lt;0,1.01,IF(AH142&gt;10,1.1,(1+AH142/100))))</f>
        <v>4.5853999999999999</v>
      </c>
      <c r="AS142" s="166">
        <f t="shared" si="46"/>
        <v>5.0439400000000001</v>
      </c>
      <c r="AT142" s="166">
        <f t="shared" si="47"/>
        <v>5.5483340000000005</v>
      </c>
      <c r="AU142" s="166">
        <f t="shared" si="47"/>
        <v>6.1031674000000011</v>
      </c>
      <c r="AV142" s="166">
        <f t="shared" si="47"/>
        <v>6.713484140000002</v>
      </c>
      <c r="AW142" s="157">
        <f t="shared" si="48"/>
        <v>27.994325540000002</v>
      </c>
      <c r="AX142" s="173">
        <f t="shared" si="49"/>
        <v>19.168943809915095</v>
      </c>
      <c r="AY142" s="174">
        <v>0.27</v>
      </c>
      <c r="AZ142" s="169">
        <v>21.2</v>
      </c>
      <c r="BA142" s="169">
        <v>-21.85</v>
      </c>
      <c r="BB142" s="169">
        <v>4.72</v>
      </c>
      <c r="BC142" s="169">
        <v>1.25</v>
      </c>
      <c r="BE142" s="77">
        <v>1978</v>
      </c>
      <c r="BF142" s="77">
        <f t="shared" si="50"/>
        <v>5</v>
      </c>
      <c r="BG142" s="175">
        <v>7.3999999999999995</v>
      </c>
      <c r="BH142" t="s">
        <v>939</v>
      </c>
      <c r="BI142" t="s">
        <v>940</v>
      </c>
    </row>
    <row r="143" spans="1:64" ht="11.25" customHeight="1" x14ac:dyDescent="0.2">
      <c r="A143" s="205" t="s">
        <v>1798</v>
      </c>
      <c r="B143" s="153" t="s">
        <v>1799</v>
      </c>
      <c r="C143" s="154" t="s">
        <v>90</v>
      </c>
      <c r="D143" s="154" t="s">
        <v>969</v>
      </c>
      <c r="E143" s="155">
        <v>7</v>
      </c>
      <c r="F143" s="298">
        <v>632</v>
      </c>
      <c r="G143" s="298" t="s">
        <v>88</v>
      </c>
      <c r="H143" s="298" t="s">
        <v>88</v>
      </c>
      <c r="I143" s="156">
        <v>45.41</v>
      </c>
      <c r="J143" s="157">
        <f t="shared" si="36"/>
        <v>5.7159216031711084</v>
      </c>
      <c r="K143" s="158">
        <v>0.64890000000000003</v>
      </c>
      <c r="L143" s="126">
        <v>4</v>
      </c>
      <c r="M143" s="82">
        <f t="shared" si="37"/>
        <v>2.5956000000000001</v>
      </c>
      <c r="N143" s="159" t="s">
        <v>1797</v>
      </c>
      <c r="O143" s="160">
        <v>0.62839999999999996</v>
      </c>
      <c r="P143" s="161">
        <v>44739</v>
      </c>
      <c r="Q143" s="161">
        <v>44770</v>
      </c>
      <c r="R143" s="82">
        <f t="shared" si="38"/>
        <v>3.2622533418205082</v>
      </c>
      <c r="S143" s="162">
        <f>IF(INDEX([1]Historical!$D$7:$D$1229,MATCH(B143,[1]Historical!$B$7:$B$1253,0))=0,"n/a",(INDEX([1]Historical!$C$7:$C$1231,MATCH(B143,[1]Historical!$B$7:$B$1253,0))/INDEX([1]Historical!$D$7:$D$1229,MATCH(B143,[1]Historical!$B$7:$B$1253,0))-1)*100)</f>
        <v>8.0599310280548018</v>
      </c>
      <c r="T143" s="162">
        <f>IF(INDEX([1]Historical!$F$7:$F$1222,MATCH(B143,[1]Historical!$B$7:$B$1253,0))=0,"n/a",((INDEX([1]Historical!$C$7:$C$1231,MATCH(B143,[1]Historical!$B$7:$B$1253,0))/INDEX([1]Historical!$F$7:$F$1222,MATCH(B143,[1]Historical!$B$7:$B$1253,0)))^(1/3)-1)*100)</f>
        <v>4.1511975331302908</v>
      </c>
      <c r="U143" s="162">
        <f>IF(INDEX([1]Historical!$H$7:$H$1222,MATCH(B143,[1]Historical!$B$7:$B$1253,0))=0,"n/a",((INDEX([1]Historical!$C$7:$C$1231,MATCH(B143,[1]Historical!$B$7:$B$1253,0))/INDEX([1]Historical!$H$7:$H$1222,MATCH(B143,[1]Historical!$B$7:$B$1253,0)))^(1/5)-1)*100)</f>
        <v>5.3653196116097313</v>
      </c>
      <c r="V143" s="162">
        <f>IF(INDEX([1]Historical!$N$7:$N$1222,MATCH(B143,[1]Historical!$B$7:$B$1253,0))=0,"n/a",((INDEX([1]Historical!$C$7:$C$1231,MATCH(B143,[1]Historical!$B$7:$B$1253,0))/INDEX([1]Historical!$N$7:$N$1222,MATCH(B143,[1]Historical!$B$7:$B$1253,0)))^(1/10)-1)*100)</f>
        <v>2.8417359427913125</v>
      </c>
      <c r="W143" s="163">
        <f t="shared" si="39"/>
        <v>1.8880429848593228</v>
      </c>
      <c r="X143" s="164">
        <f t="shared" si="40"/>
        <v>0.9935777058536539</v>
      </c>
      <c r="Y143" s="180" t="s">
        <v>1794</v>
      </c>
      <c r="Z143" s="157">
        <f t="shared" si="41"/>
        <v>50.596491228070185</v>
      </c>
      <c r="AA143" s="166">
        <f t="shared" si="42"/>
        <v>8.8518518518518512</v>
      </c>
      <c r="AB143" s="126">
        <v>10</v>
      </c>
      <c r="AC143" s="167">
        <v>5.13</v>
      </c>
      <c r="AD143" s="167">
        <v>2.1</v>
      </c>
      <c r="AE143" s="167">
        <v>3.12</v>
      </c>
      <c r="AF143" s="167">
        <v>1.25</v>
      </c>
      <c r="AG143" s="167">
        <v>14.7</v>
      </c>
      <c r="AH143" s="167">
        <v>69.399999999999991</v>
      </c>
      <c r="AI143" s="167">
        <v>1</v>
      </c>
      <c r="AJ143" s="167">
        <v>5.4</v>
      </c>
      <c r="AK143" s="167">
        <v>4.2</v>
      </c>
      <c r="AL143" s="168">
        <v>40720</v>
      </c>
      <c r="AM143" s="169">
        <v>0.05</v>
      </c>
      <c r="AN143" s="167">
        <v>0.14000000000000001</v>
      </c>
      <c r="AO143" s="170">
        <f t="shared" si="43"/>
        <v>2.2293893629289876</v>
      </c>
      <c r="AP143" s="171">
        <f t="shared" si="44"/>
        <v>11.081241214780839</v>
      </c>
      <c r="AQ143" s="172">
        <f t="shared" si="45"/>
        <v>-29.87371767125375</v>
      </c>
      <c r="AR143" s="157">
        <f>INDEX([1]Historical!$C$7:$C$1231,MATCH(B143,[1]Historical!$B$7:$B$1253,0))*IF(AH143="n/a",1.03,IF(AH143&lt;0,1.01,IF(AH143&gt;10,1.1,(1+AH143/100))))</f>
        <v>5.1012500000000003</v>
      </c>
      <c r="AS143" s="166">
        <f t="shared" si="46"/>
        <v>5.1522625</v>
      </c>
      <c r="AT143" s="166">
        <f t="shared" si="47"/>
        <v>5.3686575250000006</v>
      </c>
      <c r="AU143" s="166">
        <f t="shared" si="47"/>
        <v>5.5941411410500006</v>
      </c>
      <c r="AV143" s="166">
        <f t="shared" si="47"/>
        <v>5.8290950689741008</v>
      </c>
      <c r="AW143" s="157">
        <f t="shared" si="48"/>
        <v>27.0454062350241</v>
      </c>
      <c r="AX143" s="173">
        <f t="shared" si="49"/>
        <v>59.558260812649422</v>
      </c>
      <c r="AY143" s="174">
        <v>1</v>
      </c>
      <c r="AZ143" s="169">
        <v>14.330000000000002</v>
      </c>
      <c r="BA143" s="169">
        <v>-31.45</v>
      </c>
      <c r="BB143" s="169">
        <v>-1.27</v>
      </c>
      <c r="BC143" s="169">
        <v>-15.809999999999999</v>
      </c>
      <c r="BE143" s="77">
        <v>2016</v>
      </c>
      <c r="BF143" s="77">
        <f t="shared" si="50"/>
        <v>1</v>
      </c>
      <c r="BG143" s="175">
        <v>0.70000000000000007</v>
      </c>
      <c r="BH143" t="s">
        <v>1023</v>
      </c>
      <c r="BI143" t="s">
        <v>940</v>
      </c>
      <c r="BJ143" s="112"/>
      <c r="BK143" s="112"/>
      <c r="BL143" s="112"/>
    </row>
    <row r="144" spans="1:64" ht="11.25" customHeight="1" x14ac:dyDescent="0.2">
      <c r="A144" s="176" t="s">
        <v>1326</v>
      </c>
      <c r="B144" s="153" t="s">
        <v>237</v>
      </c>
      <c r="C144" s="154" t="s">
        <v>981</v>
      </c>
      <c r="D144" s="154" t="s">
        <v>238</v>
      </c>
      <c r="E144" s="155">
        <v>15</v>
      </c>
      <c r="F144" s="298">
        <v>252</v>
      </c>
      <c r="G144" s="298" t="s">
        <v>88</v>
      </c>
      <c r="H144" s="298" t="s">
        <v>88</v>
      </c>
      <c r="I144" s="156">
        <v>31.74</v>
      </c>
      <c r="J144" s="157">
        <f t="shared" si="36"/>
        <v>3.4026465028355393</v>
      </c>
      <c r="K144" s="158">
        <v>0.27</v>
      </c>
      <c r="L144" s="126">
        <v>4</v>
      </c>
      <c r="M144" s="82">
        <f t="shared" si="37"/>
        <v>1.08</v>
      </c>
      <c r="N144" s="159" t="s">
        <v>662</v>
      </c>
      <c r="O144" s="160">
        <v>0.25</v>
      </c>
      <c r="P144" s="161">
        <v>44656</v>
      </c>
      <c r="Q144" s="161">
        <v>44678</v>
      </c>
      <c r="R144" s="82">
        <f t="shared" si="38"/>
        <v>8.0000000000000071</v>
      </c>
      <c r="S144" s="162">
        <f>IF(INDEX([1]Historical!$D$7:$D$1229,MATCH(B144,[1]Historical!$B$7:$B$1253,0))=0,"n/a",(INDEX([1]Historical!$C$7:$C$1231,MATCH(B144,[1]Historical!$B$7:$B$1253,0))/INDEX([1]Historical!$D$7:$D$1229,MATCH(B144,[1]Historical!$B$7:$B$1253,0))-1)*100)</f>
        <v>8.8888888888888786</v>
      </c>
      <c r="T144" s="162">
        <f>IF(INDEX([1]Historical!$F$7:$F$1222,MATCH(B144,[1]Historical!$B$7:$B$1253,0))=0,"n/a",((INDEX([1]Historical!$C$7:$C$1231,MATCH(B144,[1]Historical!$B$7:$B$1253,0))/INDEX([1]Historical!$F$7:$F$1222,MATCH(B144,[1]Historical!$B$7:$B$1253,0)))^(1/3)-1)*100)</f>
        <v>10.441176906353157</v>
      </c>
      <c r="U144" s="162">
        <f>IF(INDEX([1]Historical!$H$7:$H$1222,MATCH(B144,[1]Historical!$B$7:$B$1253,0))=0,"n/a",((INDEX([1]Historical!$C$7:$C$1231,MATCH(B144,[1]Historical!$B$7:$B$1253,0))/INDEX([1]Historical!$H$7:$H$1222,MATCH(B144,[1]Historical!$B$7:$B$1253,0)))^(1/5)-1)*100)</f>
        <v>12.763752949200246</v>
      </c>
      <c r="V144" s="162">
        <f>IF(INDEX([1]Historical!$N$7:$N$1222,MATCH(B144,[1]Historical!$B$7:$B$1253,0))=0,"n/a",((INDEX([1]Historical!$C$7:$C$1231,MATCH(B144,[1]Historical!$B$7:$B$1253,0))/INDEX([1]Historical!$N$7:$N$1222,MATCH(B144,[1]Historical!$B$7:$B$1253,0)))^(1/10)-1)*100)</f>
        <v>16.312662159614067</v>
      </c>
      <c r="W144" s="163">
        <f t="shared" si="39"/>
        <v>0.7824445099341294</v>
      </c>
      <c r="X144" s="164">
        <f t="shared" si="40"/>
        <v>1.1295356592212606</v>
      </c>
      <c r="Y144" s="165"/>
      <c r="Z144" s="157">
        <f t="shared" si="41"/>
        <v>93.913043478260889</v>
      </c>
      <c r="AA144" s="166">
        <f t="shared" si="42"/>
        <v>27.6</v>
      </c>
      <c r="AB144" s="126">
        <v>12</v>
      </c>
      <c r="AC144" s="167">
        <v>1.1499999999999999</v>
      </c>
      <c r="AD144" s="167">
        <v>3.08</v>
      </c>
      <c r="AE144" s="167">
        <v>1.1599999999999999</v>
      </c>
      <c r="AF144" s="167">
        <v>1.74</v>
      </c>
      <c r="AG144" s="167">
        <v>6</v>
      </c>
      <c r="AH144" s="167">
        <v>33.5</v>
      </c>
      <c r="AI144" s="167">
        <v>6.17</v>
      </c>
      <c r="AJ144" s="167">
        <v>11.3</v>
      </c>
      <c r="AK144" s="167">
        <v>9.02</v>
      </c>
      <c r="AL144" s="168">
        <v>141090</v>
      </c>
      <c r="AM144" s="169">
        <v>0.69</v>
      </c>
      <c r="AN144" s="167">
        <v>1.22</v>
      </c>
      <c r="AO144" s="170">
        <f t="shared" si="43"/>
        <v>-11.433600547964218</v>
      </c>
      <c r="AP144" s="171">
        <f t="shared" si="44"/>
        <v>16.166399452035783</v>
      </c>
      <c r="AQ144" s="172">
        <f t="shared" si="45"/>
        <v>46.095858941997413</v>
      </c>
      <c r="AR144" s="157">
        <f>INDEX([1]Historical!$C$7:$C$1231,MATCH(B144,[1]Historical!$B$7:$B$1253,0))*IF(AH144="n/a",1.03,IF(AH144&lt;0,1.01,IF(AH144&gt;10,1.1,(1+AH144/100))))</f>
        <v>1.0780000000000001</v>
      </c>
      <c r="AS144" s="166">
        <f t="shared" si="46"/>
        <v>1.1445126000000001</v>
      </c>
      <c r="AT144" s="166">
        <f t="shared" si="47"/>
        <v>1.2477476365200002</v>
      </c>
      <c r="AU144" s="166">
        <f t="shared" si="47"/>
        <v>1.3602944733341042</v>
      </c>
      <c r="AV144" s="166">
        <f t="shared" si="47"/>
        <v>1.4829930348288405</v>
      </c>
      <c r="AW144" s="157">
        <f t="shared" si="48"/>
        <v>6.3135477446829453</v>
      </c>
      <c r="AX144" s="173">
        <f t="shared" si="49"/>
        <v>19.891454772157989</v>
      </c>
      <c r="AY144" s="174">
        <v>1</v>
      </c>
      <c r="AZ144" s="169">
        <v>11.799999999999999</v>
      </c>
      <c r="BA144" s="169">
        <v>-41.86</v>
      </c>
      <c r="BB144" s="169">
        <v>-3.49</v>
      </c>
      <c r="BC144" s="169">
        <v>-22.99</v>
      </c>
      <c r="BE144" s="77">
        <v>2008</v>
      </c>
      <c r="BF144" s="77">
        <f t="shared" si="50"/>
        <v>2</v>
      </c>
      <c r="BG144" s="175">
        <v>2</v>
      </c>
      <c r="BH144" t="s">
        <v>939</v>
      </c>
      <c r="BI144" t="s">
        <v>940</v>
      </c>
    </row>
    <row r="145" spans="1:64" s="252" customFormat="1" ht="11.25" customHeight="1" x14ac:dyDescent="0.2">
      <c r="A145" s="322" t="s">
        <v>611</v>
      </c>
      <c r="B145" s="245" t="s">
        <v>610</v>
      </c>
      <c r="C145" s="154" t="s">
        <v>90</v>
      </c>
      <c r="D145" s="154" t="s">
        <v>972</v>
      </c>
      <c r="E145" s="185">
        <v>12</v>
      </c>
      <c r="F145" s="298">
        <v>345</v>
      </c>
      <c r="G145" s="297" t="s">
        <v>88</v>
      </c>
      <c r="H145" s="297" t="s">
        <v>88</v>
      </c>
      <c r="I145" s="186">
        <v>173.3</v>
      </c>
      <c r="J145" s="187">
        <f t="shared" si="36"/>
        <v>2.3081361800346216</v>
      </c>
      <c r="K145" s="188">
        <v>1</v>
      </c>
      <c r="L145" s="189">
        <v>4</v>
      </c>
      <c r="M145" s="190">
        <f t="shared" si="37"/>
        <v>4</v>
      </c>
      <c r="N145" s="191" t="s">
        <v>308</v>
      </c>
      <c r="O145" s="192">
        <v>0.9</v>
      </c>
      <c r="P145" s="193">
        <v>44629</v>
      </c>
      <c r="Q145" s="193">
        <v>44645</v>
      </c>
      <c r="R145" s="190">
        <f t="shared" si="38"/>
        <v>11.111111111111107</v>
      </c>
      <c r="S145" s="162">
        <f>IF(INDEX([1]Historical!$D$7:$D$1229,MATCH(B145,[1]Historical!$B$7:$B$1253,0))=0,"n/a",(INDEX([1]Historical!$C$7:$C$1231,MATCH(B145,[1]Historical!$B$7:$B$1253,0))/INDEX([1]Historical!$D$7:$D$1229,MATCH(B145,[1]Historical!$B$7:$B$1253,0))-1)*100)</f>
        <v>5.8823529411764719</v>
      </c>
      <c r="T145" s="162">
        <f>IF(INDEX([1]Historical!$F$7:$F$1222,MATCH(B145,[1]Historical!$B$7:$B$1253,0))=0,"n/a",((INDEX([1]Historical!$C$7:$C$1231,MATCH(B145,[1]Historical!$B$7:$B$1253,0))/INDEX([1]Historical!$F$7:$F$1222,MATCH(B145,[1]Historical!$B$7:$B$1253,0)))^(1/3)-1)*100)</f>
        <v>8.7380373002892142</v>
      </c>
      <c r="U145" s="162">
        <f>IF(INDEX([1]Historical!$H$7:$H$1222,MATCH(B145,[1]Historical!$B$7:$B$1253,0))=0,"n/a",((INDEX([1]Historical!$C$7:$C$1231,MATCH(B145,[1]Historical!$B$7:$B$1253,0))/INDEX([1]Historical!$H$7:$H$1222,MATCH(B145,[1]Historical!$B$7:$B$1253,0)))^(1/5)-1)*100)</f>
        <v>8.4471771197698544</v>
      </c>
      <c r="V145" s="162">
        <f>IF(INDEX([1]Historical!$N$7:$N$1222,MATCH(B145,[1]Historical!$B$7:$B$1253,0))=0,"n/a",((INDEX([1]Historical!$C$7:$C$1231,MATCH(B145,[1]Historical!$B$7:$B$1253,0))/INDEX([1]Historical!$N$7:$N$1222,MATCH(B145,[1]Historical!$B$7:$B$1253,0)))^(1/10)-1)*100)</f>
        <v>12.385025332346844</v>
      </c>
      <c r="W145" s="163">
        <f t="shared" si="39"/>
        <v>0.68204762550689069</v>
      </c>
      <c r="X145" s="164">
        <f t="shared" si="40"/>
        <v>0.84471771197698542</v>
      </c>
      <c r="Y145" s="295"/>
      <c r="Z145" s="187">
        <f t="shared" si="41"/>
        <v>54.570259208731244</v>
      </c>
      <c r="AA145" s="194">
        <f t="shared" si="42"/>
        <v>23.642564802182811</v>
      </c>
      <c r="AB145" s="189">
        <v>12</v>
      </c>
      <c r="AC145" s="195">
        <v>7.33</v>
      </c>
      <c r="AD145" s="195">
        <v>3.04</v>
      </c>
      <c r="AE145" s="195">
        <v>12.52</v>
      </c>
      <c r="AF145" s="195">
        <v>2.2400000000000002</v>
      </c>
      <c r="AG145" s="195">
        <v>9.9</v>
      </c>
      <c r="AH145" s="195">
        <v>24.2</v>
      </c>
      <c r="AI145" s="195">
        <v>4.75</v>
      </c>
      <c r="AJ145" s="195">
        <v>10</v>
      </c>
      <c r="AK145" s="195">
        <v>7.85</v>
      </c>
      <c r="AL145" s="196">
        <v>62090</v>
      </c>
      <c r="AM145" s="197">
        <v>0.2</v>
      </c>
      <c r="AN145" s="195">
        <v>0.13</v>
      </c>
      <c r="AO145" s="198">
        <f t="shared" si="43"/>
        <v>-12.887251502378335</v>
      </c>
      <c r="AP145" s="199">
        <f t="shared" si="44"/>
        <v>10.755313299804476</v>
      </c>
      <c r="AQ145" s="172">
        <f t="shared" si="45"/>
        <v>53.419316699023689</v>
      </c>
      <c r="AR145" s="157">
        <f>INDEX([1]Historical!$C$7:$C$1231,MATCH(B145,[1]Historical!$B$7:$B$1253,0))*IF(AH145="n/a",1.03,IF(AH145&lt;0,1.01,IF(AH145&gt;10,1.1,(1+AH145/100))))</f>
        <v>3.9600000000000004</v>
      </c>
      <c r="AS145" s="194">
        <f t="shared" si="46"/>
        <v>4.1481000000000012</v>
      </c>
      <c r="AT145" s="194">
        <f t="shared" si="47"/>
        <v>4.473725850000001</v>
      </c>
      <c r="AU145" s="194">
        <f t="shared" si="47"/>
        <v>4.8249133292250015</v>
      </c>
      <c r="AV145" s="194">
        <f t="shared" si="47"/>
        <v>5.2036690255691642</v>
      </c>
      <c r="AW145" s="187">
        <f t="shared" si="48"/>
        <v>22.610408204794169</v>
      </c>
      <c r="AX145" s="200">
        <f t="shared" si="49"/>
        <v>13.046975305709271</v>
      </c>
      <c r="AY145" s="201">
        <v>0.42</v>
      </c>
      <c r="AZ145" s="197">
        <v>4.03</v>
      </c>
      <c r="BA145" s="197">
        <v>-32.550000000000004</v>
      </c>
      <c r="BB145" s="197">
        <v>-6.15</v>
      </c>
      <c r="BC145" s="197">
        <v>-17.52</v>
      </c>
      <c r="BD145" s="202"/>
      <c r="BE145" s="77">
        <v>2011</v>
      </c>
      <c r="BF145" s="77">
        <f t="shared" si="50"/>
        <v>1</v>
      </c>
      <c r="BG145" s="203">
        <v>1.4000000000000001</v>
      </c>
      <c r="BH145" t="s">
        <v>939</v>
      </c>
      <c r="BI145" t="s">
        <v>940</v>
      </c>
    </row>
    <row r="146" spans="1:64" ht="11.25" customHeight="1" x14ac:dyDescent="0.2">
      <c r="A146" s="176" t="s">
        <v>249</v>
      </c>
      <c r="B146" s="153" t="s">
        <v>250</v>
      </c>
      <c r="C146" s="154" t="s">
        <v>94</v>
      </c>
      <c r="D146" s="154" t="s">
        <v>101</v>
      </c>
      <c r="E146" s="155">
        <v>17</v>
      </c>
      <c r="F146" s="298">
        <v>237</v>
      </c>
      <c r="G146" s="298" t="s">
        <v>30</v>
      </c>
      <c r="H146" s="298" t="s">
        <v>30</v>
      </c>
      <c r="I146" s="156">
        <v>244.51</v>
      </c>
      <c r="J146" s="157">
        <f t="shared" si="36"/>
        <v>2.5684021103431354</v>
      </c>
      <c r="K146" s="158">
        <v>1.57</v>
      </c>
      <c r="L146" s="126">
        <v>4</v>
      </c>
      <c r="M146" s="82">
        <f t="shared" si="37"/>
        <v>6.28</v>
      </c>
      <c r="N146" s="159" t="s">
        <v>116</v>
      </c>
      <c r="O146" s="160">
        <v>1.45</v>
      </c>
      <c r="P146" s="161">
        <v>44781</v>
      </c>
      <c r="Q146" s="161">
        <v>44805</v>
      </c>
      <c r="R146" s="82">
        <f t="shared" si="38"/>
        <v>8.2758620689655249</v>
      </c>
      <c r="S146" s="162">
        <f>IF(INDEX([1]Historical!$D$7:$D$1229,MATCH(B146,[1]Historical!$B$7:$B$1253,0))=0,"n/a",(INDEX([1]Historical!$C$7:$C$1231,MATCH(B146,[1]Historical!$B$7:$B$1253,0))/INDEX([1]Historical!$D$7:$D$1229,MATCH(B146,[1]Historical!$B$7:$B$1253,0))-1)*100)</f>
        <v>6.0003785727805958</v>
      </c>
      <c r="T146" s="162">
        <f>IF(INDEX([1]Historical!$F$7:$F$1222,MATCH(B146,[1]Historical!$B$7:$B$1253,0))=0,"n/a",((INDEX([1]Historical!$C$7:$C$1231,MATCH(B146,[1]Historical!$B$7:$B$1253,0))/INDEX([1]Historical!$F$7:$F$1222,MATCH(B146,[1]Historical!$B$7:$B$1253,0)))^(1/3)-1)*100)</f>
        <v>8.0442565893167561</v>
      </c>
      <c r="U146" s="162">
        <f>IF(INDEX([1]Historical!$H$7:$H$1222,MATCH(B146,[1]Historical!$B$7:$B$1253,0))=0,"n/a",((INDEX([1]Historical!$C$7:$C$1231,MATCH(B146,[1]Historical!$B$7:$B$1253,0))/INDEX([1]Historical!$H$7:$H$1222,MATCH(B146,[1]Historical!$B$7:$B$1253,0)))^(1/5)-1)*100)</f>
        <v>6.9610375725068785</v>
      </c>
      <c r="V146" s="162">
        <f>IF(INDEX([1]Historical!$N$7:$N$1222,MATCH(B146,[1]Historical!$B$7:$B$1253,0))=0,"n/a",((INDEX([1]Historical!$C$7:$C$1231,MATCH(B146,[1]Historical!$B$7:$B$1253,0))/INDEX([1]Historical!$N$7:$N$1222,MATCH(B146,[1]Historical!$B$7:$B$1253,0)))^(1/10)-1)*100)</f>
        <v>15.504050639457034</v>
      </c>
      <c r="W146" s="163">
        <f t="shared" si="39"/>
        <v>0.4489818650870106</v>
      </c>
      <c r="X146" s="164">
        <f t="shared" si="40"/>
        <v>0.57057685020548188</v>
      </c>
      <c r="Y146" s="153"/>
      <c r="Z146" s="157">
        <f t="shared" si="41"/>
        <v>43.946815955213445</v>
      </c>
      <c r="AA146" s="166">
        <f t="shared" si="42"/>
        <v>17.110566829951015</v>
      </c>
      <c r="AB146" s="126">
        <v>12</v>
      </c>
      <c r="AC146" s="167">
        <v>14.29</v>
      </c>
      <c r="AD146" s="167">
        <v>2.02</v>
      </c>
      <c r="AE146" s="167">
        <v>1.36</v>
      </c>
      <c r="AF146" s="167">
        <v>3.96</v>
      </c>
      <c r="AG146" s="167">
        <v>24.3</v>
      </c>
      <c r="AH146" s="167">
        <v>21.6</v>
      </c>
      <c r="AI146" s="167">
        <v>12.2</v>
      </c>
      <c r="AJ146" s="167">
        <v>12.2</v>
      </c>
      <c r="AK146" s="167">
        <v>8.49</v>
      </c>
      <c r="AL146" s="168">
        <v>33690</v>
      </c>
      <c r="AM146" s="169">
        <v>0.2</v>
      </c>
      <c r="AN146" s="167">
        <v>0.51</v>
      </c>
      <c r="AO146" s="170">
        <f t="shared" si="43"/>
        <v>-7.5811271471010002</v>
      </c>
      <c r="AP146" s="171">
        <f t="shared" si="44"/>
        <v>9.5294396828500147</v>
      </c>
      <c r="AQ146" s="172">
        <f t="shared" si="45"/>
        <v>73.535580273077699</v>
      </c>
      <c r="AR146" s="157">
        <f>INDEX([1]Historical!$C$7:$C$1231,MATCH(B146,[1]Historical!$B$7:$B$1253,0))*IF(AH146="n/a",1.03,IF(AH146&lt;0,1.01,IF(AH146&gt;10,1.1,(1+AH146/100))))</f>
        <v>6.16</v>
      </c>
      <c r="AS146" s="166">
        <f t="shared" si="46"/>
        <v>6.7760000000000007</v>
      </c>
      <c r="AT146" s="166">
        <f t="shared" si="47"/>
        <v>7.3512824000000005</v>
      </c>
      <c r="AU146" s="166">
        <f t="shared" si="47"/>
        <v>7.9754062757600002</v>
      </c>
      <c r="AV146" s="166">
        <f t="shared" si="47"/>
        <v>8.6525182685720239</v>
      </c>
      <c r="AW146" s="157">
        <f t="shared" si="48"/>
        <v>36.915206944332027</v>
      </c>
      <c r="AX146" s="173">
        <f t="shared" si="49"/>
        <v>15.097626659168146</v>
      </c>
      <c r="AY146" s="174">
        <v>1.03</v>
      </c>
      <c r="AZ146" s="169">
        <v>32.690000000000005</v>
      </c>
      <c r="BA146" s="169">
        <v>-1.2</v>
      </c>
      <c r="BB146" s="169">
        <v>11.700000000000001</v>
      </c>
      <c r="BC146" s="169">
        <v>16.18</v>
      </c>
      <c r="BE146" s="77">
        <v>2006</v>
      </c>
      <c r="BF146" s="77">
        <f t="shared" si="50"/>
        <v>2</v>
      </c>
      <c r="BG146" s="175">
        <v>8.6</v>
      </c>
      <c r="BH146" t="s">
        <v>939</v>
      </c>
      <c r="BI146" t="s">
        <v>940</v>
      </c>
    </row>
    <row r="147" spans="1:64" ht="11.25" customHeight="1" x14ac:dyDescent="0.2">
      <c r="A147" s="176" t="s">
        <v>1327</v>
      </c>
      <c r="B147" s="153" t="s">
        <v>229</v>
      </c>
      <c r="C147" s="154" t="s">
        <v>117</v>
      </c>
      <c r="D147" s="154" t="s">
        <v>953</v>
      </c>
      <c r="E147" s="155">
        <v>16</v>
      </c>
      <c r="F147" s="298">
        <v>242</v>
      </c>
      <c r="G147" s="298" t="s">
        <v>30</v>
      </c>
      <c r="H147" s="298" t="s">
        <v>30</v>
      </c>
      <c r="I147" s="156">
        <v>57.05</v>
      </c>
      <c r="J147" s="157">
        <f t="shared" si="36"/>
        <v>3.2252410166520598</v>
      </c>
      <c r="K147" s="158">
        <v>0.46</v>
      </c>
      <c r="L147" s="126">
        <v>4</v>
      </c>
      <c r="M147" s="82">
        <f t="shared" si="37"/>
        <v>1.84</v>
      </c>
      <c r="N147" s="159" t="s">
        <v>143</v>
      </c>
      <c r="O147" s="160">
        <v>0.435</v>
      </c>
      <c r="P147" s="161">
        <v>44602</v>
      </c>
      <c r="Q147" s="161">
        <v>44620</v>
      </c>
      <c r="R147" s="82">
        <f t="shared" si="38"/>
        <v>5.7471264367816151</v>
      </c>
      <c r="S147" s="162">
        <f>IF(INDEX([1]Historical!$D$7:$D$1229,MATCH(B147,[1]Historical!$B$7:$B$1253,0))=0,"n/a",(INDEX([1]Historical!$C$7:$C$1231,MATCH(B147,[1]Historical!$B$7:$B$1253,0))/INDEX([1]Historical!$D$7:$D$1229,MATCH(B147,[1]Historical!$B$7:$B$1253,0))-1)*100)</f>
        <v>6.7484662576687171</v>
      </c>
      <c r="T147" s="162">
        <f>IF(INDEX([1]Historical!$F$7:$F$1222,MATCH(B147,[1]Historical!$B$7:$B$1253,0))=0,"n/a",((INDEX([1]Historical!$C$7:$C$1231,MATCH(B147,[1]Historical!$B$7:$B$1253,0))/INDEX([1]Historical!$F$7:$F$1222,MATCH(B147,[1]Historical!$B$7:$B$1253,0)))^(1/3)-1)*100)</f>
        <v>6.8087945480211243</v>
      </c>
      <c r="U147" s="162">
        <f>IF(INDEX([1]Historical!$H$7:$H$1222,MATCH(B147,[1]Historical!$B$7:$B$1253,0))=0,"n/a",((INDEX([1]Historical!$C$7:$C$1231,MATCH(B147,[1]Historical!$B$7:$B$1253,0))/INDEX([1]Historical!$H$7:$H$1222,MATCH(B147,[1]Historical!$B$7:$B$1253,0)))^(1/5)-1)*100)</f>
        <v>7.0102830066264943</v>
      </c>
      <c r="V147" s="162">
        <f>IF(INDEX([1]Historical!$N$7:$N$1222,MATCH(B147,[1]Historical!$B$7:$B$1253,0))=0,"n/a",((INDEX([1]Historical!$C$7:$C$1231,MATCH(B147,[1]Historical!$B$7:$B$1253,0))/INDEX([1]Historical!$N$7:$N$1222,MATCH(B147,[1]Historical!$B$7:$B$1253,0)))^(1/10)-1)*100)</f>
        <v>7.5541063708897793</v>
      </c>
      <c r="W147" s="163">
        <f t="shared" si="39"/>
        <v>0.92800957021747243</v>
      </c>
      <c r="X147" s="164">
        <f t="shared" si="40"/>
        <v>1.7525707516566236</v>
      </c>
      <c r="Y147" s="153"/>
      <c r="Z147" s="157">
        <f t="shared" si="41"/>
        <v>73.895582329317264</v>
      </c>
      <c r="AA147" s="166">
        <f t="shared" si="42"/>
        <v>22.911646586345377</v>
      </c>
      <c r="AB147" s="126">
        <v>12</v>
      </c>
      <c r="AC147" s="167">
        <v>2.4900000000000002</v>
      </c>
      <c r="AD147" s="167">
        <v>2.65</v>
      </c>
      <c r="AE147" s="167">
        <v>1.97</v>
      </c>
      <c r="AF147" s="167">
        <v>2.5099999999999998</v>
      </c>
      <c r="AG147" s="167">
        <v>19.7</v>
      </c>
      <c r="AH147" s="167">
        <v>4</v>
      </c>
      <c r="AI147" s="167">
        <v>8.18</v>
      </c>
      <c r="AJ147" s="167">
        <v>4</v>
      </c>
      <c r="AK147" s="167">
        <v>8.77</v>
      </c>
      <c r="AL147" s="168">
        <v>16420</v>
      </c>
      <c r="AM147" s="169">
        <v>0.2</v>
      </c>
      <c r="AN147" s="167">
        <v>2.06</v>
      </c>
      <c r="AO147" s="170">
        <f t="shared" si="43"/>
        <v>-12.676122563066823</v>
      </c>
      <c r="AP147" s="171">
        <f t="shared" si="44"/>
        <v>10.235524023278554</v>
      </c>
      <c r="AQ147" s="172">
        <f t="shared" si="45"/>
        <v>59.872494933691023</v>
      </c>
      <c r="AR147" s="157">
        <f>INDEX([1]Historical!$C$7:$C$1231,MATCH(B147,[1]Historical!$B$7:$B$1253,0))*IF(AH147="n/a",1.03,IF(AH147&lt;0,1.01,IF(AH147&gt;10,1.1,(1+AH147/100))))</f>
        <v>1.8096000000000001</v>
      </c>
      <c r="AS147" s="166">
        <f t="shared" si="46"/>
        <v>1.9576252800000002</v>
      </c>
      <c r="AT147" s="166">
        <f t="shared" si="47"/>
        <v>2.1293090170559998</v>
      </c>
      <c r="AU147" s="166">
        <f t="shared" si="47"/>
        <v>2.316049417851811</v>
      </c>
      <c r="AV147" s="166">
        <f t="shared" si="47"/>
        <v>2.5191669517974145</v>
      </c>
      <c r="AW147" s="157">
        <f t="shared" si="48"/>
        <v>10.731750666705226</v>
      </c>
      <c r="AX147" s="173">
        <f t="shared" si="49"/>
        <v>18.811131755837383</v>
      </c>
      <c r="AY147" s="174">
        <v>0.33</v>
      </c>
      <c r="AZ147" s="169">
        <v>8.85</v>
      </c>
      <c r="BA147" s="169">
        <v>-22.650000000000002</v>
      </c>
      <c r="BB147" s="169">
        <v>-8.93</v>
      </c>
      <c r="BC147" s="169">
        <v>-13.63</v>
      </c>
      <c r="BE147" s="77">
        <v>2007</v>
      </c>
      <c r="BF147" s="77">
        <f t="shared" si="50"/>
        <v>2</v>
      </c>
      <c r="BG147" s="175">
        <v>4.3999999999999995</v>
      </c>
      <c r="BH147" t="s">
        <v>939</v>
      </c>
      <c r="BI147" t="s">
        <v>940</v>
      </c>
    </row>
    <row r="148" spans="1:64" ht="11.25" customHeight="1" x14ac:dyDescent="0.2">
      <c r="A148" s="205" t="s">
        <v>1020</v>
      </c>
      <c r="B148" s="153" t="s">
        <v>1021</v>
      </c>
      <c r="C148" s="154" t="s">
        <v>90</v>
      </c>
      <c r="D148" s="154" t="s">
        <v>110</v>
      </c>
      <c r="E148" s="155">
        <v>6</v>
      </c>
      <c r="F148" s="298">
        <v>659</v>
      </c>
      <c r="G148" s="298" t="s">
        <v>88</v>
      </c>
      <c r="H148" s="298" t="s">
        <v>88</v>
      </c>
      <c r="I148" s="156">
        <v>41.7</v>
      </c>
      <c r="J148" s="157">
        <f t="shared" si="36"/>
        <v>3.8369304556354913</v>
      </c>
      <c r="K148" s="158">
        <v>0.4</v>
      </c>
      <c r="L148" s="126">
        <v>4</v>
      </c>
      <c r="M148" s="82">
        <f t="shared" si="37"/>
        <v>1.6</v>
      </c>
      <c r="N148" s="159" t="s">
        <v>151</v>
      </c>
      <c r="O148" s="160">
        <v>0.38</v>
      </c>
      <c r="P148" s="161">
        <v>44610</v>
      </c>
      <c r="Q148" s="161">
        <v>44630</v>
      </c>
      <c r="R148" s="82">
        <f t="shared" si="38"/>
        <v>5.2631578947368469</v>
      </c>
      <c r="S148" s="162">
        <f>IF(INDEX([1]Historical!$D$7:$D$1229,MATCH(B148,[1]Historical!$B$7:$B$1253,0))=0,"n/a",(INDEX([1]Historical!$C$7:$C$1231,MATCH(B148,[1]Historical!$B$7:$B$1253,0))/INDEX([1]Historical!$D$7:$D$1229,MATCH(B148,[1]Historical!$B$7:$B$1253,0))-1)*100)</f>
        <v>2.7027027027026973</v>
      </c>
      <c r="T148" s="162">
        <f>IF(INDEX([1]Historical!$F$7:$F$1222,MATCH(B148,[1]Historical!$B$7:$B$1253,0))=0,"n/a",((INDEX([1]Historical!$C$7:$C$1231,MATCH(B148,[1]Historical!$B$7:$B$1253,0))/INDEX([1]Historical!$F$7:$F$1222,MATCH(B148,[1]Historical!$B$7:$B$1253,0)))^(1/3)-1)*100)</f>
        <v>5.3497263573956566</v>
      </c>
      <c r="U148" s="162">
        <f>IF(INDEX([1]Historical!$H$7:$H$1222,MATCH(B148,[1]Historical!$B$7:$B$1253,0))=0,"n/a",((INDEX([1]Historical!$C$7:$C$1231,MATCH(B148,[1]Historical!$B$7:$B$1253,0))/INDEX([1]Historical!$H$7:$H$1222,MATCH(B148,[1]Historical!$B$7:$B$1253,0)))^(1/5)-1)*100)</f>
        <v>8.7348394571074905</v>
      </c>
      <c r="V148" s="162">
        <f>IF(INDEX([1]Historical!$N$7:$N$1222,MATCH(B148,[1]Historical!$B$7:$B$1253,0))=0,"n/a",((INDEX([1]Historical!$C$7:$C$1231,MATCH(B148,[1]Historical!$B$7:$B$1253,0))/INDEX([1]Historical!$N$7:$N$1222,MATCH(B148,[1]Historical!$B$7:$B$1253,0)))^(1/10)-1)*100)</f>
        <v>14.282138804355625</v>
      </c>
      <c r="W148" s="163">
        <f t="shared" si="39"/>
        <v>0.61159183346149992</v>
      </c>
      <c r="X148" s="164">
        <f t="shared" si="40"/>
        <v>1.2845352142805131</v>
      </c>
      <c r="Y148" s="180"/>
      <c r="Z148" s="157">
        <f t="shared" si="41"/>
        <v>41.99475065616798</v>
      </c>
      <c r="AA148" s="166">
        <f t="shared" si="42"/>
        <v>10.94488188976378</v>
      </c>
      <c r="AB148" s="126">
        <v>12</v>
      </c>
      <c r="AC148" s="167">
        <v>3.81</v>
      </c>
      <c r="AD148" s="167">
        <v>2.21</v>
      </c>
      <c r="AE148" s="167">
        <v>0.94</v>
      </c>
      <c r="AF148" s="167">
        <v>1.2</v>
      </c>
      <c r="AG148" s="167">
        <v>9.1</v>
      </c>
      <c r="AH148" s="167">
        <v>73.900000000000006</v>
      </c>
      <c r="AI148" s="167">
        <v>23.02</v>
      </c>
      <c r="AJ148" s="167">
        <v>6.8000000000000007</v>
      </c>
      <c r="AK148" s="167">
        <v>5</v>
      </c>
      <c r="AL148" s="168">
        <v>11160</v>
      </c>
      <c r="AM148" s="169">
        <v>0.31</v>
      </c>
      <c r="AN148" s="167">
        <v>0.28999999999999998</v>
      </c>
      <c r="AO148" s="170">
        <f t="shared" si="43"/>
        <v>1.6268880229792018</v>
      </c>
      <c r="AP148" s="171">
        <f t="shared" si="44"/>
        <v>12.571769912742981</v>
      </c>
      <c r="AQ148" s="172">
        <f t="shared" si="45"/>
        <v>-23.597968998151963</v>
      </c>
      <c r="AR148" s="157">
        <f>INDEX([1]Historical!$C$7:$C$1231,MATCH(B148,[1]Historical!$B$7:$B$1253,0))*IF(AH148="n/a",1.03,IF(AH148&lt;0,1.01,IF(AH148&gt;10,1.1,(1+AH148/100))))</f>
        <v>1.6720000000000002</v>
      </c>
      <c r="AS148" s="166">
        <f t="shared" si="46"/>
        <v>1.8392000000000004</v>
      </c>
      <c r="AT148" s="166">
        <f t="shared" si="47"/>
        <v>1.9311600000000004</v>
      </c>
      <c r="AU148" s="166">
        <f t="shared" si="47"/>
        <v>2.0277180000000006</v>
      </c>
      <c r="AV148" s="166">
        <f t="shared" si="47"/>
        <v>2.1291039000000005</v>
      </c>
      <c r="AW148" s="157">
        <f t="shared" si="48"/>
        <v>9.5991819000000014</v>
      </c>
      <c r="AX148" s="173">
        <f t="shared" si="49"/>
        <v>23.019620863309353</v>
      </c>
      <c r="AY148" s="174">
        <v>0.68</v>
      </c>
      <c r="AZ148" s="169">
        <v>16.16</v>
      </c>
      <c r="BA148" s="169">
        <v>-17.150000000000002</v>
      </c>
      <c r="BB148" s="169">
        <v>6.660000000000001</v>
      </c>
      <c r="BC148" s="169">
        <v>-4.2</v>
      </c>
      <c r="BE148" s="77">
        <v>2017</v>
      </c>
      <c r="BF148" s="77">
        <f t="shared" si="50"/>
        <v>1</v>
      </c>
      <c r="BG148" s="175">
        <v>1.6</v>
      </c>
      <c r="BH148" t="s">
        <v>939</v>
      </c>
      <c r="BI148" t="s">
        <v>940</v>
      </c>
      <c r="BJ148" s="112"/>
      <c r="BK148" s="112"/>
      <c r="BL148" s="112"/>
    </row>
    <row r="149" spans="1:64" ht="11.25" customHeight="1" x14ac:dyDescent="0.2">
      <c r="A149" s="112" t="s">
        <v>1328</v>
      </c>
      <c r="B149" s="153" t="s">
        <v>205</v>
      </c>
      <c r="C149" s="154" t="s">
        <v>94</v>
      </c>
      <c r="D149" s="154" t="s">
        <v>1022</v>
      </c>
      <c r="E149" s="155">
        <v>27</v>
      </c>
      <c r="F149" s="298">
        <v>130</v>
      </c>
      <c r="G149" s="298" t="s">
        <v>88</v>
      </c>
      <c r="H149" s="298" t="s">
        <v>88</v>
      </c>
      <c r="I149" s="156">
        <v>118.44</v>
      </c>
      <c r="J149" s="157">
        <f t="shared" si="36"/>
        <v>1.9577845322526173</v>
      </c>
      <c r="K149" s="209">
        <v>0.57969999999999999</v>
      </c>
      <c r="L149" s="126">
        <v>4</v>
      </c>
      <c r="M149" s="82">
        <f t="shared" si="37"/>
        <v>2.3188</v>
      </c>
      <c r="N149" s="159" t="s">
        <v>628</v>
      </c>
      <c r="O149" s="210">
        <v>0.48</v>
      </c>
      <c r="P149" s="161">
        <v>44629</v>
      </c>
      <c r="Q149" s="161">
        <v>44651</v>
      </c>
      <c r="R149" s="82">
        <f t="shared" si="38"/>
        <v>20.770833333333336</v>
      </c>
      <c r="S149" s="162">
        <f>IF(INDEX([1]Historical!$D$7:$D$1229,MATCH(B149,[1]Historical!$B$7:$B$1253,0))=0,"n/a",(INDEX([1]Historical!$C$7:$C$1231,MATCH(B149,[1]Historical!$B$7:$B$1253,0))/INDEX([1]Historical!$D$7:$D$1229,MATCH(B149,[1]Historical!$B$7:$B$1253,0))-1)*100)</f>
        <v>14.412997903563941</v>
      </c>
      <c r="T149" s="162">
        <f>IF(INDEX([1]Historical!$F$7:$F$1222,MATCH(B149,[1]Historical!$B$7:$B$1253,0))=0,"n/a",((INDEX([1]Historical!$C$7:$C$1231,MATCH(B149,[1]Historical!$B$7:$B$1253,0))/INDEX([1]Historical!$F$7:$F$1222,MATCH(B149,[1]Historical!$B$7:$B$1253,0)))^(1/3)-1)*100)</f>
        <v>12.199185717706618</v>
      </c>
      <c r="U149" s="162">
        <f>IF(INDEX([1]Historical!$H$7:$H$1222,MATCH(B149,[1]Historical!$B$7:$B$1253,0))=0,"n/a",((INDEX([1]Historical!$C$7:$C$1231,MATCH(B149,[1]Historical!$B$7:$B$1253,0))/INDEX([1]Historical!$H$7:$H$1222,MATCH(B149,[1]Historical!$B$7:$B$1253,0)))^(1/5)-1)*100)</f>
        <v>11.564756158064293</v>
      </c>
      <c r="V149" s="162">
        <f>IF(INDEX([1]Historical!$N$7:$N$1222,MATCH(B149,[1]Historical!$B$7:$B$1253,0))=0,"n/a",((INDEX([1]Historical!$C$7:$C$1231,MATCH(B149,[1]Historical!$B$7:$B$1253,0))/INDEX([1]Historical!$N$7:$N$1222,MATCH(B149,[1]Historical!$B$7:$B$1253,0)))^(1/10)-1)*100)</f>
        <v>11.585085741010026</v>
      </c>
      <c r="W149" s="163">
        <f t="shared" si="39"/>
        <v>0.99824519357040509</v>
      </c>
      <c r="X149" s="164">
        <f t="shared" si="40"/>
        <v>1.427747673835098</v>
      </c>
      <c r="Y149" s="178" t="s">
        <v>666</v>
      </c>
      <c r="Z149" s="157">
        <f t="shared" si="41"/>
        <v>44.592307692307692</v>
      </c>
      <c r="AA149" s="166">
        <f t="shared" si="42"/>
        <v>22.776923076923076</v>
      </c>
      <c r="AB149" s="126">
        <v>12</v>
      </c>
      <c r="AC149" s="167">
        <v>5.2</v>
      </c>
      <c r="AD149" s="167">
        <v>1.42</v>
      </c>
      <c r="AE149" s="167">
        <v>6.67</v>
      </c>
      <c r="AF149" s="167">
        <v>5.01</v>
      </c>
      <c r="AG149" s="167">
        <v>22.2</v>
      </c>
      <c r="AH149" s="167">
        <v>43.5</v>
      </c>
      <c r="AI149" s="167">
        <v>8.7900000000000009</v>
      </c>
      <c r="AJ149" s="167">
        <v>8.1</v>
      </c>
      <c r="AK149" s="167">
        <v>16.09</v>
      </c>
      <c r="AL149" s="168">
        <v>80250</v>
      </c>
      <c r="AM149" s="169">
        <v>0.2</v>
      </c>
      <c r="AN149" s="167">
        <v>0.7</v>
      </c>
      <c r="AO149" s="170">
        <f t="shared" si="43"/>
        <v>-9.2543823866061654</v>
      </c>
      <c r="AP149" s="171">
        <f t="shared" si="44"/>
        <v>13.522540690316911</v>
      </c>
      <c r="AQ149" s="172">
        <f t="shared" si="45"/>
        <v>125.20349771843104</v>
      </c>
      <c r="AR149" s="157">
        <f>INDEX([1]Historical!$C$7:$C$1231,MATCH(B149,[1]Historical!$B$7:$B$1253,0))*IF(AH149="n/a",1.03,IF(AH149&lt;0,1.01,IF(AH149&gt;10,1.1,(1+AH149/100))))</f>
        <v>2.1611700000000003</v>
      </c>
      <c r="AS149" s="166">
        <f t="shared" si="46"/>
        <v>2.3511368430000004</v>
      </c>
      <c r="AT149" s="166">
        <f t="shared" si="47"/>
        <v>2.5862505273000007</v>
      </c>
      <c r="AU149" s="166">
        <f t="shared" si="47"/>
        <v>2.844875580030001</v>
      </c>
      <c r="AV149" s="166">
        <f t="shared" si="47"/>
        <v>3.1293631380330011</v>
      </c>
      <c r="AW149" s="157">
        <f t="shared" si="48"/>
        <v>13.072796088363004</v>
      </c>
      <c r="AX149" s="173">
        <f t="shared" si="49"/>
        <v>11.037484032727967</v>
      </c>
      <c r="AY149" s="174">
        <v>0.89</v>
      </c>
      <c r="AZ149" s="169">
        <v>14.12</v>
      </c>
      <c r="BA149" s="169">
        <v>-13.669999999999998</v>
      </c>
      <c r="BB149" s="169">
        <v>2.21</v>
      </c>
      <c r="BC149" s="169">
        <v>-0.86</v>
      </c>
      <c r="BE149" s="77">
        <v>1998</v>
      </c>
      <c r="BF149" s="77">
        <f t="shared" si="50"/>
        <v>3</v>
      </c>
      <c r="BG149" s="175">
        <v>9.9</v>
      </c>
      <c r="BH149" t="s">
        <v>1023</v>
      </c>
      <c r="BI149" t="s">
        <v>940</v>
      </c>
    </row>
    <row r="150" spans="1:64" ht="11.25" customHeight="1" x14ac:dyDescent="0.2">
      <c r="A150" s="176" t="s">
        <v>1329</v>
      </c>
      <c r="B150" s="153" t="s">
        <v>717</v>
      </c>
      <c r="C150" s="154" t="s">
        <v>90</v>
      </c>
      <c r="D150" s="154" t="s">
        <v>110</v>
      </c>
      <c r="E150" s="155">
        <v>11</v>
      </c>
      <c r="F150" s="298">
        <v>427</v>
      </c>
      <c r="G150" s="298" t="s">
        <v>88</v>
      </c>
      <c r="H150" s="298" t="s">
        <v>88</v>
      </c>
      <c r="I150" s="156">
        <v>22.06</v>
      </c>
      <c r="J150" s="157">
        <f t="shared" si="36"/>
        <v>2.5385312783318228</v>
      </c>
      <c r="K150" s="158">
        <v>0.14000000000000001</v>
      </c>
      <c r="L150" s="126">
        <v>4</v>
      </c>
      <c r="M150" s="82">
        <f t="shared" si="37"/>
        <v>0.56000000000000005</v>
      </c>
      <c r="N150" s="159" t="s">
        <v>319</v>
      </c>
      <c r="O150" s="160">
        <v>0.13</v>
      </c>
      <c r="P150" s="161">
        <v>44721</v>
      </c>
      <c r="Q150" s="161">
        <v>44736</v>
      </c>
      <c r="R150" s="82">
        <f t="shared" si="38"/>
        <v>7.6923076923076987</v>
      </c>
      <c r="S150" s="162">
        <f>IF(INDEX([1]Historical!$D$7:$D$1229,MATCH(B150,[1]Historical!$B$7:$B$1253,0))=0,"n/a",(INDEX([1]Historical!$C$7:$C$1231,MATCH(B150,[1]Historical!$B$7:$B$1253,0))/INDEX([1]Historical!$D$7:$D$1229,MATCH(B150,[1]Historical!$B$7:$B$1253,0))-1)*100)</f>
        <v>8.5106382978723527</v>
      </c>
      <c r="T150" s="162">
        <f>IF(INDEX([1]Historical!$F$7:$F$1222,MATCH(B150,[1]Historical!$B$7:$B$1253,0))=0,"n/a",((INDEX([1]Historical!$C$7:$C$1231,MATCH(B150,[1]Historical!$B$7:$B$1253,0))/INDEX([1]Historical!$F$7:$F$1222,MATCH(B150,[1]Historical!$B$7:$B$1253,0)))^(1/3)-1)*100)</f>
        <v>9.3541299792876842</v>
      </c>
      <c r="U150" s="162">
        <f>IF(INDEX([1]Historical!$H$7:$H$1222,MATCH(B150,[1]Historical!$B$7:$B$1253,0))=0,"n/a",((INDEX([1]Historical!$C$7:$C$1231,MATCH(B150,[1]Historical!$B$7:$B$1253,0))/INDEX([1]Historical!$H$7:$H$1222,MATCH(B150,[1]Historical!$B$7:$B$1253,0)))^(1/5)-1)*100)</f>
        <v>10.469324008713388</v>
      </c>
      <c r="V150" s="162" t="str">
        <f>IF(INDEX([1]Historical!$N$7:$N$1222,MATCH(B150,[1]Historical!$B$7:$B$1253,0))=0,"n/a",((INDEX([1]Historical!$C$7:$C$1231,MATCH(B150,[1]Historical!$B$7:$B$1253,0))/INDEX([1]Historical!$N$7:$N$1222,MATCH(B150,[1]Historical!$B$7:$B$1253,0)))^(1/10)-1)*100)</f>
        <v>n/a</v>
      </c>
      <c r="W150" s="163" t="str">
        <f t="shared" si="39"/>
        <v>n/a</v>
      </c>
      <c r="X150" s="164">
        <f t="shared" si="40"/>
        <v>0.96048844116636578</v>
      </c>
      <c r="Y150" s="212"/>
      <c r="Z150" s="157">
        <f t="shared" si="41"/>
        <v>14.775725593667547</v>
      </c>
      <c r="AA150" s="166">
        <f t="shared" si="42"/>
        <v>5.8205804749340366</v>
      </c>
      <c r="AB150" s="126">
        <v>12</v>
      </c>
      <c r="AC150" s="167">
        <v>3.79</v>
      </c>
      <c r="AD150" s="167">
        <v>0.57999999999999996</v>
      </c>
      <c r="AE150" s="167">
        <v>0.64</v>
      </c>
      <c r="AF150" s="167">
        <v>1.1499999999999999</v>
      </c>
      <c r="AG150" s="167">
        <v>11.3</v>
      </c>
      <c r="AH150" s="167">
        <v>79.800000000000011</v>
      </c>
      <c r="AI150" s="167">
        <v>-0.55999999999999994</v>
      </c>
      <c r="AJ150" s="167">
        <v>10.9</v>
      </c>
      <c r="AK150" s="167">
        <v>10</v>
      </c>
      <c r="AL150" s="168">
        <v>2390</v>
      </c>
      <c r="AM150" s="169">
        <v>0.70000000000000007</v>
      </c>
      <c r="AN150" s="167">
        <v>1.76</v>
      </c>
      <c r="AO150" s="170">
        <f t="shared" si="43"/>
        <v>7.1872748121111734</v>
      </c>
      <c r="AP150" s="171">
        <f t="shared" si="44"/>
        <v>13.00785528704521</v>
      </c>
      <c r="AQ150" s="172">
        <f t="shared" si="45"/>
        <v>-45.45677536251479</v>
      </c>
      <c r="AR150" s="157">
        <f>INDEX([1]Historical!$C$7:$C$1231,MATCH(B150,[1]Historical!$B$7:$B$1253,0))*IF(AH150="n/a",1.03,IF(AH150&lt;0,1.01,IF(AH150&gt;10,1.1,(1+AH150/100))))</f>
        <v>0.56100000000000005</v>
      </c>
      <c r="AS150" s="166">
        <f t="shared" si="46"/>
        <v>0.56661000000000006</v>
      </c>
      <c r="AT150" s="166">
        <f t="shared" si="47"/>
        <v>0.62327100000000013</v>
      </c>
      <c r="AU150" s="166">
        <f t="shared" si="47"/>
        <v>0.68559810000000021</v>
      </c>
      <c r="AV150" s="166">
        <f t="shared" si="47"/>
        <v>0.75415791000000032</v>
      </c>
      <c r="AW150" s="157">
        <f t="shared" si="48"/>
        <v>3.190637010000001</v>
      </c>
      <c r="AX150" s="173">
        <f t="shared" si="49"/>
        <v>14.46344972801451</v>
      </c>
      <c r="AY150" s="174">
        <v>1.1399999999999999</v>
      </c>
      <c r="AZ150" s="169">
        <v>33.21</v>
      </c>
      <c r="BA150" s="169">
        <v>-17.5</v>
      </c>
      <c r="BB150" s="169">
        <v>15.42</v>
      </c>
      <c r="BC150" s="169">
        <v>4.01</v>
      </c>
      <c r="BE150" s="77">
        <v>2012</v>
      </c>
      <c r="BF150" s="77">
        <f t="shared" si="50"/>
        <v>1</v>
      </c>
      <c r="BG150" s="175">
        <v>1.3</v>
      </c>
      <c r="BH150" t="s">
        <v>939</v>
      </c>
      <c r="BI150" t="s">
        <v>940</v>
      </c>
    </row>
    <row r="151" spans="1:64" ht="11.25" customHeight="1" x14ac:dyDescent="0.2">
      <c r="A151" s="112" t="s">
        <v>1330</v>
      </c>
      <c r="B151" s="153" t="s">
        <v>232</v>
      </c>
      <c r="C151" s="154" t="s">
        <v>90</v>
      </c>
      <c r="D151" s="154" t="s">
        <v>972</v>
      </c>
      <c r="E151" s="155">
        <v>13</v>
      </c>
      <c r="F151" s="298">
        <v>284</v>
      </c>
      <c r="G151" s="298" t="s">
        <v>88</v>
      </c>
      <c r="H151" s="298" t="s">
        <v>88</v>
      </c>
      <c r="I151" s="156">
        <v>60.16</v>
      </c>
      <c r="J151" s="157">
        <f t="shared" si="36"/>
        <v>3.6569148936170222</v>
      </c>
      <c r="K151" s="158">
        <v>0.55000000000000004</v>
      </c>
      <c r="L151" s="126">
        <v>4</v>
      </c>
      <c r="M151" s="82">
        <f t="shared" si="37"/>
        <v>2.2000000000000002</v>
      </c>
      <c r="N151" s="159" t="s">
        <v>549</v>
      </c>
      <c r="O151" s="160">
        <v>0.45</v>
      </c>
      <c r="P151" s="161">
        <v>44624</v>
      </c>
      <c r="Q151" s="161">
        <v>44637</v>
      </c>
      <c r="R151" s="82">
        <f t="shared" si="38"/>
        <v>22.222222222222229</v>
      </c>
      <c r="S151" s="162">
        <f>IF(INDEX([1]Historical!$D$7:$D$1229,MATCH(B151,[1]Historical!$B$7:$B$1253,0))=0,"n/a",(INDEX([1]Historical!$C$7:$C$1231,MATCH(B151,[1]Historical!$B$7:$B$1253,0))/INDEX([1]Historical!$D$7:$D$1229,MATCH(B151,[1]Historical!$B$7:$B$1253,0))-1)*100)</f>
        <v>15.384615384615374</v>
      </c>
      <c r="T151" s="162">
        <f>IF(INDEX([1]Historical!$F$7:$F$1222,MATCH(B151,[1]Historical!$B$7:$B$1253,0))=0,"n/a",((INDEX([1]Historical!$C$7:$C$1231,MATCH(B151,[1]Historical!$B$7:$B$1253,0))/INDEX([1]Historical!$F$7:$F$1222,MATCH(B151,[1]Historical!$B$7:$B$1253,0)))^(1/3)-1)*100)</f>
        <v>12.624788044360603</v>
      </c>
      <c r="U151" s="162">
        <f>IF(INDEX([1]Historical!$H$7:$H$1222,MATCH(B151,[1]Historical!$B$7:$B$1253,0))=0,"n/a",((INDEX([1]Historical!$C$7:$C$1231,MATCH(B151,[1]Historical!$B$7:$B$1253,0))/INDEX([1]Historical!$H$7:$H$1222,MATCH(B151,[1]Historical!$B$7:$B$1253,0)))^(1/5)-1)*100)</f>
        <v>11.595795704392353</v>
      </c>
      <c r="V151" s="162">
        <f>IF(INDEX([1]Historical!$N$7:$N$1222,MATCH(B151,[1]Historical!$B$7:$B$1253,0))=0,"n/a",((INDEX([1]Historical!$C$7:$C$1231,MATCH(B151,[1]Historical!$B$7:$B$1253,0))/INDEX([1]Historical!$N$7:$N$1222,MATCH(B151,[1]Historical!$B$7:$B$1253,0)))^(1/10)-1)*100)</f>
        <v>11.612317403390438</v>
      </c>
      <c r="W151" s="163">
        <f t="shared" si="39"/>
        <v>0.99857722636885027</v>
      </c>
      <c r="X151" s="164">
        <f t="shared" si="40"/>
        <v>0.69854190990315379</v>
      </c>
      <c r="Y151" s="212"/>
      <c r="Z151" s="157">
        <f t="shared" si="41"/>
        <v>53.398058252427184</v>
      </c>
      <c r="AA151" s="166">
        <f t="shared" si="42"/>
        <v>14.601941747572814</v>
      </c>
      <c r="AB151" s="126">
        <v>12</v>
      </c>
      <c r="AC151" s="167">
        <v>4.12</v>
      </c>
      <c r="AD151" s="167">
        <v>7.74</v>
      </c>
      <c r="AE151" s="167">
        <v>4.84</v>
      </c>
      <c r="AF151" s="167">
        <v>10.210000000000001</v>
      </c>
      <c r="AG151" s="167">
        <v>76.900000000000006</v>
      </c>
      <c r="AH151" s="167">
        <v>173.70000000000002</v>
      </c>
      <c r="AI151" s="167">
        <v>-9.24</v>
      </c>
      <c r="AJ151" s="167">
        <v>16.600000000000001</v>
      </c>
      <c r="AK151" s="167">
        <v>1.9</v>
      </c>
      <c r="AL151" s="168">
        <v>2910</v>
      </c>
      <c r="AM151" s="169">
        <v>7.3</v>
      </c>
      <c r="AN151" s="167">
        <v>0</v>
      </c>
      <c r="AO151" s="170">
        <f t="shared" si="43"/>
        <v>0.65076885043656141</v>
      </c>
      <c r="AP151" s="171">
        <f t="shared" si="44"/>
        <v>15.252710598009376</v>
      </c>
      <c r="AQ151" s="172">
        <f t="shared" si="45"/>
        <v>157.41089094003294</v>
      </c>
      <c r="AR151" s="157">
        <f>INDEX([1]Historical!$C$7:$C$1231,MATCH(B151,[1]Historical!$B$7:$B$1253,0))*IF(AH151="n/a",1.03,IF(AH151&lt;0,1.01,IF(AH151&gt;10,1.1,(1+AH151/100))))</f>
        <v>1.9800000000000002</v>
      </c>
      <c r="AS151" s="166">
        <f t="shared" si="46"/>
        <v>1.9998000000000002</v>
      </c>
      <c r="AT151" s="166">
        <f t="shared" ref="AT151:AV166" si="51">IF($AK151="n/a",1.03*AS151,IF($AK151&lt;0,1.01*AS151,IF($AK151&gt;10,1.1*AS151,(1+$AK151/100)*AS151)))</f>
        <v>2.0377962000000003</v>
      </c>
      <c r="AU151" s="166">
        <f t="shared" si="51"/>
        <v>2.0765143278</v>
      </c>
      <c r="AV151" s="166">
        <f t="shared" si="51"/>
        <v>2.1159681000282</v>
      </c>
      <c r="AW151" s="157">
        <f t="shared" si="48"/>
        <v>10.210078627828201</v>
      </c>
      <c r="AX151" s="173">
        <f t="shared" si="49"/>
        <v>16.971540272320816</v>
      </c>
      <c r="AY151" s="174">
        <v>1.31</v>
      </c>
      <c r="AZ151" s="169">
        <v>14.940000000000001</v>
      </c>
      <c r="BA151" s="169">
        <v>-40</v>
      </c>
      <c r="BB151" s="169">
        <v>-9.91</v>
      </c>
      <c r="BC151" s="169">
        <v>-19.059999999999999</v>
      </c>
      <c r="BE151" s="77">
        <v>2010</v>
      </c>
      <c r="BF151" s="77">
        <f t="shared" si="50"/>
        <v>1</v>
      </c>
      <c r="BG151" s="175">
        <v>38.6</v>
      </c>
      <c r="BH151" t="s">
        <v>939</v>
      </c>
      <c r="BI151" t="s">
        <v>940</v>
      </c>
    </row>
    <row r="152" spans="1:64" ht="11.25" customHeight="1" x14ac:dyDescent="0.2">
      <c r="A152" s="205" t="s">
        <v>1331</v>
      </c>
      <c r="B152" s="153" t="s">
        <v>1024</v>
      </c>
      <c r="C152" s="154" t="s">
        <v>90</v>
      </c>
      <c r="D152" s="154" t="s">
        <v>969</v>
      </c>
      <c r="E152" s="155">
        <v>10</v>
      </c>
      <c r="F152" s="298">
        <v>445</v>
      </c>
      <c r="G152" s="298" t="s">
        <v>88</v>
      </c>
      <c r="H152" s="298" t="s">
        <v>88</v>
      </c>
      <c r="I152" s="156">
        <v>22.12</v>
      </c>
      <c r="J152" s="157">
        <f t="shared" si="36"/>
        <v>4.5207956600361667</v>
      </c>
      <c r="K152" s="158">
        <v>0.25</v>
      </c>
      <c r="L152" s="126">
        <v>4</v>
      </c>
      <c r="M152" s="82">
        <f t="shared" si="37"/>
        <v>1</v>
      </c>
      <c r="N152" s="159" t="s">
        <v>119</v>
      </c>
      <c r="O152" s="160">
        <v>0.22</v>
      </c>
      <c r="P152" s="182">
        <v>44453</v>
      </c>
      <c r="Q152" s="182">
        <v>44469</v>
      </c>
      <c r="R152" s="82">
        <f t="shared" si="38"/>
        <v>13.636363636363635</v>
      </c>
      <c r="S152" s="162">
        <f>IF(INDEX([1]Historical!$D$7:$D$1229,MATCH(B152,[1]Historical!$B$7:$B$1253,0))=0,"n/a",(INDEX([1]Historical!$C$7:$C$1231,MATCH(B152,[1]Historical!$B$7:$B$1253,0))/INDEX([1]Historical!$D$7:$D$1229,MATCH(B152,[1]Historical!$B$7:$B$1253,0))-1)*100)</f>
        <v>14.634146341463406</v>
      </c>
      <c r="T152" s="162">
        <f>IF(INDEX([1]Historical!$F$7:$F$1222,MATCH(B152,[1]Historical!$B$7:$B$1253,0))=0,"n/a",((INDEX([1]Historical!$C$7:$C$1231,MATCH(B152,[1]Historical!$B$7:$B$1253,0))/INDEX([1]Historical!$F$7:$F$1222,MATCH(B152,[1]Historical!$B$7:$B$1253,0)))^(1/3)-1)*100)</f>
        <v>9.7317192359250182</v>
      </c>
      <c r="U152" s="162">
        <f>IF(INDEX([1]Historical!$H$7:$H$1222,MATCH(B152,[1]Historical!$B$7:$B$1253,0))=0,"n/a",((INDEX([1]Historical!$C$7:$C$1231,MATCH(B152,[1]Historical!$B$7:$B$1253,0))/INDEX([1]Historical!$H$7:$H$1222,MATCH(B152,[1]Historical!$B$7:$B$1253,0)))^(1/5)-1)*100)</f>
        <v>8.7926380417096883</v>
      </c>
      <c r="V152" s="162">
        <f>IF(INDEX([1]Historical!$N$7:$N$1222,MATCH(B152,[1]Historical!$B$7:$B$1253,0))=0,"n/a",((INDEX([1]Historical!$C$7:$C$1231,MATCH(B152,[1]Historical!$B$7:$B$1253,0))/INDEX([1]Historical!$N$7:$N$1222,MATCH(B152,[1]Historical!$B$7:$B$1253,0)))^(1/10)-1)*100)</f>
        <v>8.000687836259047</v>
      </c>
      <c r="W152" s="163">
        <f t="shared" si="39"/>
        <v>1.0989852649745351</v>
      </c>
      <c r="X152" s="164" t="str">
        <f t="shared" si="40"/>
        <v>n/a</v>
      </c>
      <c r="Y152" s="180"/>
      <c r="Z152" s="157">
        <f t="shared" si="41"/>
        <v>34.246575342465754</v>
      </c>
      <c r="AA152" s="166">
        <f t="shared" si="42"/>
        <v>7.5753424657534252</v>
      </c>
      <c r="AB152" s="126">
        <v>12</v>
      </c>
      <c r="AC152" s="167">
        <v>2.92</v>
      </c>
      <c r="AD152" s="167" t="s">
        <v>95</v>
      </c>
      <c r="AE152" s="167">
        <v>2.13</v>
      </c>
      <c r="AF152" s="167">
        <v>1.0900000000000001</v>
      </c>
      <c r="AG152" s="167">
        <v>11.51</v>
      </c>
      <c r="AH152" s="167" t="s">
        <v>95</v>
      </c>
      <c r="AI152" s="167" t="s">
        <v>95</v>
      </c>
      <c r="AJ152" s="167" t="s">
        <v>95</v>
      </c>
      <c r="AK152" s="167" t="s">
        <v>95</v>
      </c>
      <c r="AL152" s="168">
        <v>170.85</v>
      </c>
      <c r="AM152" s="169">
        <v>8.01</v>
      </c>
      <c r="AN152" s="167" t="s">
        <v>95</v>
      </c>
      <c r="AO152" s="170">
        <f t="shared" si="43"/>
        <v>5.738091235992429</v>
      </c>
      <c r="AP152" s="171">
        <f t="shared" si="44"/>
        <v>13.313433701745854</v>
      </c>
      <c r="AQ152" s="172">
        <f t="shared" si="45"/>
        <v>-39.420856953087181</v>
      </c>
      <c r="AR152" s="157">
        <f>INDEX([1]Historical!$C$7:$C$1231,MATCH(B152,[1]Historical!$B$7:$B$1253,0))*IF(AH152="n/a",1.03,IF(AH152&lt;0,1.01,IF(AH152&gt;10,1.1,(1+AH152/100))))</f>
        <v>0.96819999999999995</v>
      </c>
      <c r="AS152" s="166">
        <f t="shared" si="46"/>
        <v>0.99724599999999997</v>
      </c>
      <c r="AT152" s="166">
        <f t="shared" si="51"/>
        <v>1.02716338</v>
      </c>
      <c r="AU152" s="166">
        <f t="shared" si="51"/>
        <v>1.0579782814000001</v>
      </c>
      <c r="AV152" s="166">
        <f t="shared" si="51"/>
        <v>1.0897176298420002</v>
      </c>
      <c r="AW152" s="157">
        <f t="shared" si="48"/>
        <v>5.140305291242</v>
      </c>
      <c r="AX152" s="173">
        <f t="shared" si="49"/>
        <v>23.238269851907773</v>
      </c>
      <c r="AY152" s="174">
        <v>0.43</v>
      </c>
      <c r="AZ152" s="169">
        <v>15.208333333333336</v>
      </c>
      <c r="BA152" s="169">
        <v>-24.710687542545941</v>
      </c>
      <c r="BB152" s="169">
        <v>0.77448747152619735</v>
      </c>
      <c r="BC152" s="169">
        <v>-3.4904013961605584</v>
      </c>
      <c r="BE152" s="77">
        <v>2012</v>
      </c>
      <c r="BF152" s="77">
        <f t="shared" si="50"/>
        <v>1</v>
      </c>
      <c r="BG152" s="175">
        <v>95</v>
      </c>
      <c r="BH152" t="s">
        <v>939</v>
      </c>
      <c r="BI152" t="s">
        <v>940</v>
      </c>
    </row>
    <row r="153" spans="1:64" ht="11.25" customHeight="1" x14ac:dyDescent="0.2">
      <c r="A153" s="205" t="s">
        <v>1332</v>
      </c>
      <c r="B153" s="153" t="s">
        <v>1333</v>
      </c>
      <c r="C153" s="154" t="s">
        <v>109</v>
      </c>
      <c r="D153" s="154" t="s">
        <v>1028</v>
      </c>
      <c r="E153" s="155">
        <v>5</v>
      </c>
      <c r="F153" s="298">
        <v>690</v>
      </c>
      <c r="G153" s="298" t="s">
        <v>88</v>
      </c>
      <c r="H153" s="298" t="s">
        <v>88</v>
      </c>
      <c r="I153" s="156">
        <v>126.09</v>
      </c>
      <c r="J153" s="157">
        <f t="shared" si="36"/>
        <v>1.4592751209453565</v>
      </c>
      <c r="K153" s="158">
        <v>0.46</v>
      </c>
      <c r="L153" s="126">
        <v>4</v>
      </c>
      <c r="M153" s="82">
        <f t="shared" si="37"/>
        <v>1.84</v>
      </c>
      <c r="N153" s="159" t="s">
        <v>1017</v>
      </c>
      <c r="O153" s="160">
        <v>0.43</v>
      </c>
      <c r="P153" s="182">
        <v>44496</v>
      </c>
      <c r="Q153" s="182">
        <v>44531</v>
      </c>
      <c r="R153" s="82">
        <f t="shared" si="38"/>
        <v>6.9767441860465187</v>
      </c>
      <c r="S153" s="162">
        <f>IF(INDEX([1]Historical!$D$7:$D$1229,MATCH(B153,[1]Historical!$B$7:$B$1253,0))=0,"n/a",(INDEX([1]Historical!$C$7:$C$1231,MATCH(B153,[1]Historical!$B$7:$B$1253,0))/INDEX([1]Historical!$D$7:$D$1229,MATCH(B153,[1]Historical!$B$7:$B$1253,0))-1)*100)</f>
        <v>3.5502958579881616</v>
      </c>
      <c r="T153" s="162">
        <f>IF(INDEX([1]Historical!$F$7:$F$1222,MATCH(B153,[1]Historical!$B$7:$B$1253,0))=0,"n/a",((INDEX([1]Historical!$C$7:$C$1231,MATCH(B153,[1]Historical!$B$7:$B$1253,0))/INDEX([1]Historical!$F$7:$F$1222,MATCH(B153,[1]Historical!$B$7:$B$1253,0)))^(1/3)-1)*100)</f>
        <v>14.690299404451746</v>
      </c>
      <c r="U153" s="162">
        <f>IF(INDEX([1]Historical!$H$7:$H$1222,MATCH(B153,[1]Historical!$B$7:$B$1253,0))=0,"n/a",((INDEX([1]Historical!$C$7:$C$1231,MATCH(B153,[1]Historical!$B$7:$B$1253,0))/INDEX([1]Historical!$H$7:$H$1222,MATCH(B153,[1]Historical!$B$7:$B$1253,0)))^(1/5)-1)*100)</f>
        <v>11.842691472014465</v>
      </c>
      <c r="V153" s="162">
        <f>IF(INDEX([1]Historical!$N$7:$N$1222,MATCH(B153,[1]Historical!$B$7:$B$1253,0))=0,"n/a",((INDEX([1]Historical!$C$7:$C$1231,MATCH(B153,[1]Historical!$B$7:$B$1253,0))/INDEX([1]Historical!$N$7:$N$1222,MATCH(B153,[1]Historical!$B$7:$B$1253,0)))^(1/10)-1)*100)</f>
        <v>-4.0282504090828564</v>
      </c>
      <c r="W153" s="163" t="str">
        <f t="shared" si="39"/>
        <v>n/a</v>
      </c>
      <c r="X153" s="164">
        <f t="shared" si="40"/>
        <v>0.36327274454032099</v>
      </c>
      <c r="Y153" s="180"/>
      <c r="Z153" s="157">
        <f t="shared" si="41"/>
        <v>15.156507413509059</v>
      </c>
      <c r="AA153" s="166">
        <f t="shared" si="42"/>
        <v>10.386326194398682</v>
      </c>
      <c r="AB153" s="126">
        <v>12</v>
      </c>
      <c r="AC153" s="167">
        <v>12.14</v>
      </c>
      <c r="AD153" s="167">
        <v>0.39</v>
      </c>
      <c r="AE153" s="167">
        <v>2.4700000000000002</v>
      </c>
      <c r="AF153" s="167">
        <v>3.27</v>
      </c>
      <c r="AG153" s="167">
        <v>33.700000000000003</v>
      </c>
      <c r="AH153" s="167">
        <v>342.8</v>
      </c>
      <c r="AI153" s="167">
        <v>-8.4</v>
      </c>
      <c r="AJ153" s="167">
        <v>32.6</v>
      </c>
      <c r="AK153" s="167">
        <v>26.71</v>
      </c>
      <c r="AL153" s="168">
        <v>161220</v>
      </c>
      <c r="AM153" s="169">
        <v>0.1</v>
      </c>
      <c r="AN153" s="167">
        <v>0.34</v>
      </c>
      <c r="AO153" s="170">
        <f t="shared" si="43"/>
        <v>2.9156403985611394</v>
      </c>
      <c r="AP153" s="171">
        <f t="shared" si="44"/>
        <v>13.301966592959822</v>
      </c>
      <c r="AQ153" s="172">
        <f t="shared" si="45"/>
        <v>22.860872816339505</v>
      </c>
      <c r="AR153" s="157">
        <f>INDEX([1]Historical!$C$7:$C$1231,MATCH(B153,[1]Historical!$B$7:$B$1253,0))*IF(AH153="n/a",1.03,IF(AH153&lt;0,1.01,IF(AH153&gt;10,1.1,(1+AH153/100))))</f>
        <v>1.9250000000000003</v>
      </c>
      <c r="AS153" s="166">
        <f t="shared" si="46"/>
        <v>1.9442500000000003</v>
      </c>
      <c r="AT153" s="166">
        <f t="shared" si="51"/>
        <v>2.1386750000000005</v>
      </c>
      <c r="AU153" s="166">
        <f t="shared" si="51"/>
        <v>2.3525425000000006</v>
      </c>
      <c r="AV153" s="166">
        <f t="shared" si="51"/>
        <v>2.5877967500000008</v>
      </c>
      <c r="AW153" s="157">
        <f t="shared" si="48"/>
        <v>10.948264250000003</v>
      </c>
      <c r="AX153" s="173">
        <f t="shared" si="49"/>
        <v>8.6828965421524327</v>
      </c>
      <c r="AY153" s="174">
        <v>1.33</v>
      </c>
      <c r="AZ153" s="169">
        <v>96.25</v>
      </c>
      <c r="BA153" s="169">
        <v>-2.6</v>
      </c>
      <c r="BB153" s="169">
        <v>12.07</v>
      </c>
      <c r="BC153" s="169">
        <v>26.77</v>
      </c>
      <c r="BE153" s="77">
        <v>2017</v>
      </c>
      <c r="BF153" s="77">
        <f t="shared" si="50"/>
        <v>1</v>
      </c>
      <c r="BG153" s="175">
        <v>17.399999999999999</v>
      </c>
      <c r="BH153" t="s">
        <v>939</v>
      </c>
      <c r="BI153" t="s">
        <v>940</v>
      </c>
      <c r="BJ153" s="112"/>
      <c r="BK153" s="112"/>
      <c r="BL153" s="112"/>
    </row>
    <row r="154" spans="1:64" s="252" customFormat="1" ht="11.25" customHeight="1" x14ac:dyDescent="0.2">
      <c r="A154" s="183" t="s">
        <v>1334</v>
      </c>
      <c r="B154" s="184" t="s">
        <v>245</v>
      </c>
      <c r="C154" s="154" t="s">
        <v>127</v>
      </c>
      <c r="D154" s="154" t="s">
        <v>973</v>
      </c>
      <c r="E154" s="185">
        <v>19</v>
      </c>
      <c r="F154" s="298">
        <v>200</v>
      </c>
      <c r="G154" s="297" t="s">
        <v>104</v>
      </c>
      <c r="H154" s="297" t="s">
        <v>104</v>
      </c>
      <c r="I154" s="186">
        <v>501.5</v>
      </c>
      <c r="J154" s="187">
        <f t="shared" si="36"/>
        <v>0.71784646061814561</v>
      </c>
      <c r="K154" s="188">
        <v>0.9</v>
      </c>
      <c r="L154" s="189">
        <v>4</v>
      </c>
      <c r="M154" s="190">
        <f t="shared" si="37"/>
        <v>3.6</v>
      </c>
      <c r="N154" s="191" t="s">
        <v>359</v>
      </c>
      <c r="O154" s="192">
        <v>0.79</v>
      </c>
      <c r="P154" s="193">
        <v>44679</v>
      </c>
      <c r="Q154" s="193">
        <v>44694</v>
      </c>
      <c r="R154" s="190">
        <f t="shared" si="38"/>
        <v>13.924050632911388</v>
      </c>
      <c r="S154" s="162">
        <f>IF(INDEX([1]Historical!$D$7:$D$1229,MATCH(B154,[1]Historical!$B$7:$B$1253,0))=0,"n/a",(INDEX([1]Historical!$C$7:$C$1231,MATCH(B154,[1]Historical!$B$7:$B$1253,0))/INDEX([1]Historical!$D$7:$D$1229,MATCH(B154,[1]Historical!$B$7:$B$1253,0))-1)*100)</f>
        <v>11.636363636363622</v>
      </c>
      <c r="T154" s="162">
        <f>IF(INDEX([1]Historical!$F$7:$F$1222,MATCH(B154,[1]Historical!$B$7:$B$1253,0))=0,"n/a",((INDEX([1]Historical!$C$7:$C$1231,MATCH(B154,[1]Historical!$B$7:$B$1253,0))/INDEX([1]Historical!$F$7:$F$1222,MATCH(B154,[1]Historical!$B$7:$B$1253,0)))^(1/3)-1)*100)</f>
        <v>11.578889292890814</v>
      </c>
      <c r="U154" s="162">
        <f>IF(INDEX([1]Historical!$H$7:$H$1222,MATCH(B154,[1]Historical!$B$7:$B$1253,0))=0,"n/a",((INDEX([1]Historical!$C$7:$C$1231,MATCH(B154,[1]Historical!$B$7:$B$1253,0))/INDEX([1]Historical!$H$7:$H$1222,MATCH(B154,[1]Historical!$B$7:$B$1253,0)))^(1/5)-1)*100)</f>
        <v>11.897417982379555</v>
      </c>
      <c r="V154" s="162">
        <f>IF(INDEX([1]Historical!$N$7:$N$1222,MATCH(B154,[1]Historical!$B$7:$B$1253,0))=0,"n/a",((INDEX([1]Historical!$C$7:$C$1231,MATCH(B154,[1]Historical!$B$7:$B$1253,0))/INDEX([1]Historical!$N$7:$N$1222,MATCH(B154,[1]Historical!$B$7:$B$1253,0)))^(1/10)-1)*100)</f>
        <v>12.745616129826477</v>
      </c>
      <c r="W154" s="163">
        <f t="shared" si="39"/>
        <v>0.9334517736288932</v>
      </c>
      <c r="X154" s="164">
        <f t="shared" si="40"/>
        <v>0.71242023846584157</v>
      </c>
      <c r="Y154" s="206"/>
      <c r="Z154" s="187">
        <f t="shared" si="41"/>
        <v>27.397260273972602</v>
      </c>
      <c r="AA154" s="194">
        <f t="shared" si="42"/>
        <v>38.165905631659058</v>
      </c>
      <c r="AB154" s="189">
        <v>8</v>
      </c>
      <c r="AC154" s="195">
        <v>13.14</v>
      </c>
      <c r="AD154" s="195">
        <v>2.81</v>
      </c>
      <c r="AE154" s="195">
        <v>0.97</v>
      </c>
      <c r="AF154" s="195">
        <v>10.99</v>
      </c>
      <c r="AG154" s="195">
        <v>29.799999999999997</v>
      </c>
      <c r="AH154" s="195">
        <v>16.600000000000001</v>
      </c>
      <c r="AI154" s="195">
        <v>10.879999999999999</v>
      </c>
      <c r="AJ154" s="195">
        <v>16.7</v>
      </c>
      <c r="AK154" s="195">
        <v>13.819999999999999</v>
      </c>
      <c r="AL154" s="196">
        <v>219770</v>
      </c>
      <c r="AM154" s="197">
        <v>0.1</v>
      </c>
      <c r="AN154" s="195">
        <v>0.32</v>
      </c>
      <c r="AO154" s="198">
        <f t="shared" si="43"/>
        <v>-25.550641188661359</v>
      </c>
      <c r="AP154" s="199">
        <f t="shared" si="44"/>
        <v>12.615264442997701</v>
      </c>
      <c r="AQ154" s="172">
        <f t="shared" si="45"/>
        <v>331.76295085353019</v>
      </c>
      <c r="AR154" s="157">
        <f>INDEX([1]Historical!$C$7:$C$1231,MATCH(B154,[1]Historical!$B$7:$B$1253,0))*IF(AH154="n/a",1.03,IF(AH154&lt;0,1.01,IF(AH154&gt;10,1.1,(1+AH154/100))))</f>
        <v>3.3770000000000002</v>
      </c>
      <c r="AS154" s="194">
        <f t="shared" si="46"/>
        <v>3.7147000000000006</v>
      </c>
      <c r="AT154" s="194">
        <f t="shared" si="51"/>
        <v>4.086170000000001</v>
      </c>
      <c r="AU154" s="194">
        <f t="shared" si="51"/>
        <v>4.4947870000000014</v>
      </c>
      <c r="AV154" s="194">
        <f t="shared" si="51"/>
        <v>4.9442657000000017</v>
      </c>
      <c r="AW154" s="187">
        <f t="shared" si="48"/>
        <v>20.616922700000007</v>
      </c>
      <c r="AX154" s="200">
        <f t="shared" si="49"/>
        <v>4.1110513858424742</v>
      </c>
      <c r="AY154" s="201">
        <v>0.72</v>
      </c>
      <c r="AZ154" s="197">
        <v>23.369999999999997</v>
      </c>
      <c r="BA154" s="197">
        <v>-18.09</v>
      </c>
      <c r="BB154" s="197">
        <v>0.3</v>
      </c>
      <c r="BC154" s="197">
        <v>-2.17</v>
      </c>
      <c r="BD154" s="202"/>
      <c r="BE154" s="77">
        <v>2004</v>
      </c>
      <c r="BF154" s="77">
        <f t="shared" si="50"/>
        <v>2</v>
      </c>
      <c r="BG154" s="203">
        <v>9.1999999999999993</v>
      </c>
      <c r="BH154" t="s">
        <v>939</v>
      </c>
      <c r="BI154" t="s">
        <v>940</v>
      </c>
    </row>
    <row r="155" spans="1:64" ht="11.25" customHeight="1" x14ac:dyDescent="0.2">
      <c r="A155" s="112" t="s">
        <v>799</v>
      </c>
      <c r="B155" s="153" t="s">
        <v>800</v>
      </c>
      <c r="C155" s="154" t="s">
        <v>90</v>
      </c>
      <c r="D155" s="154" t="s">
        <v>969</v>
      </c>
      <c r="E155" s="155">
        <v>10</v>
      </c>
      <c r="F155" s="298">
        <v>471</v>
      </c>
      <c r="G155" s="298" t="s">
        <v>88</v>
      </c>
      <c r="H155" s="298" t="s">
        <v>88</v>
      </c>
      <c r="I155" s="156">
        <v>20.52</v>
      </c>
      <c r="J155" s="157">
        <f t="shared" si="36"/>
        <v>5.0682261208577</v>
      </c>
      <c r="K155" s="158">
        <v>0.26</v>
      </c>
      <c r="L155" s="126">
        <v>4</v>
      </c>
      <c r="M155" s="82">
        <f t="shared" si="37"/>
        <v>1.04</v>
      </c>
      <c r="N155" s="159" t="s">
        <v>167</v>
      </c>
      <c r="O155" s="160">
        <v>0.25</v>
      </c>
      <c r="P155" s="161">
        <v>44617</v>
      </c>
      <c r="Q155" s="161">
        <v>44635</v>
      </c>
      <c r="R155" s="82">
        <f t="shared" si="38"/>
        <v>4.0000000000000036</v>
      </c>
      <c r="S155" s="162">
        <f>IF(INDEX([1]Historical!$D$7:$D$1229,MATCH(B155,[1]Historical!$B$7:$B$1253,0))=0,"n/a",(INDEX([1]Historical!$C$7:$C$1231,MATCH(B155,[1]Historical!$B$7:$B$1253,0))/INDEX([1]Historical!$D$7:$D$1229,MATCH(B155,[1]Historical!$B$7:$B$1253,0))-1)*100)</f>
        <v>4.3478260869565188</v>
      </c>
      <c r="T155" s="162">
        <f>IF(INDEX([1]Historical!$F$7:$F$1222,MATCH(B155,[1]Historical!$B$7:$B$1253,0))=0,"n/a",((INDEX([1]Historical!$C$7:$C$1231,MATCH(B155,[1]Historical!$B$7:$B$1253,0))/INDEX([1]Historical!$F$7:$F$1222,MATCH(B155,[1]Historical!$B$7:$B$1253,0)))^(1/3)-1)*100)</f>
        <v>5.3947861260881913</v>
      </c>
      <c r="U155" s="162">
        <f>IF(INDEX([1]Historical!$H$7:$H$1222,MATCH(B155,[1]Historical!$B$7:$B$1253,0))=0,"n/a",((INDEX([1]Historical!$C$7:$C$1231,MATCH(B155,[1]Historical!$B$7:$B$1253,0))/INDEX([1]Historical!$H$7:$H$1222,MATCH(B155,[1]Historical!$B$7:$B$1253,0)))^(1/5)-1)*100)</f>
        <v>9.8560543306117854</v>
      </c>
      <c r="V155" s="162" t="str">
        <f>IF(INDEX([1]Historical!$N$7:$N$1222,MATCH(B155,[1]Historical!$B$7:$B$1253,0))=0,"n/a",((INDEX([1]Historical!$C$7:$C$1231,MATCH(B155,[1]Historical!$B$7:$B$1253,0))/INDEX([1]Historical!$N$7:$N$1222,MATCH(B155,[1]Historical!$B$7:$B$1253,0)))^(1/10)-1)*100)</f>
        <v>n/a</v>
      </c>
      <c r="W155" s="163" t="str">
        <f t="shared" si="39"/>
        <v>n/a</v>
      </c>
      <c r="X155" s="164">
        <f t="shared" si="40"/>
        <v>0.73552644258296906</v>
      </c>
      <c r="Y155" s="180"/>
      <c r="Z155" s="157">
        <f t="shared" si="41"/>
        <v>37.956204379562038</v>
      </c>
      <c r="AA155" s="166">
        <f t="shared" si="42"/>
        <v>7.4890510948905105</v>
      </c>
      <c r="AB155" s="126">
        <v>12</v>
      </c>
      <c r="AC155" s="167">
        <v>2.74</v>
      </c>
      <c r="AD155" s="167">
        <v>0.91</v>
      </c>
      <c r="AE155" s="167">
        <v>2.41</v>
      </c>
      <c r="AF155" s="167">
        <v>1.24</v>
      </c>
      <c r="AG155" s="167">
        <v>15.7</v>
      </c>
      <c r="AH155" s="167">
        <v>113.79999999999998</v>
      </c>
      <c r="AI155" s="167">
        <v>-2.9899999999999998</v>
      </c>
      <c r="AJ155" s="167">
        <v>13.4</v>
      </c>
      <c r="AK155" s="167">
        <v>8</v>
      </c>
      <c r="AL155" s="168">
        <v>535.64</v>
      </c>
      <c r="AM155" s="169">
        <v>0.8</v>
      </c>
      <c r="AN155" s="167">
        <v>0.24</v>
      </c>
      <c r="AO155" s="170">
        <f t="shared" si="43"/>
        <v>7.4352293565789749</v>
      </c>
      <c r="AP155" s="171">
        <f t="shared" si="44"/>
        <v>14.924280451469485</v>
      </c>
      <c r="AQ155" s="172">
        <f t="shared" si="45"/>
        <v>-35.755939807068607</v>
      </c>
      <c r="AR155" s="157">
        <f>INDEX([1]Historical!$C$7:$C$1231,MATCH(B155,[1]Historical!$B$7:$B$1253,0))*IF(AH155="n/a",1.03,IF(AH155&lt;0,1.01,IF(AH155&gt;10,1.1,(1+AH155/100))))</f>
        <v>1.056</v>
      </c>
      <c r="AS155" s="166">
        <f t="shared" si="46"/>
        <v>1.06656</v>
      </c>
      <c r="AT155" s="166">
        <f t="shared" si="51"/>
        <v>1.1518847999999999</v>
      </c>
      <c r="AU155" s="166">
        <f t="shared" si="51"/>
        <v>1.2440355839999999</v>
      </c>
      <c r="AV155" s="166">
        <f t="shared" si="51"/>
        <v>1.3435584307199999</v>
      </c>
      <c r="AW155" s="157">
        <f t="shared" si="48"/>
        <v>5.86203881472</v>
      </c>
      <c r="AX155" s="173">
        <f t="shared" si="49"/>
        <v>28.567440617543859</v>
      </c>
      <c r="AY155" s="174">
        <v>1.1100000000000001</v>
      </c>
      <c r="AZ155" s="169">
        <v>7.55</v>
      </c>
      <c r="BA155" s="169">
        <v>-33.739999999999995</v>
      </c>
      <c r="BB155" s="169">
        <v>-5.66</v>
      </c>
      <c r="BC155" s="169">
        <v>-16.68</v>
      </c>
      <c r="BE155" s="77">
        <v>2013</v>
      </c>
      <c r="BF155" s="77">
        <f t="shared" si="50"/>
        <v>1</v>
      </c>
      <c r="BG155" s="175">
        <v>1</v>
      </c>
      <c r="BH155" t="s">
        <v>939</v>
      </c>
      <c r="BI155" t="s">
        <v>940</v>
      </c>
    </row>
    <row r="156" spans="1:64" ht="11.25" customHeight="1" x14ac:dyDescent="0.2">
      <c r="A156" s="176" t="s">
        <v>1335</v>
      </c>
      <c r="B156" s="153" t="s">
        <v>221</v>
      </c>
      <c r="C156" s="154" t="s">
        <v>117</v>
      </c>
      <c r="D156" s="154" t="s">
        <v>979</v>
      </c>
      <c r="E156" s="155">
        <v>19</v>
      </c>
      <c r="F156" s="298">
        <v>203</v>
      </c>
      <c r="G156" s="298" t="s">
        <v>30</v>
      </c>
      <c r="H156" s="298" t="s">
        <v>30</v>
      </c>
      <c r="I156" s="156">
        <v>124.38</v>
      </c>
      <c r="J156" s="157">
        <f t="shared" si="36"/>
        <v>1.7205338478855123</v>
      </c>
      <c r="K156" s="158">
        <v>0.53500000000000003</v>
      </c>
      <c r="L156" s="126">
        <v>4</v>
      </c>
      <c r="M156" s="82">
        <f t="shared" si="37"/>
        <v>2.14</v>
      </c>
      <c r="N156" s="159" t="s">
        <v>539</v>
      </c>
      <c r="O156" s="160">
        <v>0.48</v>
      </c>
      <c r="P156" s="161">
        <v>44726</v>
      </c>
      <c r="Q156" s="161">
        <v>44747</v>
      </c>
      <c r="R156" s="82">
        <f t="shared" si="38"/>
        <v>11.458333333333345</v>
      </c>
      <c r="S156" s="162">
        <f>IF(INDEX([1]Historical!$D$7:$D$1229,MATCH(B156,[1]Historical!$B$7:$B$1253,0))=0,"n/a",(INDEX([1]Historical!$C$7:$C$1231,MATCH(B156,[1]Historical!$B$7:$B$1253,0))/INDEX([1]Historical!$D$7:$D$1229,MATCH(B156,[1]Historical!$B$7:$B$1253,0))-1)*100)</f>
        <v>8.875739644970416</v>
      </c>
      <c r="T156" s="162">
        <f>IF(INDEX([1]Historical!$F$7:$F$1222,MATCH(B156,[1]Historical!$B$7:$B$1253,0))=0,"n/a",((INDEX([1]Historical!$C$7:$C$1231,MATCH(B156,[1]Historical!$B$7:$B$1253,0))/INDEX([1]Historical!$F$7:$F$1222,MATCH(B156,[1]Historical!$B$7:$B$1253,0)))^(1/3)-1)*100)</f>
        <v>9.7996631054325878</v>
      </c>
      <c r="U156" s="162">
        <f>IF(INDEX([1]Historical!$H$7:$H$1222,MATCH(B156,[1]Historical!$B$7:$B$1253,0))=0,"n/a",((INDEX([1]Historical!$C$7:$C$1231,MATCH(B156,[1]Historical!$B$7:$B$1253,0))/INDEX([1]Historical!$H$7:$H$1222,MATCH(B156,[1]Historical!$B$7:$B$1253,0)))^(1/5)-1)*100)</f>
        <v>9.1993100857572951</v>
      </c>
      <c r="V156" s="162">
        <f>IF(INDEX([1]Historical!$N$7:$N$1222,MATCH(B156,[1]Historical!$B$7:$B$1253,0))=0,"n/a",((INDEX([1]Historical!$C$7:$C$1231,MATCH(B156,[1]Historical!$B$7:$B$1253,0))/INDEX([1]Historical!$N$7:$N$1222,MATCH(B156,[1]Historical!$B$7:$B$1253,0)))^(1/10)-1)*100)</f>
        <v>7.4131694050160624</v>
      </c>
      <c r="W156" s="163">
        <f t="shared" si="39"/>
        <v>1.2409415707582043</v>
      </c>
      <c r="X156" s="164">
        <f t="shared" si="40"/>
        <v>0.86785944205257504</v>
      </c>
      <c r="Y156" s="212"/>
      <c r="Z156" s="157">
        <f t="shared" si="41"/>
        <v>42.544731610337969</v>
      </c>
      <c r="AA156" s="166">
        <f t="shared" si="42"/>
        <v>24.727634194831012</v>
      </c>
      <c r="AB156" s="126">
        <v>12</v>
      </c>
      <c r="AC156" s="167">
        <v>5.03</v>
      </c>
      <c r="AD156" s="167">
        <v>3.59</v>
      </c>
      <c r="AE156" s="167">
        <v>3.49</v>
      </c>
      <c r="AF156" s="167">
        <v>2.74</v>
      </c>
      <c r="AG156" s="167">
        <v>11.3</v>
      </c>
      <c r="AH156" s="167">
        <v>12.4</v>
      </c>
      <c r="AI156" s="167">
        <v>8.07</v>
      </c>
      <c r="AJ156" s="167">
        <v>10.6</v>
      </c>
      <c r="AK156" s="167">
        <v>7.0000000000000009</v>
      </c>
      <c r="AL156" s="168">
        <v>2200</v>
      </c>
      <c r="AM156" s="169">
        <v>1.2</v>
      </c>
      <c r="AN156" s="167">
        <v>0.91</v>
      </c>
      <c r="AO156" s="170">
        <f t="shared" si="43"/>
        <v>-13.807790261188204</v>
      </c>
      <c r="AP156" s="171">
        <f t="shared" si="44"/>
        <v>10.919843933642808</v>
      </c>
      <c r="AQ156" s="172">
        <f t="shared" si="45"/>
        <v>73.530295393868045</v>
      </c>
      <c r="AR156" s="157">
        <f>INDEX([1]Historical!$C$7:$C$1231,MATCH(B156,[1]Historical!$B$7:$B$1253,0))*IF(AH156="n/a",1.03,IF(AH156&lt;0,1.01,IF(AH156&gt;10,1.1,(1+AH156/100))))</f>
        <v>2.0240000000000005</v>
      </c>
      <c r="AS156" s="166">
        <f t="shared" si="46"/>
        <v>2.1873368000000006</v>
      </c>
      <c r="AT156" s="166">
        <f t="shared" si="51"/>
        <v>2.3404503760000006</v>
      </c>
      <c r="AU156" s="166">
        <f t="shared" si="51"/>
        <v>2.5042819023200007</v>
      </c>
      <c r="AV156" s="166">
        <f t="shared" si="51"/>
        <v>2.6795816354824007</v>
      </c>
      <c r="AW156" s="157">
        <f t="shared" si="48"/>
        <v>11.735650713802404</v>
      </c>
      <c r="AX156" s="173">
        <f t="shared" si="49"/>
        <v>9.4353197570368259</v>
      </c>
      <c r="AY156" s="174">
        <v>0.62</v>
      </c>
      <c r="AZ156" s="169">
        <v>11.49</v>
      </c>
      <c r="BA156" s="169">
        <v>-14.979999999999999</v>
      </c>
      <c r="BB156" s="169">
        <v>0.16999999999999998</v>
      </c>
      <c r="BC156" s="169">
        <v>-4.2700000000000005</v>
      </c>
      <c r="BE156" s="77">
        <v>2004</v>
      </c>
      <c r="BF156" s="77">
        <f t="shared" si="50"/>
        <v>2</v>
      </c>
      <c r="BG156" s="175">
        <v>4.3</v>
      </c>
      <c r="BH156" t="s">
        <v>939</v>
      </c>
      <c r="BI156" t="s">
        <v>940</v>
      </c>
    </row>
    <row r="157" spans="1:64" ht="11.25" customHeight="1" x14ac:dyDescent="0.2">
      <c r="A157" s="176" t="s">
        <v>1336</v>
      </c>
      <c r="B157" s="153" t="s">
        <v>220</v>
      </c>
      <c r="C157" s="154" t="s">
        <v>90</v>
      </c>
      <c r="D157" s="154" t="s">
        <v>969</v>
      </c>
      <c r="E157" s="155">
        <v>31</v>
      </c>
      <c r="F157" s="298">
        <v>93</v>
      </c>
      <c r="G157" s="298" t="s">
        <v>88</v>
      </c>
      <c r="H157" s="298" t="s">
        <v>88</v>
      </c>
      <c r="I157" s="156">
        <v>21.75</v>
      </c>
      <c r="J157" s="157">
        <f t="shared" si="36"/>
        <v>2.7586206896551726</v>
      </c>
      <c r="K157" s="158">
        <v>0.15</v>
      </c>
      <c r="L157" s="126">
        <v>4</v>
      </c>
      <c r="M157" s="82">
        <f t="shared" si="37"/>
        <v>0.6</v>
      </c>
      <c r="N157" s="159" t="s">
        <v>167</v>
      </c>
      <c r="O157" s="226">
        <v>0.14000000000000001</v>
      </c>
      <c r="P157" s="161">
        <v>44804</v>
      </c>
      <c r="Q157" s="161">
        <v>44819</v>
      </c>
      <c r="R157" s="82">
        <f t="shared" si="38"/>
        <v>7.1428571428571281</v>
      </c>
      <c r="S157" s="162">
        <f>IF(INDEX([1]Historical!$D$7:$D$1229,MATCH(B157,[1]Historical!$B$7:$B$1253,0))=0,"n/a",(INDEX([1]Historical!$C$7:$C$1231,MATCH(B157,[1]Historical!$B$7:$B$1253,0))/INDEX([1]Historical!$D$7:$D$1229,MATCH(B157,[1]Historical!$B$7:$B$1253,0))-1)*100)</f>
        <v>6.0000000000000053</v>
      </c>
      <c r="T157" s="162">
        <f>IF(INDEX([1]Historical!$F$7:$F$1222,MATCH(B157,[1]Historical!$B$7:$B$1253,0))=0,"n/a",((INDEX([1]Historical!$C$7:$C$1231,MATCH(B157,[1]Historical!$B$7:$B$1253,0))/INDEX([1]Historical!$F$7:$F$1222,MATCH(B157,[1]Historical!$B$7:$B$1253,0)))^(1/3)-1)*100)</f>
        <v>4.9618496735670092</v>
      </c>
      <c r="U157" s="162">
        <f>IF(INDEX([1]Historical!$H$7:$H$1222,MATCH(B157,[1]Historical!$B$7:$B$1253,0))=0,"n/a",((INDEX([1]Historical!$C$7:$C$1231,MATCH(B157,[1]Historical!$B$7:$B$1253,0))/INDEX([1]Historical!$H$7:$H$1222,MATCH(B157,[1]Historical!$B$7:$B$1253,0)))^(1/5)-1)*100)</f>
        <v>5.3542857446598369</v>
      </c>
      <c r="V157" s="162">
        <f>IF(INDEX([1]Historical!$N$7:$N$1222,MATCH(B157,[1]Historical!$B$7:$B$1253,0))=0,"n/a",((INDEX([1]Historical!$C$7:$C$1231,MATCH(B157,[1]Historical!$B$7:$B$1253,0))/INDEX([1]Historical!$N$7:$N$1222,MATCH(B157,[1]Historical!$B$7:$B$1253,0)))^(1/10)-1)*100)</f>
        <v>6.7864765756001422</v>
      </c>
      <c r="W157" s="163">
        <f t="shared" si="39"/>
        <v>0.78896400584516069</v>
      </c>
      <c r="X157" s="164" t="str">
        <f t="shared" si="40"/>
        <v>n/a</v>
      </c>
      <c r="Y157" s="180"/>
      <c r="Z157" s="157" t="str">
        <f t="shared" si="41"/>
        <v>n/a</v>
      </c>
      <c r="AA157" s="166" t="str">
        <f t="shared" si="42"/>
        <v>n/a</v>
      </c>
      <c r="AB157" s="126">
        <v>12</v>
      </c>
      <c r="AC157" s="167" t="s">
        <v>95</v>
      </c>
      <c r="AD157" s="167" t="s">
        <v>95</v>
      </c>
      <c r="AE157" s="167" t="s">
        <v>95</v>
      </c>
      <c r="AF157" s="167" t="s">
        <v>95</v>
      </c>
      <c r="AG157" s="167" t="s">
        <v>95</v>
      </c>
      <c r="AH157" s="167" t="s">
        <v>95</v>
      </c>
      <c r="AI157" s="167" t="s">
        <v>95</v>
      </c>
      <c r="AJ157" s="167" t="s">
        <v>95</v>
      </c>
      <c r="AK157" s="167" t="s">
        <v>95</v>
      </c>
      <c r="AL157" s="168" t="s">
        <v>95</v>
      </c>
      <c r="AM157" s="169" t="s">
        <v>95</v>
      </c>
      <c r="AN157" s="167" t="s">
        <v>95</v>
      </c>
      <c r="AO157" s="170" t="str">
        <f t="shared" si="43"/>
        <v>n/a</v>
      </c>
      <c r="AP157" s="171">
        <f t="shared" si="44"/>
        <v>8.1129064343150095</v>
      </c>
      <c r="AQ157" s="172" t="str">
        <f t="shared" si="45"/>
        <v>n/a</v>
      </c>
      <c r="AR157" s="157">
        <f>INDEX([1]Historical!$C$7:$C$1231,MATCH(B157,[1]Historical!$B$7:$B$1253,0))*IF(AH157="n/a",1.03,IF(AH157&lt;0,1.01,IF(AH157&gt;10,1.1,(1+AH157/100))))</f>
        <v>0.54590000000000005</v>
      </c>
      <c r="AS157" s="166">
        <f t="shared" si="46"/>
        <v>0.56227700000000003</v>
      </c>
      <c r="AT157" s="166">
        <f t="shared" si="51"/>
        <v>0.57914531000000002</v>
      </c>
      <c r="AU157" s="166">
        <f t="shared" si="51"/>
        <v>0.5965196693</v>
      </c>
      <c r="AV157" s="166">
        <f t="shared" si="51"/>
        <v>0.61441525937899999</v>
      </c>
      <c r="AW157" s="157">
        <f t="shared" si="48"/>
        <v>2.8982572386790002</v>
      </c>
      <c r="AX157" s="173">
        <f t="shared" si="49"/>
        <v>13.325320637604598</v>
      </c>
      <c r="AY157" s="174" t="s">
        <v>95</v>
      </c>
      <c r="AZ157" s="169" t="s">
        <v>95</v>
      </c>
      <c r="BA157" s="169" t="s">
        <v>95</v>
      </c>
      <c r="BB157" s="169" t="s">
        <v>95</v>
      </c>
      <c r="BC157" s="169" t="s">
        <v>95</v>
      </c>
      <c r="BD157" s="100" t="s">
        <v>932</v>
      </c>
      <c r="BE157" s="77">
        <v>1992</v>
      </c>
      <c r="BF157" s="77">
        <f t="shared" si="50"/>
        <v>3</v>
      </c>
      <c r="BG157" s="175" t="s">
        <v>95</v>
      </c>
      <c r="BH157" t="s">
        <v>939</v>
      </c>
      <c r="BI157" t="s">
        <v>940</v>
      </c>
    </row>
    <row r="158" spans="1:64" ht="11.25" customHeight="1" x14ac:dyDescent="0.2">
      <c r="A158" s="112" t="s">
        <v>527</v>
      </c>
      <c r="B158" s="153" t="s">
        <v>528</v>
      </c>
      <c r="C158" s="154" t="s">
        <v>947</v>
      </c>
      <c r="D158" s="154" t="s">
        <v>948</v>
      </c>
      <c r="E158" s="155">
        <v>12</v>
      </c>
      <c r="F158" s="298">
        <v>354</v>
      </c>
      <c r="G158" s="298" t="s">
        <v>30</v>
      </c>
      <c r="H158" s="298" t="s">
        <v>30</v>
      </c>
      <c r="I158" s="156">
        <v>115.55</v>
      </c>
      <c r="J158" s="157">
        <f t="shared" si="36"/>
        <v>3.2540025962786672</v>
      </c>
      <c r="K158" s="158">
        <v>0.94</v>
      </c>
      <c r="L158" s="126">
        <v>4</v>
      </c>
      <c r="M158" s="82">
        <f t="shared" si="37"/>
        <v>3.76</v>
      </c>
      <c r="N158" s="159" t="s">
        <v>443</v>
      </c>
      <c r="O158" s="160">
        <v>0.83</v>
      </c>
      <c r="P158" s="161">
        <v>44650</v>
      </c>
      <c r="Q158" s="161">
        <v>44669</v>
      </c>
      <c r="R158" s="82">
        <f t="shared" si="38"/>
        <v>13.253012048192769</v>
      </c>
      <c r="S158" s="162">
        <f>IF(INDEX([1]Historical!$D$7:$D$1229,MATCH(B158,[1]Historical!$B$7:$B$1253,0))=0,"n/a",(INDEX([1]Historical!$C$7:$C$1231,MATCH(B158,[1]Historical!$B$7:$B$1253,0))/INDEX([1]Historical!$D$7:$D$1229,MATCH(B158,[1]Historical!$B$7:$B$1253,0))-1)*100)</f>
        <v>0.91185410334346795</v>
      </c>
      <c r="T158" s="162">
        <f>IF(INDEX([1]Historical!$F$7:$F$1222,MATCH(B158,[1]Historical!$B$7:$B$1253,0))=0,"n/a",((INDEX([1]Historical!$C$7:$C$1231,MATCH(B158,[1]Historical!$B$7:$B$1253,0))/INDEX([1]Historical!$F$7:$F$1222,MATCH(B158,[1]Historical!$B$7:$B$1253,0)))^(1/3)-1)*100)</f>
        <v>2.7556125226588124</v>
      </c>
      <c r="U158" s="162">
        <f>IF(INDEX([1]Historical!$H$7:$H$1222,MATCH(B158,[1]Historical!$B$7:$B$1253,0))=0,"n/a",((INDEX([1]Historical!$C$7:$C$1231,MATCH(B158,[1]Historical!$B$7:$B$1253,0))/INDEX([1]Historical!$H$7:$H$1222,MATCH(B158,[1]Historical!$B$7:$B$1253,0)))^(1/5)-1)*100)</f>
        <v>2.3913369064288093</v>
      </c>
      <c r="V158" s="162">
        <f>IF(INDEX([1]Historical!$N$7:$N$1222,MATCH(B158,[1]Historical!$B$7:$B$1253,0))=0,"n/a",((INDEX([1]Historical!$C$7:$C$1231,MATCH(B158,[1]Historical!$B$7:$B$1253,0))/INDEX([1]Historical!$N$7:$N$1222,MATCH(B158,[1]Historical!$B$7:$B$1253,0)))^(1/10)-1)*100)</f>
        <v>5.6291257930365157</v>
      </c>
      <c r="W158" s="163">
        <f t="shared" si="39"/>
        <v>0.42481497027247139</v>
      </c>
      <c r="X158" s="164" t="str">
        <f t="shared" si="40"/>
        <v>n/a</v>
      </c>
      <c r="Y158" s="180" t="s">
        <v>1751</v>
      </c>
      <c r="Z158" s="157">
        <f t="shared" si="41"/>
        <v>335.71428571428567</v>
      </c>
      <c r="AA158" s="166">
        <f t="shared" si="42"/>
        <v>103.16964285714285</v>
      </c>
      <c r="AB158" s="126">
        <v>12</v>
      </c>
      <c r="AC158" s="167">
        <v>1.1200000000000001</v>
      </c>
      <c r="AD158" s="167">
        <v>4.0599999999999996</v>
      </c>
      <c r="AE158" s="167">
        <v>9.0500000000000007</v>
      </c>
      <c r="AF158" s="167">
        <v>3.37</v>
      </c>
      <c r="AG158" s="167" t="s">
        <v>95</v>
      </c>
      <c r="AH158" s="167">
        <v>138.19999999999999</v>
      </c>
      <c r="AI158" s="167">
        <v>-70.899999999999991</v>
      </c>
      <c r="AJ158" s="167">
        <v>-9.1999999999999993</v>
      </c>
      <c r="AK158" s="167">
        <v>25.290000000000003</v>
      </c>
      <c r="AL158" s="167">
        <v>12240</v>
      </c>
      <c r="AM158" s="169">
        <v>0.2</v>
      </c>
      <c r="AN158" s="167">
        <v>0</v>
      </c>
      <c r="AO158" s="170">
        <f t="shared" si="43"/>
        <v>-97.524303354435375</v>
      </c>
      <c r="AP158" s="171">
        <f t="shared" si="44"/>
        <v>5.6453395027074764</v>
      </c>
      <c r="AQ158" s="172">
        <f t="shared" si="45"/>
        <v>293.09693259131188</v>
      </c>
      <c r="AR158" s="157">
        <f>INDEX([1]Historical!$C$7:$C$1231,MATCH(B158,[1]Historical!$B$7:$B$1253,0))*IF(AH158="n/a",1.03,IF(AH158&lt;0,1.01,IF(AH158&gt;10,1.1,(1+AH158/100))))</f>
        <v>3.6520000000000001</v>
      </c>
      <c r="AS158" s="166">
        <f t="shared" si="46"/>
        <v>3.68852</v>
      </c>
      <c r="AT158" s="166">
        <f t="shared" si="51"/>
        <v>4.057372</v>
      </c>
      <c r="AU158" s="166">
        <f t="shared" si="51"/>
        <v>4.4631092000000008</v>
      </c>
      <c r="AV158" s="166">
        <f t="shared" si="51"/>
        <v>4.9094201200000009</v>
      </c>
      <c r="AW158" s="157">
        <f t="shared" si="48"/>
        <v>20.770421320000001</v>
      </c>
      <c r="AX158" s="173">
        <f t="shared" si="49"/>
        <v>17.975267260926007</v>
      </c>
      <c r="AY158" s="174">
        <v>0.76</v>
      </c>
      <c r="AZ158" s="169">
        <v>5.37</v>
      </c>
      <c r="BA158" s="169">
        <v>-35.94</v>
      </c>
      <c r="BB158" s="169">
        <v>-6.419999999999999</v>
      </c>
      <c r="BC158" s="169">
        <v>-20.03</v>
      </c>
      <c r="BE158" s="77">
        <v>2011</v>
      </c>
      <c r="BF158" s="77">
        <f t="shared" si="50"/>
        <v>1</v>
      </c>
      <c r="BG158" s="175" t="s">
        <v>95</v>
      </c>
      <c r="BH158" t="s">
        <v>939</v>
      </c>
      <c r="BI158" t="s">
        <v>945</v>
      </c>
    </row>
    <row r="159" spans="1:64" ht="11.25" customHeight="1" x14ac:dyDescent="0.2">
      <c r="A159" s="205" t="s">
        <v>1026</v>
      </c>
      <c r="B159" s="153" t="s">
        <v>1027</v>
      </c>
      <c r="C159" s="154" t="s">
        <v>109</v>
      </c>
      <c r="D159" s="154" t="s">
        <v>1028</v>
      </c>
      <c r="E159" s="155">
        <v>6</v>
      </c>
      <c r="F159" s="298">
        <v>673</v>
      </c>
      <c r="G159" s="298" t="s">
        <v>88</v>
      </c>
      <c r="H159" s="298" t="s">
        <v>88</v>
      </c>
      <c r="I159" s="156">
        <v>60.13</v>
      </c>
      <c r="J159" s="157">
        <f t="shared" si="36"/>
        <v>5.1554964244137702</v>
      </c>
      <c r="K159" s="158">
        <v>0.77500000000000002</v>
      </c>
      <c r="L159" s="126">
        <v>4</v>
      </c>
      <c r="M159" s="82">
        <f t="shared" si="37"/>
        <v>3.1</v>
      </c>
      <c r="N159" s="159" t="s">
        <v>89</v>
      </c>
      <c r="O159" s="160">
        <v>0.7</v>
      </c>
      <c r="P159" s="161">
        <v>44685</v>
      </c>
      <c r="Q159" s="161">
        <v>44694</v>
      </c>
      <c r="R159" s="82">
        <f t="shared" si="38"/>
        <v>10.714285714285724</v>
      </c>
      <c r="S159" s="162">
        <f>IF(INDEX([1]Historical!$D$7:$D$1229,MATCH(B159,[1]Historical!$B$7:$B$1253,0))=0,"n/a",(INDEX([1]Historical!$C$7:$C$1231,MATCH(B159,[1]Historical!$B$7:$B$1253,0))/INDEX([1]Historical!$D$7:$D$1229,MATCH(B159,[1]Historical!$B$7:$B$1253,0))-1)*100)</f>
        <v>3.7037037037037202</v>
      </c>
      <c r="T159" s="162">
        <f>IF(INDEX([1]Historical!$F$7:$F$1222,MATCH(B159,[1]Historical!$B$7:$B$1253,0))=0,"n/a",((INDEX([1]Historical!$C$7:$C$1231,MATCH(B159,[1]Historical!$B$7:$B$1253,0))/INDEX([1]Historical!$F$7:$F$1222,MATCH(B159,[1]Historical!$B$7:$B$1253,0)))^(1/3)-1)*100)</f>
        <v>6.6954355429920565</v>
      </c>
      <c r="U159" s="162">
        <f>IF(INDEX([1]Historical!$H$7:$H$1222,MATCH(B159,[1]Historical!$B$7:$B$1253,0))=0,"n/a",((INDEX([1]Historical!$C$7:$C$1231,MATCH(B159,[1]Historical!$B$7:$B$1253,0))/INDEX([1]Historical!$H$7:$H$1222,MATCH(B159,[1]Historical!$B$7:$B$1253,0)))^(1/5)-1)*100)</f>
        <v>9.3670613755540764</v>
      </c>
      <c r="V159" s="162">
        <f>IF(INDEX([1]Historical!$N$7:$N$1222,MATCH(B159,[1]Historical!$B$7:$B$1253,0))=0,"n/a",((INDEX([1]Historical!$C$7:$C$1231,MATCH(B159,[1]Historical!$B$7:$B$1253,0))/INDEX([1]Historical!$N$7:$N$1222,MATCH(B159,[1]Historical!$B$7:$B$1253,0)))^(1/10)-1)*100)</f>
        <v>4.5787078594653918</v>
      </c>
      <c r="W159" s="163">
        <f t="shared" si="39"/>
        <v>2.0457870785946519</v>
      </c>
      <c r="X159" s="164">
        <f t="shared" si="40"/>
        <v>0.18149702335892418</v>
      </c>
      <c r="Y159" s="180"/>
      <c r="Z159" s="157">
        <f t="shared" si="41"/>
        <v>140.90909090909091</v>
      </c>
      <c r="AA159" s="166">
        <f t="shared" si="42"/>
        <v>27.331818181818182</v>
      </c>
      <c r="AB159" s="126">
        <v>12</v>
      </c>
      <c r="AC159" s="167">
        <v>2.2000000000000002</v>
      </c>
      <c r="AD159" s="167">
        <v>6.15</v>
      </c>
      <c r="AE159" s="167">
        <v>2.67</v>
      </c>
      <c r="AF159" s="167">
        <v>40.369999999999997</v>
      </c>
      <c r="AG159" s="167" t="s">
        <v>95</v>
      </c>
      <c r="AH159" s="167">
        <v>24.3</v>
      </c>
      <c r="AI159" s="167">
        <v>11.3</v>
      </c>
      <c r="AJ159" s="167">
        <v>51.61</v>
      </c>
      <c r="AK159" s="167">
        <v>4.3999999999999995</v>
      </c>
      <c r="AL159" s="168">
        <v>28820</v>
      </c>
      <c r="AM159" s="169">
        <v>49.559999999999995</v>
      </c>
      <c r="AN159" s="167" t="s">
        <v>95</v>
      </c>
      <c r="AO159" s="170">
        <f t="shared" si="43"/>
        <v>-12.809260381850336</v>
      </c>
      <c r="AP159" s="171">
        <f t="shared" si="44"/>
        <v>14.522557799967846</v>
      </c>
      <c r="AQ159" s="172">
        <f t="shared" si="45"/>
        <v>600.28105468844103</v>
      </c>
      <c r="AR159" s="157">
        <f>INDEX([1]Historical!$C$7:$C$1231,MATCH(B159,[1]Historical!$B$7:$B$1253,0))*IF(AH159="n/a",1.03,IF(AH159&lt;0,1.01,IF(AH159&gt;10,1.1,(1+AH159/100))))</f>
        <v>2.9260000000000006</v>
      </c>
      <c r="AS159" s="166">
        <f t="shared" si="46"/>
        <v>3.2186000000000008</v>
      </c>
      <c r="AT159" s="166">
        <f t="shared" si="51"/>
        <v>3.3602184000000008</v>
      </c>
      <c r="AU159" s="166">
        <f t="shared" si="51"/>
        <v>3.508068009600001</v>
      </c>
      <c r="AV159" s="166">
        <f t="shared" si="51"/>
        <v>3.6624230020224013</v>
      </c>
      <c r="AW159" s="157">
        <f t="shared" si="48"/>
        <v>16.675309411622404</v>
      </c>
      <c r="AX159" s="173">
        <f t="shared" si="49"/>
        <v>27.732096144391161</v>
      </c>
      <c r="AY159" s="174" t="s">
        <v>95</v>
      </c>
      <c r="AZ159" s="169">
        <v>59.160000000000004</v>
      </c>
      <c r="BA159" s="169">
        <v>-1.82</v>
      </c>
      <c r="BB159" s="169">
        <v>9.43</v>
      </c>
      <c r="BC159" s="169">
        <v>17.32</v>
      </c>
      <c r="BE159" s="77">
        <v>2017</v>
      </c>
      <c r="BF159" s="77">
        <f t="shared" si="50"/>
        <v>1</v>
      </c>
      <c r="BG159" s="175" t="s">
        <v>95</v>
      </c>
      <c r="BH159" t="s">
        <v>939</v>
      </c>
      <c r="BI159" t="s">
        <v>993</v>
      </c>
      <c r="BJ159" s="112"/>
      <c r="BK159" s="112"/>
      <c r="BL159" s="112"/>
    </row>
    <row r="160" spans="1:64" ht="11.25" customHeight="1" x14ac:dyDescent="0.2">
      <c r="A160" s="205" t="s">
        <v>1029</v>
      </c>
      <c r="B160" s="153" t="s">
        <v>1030</v>
      </c>
      <c r="C160" s="154" t="s">
        <v>94</v>
      </c>
      <c r="D160" s="154" t="s">
        <v>1031</v>
      </c>
      <c r="E160" s="155">
        <v>6</v>
      </c>
      <c r="F160" s="298">
        <v>649</v>
      </c>
      <c r="G160" s="298" t="s">
        <v>88</v>
      </c>
      <c r="H160" s="298" t="s">
        <v>88</v>
      </c>
      <c r="I160" s="156">
        <v>102.74</v>
      </c>
      <c r="J160" s="157">
        <f t="shared" si="36"/>
        <v>1.2069301148530271</v>
      </c>
      <c r="K160" s="158">
        <v>0.31</v>
      </c>
      <c r="L160" s="126">
        <v>4</v>
      </c>
      <c r="M160" s="82">
        <f t="shared" si="37"/>
        <v>1.24</v>
      </c>
      <c r="N160" s="159" t="s">
        <v>167</v>
      </c>
      <c r="O160" s="160">
        <v>0.26</v>
      </c>
      <c r="P160" s="224">
        <v>44529</v>
      </c>
      <c r="Q160" s="224">
        <v>44540</v>
      </c>
      <c r="R160" s="82">
        <f t="shared" si="38"/>
        <v>19.230769230769226</v>
      </c>
      <c r="S160" s="162">
        <f>IF(INDEX([1]Historical!$D$7:$D$1229,MATCH(B160,[1]Historical!$B$7:$B$1253,0))=0,"n/a",(INDEX([1]Historical!$C$7:$C$1231,MATCH(B160,[1]Historical!$B$7:$B$1253,0))/INDEX([1]Historical!$D$7:$D$1229,MATCH(B160,[1]Historical!$B$7:$B$1253,0))-1)*100)</f>
        <v>14.736842105263182</v>
      </c>
      <c r="T160" s="162">
        <f>IF(INDEX([1]Historical!$F$7:$F$1222,MATCH(B160,[1]Historical!$B$7:$B$1253,0))=0,"n/a",((INDEX([1]Historical!$C$7:$C$1231,MATCH(B160,[1]Historical!$B$7:$B$1253,0))/INDEX([1]Historical!$F$7:$F$1222,MATCH(B160,[1]Historical!$B$7:$B$1253,0)))^(1/3)-1)*100)</f>
        <v>15.360213129419066</v>
      </c>
      <c r="U160" s="162">
        <f>IF(INDEX([1]Historical!$H$7:$H$1222,MATCH(B160,[1]Historical!$B$7:$B$1253,0))=0,"n/a",((INDEX([1]Historical!$C$7:$C$1231,MATCH(B160,[1]Historical!$B$7:$B$1253,0))/INDEX([1]Historical!$H$7:$H$1222,MATCH(B160,[1]Historical!$B$7:$B$1253,0)))^(1/5)-1)*100)</f>
        <v>50.750823233461517</v>
      </c>
      <c r="V160" s="162" t="str">
        <f>IF(INDEX([1]Historical!$N$7:$N$1222,MATCH(B160,[1]Historical!$B$7:$B$1253,0))=0,"n/a",((INDEX([1]Historical!$C$7:$C$1231,MATCH(B160,[1]Historical!$B$7:$B$1253,0))/INDEX([1]Historical!$N$7:$N$1222,MATCH(B160,[1]Historical!$B$7:$B$1253,0)))^(1/10)-1)*100)</f>
        <v>n/a</v>
      </c>
      <c r="W160" s="163" t="str">
        <f t="shared" si="39"/>
        <v>n/a</v>
      </c>
      <c r="X160" s="164">
        <f t="shared" si="40"/>
        <v>1.7145548389682945</v>
      </c>
      <c r="Y160" s="178"/>
      <c r="Z160" s="157">
        <f t="shared" si="41"/>
        <v>21.869488536155202</v>
      </c>
      <c r="AA160" s="166">
        <f t="shared" si="42"/>
        <v>18.119929453262785</v>
      </c>
      <c r="AB160" s="126">
        <v>12</v>
      </c>
      <c r="AC160" s="167">
        <v>5.67</v>
      </c>
      <c r="AD160" s="167">
        <v>1.2</v>
      </c>
      <c r="AE160" s="167">
        <v>1.24</v>
      </c>
      <c r="AF160" s="167">
        <v>3.74</v>
      </c>
      <c r="AG160" s="167">
        <v>20.8</v>
      </c>
      <c r="AH160" s="167">
        <v>77.3</v>
      </c>
      <c r="AI160" s="167">
        <v>4.43</v>
      </c>
      <c r="AJ160" s="167">
        <v>29.599999999999998</v>
      </c>
      <c r="AK160" s="167">
        <v>15</v>
      </c>
      <c r="AL160" s="168">
        <v>705.42</v>
      </c>
      <c r="AM160" s="169">
        <v>4.1000000000000005</v>
      </c>
      <c r="AN160" s="167">
        <v>0.35</v>
      </c>
      <c r="AO160" s="170">
        <f t="shared" si="43"/>
        <v>33.837823895051763</v>
      </c>
      <c r="AP160" s="171">
        <f t="shared" si="44"/>
        <v>51.957753348314547</v>
      </c>
      <c r="AQ160" s="172">
        <f t="shared" si="45"/>
        <v>73.549270820457096</v>
      </c>
      <c r="AR160" s="157">
        <f>INDEX([1]Historical!$C$7:$C$1231,MATCH(B160,[1]Historical!$B$7:$B$1253,0))*IF(AH160="n/a",1.03,IF(AH160&lt;0,1.01,IF(AH160&gt;10,1.1,(1+AH160/100))))</f>
        <v>1.1990000000000003</v>
      </c>
      <c r="AS160" s="166">
        <f t="shared" si="46"/>
        <v>1.2521157000000003</v>
      </c>
      <c r="AT160" s="166">
        <f t="shared" si="51"/>
        <v>1.3773272700000003</v>
      </c>
      <c r="AU160" s="166">
        <f t="shared" si="51"/>
        <v>1.5150599970000005</v>
      </c>
      <c r="AV160" s="166">
        <f t="shared" si="51"/>
        <v>1.6665659967000006</v>
      </c>
      <c r="AW160" s="157">
        <f t="shared" si="48"/>
        <v>7.010068963700002</v>
      </c>
      <c r="AX160" s="173">
        <f t="shared" si="49"/>
        <v>6.8231155963597452</v>
      </c>
      <c r="AY160" s="174">
        <v>1.27</v>
      </c>
      <c r="AZ160" s="169">
        <v>31.130000000000003</v>
      </c>
      <c r="BA160" s="169">
        <v>-11.97</v>
      </c>
      <c r="BB160" s="169">
        <v>12.26</v>
      </c>
      <c r="BC160" s="169">
        <v>16.3</v>
      </c>
      <c r="BE160" s="77">
        <v>2016</v>
      </c>
      <c r="BF160" s="77">
        <f t="shared" si="50"/>
        <v>1</v>
      </c>
      <c r="BG160" s="175">
        <v>7.8</v>
      </c>
      <c r="BH160" t="s">
        <v>939</v>
      </c>
      <c r="BI160" t="s">
        <v>940</v>
      </c>
      <c r="BJ160" s="112"/>
      <c r="BK160" s="112"/>
      <c r="BL160" s="112"/>
    </row>
    <row r="161" spans="1:64" ht="11.25" customHeight="1" x14ac:dyDescent="0.2">
      <c r="A161" s="112" t="s">
        <v>1337</v>
      </c>
      <c r="B161" s="153" t="s">
        <v>612</v>
      </c>
      <c r="C161" s="154" t="s">
        <v>922</v>
      </c>
      <c r="D161" s="154" t="s">
        <v>1032</v>
      </c>
      <c r="E161" s="155">
        <v>12</v>
      </c>
      <c r="F161" s="298">
        <v>357</v>
      </c>
      <c r="G161" s="298" t="s">
        <v>104</v>
      </c>
      <c r="H161" s="298" t="s">
        <v>104</v>
      </c>
      <c r="I161" s="156">
        <v>45.43</v>
      </c>
      <c r="J161" s="157">
        <f t="shared" si="36"/>
        <v>3.3458067356372441</v>
      </c>
      <c r="K161" s="158">
        <v>0.38</v>
      </c>
      <c r="L161" s="126">
        <v>4</v>
      </c>
      <c r="M161" s="82">
        <f t="shared" si="37"/>
        <v>1.52</v>
      </c>
      <c r="N161" s="159" t="s">
        <v>662</v>
      </c>
      <c r="O161" s="160">
        <v>0.37</v>
      </c>
      <c r="P161" s="161">
        <v>44656</v>
      </c>
      <c r="Q161" s="161">
        <v>44678</v>
      </c>
      <c r="R161" s="82">
        <f t="shared" si="38"/>
        <v>2.7027027027027053</v>
      </c>
      <c r="S161" s="162">
        <f>IF(INDEX([1]Historical!$D$7:$D$1229,MATCH(B161,[1]Historical!$B$7:$B$1253,0))=0,"n/a",(INDEX([1]Historical!$C$7:$C$1231,MATCH(B161,[1]Historical!$B$7:$B$1253,0))/INDEX([1]Historical!$D$7:$D$1229,MATCH(B161,[1]Historical!$B$7:$B$1253,0))-1)*100)</f>
        <v>2.7972027972027913</v>
      </c>
      <c r="T161" s="162">
        <f>IF(INDEX([1]Historical!$F$7:$F$1222,MATCH(B161,[1]Historical!$B$7:$B$1253,0))=0,"n/a",((INDEX([1]Historical!$C$7:$C$1231,MATCH(B161,[1]Historical!$B$7:$B$1253,0))/INDEX([1]Historical!$F$7:$F$1222,MATCH(B161,[1]Historical!$B$7:$B$1253,0)))^(1/3)-1)*100)</f>
        <v>4.721484103000706</v>
      </c>
      <c r="U161" s="162">
        <f>IF(INDEX([1]Historical!$H$7:$H$1222,MATCH(B161,[1]Historical!$B$7:$B$1253,0))=0,"n/a",((INDEX([1]Historical!$C$7:$C$1231,MATCH(B161,[1]Historical!$B$7:$B$1253,0))/INDEX([1]Historical!$H$7:$H$1222,MATCH(B161,[1]Historical!$B$7:$B$1253,0)))^(1/5)-1)*100)</f>
        <v>8.2272013176834626</v>
      </c>
      <c r="V161" s="162">
        <f>IF(INDEX([1]Historical!$N$7:$N$1222,MATCH(B161,[1]Historical!$B$7:$B$1253,0))=0,"n/a",((INDEX([1]Historical!$C$7:$C$1231,MATCH(B161,[1]Historical!$B$7:$B$1253,0))/INDEX([1]Historical!$N$7:$N$1222,MATCH(B161,[1]Historical!$B$7:$B$1253,0)))^(1/10)-1)*100)</f>
        <v>23.368556430535126</v>
      </c>
      <c r="W161" s="163">
        <f t="shared" si="39"/>
        <v>0.3520628816820357</v>
      </c>
      <c r="X161" s="164">
        <f t="shared" si="40"/>
        <v>1.0033172338638368</v>
      </c>
      <c r="Y161" s="165"/>
      <c r="Z161" s="157">
        <f t="shared" si="41"/>
        <v>53.900709219858157</v>
      </c>
      <c r="AA161" s="166">
        <f t="shared" si="42"/>
        <v>16.109929078014186</v>
      </c>
      <c r="AB161" s="126">
        <v>7</v>
      </c>
      <c r="AC161" s="167">
        <v>2.82</v>
      </c>
      <c r="AD161" s="167">
        <v>2.42</v>
      </c>
      <c r="AE161" s="167">
        <v>3.54</v>
      </c>
      <c r="AF161" s="167">
        <v>4.74</v>
      </c>
      <c r="AG161" s="167">
        <v>29.099999999999998</v>
      </c>
      <c r="AH161" s="167">
        <v>12.7</v>
      </c>
      <c r="AI161" s="167">
        <v>7.7700000000000005</v>
      </c>
      <c r="AJ161" s="167">
        <v>8.2000000000000011</v>
      </c>
      <c r="AK161" s="167">
        <v>6.69</v>
      </c>
      <c r="AL161" s="168">
        <v>182390</v>
      </c>
      <c r="AM161" s="169">
        <v>0.1</v>
      </c>
      <c r="AN161" s="167">
        <v>0.24</v>
      </c>
      <c r="AO161" s="170">
        <f t="shared" si="43"/>
        <v>-4.5369210246934806</v>
      </c>
      <c r="AP161" s="171">
        <f t="shared" si="44"/>
        <v>11.573008053320706</v>
      </c>
      <c r="AQ161" s="172">
        <f t="shared" si="45"/>
        <v>84.223371457088888</v>
      </c>
      <c r="AR161" s="157">
        <f>INDEX([1]Historical!$C$7:$C$1231,MATCH(B161,[1]Historical!$B$7:$B$1253,0))*IF(AH161="n/a",1.03,IF(AH161&lt;0,1.01,IF(AH161&gt;10,1.1,(1+AH161/100))))</f>
        <v>1.617</v>
      </c>
      <c r="AS161" s="166">
        <f t="shared" si="46"/>
        <v>1.7426409</v>
      </c>
      <c r="AT161" s="166">
        <f t="shared" si="51"/>
        <v>1.85922357621</v>
      </c>
      <c r="AU161" s="166">
        <f t="shared" si="51"/>
        <v>1.9836056334584489</v>
      </c>
      <c r="AV161" s="166">
        <f t="shared" si="51"/>
        <v>2.1163088503368188</v>
      </c>
      <c r="AW161" s="157">
        <f t="shared" si="48"/>
        <v>9.3187789600052682</v>
      </c>
      <c r="AX161" s="173">
        <f t="shared" si="49"/>
        <v>20.512390402829116</v>
      </c>
      <c r="AY161" s="174">
        <v>0.97</v>
      </c>
      <c r="AZ161" s="169">
        <v>17.68</v>
      </c>
      <c r="BA161" s="169">
        <v>-29.330000000000002</v>
      </c>
      <c r="BB161" s="169">
        <v>5.07</v>
      </c>
      <c r="BC161" s="169">
        <v>-5.9499999999999993</v>
      </c>
      <c r="BE161" s="77">
        <v>2011</v>
      </c>
      <c r="BF161" s="77">
        <f t="shared" si="50"/>
        <v>1</v>
      </c>
      <c r="BG161" s="175">
        <v>12.5</v>
      </c>
      <c r="BH161" t="s">
        <v>939</v>
      </c>
      <c r="BI161" t="s">
        <v>940</v>
      </c>
    </row>
    <row r="162" spans="1:64" s="252" customFormat="1" ht="11.25" customHeight="1" x14ac:dyDescent="0.2">
      <c r="A162" s="183" t="s">
        <v>1338</v>
      </c>
      <c r="B162" s="184" t="s">
        <v>802</v>
      </c>
      <c r="C162" s="154" t="s">
        <v>922</v>
      </c>
      <c r="D162" s="154" t="s">
        <v>949</v>
      </c>
      <c r="E162" s="185">
        <v>10</v>
      </c>
      <c r="F162" s="298">
        <v>481</v>
      </c>
      <c r="G162" s="297" t="s">
        <v>88</v>
      </c>
      <c r="H162" s="297" t="s">
        <v>88</v>
      </c>
      <c r="I162" s="186">
        <v>64.67</v>
      </c>
      <c r="J162" s="187">
        <f t="shared" si="36"/>
        <v>1.6390907685170868</v>
      </c>
      <c r="K162" s="188">
        <v>0.26500000000000001</v>
      </c>
      <c r="L162" s="189">
        <v>4</v>
      </c>
      <c r="M162" s="190">
        <f t="shared" si="37"/>
        <v>1.06</v>
      </c>
      <c r="N162" s="191" t="s">
        <v>628</v>
      </c>
      <c r="O162" s="192">
        <v>0.25</v>
      </c>
      <c r="P162" s="193">
        <v>44637</v>
      </c>
      <c r="Q162" s="193">
        <v>44650</v>
      </c>
      <c r="R162" s="190">
        <f t="shared" si="38"/>
        <v>6.0000000000000053</v>
      </c>
      <c r="S162" s="162">
        <f>IF(INDEX([1]Historical!$D$7:$D$1229,MATCH(B162,[1]Historical!$B$7:$B$1253,0))=0,"n/a",(INDEX([1]Historical!$C$7:$C$1231,MATCH(B162,[1]Historical!$B$7:$B$1253,0))/INDEX([1]Historical!$D$7:$D$1229,MATCH(B162,[1]Historical!$B$7:$B$1253,0))-1)*100)</f>
        <v>6.3829787234042534</v>
      </c>
      <c r="T162" s="162">
        <f>IF(INDEX([1]Historical!$F$7:$F$1222,MATCH(B162,[1]Historical!$B$7:$B$1253,0))=0,"n/a",((INDEX([1]Historical!$C$7:$C$1231,MATCH(B162,[1]Historical!$B$7:$B$1253,0))/INDEX([1]Historical!$F$7:$F$1222,MATCH(B162,[1]Historical!$B$7:$B$1253,0)))^(1/3)-1)*100)</f>
        <v>5.983983294832651</v>
      </c>
      <c r="U162" s="162">
        <f>IF(INDEX([1]Historical!$H$7:$H$1222,MATCH(B162,[1]Historical!$B$7:$B$1253,0))=0,"n/a",((INDEX([1]Historical!$C$7:$C$1231,MATCH(B162,[1]Historical!$B$7:$B$1253,0))/INDEX([1]Historical!$H$7:$H$1222,MATCH(B162,[1]Historical!$B$7:$B$1253,0)))^(1/5)-1)*100)</f>
        <v>6.2071258063262968</v>
      </c>
      <c r="V162" s="162" t="str">
        <f>IF(INDEX([1]Historical!$N$7:$N$1222,MATCH(B162,[1]Historical!$B$7:$B$1253,0))=0,"n/a",((INDEX([1]Historical!$C$7:$C$1231,MATCH(B162,[1]Historical!$B$7:$B$1253,0))/INDEX([1]Historical!$N$7:$N$1222,MATCH(B162,[1]Historical!$B$7:$B$1253,0)))^(1/10)-1)*100)</f>
        <v>n/a</v>
      </c>
      <c r="W162" s="163" t="str">
        <f t="shared" si="39"/>
        <v>n/a</v>
      </c>
      <c r="X162" s="164">
        <f t="shared" si="40"/>
        <v>1.7734645160932274</v>
      </c>
      <c r="Y162" s="229"/>
      <c r="Z162" s="187">
        <f t="shared" si="41"/>
        <v>75.177304964539019</v>
      </c>
      <c r="AA162" s="194">
        <f t="shared" si="42"/>
        <v>45.865248226950357</v>
      </c>
      <c r="AB162" s="189">
        <v>12</v>
      </c>
      <c r="AC162" s="195">
        <v>1.41</v>
      </c>
      <c r="AD162" s="195" t="s">
        <v>95</v>
      </c>
      <c r="AE162" s="195">
        <v>1.91</v>
      </c>
      <c r="AF162" s="195">
        <v>5.4</v>
      </c>
      <c r="AG162" s="195">
        <v>10.8</v>
      </c>
      <c r="AH162" s="195">
        <v>24.2</v>
      </c>
      <c r="AI162" s="195">
        <v>8.19</v>
      </c>
      <c r="AJ162" s="195">
        <v>3.5000000000000004</v>
      </c>
      <c r="AK162" s="195">
        <v>-5</v>
      </c>
      <c r="AL162" s="196">
        <v>2040</v>
      </c>
      <c r="AM162" s="197">
        <v>1.3</v>
      </c>
      <c r="AN162" s="195">
        <v>1.02</v>
      </c>
      <c r="AO162" s="198">
        <f t="shared" si="43"/>
        <v>-38.019031652106975</v>
      </c>
      <c r="AP162" s="199">
        <f t="shared" si="44"/>
        <v>7.8462165748433836</v>
      </c>
      <c r="AQ162" s="172">
        <f t="shared" si="45"/>
        <v>231.77793137079036</v>
      </c>
      <c r="AR162" s="157">
        <f>INDEX([1]Historical!$C$7:$C$1231,MATCH(B162,[1]Historical!$B$7:$B$1253,0))*IF(AH162="n/a",1.03,IF(AH162&lt;0,1.01,IF(AH162&gt;10,1.1,(1+AH162/100))))</f>
        <v>1.1000000000000001</v>
      </c>
      <c r="AS162" s="194">
        <f t="shared" si="46"/>
        <v>1.1900900000000001</v>
      </c>
      <c r="AT162" s="194">
        <f t="shared" si="51"/>
        <v>1.2019909000000002</v>
      </c>
      <c r="AU162" s="194">
        <f t="shared" si="51"/>
        <v>1.2140108090000001</v>
      </c>
      <c r="AV162" s="194">
        <f t="shared" si="51"/>
        <v>1.2261509170900002</v>
      </c>
      <c r="AW162" s="187">
        <f t="shared" si="48"/>
        <v>5.9322426260900007</v>
      </c>
      <c r="AX162" s="200">
        <f t="shared" si="49"/>
        <v>9.173098231158189</v>
      </c>
      <c r="AY162" s="201">
        <v>0.86</v>
      </c>
      <c r="AZ162" s="197">
        <v>31.14</v>
      </c>
      <c r="BA162" s="197">
        <v>-2.88</v>
      </c>
      <c r="BB162" s="197">
        <v>13.489999999999998</v>
      </c>
      <c r="BC162" s="197">
        <v>8.44</v>
      </c>
      <c r="BD162" s="202"/>
      <c r="BE162" s="77">
        <v>2013</v>
      </c>
      <c r="BF162" s="77">
        <f t="shared" si="50"/>
        <v>1</v>
      </c>
      <c r="BG162" s="203">
        <v>3.4000000000000004</v>
      </c>
      <c r="BH162" t="s">
        <v>939</v>
      </c>
      <c r="BI162" t="s">
        <v>940</v>
      </c>
    </row>
    <row r="163" spans="1:64" ht="11.25" customHeight="1" x14ac:dyDescent="0.2">
      <c r="A163" s="112" t="s">
        <v>1339</v>
      </c>
      <c r="B163" s="153" t="s">
        <v>209</v>
      </c>
      <c r="C163" s="154" t="s">
        <v>94</v>
      </c>
      <c r="D163" s="154" t="s">
        <v>1033</v>
      </c>
      <c r="E163" s="155">
        <v>46</v>
      </c>
      <c r="F163" s="298">
        <v>60</v>
      </c>
      <c r="G163" s="298" t="s">
        <v>30</v>
      </c>
      <c r="H163" s="298" t="s">
        <v>30</v>
      </c>
      <c r="I163" s="167">
        <v>238.8</v>
      </c>
      <c r="J163" s="157">
        <f t="shared" si="36"/>
        <v>1.2562814070351758</v>
      </c>
      <c r="K163" s="158">
        <v>0.75</v>
      </c>
      <c r="L163" s="126">
        <v>4</v>
      </c>
      <c r="M163" s="82">
        <f t="shared" si="37"/>
        <v>3</v>
      </c>
      <c r="N163" s="159" t="s">
        <v>116</v>
      </c>
      <c r="O163" s="160">
        <v>0.54</v>
      </c>
      <c r="P163" s="161">
        <v>44790</v>
      </c>
      <c r="Q163" s="161">
        <v>44808</v>
      </c>
      <c r="R163" s="82">
        <f t="shared" si="38"/>
        <v>38.888888888888879</v>
      </c>
      <c r="S163" s="162">
        <f>IF(INDEX([1]Historical!$D$7:$D$1229,MATCH(B163,[1]Historical!$B$7:$B$1253,0))=0,"n/a",(INDEX([1]Historical!$C$7:$C$1231,MATCH(B163,[1]Historical!$B$7:$B$1253,0))/INDEX([1]Historical!$D$7:$D$1229,MATCH(B163,[1]Historical!$B$7:$B$1253,0))-1)*100)</f>
        <v>3.9024390243902474</v>
      </c>
      <c r="T163" s="162">
        <f>IF(INDEX([1]Historical!$F$7:$F$1222,MATCH(B163,[1]Historical!$B$7:$B$1253,0))=0,"n/a",((INDEX([1]Historical!$C$7:$C$1231,MATCH(B163,[1]Historical!$B$7:$B$1253,0))/INDEX([1]Historical!$F$7:$F$1222,MATCH(B163,[1]Historical!$B$7:$B$1253,0)))^(1/3)-1)*100)</f>
        <v>11.417384909773066</v>
      </c>
      <c r="U163" s="162">
        <f>IF(INDEX([1]Historical!$H$7:$H$1222,MATCH(B163,[1]Historical!$B$7:$B$1253,0))=0,"n/a",((INDEX([1]Historical!$C$7:$C$1231,MATCH(B163,[1]Historical!$B$7:$B$1253,0))/INDEX([1]Historical!$H$7:$H$1222,MATCH(B163,[1]Historical!$B$7:$B$1253,0)))^(1/5)-1)*100)</f>
        <v>10.379202068900085</v>
      </c>
      <c r="V163" s="162">
        <f>IF(INDEX([1]Historical!$N$7:$N$1222,MATCH(B163,[1]Historical!$B$7:$B$1253,0))=0,"n/a",((INDEX([1]Historical!$C$7:$C$1231,MATCH(B163,[1]Historical!$B$7:$B$1253,0))/INDEX([1]Historical!$N$7:$N$1222,MATCH(B163,[1]Historical!$B$7:$B$1253,0)))^(1/10)-1)*100)</f>
        <v>11.770747738947861</v>
      </c>
      <c r="W163" s="163">
        <f t="shared" si="39"/>
        <v>0.88177933119377505</v>
      </c>
      <c r="X163" s="164">
        <f t="shared" si="40"/>
        <v>0.66533346595513365</v>
      </c>
      <c r="Y163" s="153"/>
      <c r="Z163" s="157">
        <f t="shared" si="41"/>
        <v>29.910269192422735</v>
      </c>
      <c r="AA163" s="166">
        <f t="shared" si="42"/>
        <v>23.808574277168496</v>
      </c>
      <c r="AB163" s="126">
        <v>12</v>
      </c>
      <c r="AC163" s="167">
        <v>10.029999999999999</v>
      </c>
      <c r="AD163" s="167">
        <v>1.59</v>
      </c>
      <c r="AE163" s="167">
        <v>2.73</v>
      </c>
      <c r="AF163" s="167">
        <v>4.3099999999999996</v>
      </c>
      <c r="AG163" s="167">
        <v>21</v>
      </c>
      <c r="AH163" s="167">
        <v>22.8</v>
      </c>
      <c r="AI163" s="167">
        <v>7.32</v>
      </c>
      <c r="AJ163" s="167">
        <v>15.6</v>
      </c>
      <c r="AK163" s="167">
        <v>15</v>
      </c>
      <c r="AL163" s="168">
        <v>14640</v>
      </c>
      <c r="AM163" s="169">
        <v>0.4</v>
      </c>
      <c r="AN163" s="167">
        <v>1.02</v>
      </c>
      <c r="AO163" s="170">
        <f t="shared" si="43"/>
        <v>-12.173090801233236</v>
      </c>
      <c r="AP163" s="171">
        <f t="shared" si="44"/>
        <v>11.63548347593526</v>
      </c>
      <c r="AQ163" s="172">
        <f t="shared" si="45"/>
        <v>113.55712754784655</v>
      </c>
      <c r="AR163" s="157">
        <f>INDEX([1]Historical!$C$7:$C$1231,MATCH(B163,[1]Historical!$B$7:$B$1253,0))*IF(AH163="n/a",1.03,IF(AH163&lt;0,1.01,IF(AH163&gt;10,1.1,(1+AH163/100))))</f>
        <v>2.343</v>
      </c>
      <c r="AS163" s="166">
        <f t="shared" si="46"/>
        <v>2.5145076</v>
      </c>
      <c r="AT163" s="166">
        <f t="shared" si="51"/>
        <v>2.7659583600000004</v>
      </c>
      <c r="AU163" s="166">
        <f t="shared" si="51"/>
        <v>3.0425541960000007</v>
      </c>
      <c r="AV163" s="166">
        <f t="shared" si="51"/>
        <v>3.3468096156000011</v>
      </c>
      <c r="AW163" s="157">
        <f t="shared" si="48"/>
        <v>14.012829771600003</v>
      </c>
      <c r="AX163" s="173">
        <f t="shared" si="49"/>
        <v>5.8680191673366844</v>
      </c>
      <c r="AY163" s="174">
        <v>0.99</v>
      </c>
      <c r="AZ163" s="169">
        <v>13.139999999999999</v>
      </c>
      <c r="BA163" s="169">
        <v>-25.069999999999997</v>
      </c>
      <c r="BB163" s="169">
        <v>-18.13</v>
      </c>
      <c r="BC163" s="169">
        <v>-8.2900000000000009</v>
      </c>
      <c r="BE163" s="77">
        <v>1977</v>
      </c>
      <c r="BF163" s="77">
        <f t="shared" si="50"/>
        <v>5</v>
      </c>
      <c r="BG163" s="175">
        <v>7.7</v>
      </c>
      <c r="BH163" t="s">
        <v>939</v>
      </c>
      <c r="BI163" t="s">
        <v>940</v>
      </c>
    </row>
    <row r="164" spans="1:64" ht="11.25" customHeight="1" x14ac:dyDescent="0.2">
      <c r="A164" s="176" t="s">
        <v>1340</v>
      </c>
      <c r="B164" s="153" t="s">
        <v>243</v>
      </c>
      <c r="C164" s="154" t="s">
        <v>922</v>
      </c>
      <c r="D164" s="154" t="s">
        <v>949</v>
      </c>
      <c r="E164" s="155">
        <v>51</v>
      </c>
      <c r="F164" s="298">
        <v>37</v>
      </c>
      <c r="G164" s="298" t="s">
        <v>88</v>
      </c>
      <c r="H164" s="298" t="s">
        <v>88</v>
      </c>
      <c r="I164" s="156">
        <v>57.75</v>
      </c>
      <c r="J164" s="157">
        <f t="shared" si="36"/>
        <v>2.0086580086580086</v>
      </c>
      <c r="K164" s="158">
        <v>0.28999999999999998</v>
      </c>
      <c r="L164" s="126">
        <v>4</v>
      </c>
      <c r="M164" s="82">
        <f t="shared" si="37"/>
        <v>1.1599999999999999</v>
      </c>
      <c r="N164" s="159" t="s">
        <v>156</v>
      </c>
      <c r="O164" s="160">
        <v>0.27</v>
      </c>
      <c r="P164" s="161">
        <v>44804</v>
      </c>
      <c r="Q164" s="161">
        <v>44830</v>
      </c>
      <c r="R164" s="82">
        <f t="shared" si="38"/>
        <v>7.4074074074073932</v>
      </c>
      <c r="S164" s="162">
        <f>IF(INDEX([1]Historical!$D$7:$D$1229,MATCH(B164,[1]Historical!$B$7:$B$1253,0))=0,"n/a",(INDEX([1]Historical!$C$7:$C$1231,MATCH(B164,[1]Historical!$B$7:$B$1253,0))/INDEX([1]Historical!$D$7:$D$1229,MATCH(B164,[1]Historical!$B$7:$B$1253,0))-1)*100)</f>
        <v>13.043478260869556</v>
      </c>
      <c r="T164" s="162">
        <f>IF(INDEX([1]Historical!$F$7:$F$1222,MATCH(B164,[1]Historical!$B$7:$B$1253,0))=0,"n/a",((INDEX([1]Historical!$C$7:$C$1231,MATCH(B164,[1]Historical!$B$7:$B$1253,0))/INDEX([1]Historical!$F$7:$F$1222,MATCH(B164,[1]Historical!$B$7:$B$1253,0)))^(1/3)-1)*100)</f>
        <v>15.785145445537974</v>
      </c>
      <c r="U164" s="162">
        <f>IF(INDEX([1]Historical!$H$7:$H$1222,MATCH(B164,[1]Historical!$B$7:$B$1253,0))=0,"n/a",((INDEX([1]Historical!$C$7:$C$1231,MATCH(B164,[1]Historical!$B$7:$B$1253,0))/INDEX([1]Historical!$H$7:$H$1222,MATCH(B164,[1]Historical!$B$7:$B$1253,0)))^(1/5)-1)*100)</f>
        <v>14.433055410624828</v>
      </c>
      <c r="V164" s="162">
        <f>IF(INDEX([1]Historical!$N$7:$N$1222,MATCH(B164,[1]Historical!$B$7:$B$1253,0))=0,"n/a",((INDEX([1]Historical!$C$7:$C$1231,MATCH(B164,[1]Historical!$B$7:$B$1253,0))/INDEX([1]Historical!$N$7:$N$1222,MATCH(B164,[1]Historical!$B$7:$B$1253,0)))^(1/10)-1)*100)</f>
        <v>16.037014855324273</v>
      </c>
      <c r="W164" s="163">
        <f t="shared" si="39"/>
        <v>0.89998391476410389</v>
      </c>
      <c r="X164" s="164" t="str">
        <f t="shared" si="40"/>
        <v>n/a</v>
      </c>
      <c r="Y164" s="237" t="s">
        <v>995</v>
      </c>
      <c r="Z164" s="157">
        <f t="shared" si="41"/>
        <v>52.968036529680361</v>
      </c>
      <c r="AA164" s="166">
        <f t="shared" si="42"/>
        <v>26.36986301369863</v>
      </c>
      <c r="AB164" s="126">
        <v>2</v>
      </c>
      <c r="AC164" s="167">
        <v>2.19</v>
      </c>
      <c r="AD164" s="167" t="s">
        <v>95</v>
      </c>
      <c r="AE164" s="167">
        <v>4.84</v>
      </c>
      <c r="AF164" s="167">
        <v>5.67</v>
      </c>
      <c r="AG164" s="167">
        <v>22.88</v>
      </c>
      <c r="AH164" s="167" t="s">
        <v>95</v>
      </c>
      <c r="AI164" s="167" t="s">
        <v>95</v>
      </c>
      <c r="AJ164" s="167" t="s">
        <v>95</v>
      </c>
      <c r="AK164" s="167" t="s">
        <v>95</v>
      </c>
      <c r="AL164" s="175">
        <v>1590</v>
      </c>
      <c r="AM164" s="169" t="s">
        <v>95</v>
      </c>
      <c r="AN164" s="167">
        <v>1.9400000000000001E-2</v>
      </c>
      <c r="AO164" s="170">
        <f t="shared" si="43"/>
        <v>-9.9281495944157925</v>
      </c>
      <c r="AP164" s="171">
        <f t="shared" si="44"/>
        <v>16.441713419282838</v>
      </c>
      <c r="AQ164" s="172">
        <f t="shared" si="45"/>
        <v>157.78296063650239</v>
      </c>
      <c r="AR164" s="157">
        <f>INDEX([1]Historical!$C$7:$C$1231,MATCH(B164,[1]Historical!$B$7:$B$1253,0))*IF(AH164="n/a",1.03,IF(AH164&lt;0,1.01,IF(AH164&gt;10,1.1,(1+AH164/100))))</f>
        <v>1.0712000000000002</v>
      </c>
      <c r="AS164" s="166">
        <f t="shared" si="46"/>
        <v>1.1033360000000001</v>
      </c>
      <c r="AT164" s="166">
        <f t="shared" si="51"/>
        <v>1.1364360800000002</v>
      </c>
      <c r="AU164" s="166">
        <f t="shared" si="51"/>
        <v>1.1705291624000003</v>
      </c>
      <c r="AV164" s="166">
        <f t="shared" si="51"/>
        <v>1.2056450372720002</v>
      </c>
      <c r="AW164" s="157">
        <f t="shared" si="48"/>
        <v>5.6871462796720005</v>
      </c>
      <c r="AX164" s="173">
        <f t="shared" si="49"/>
        <v>9.847872345752382</v>
      </c>
      <c r="AY164" s="174">
        <v>0.2</v>
      </c>
      <c r="AZ164" s="169">
        <v>60.416666666666671</v>
      </c>
      <c r="BA164" s="169">
        <v>-3.0877664037590291</v>
      </c>
      <c r="BB164" s="169">
        <v>2.2304832713754719</v>
      </c>
      <c r="BC164" s="169">
        <v>17.211284757458898</v>
      </c>
      <c r="BD164" s="100" t="s">
        <v>932</v>
      </c>
      <c r="BE164" s="77">
        <v>1972</v>
      </c>
      <c r="BF164" s="77">
        <f t="shared" si="50"/>
        <v>6</v>
      </c>
      <c r="BG164" s="175">
        <v>11.27</v>
      </c>
      <c r="BH164" t="s">
        <v>939</v>
      </c>
      <c r="BI164" t="s">
        <v>940</v>
      </c>
    </row>
    <row r="165" spans="1:64" ht="11.25" customHeight="1" x14ac:dyDescent="0.2">
      <c r="A165" s="205" t="s">
        <v>1341</v>
      </c>
      <c r="B165" s="153" t="s">
        <v>1034</v>
      </c>
      <c r="C165" s="154" t="s">
        <v>90</v>
      </c>
      <c r="D165" s="154" t="s">
        <v>972</v>
      </c>
      <c r="E165" s="155">
        <v>7</v>
      </c>
      <c r="F165" s="298">
        <v>641</v>
      </c>
      <c r="G165" s="298" t="s">
        <v>88</v>
      </c>
      <c r="H165" s="298" t="s">
        <v>88</v>
      </c>
      <c r="I165" s="156">
        <v>18.850000000000001</v>
      </c>
      <c r="J165" s="157">
        <f t="shared" si="36"/>
        <v>11.03448275862069</v>
      </c>
      <c r="K165" s="158">
        <v>0.52</v>
      </c>
      <c r="L165" s="126">
        <v>4</v>
      </c>
      <c r="M165" s="82">
        <f t="shared" si="37"/>
        <v>2.08</v>
      </c>
      <c r="N165" s="159" t="s">
        <v>119</v>
      </c>
      <c r="O165" s="160">
        <v>0.5</v>
      </c>
      <c r="P165" s="161">
        <v>44909</v>
      </c>
      <c r="Q165" s="161">
        <v>44925</v>
      </c>
      <c r="R165" s="82">
        <f t="shared" si="38"/>
        <v>4.0000000000000036</v>
      </c>
      <c r="S165" s="162">
        <f>IF(INDEX([1]Historical!$D$7:$D$1229,MATCH(B165,[1]Historical!$B$7:$B$1253,0))=0,"n/a",(INDEX([1]Historical!$C$7:$C$1231,MATCH(B165,[1]Historical!$B$7:$B$1253,0))/INDEX([1]Historical!$D$7:$D$1229,MATCH(B165,[1]Historical!$B$7:$B$1253,0))-1)*100)</f>
        <v>7.3170731707317138</v>
      </c>
      <c r="T165" s="162">
        <f>IF(INDEX([1]Historical!$F$7:$F$1222,MATCH(B165,[1]Historical!$B$7:$B$1253,0))=0,"n/a",((INDEX([1]Historical!$C$7:$C$1231,MATCH(B165,[1]Historical!$B$7:$B$1253,0))/INDEX([1]Historical!$F$7:$F$1222,MATCH(B165,[1]Historical!$B$7:$B$1253,0)))^(1/3)-1)*100)</f>
        <v>11.490102727133799</v>
      </c>
      <c r="U165" s="162">
        <f>IF(INDEX([1]Historical!$H$7:$H$1222,MATCH(B165,[1]Historical!$B$7:$B$1253,0))=0,"n/a",((INDEX([1]Historical!$C$7:$C$1231,MATCH(B165,[1]Historical!$B$7:$B$1253,0))/INDEX([1]Historical!$H$7:$H$1222,MATCH(B165,[1]Historical!$B$7:$B$1253,0)))^(1/5)-1)*100)</f>
        <v>35.876957647985023</v>
      </c>
      <c r="V165" s="162">
        <f>IF(INDEX([1]Historical!$N$7:$N$1222,MATCH(B165,[1]Historical!$B$7:$B$1253,0))=0,"n/a",((INDEX([1]Historical!$C$7:$C$1231,MATCH(B165,[1]Historical!$B$7:$B$1253,0))/INDEX([1]Historical!$N$7:$N$1222,MATCH(B165,[1]Historical!$B$7:$B$1253,0)))^(1/10)-1)*100)</f>
        <v>24.293456972961593</v>
      </c>
      <c r="W165" s="163">
        <f t="shared" si="39"/>
        <v>1.4768156581385583</v>
      </c>
      <c r="X165" s="164">
        <f t="shared" si="40"/>
        <v>2.9407342334413955</v>
      </c>
      <c r="Y165" s="180"/>
      <c r="Z165" s="157">
        <f t="shared" si="41"/>
        <v>103.48258706467664</v>
      </c>
      <c r="AA165" s="166">
        <f t="shared" si="42"/>
        <v>9.3781094527363198</v>
      </c>
      <c r="AB165" s="126">
        <v>3</v>
      </c>
      <c r="AC165" s="167">
        <v>2.0099999999999998</v>
      </c>
      <c r="AD165" s="167">
        <v>9.2899999999999991</v>
      </c>
      <c r="AE165" s="167">
        <v>5.86</v>
      </c>
      <c r="AF165" s="167">
        <v>1.05</v>
      </c>
      <c r="AG165" s="167">
        <v>7.3</v>
      </c>
      <c r="AH165" s="167">
        <v>-3.5000000000000004</v>
      </c>
      <c r="AI165" s="167">
        <v>5.6099999999999994</v>
      </c>
      <c r="AJ165" s="167">
        <v>12.2</v>
      </c>
      <c r="AK165" s="167">
        <v>1</v>
      </c>
      <c r="AL165" s="168">
        <v>505.41</v>
      </c>
      <c r="AM165" s="169">
        <v>2.8000000000000003</v>
      </c>
      <c r="AN165" s="167">
        <v>1.28</v>
      </c>
      <c r="AO165" s="170">
        <f t="shared" si="43"/>
        <v>37.533330953869395</v>
      </c>
      <c r="AP165" s="171">
        <f t="shared" si="44"/>
        <v>46.911440406605713</v>
      </c>
      <c r="AQ165" s="172">
        <f t="shared" si="45"/>
        <v>-33.845249014574804</v>
      </c>
      <c r="AR165" s="157">
        <f>INDEX([1]Historical!$C$7:$C$1231,MATCH(B165,[1]Historical!$B$7:$B$1253,0))*IF(AH165="n/a",1.03,IF(AH165&lt;0,1.01,IF(AH165&gt;10,1.1,(1+AH165/100))))</f>
        <v>1.7776000000000001</v>
      </c>
      <c r="AS165" s="166">
        <f t="shared" si="46"/>
        <v>1.8773233600000001</v>
      </c>
      <c r="AT165" s="166">
        <f t="shared" si="51"/>
        <v>1.8960965936</v>
      </c>
      <c r="AU165" s="166">
        <f t="shared" si="51"/>
        <v>1.915057559536</v>
      </c>
      <c r="AV165" s="166">
        <f t="shared" si="51"/>
        <v>1.93420813513136</v>
      </c>
      <c r="AW165" s="157">
        <f t="shared" si="48"/>
        <v>9.40028564826736</v>
      </c>
      <c r="AX165" s="173">
        <f t="shared" si="49"/>
        <v>49.868889380728696</v>
      </c>
      <c r="AY165" s="174">
        <v>1.19</v>
      </c>
      <c r="AZ165" s="169">
        <v>15.790000000000001</v>
      </c>
      <c r="BA165" s="169">
        <v>-31.55</v>
      </c>
      <c r="BB165" s="169">
        <v>3.53</v>
      </c>
      <c r="BC165" s="169">
        <v>-11.18</v>
      </c>
      <c r="BE165" s="77">
        <v>2016</v>
      </c>
      <c r="BF165" s="77">
        <f t="shared" si="50"/>
        <v>1</v>
      </c>
      <c r="BG165" s="175">
        <v>3.2</v>
      </c>
      <c r="BH165" t="s">
        <v>939</v>
      </c>
      <c r="BI165" t="s">
        <v>1035</v>
      </c>
      <c r="BJ165" s="112"/>
      <c r="BK165" s="112"/>
      <c r="BL165" s="112"/>
    </row>
    <row r="166" spans="1:64" ht="11.25" customHeight="1" x14ac:dyDescent="0.2">
      <c r="A166" s="176" t="s">
        <v>1342</v>
      </c>
      <c r="B166" s="153" t="s">
        <v>247</v>
      </c>
      <c r="C166" s="154" t="s">
        <v>94</v>
      </c>
      <c r="D166" s="154" t="s">
        <v>1022</v>
      </c>
      <c r="E166" s="155">
        <v>18</v>
      </c>
      <c r="F166" s="298">
        <v>211</v>
      </c>
      <c r="G166" s="298" t="s">
        <v>30</v>
      </c>
      <c r="H166" s="298" t="s">
        <v>30</v>
      </c>
      <c r="I166" s="156">
        <v>29.06</v>
      </c>
      <c r="J166" s="157">
        <f t="shared" si="36"/>
        <v>1.3764624913971097</v>
      </c>
      <c r="K166" s="158">
        <v>0.1</v>
      </c>
      <c r="L166" s="126">
        <v>4</v>
      </c>
      <c r="M166" s="82">
        <f t="shared" si="37"/>
        <v>0.4</v>
      </c>
      <c r="N166" s="159" t="s">
        <v>167</v>
      </c>
      <c r="O166" s="160">
        <v>9.3299999999999994E-2</v>
      </c>
      <c r="P166" s="161">
        <v>44617</v>
      </c>
      <c r="Q166" s="161">
        <v>44635</v>
      </c>
      <c r="R166" s="82">
        <f t="shared" si="38"/>
        <v>7.1811361200428863</v>
      </c>
      <c r="S166" s="162">
        <f>IF(INDEX([1]Historical!$D$7:$D$1229,MATCH(B166,[1]Historical!$B$7:$B$1253,0))=0,"n/a",(INDEX([1]Historical!$C$7:$C$1231,MATCH(B166,[1]Historical!$B$7:$B$1253,0))/INDEX([1]Historical!$D$7:$D$1229,MATCH(B166,[1]Historical!$B$7:$B$1253,0))-1)*100)</f>
        <v>7.6538461538461444</v>
      </c>
      <c r="T166" s="162">
        <f>IF(INDEX([1]Historical!$F$7:$F$1222,MATCH(B166,[1]Historical!$B$7:$B$1253,0))=0,"n/a",((INDEX([1]Historical!$C$7:$C$1231,MATCH(B166,[1]Historical!$B$7:$B$1253,0))/INDEX([1]Historical!$F$7:$F$1222,MATCH(B166,[1]Historical!$B$7:$B$1253,0)))^(1/3)-1)*100)</f>
        <v>8.3577734590282393</v>
      </c>
      <c r="U166" s="162">
        <f>IF(INDEX([1]Historical!$H$7:$H$1222,MATCH(B166,[1]Historical!$B$7:$B$1253,0))=0,"n/a",((INDEX([1]Historical!$C$7:$C$1231,MATCH(B166,[1]Historical!$B$7:$B$1253,0))/INDEX([1]Historical!$H$7:$H$1222,MATCH(B166,[1]Historical!$B$7:$B$1253,0)))^(1/5)-1)*100)</f>
        <v>9.2310425243724126</v>
      </c>
      <c r="V166" s="162">
        <f>IF(INDEX([1]Historical!$N$7:$N$1222,MATCH(B166,[1]Historical!$B$7:$B$1253,0))=0,"n/a",((INDEX([1]Historical!$C$7:$C$1231,MATCH(B166,[1]Historical!$B$7:$B$1253,0))/INDEX([1]Historical!$N$7:$N$1222,MATCH(B166,[1]Historical!$B$7:$B$1253,0)))^(1/10)-1)*100)</f>
        <v>9.6244962048151592</v>
      </c>
      <c r="W166" s="163">
        <f t="shared" si="39"/>
        <v>0.95911955575961461</v>
      </c>
      <c r="X166" s="164">
        <f t="shared" si="40"/>
        <v>0.40665385569922524</v>
      </c>
      <c r="Y166" s="212"/>
      <c r="Z166" s="157">
        <f t="shared" si="41"/>
        <v>21.276595744680854</v>
      </c>
      <c r="AA166" s="166">
        <f t="shared" si="42"/>
        <v>15.457446808510639</v>
      </c>
      <c r="AB166" s="126">
        <v>12</v>
      </c>
      <c r="AC166" s="167">
        <v>1.88</v>
      </c>
      <c r="AD166" s="167">
        <v>1.38</v>
      </c>
      <c r="AE166" s="167">
        <v>4.16</v>
      </c>
      <c r="AF166" s="167">
        <v>4.8099999999999996</v>
      </c>
      <c r="AG166" s="167">
        <v>31</v>
      </c>
      <c r="AH166" s="167">
        <v>39.700000000000003</v>
      </c>
      <c r="AI166" s="167">
        <v>0.16</v>
      </c>
      <c r="AJ166" s="167">
        <v>22.7</v>
      </c>
      <c r="AK166" s="167">
        <v>11.27</v>
      </c>
      <c r="AL166" s="168">
        <v>60570</v>
      </c>
      <c r="AM166" s="169">
        <v>0.22</v>
      </c>
      <c r="AN166" s="167">
        <v>1.4</v>
      </c>
      <c r="AO166" s="170">
        <f t="shared" si="43"/>
        <v>-4.8499417927411166</v>
      </c>
      <c r="AP166" s="171">
        <f t="shared" si="44"/>
        <v>10.607505015769522</v>
      </c>
      <c r="AQ166" s="172">
        <f t="shared" si="45"/>
        <v>81.781699542104818</v>
      </c>
      <c r="AR166" s="157">
        <f>INDEX([1]Historical!$C$7:$C$1231,MATCH(B166,[1]Historical!$B$7:$B$1253,0))*IF(AH166="n/a",1.03,IF(AH166&lt;0,1.01,IF(AH166&gt;10,1.1,(1+AH166/100))))</f>
        <v>0.41052</v>
      </c>
      <c r="AS166" s="166">
        <f t="shared" si="46"/>
        <v>0.41117683199999999</v>
      </c>
      <c r="AT166" s="166">
        <f t="shared" si="51"/>
        <v>0.45229451520000002</v>
      </c>
      <c r="AU166" s="166">
        <f t="shared" si="51"/>
        <v>0.49752396672000004</v>
      </c>
      <c r="AV166" s="166">
        <f t="shared" si="51"/>
        <v>0.54727636339200014</v>
      </c>
      <c r="AW166" s="157">
        <f t="shared" si="48"/>
        <v>2.3187916773120003</v>
      </c>
      <c r="AX166" s="173">
        <f t="shared" si="49"/>
        <v>7.9793244229593956</v>
      </c>
      <c r="AY166" s="174">
        <v>1.24</v>
      </c>
      <c r="AZ166" s="169">
        <v>12.64</v>
      </c>
      <c r="BA166" s="169">
        <v>-24.77</v>
      </c>
      <c r="BB166" s="169">
        <v>-1.78</v>
      </c>
      <c r="BC166" s="169">
        <v>-10.050000000000001</v>
      </c>
      <c r="BE166" s="77">
        <v>2005</v>
      </c>
      <c r="BF166" s="77">
        <f t="shared" si="50"/>
        <v>2</v>
      </c>
      <c r="BG166" s="175">
        <v>10</v>
      </c>
      <c r="BH166" t="s">
        <v>939</v>
      </c>
      <c r="BI166" t="s">
        <v>940</v>
      </c>
    </row>
    <row r="167" spans="1:64" ht="11.25" customHeight="1" x14ac:dyDescent="0.2">
      <c r="A167" s="112" t="s">
        <v>1343</v>
      </c>
      <c r="B167" s="153" t="s">
        <v>226</v>
      </c>
      <c r="C167" s="154" t="s">
        <v>94</v>
      </c>
      <c r="D167" s="154" t="s">
        <v>943</v>
      </c>
      <c r="E167" s="155">
        <v>40</v>
      </c>
      <c r="F167" s="298">
        <v>70</v>
      </c>
      <c r="G167" s="298" t="s">
        <v>88</v>
      </c>
      <c r="H167" s="298" t="s">
        <v>88</v>
      </c>
      <c r="I167" s="167">
        <v>427.55</v>
      </c>
      <c r="J167" s="157">
        <f t="shared" si="36"/>
        <v>1.0758975558414219</v>
      </c>
      <c r="K167" s="158">
        <v>1.1499999999999999</v>
      </c>
      <c r="L167" s="126">
        <v>4</v>
      </c>
      <c r="M167" s="82">
        <f t="shared" si="37"/>
        <v>4.5999999999999996</v>
      </c>
      <c r="N167" s="159" t="s">
        <v>129</v>
      </c>
      <c r="O167" s="160">
        <v>0.95</v>
      </c>
      <c r="P167" s="161">
        <v>44785</v>
      </c>
      <c r="Q167" s="161">
        <v>44819</v>
      </c>
      <c r="R167" s="82">
        <f t="shared" si="38"/>
        <v>21.052631578947363</v>
      </c>
      <c r="S167" s="162">
        <f>IF(INDEX([1]Historical!$D$7:$D$1229,MATCH(B167,[1]Historical!$B$7:$B$1253,0))=0,"n/a",(INDEX([1]Historical!$C$7:$C$1231,MATCH(B167,[1]Historical!$B$7:$B$1253,0))/INDEX([1]Historical!$D$7:$D$1229,MATCH(B167,[1]Historical!$B$7:$B$1253,0))-1)*100)</f>
        <v>20.996441281138779</v>
      </c>
      <c r="T167" s="162">
        <f>IF(INDEX([1]Historical!$F$7:$F$1222,MATCH(B167,[1]Historical!$B$7:$B$1253,0))=0,"n/a",((INDEX([1]Historical!$C$7:$C$1231,MATCH(B167,[1]Historical!$B$7:$B$1253,0))/INDEX([1]Historical!$F$7:$F$1222,MATCH(B167,[1]Historical!$B$7:$B$1253,0)))^(1/3)-1)*100)</f>
        <v>18.37001027998777</v>
      </c>
      <c r="U167" s="162">
        <f>IF(INDEX([1]Historical!$H$7:$H$1222,MATCH(B167,[1]Historical!$B$7:$B$1253,0))=0,"n/a",((INDEX([1]Historical!$C$7:$C$1231,MATCH(B167,[1]Historical!$B$7:$B$1253,0))/INDEX([1]Historical!$H$7:$H$1222,MATCH(B167,[1]Historical!$B$7:$B$1253,0)))^(1/5)-1)*100)</f>
        <v>20.649480216155204</v>
      </c>
      <c r="V167" s="162">
        <f>IF(INDEX([1]Historical!$N$7:$N$1222,MATCH(B167,[1]Historical!$B$7:$B$1253,0))=0,"n/a",((INDEX([1]Historical!$C$7:$C$1231,MATCH(B167,[1]Historical!$B$7:$B$1253,0))/INDEX([1]Historical!$N$7:$N$1222,MATCH(B167,[1]Historical!$B$7:$B$1253,0)))^(1/10)-1)*100)</f>
        <v>20.201120388409155</v>
      </c>
      <c r="W167" s="163">
        <f t="shared" si="39"/>
        <v>1.0221948000469967</v>
      </c>
      <c r="X167" s="164">
        <f t="shared" si="40"/>
        <v>0.90567895684891242</v>
      </c>
      <c r="Y167" s="178"/>
      <c r="Z167" s="157">
        <f t="shared" si="41"/>
        <v>38.493723849372387</v>
      </c>
      <c r="AA167" s="166">
        <f t="shared" si="42"/>
        <v>35.778242677824274</v>
      </c>
      <c r="AB167" s="126">
        <v>5</v>
      </c>
      <c r="AC167" s="167">
        <v>11.95</v>
      </c>
      <c r="AD167" s="167">
        <v>3.17</v>
      </c>
      <c r="AE167" s="167">
        <v>5.18</v>
      </c>
      <c r="AF167" s="167">
        <v>13.43</v>
      </c>
      <c r="AG167" s="167" t="s">
        <v>95</v>
      </c>
      <c r="AH167" s="167">
        <v>13.8</v>
      </c>
      <c r="AI167" s="167">
        <v>10.79</v>
      </c>
      <c r="AJ167" s="167">
        <v>22.8</v>
      </c>
      <c r="AK167" s="167">
        <v>11.3</v>
      </c>
      <c r="AL167" s="168">
        <v>42110</v>
      </c>
      <c r="AM167" s="169">
        <v>0.4</v>
      </c>
      <c r="AN167" s="167">
        <v>0.93</v>
      </c>
      <c r="AO167" s="170">
        <f t="shared" si="43"/>
        <v>-14.052864905827647</v>
      </c>
      <c r="AP167" s="171">
        <f t="shared" si="44"/>
        <v>21.725377771996627</v>
      </c>
      <c r="AQ167" s="172">
        <f t="shared" si="45"/>
        <v>362.1215805214419</v>
      </c>
      <c r="AR167" s="157">
        <f>INDEX([1]Historical!$C$7:$C$1231,MATCH(B167,[1]Historical!$B$7:$B$1253,0))*IF(AH167="n/a",1.03,IF(AH167&lt;0,1.01,IF(AH167&gt;10,1.1,(1+AH167/100))))</f>
        <v>3.74</v>
      </c>
      <c r="AS167" s="166">
        <f t="shared" si="46"/>
        <v>4.1140000000000008</v>
      </c>
      <c r="AT167" s="166">
        <f t="shared" ref="AT167:AV182" si="52">IF($AK167="n/a",1.03*AS167,IF($AK167&lt;0,1.01*AS167,IF($AK167&gt;10,1.1*AS167,(1+$AK167/100)*AS167)))</f>
        <v>4.5254000000000012</v>
      </c>
      <c r="AU167" s="166">
        <f t="shared" si="52"/>
        <v>4.977940000000002</v>
      </c>
      <c r="AV167" s="166">
        <f t="shared" si="52"/>
        <v>5.4757340000000028</v>
      </c>
      <c r="AW167" s="157">
        <f t="shared" si="48"/>
        <v>22.833074000000007</v>
      </c>
      <c r="AX167" s="173">
        <f t="shared" si="49"/>
        <v>5.3404453280318105</v>
      </c>
      <c r="AY167" s="174">
        <v>1.37</v>
      </c>
      <c r="AZ167" s="169">
        <v>24.34</v>
      </c>
      <c r="BA167" s="169">
        <v>-7.3400000000000007</v>
      </c>
      <c r="BB167" s="169">
        <v>5.0500000000000007</v>
      </c>
      <c r="BC167" s="169">
        <v>7.9600000000000009</v>
      </c>
      <c r="BE167" s="77">
        <v>1984</v>
      </c>
      <c r="BF167" s="77">
        <f t="shared" si="50"/>
        <v>4</v>
      </c>
      <c r="BG167" s="175" t="s">
        <v>95</v>
      </c>
      <c r="BH167" t="s">
        <v>939</v>
      </c>
      <c r="BI167" t="s">
        <v>940</v>
      </c>
    </row>
    <row r="168" spans="1:64" ht="11.25" customHeight="1" x14ac:dyDescent="0.2">
      <c r="A168" s="112" t="s">
        <v>1344</v>
      </c>
      <c r="B168" s="153" t="s">
        <v>242</v>
      </c>
      <c r="C168" s="154" t="s">
        <v>90</v>
      </c>
      <c r="D168" s="154" t="s">
        <v>969</v>
      </c>
      <c r="E168" s="155">
        <v>42</v>
      </c>
      <c r="F168" s="298">
        <v>65</v>
      </c>
      <c r="G168" s="298" t="s">
        <v>30</v>
      </c>
      <c r="H168" s="298" t="s">
        <v>88</v>
      </c>
      <c r="I168" s="167">
        <v>47.29</v>
      </c>
      <c r="J168" s="157">
        <f t="shared" si="36"/>
        <v>3.7217170649185873</v>
      </c>
      <c r="K168" s="158">
        <v>0.44</v>
      </c>
      <c r="L168" s="126">
        <v>4</v>
      </c>
      <c r="M168" s="82">
        <f t="shared" si="37"/>
        <v>1.76</v>
      </c>
      <c r="N168" s="159" t="s">
        <v>121</v>
      </c>
      <c r="O168" s="160">
        <v>0.4</v>
      </c>
      <c r="P168" s="161">
        <v>44818</v>
      </c>
      <c r="Q168" s="161">
        <v>44835</v>
      </c>
      <c r="R168" s="82">
        <f t="shared" si="38"/>
        <v>9.9999999999999947</v>
      </c>
      <c r="S168" s="162">
        <f>IF(INDEX([1]Historical!$D$7:$D$1229,MATCH(B168,[1]Historical!$B$7:$B$1253,0))=0,"n/a",(INDEX([1]Historical!$C$7:$C$1231,MATCH(B168,[1]Historical!$B$7:$B$1253,0))/INDEX([1]Historical!$D$7:$D$1229,MATCH(B168,[1]Historical!$B$7:$B$1253,0))-1)*100)</f>
        <v>1.9672131147540961</v>
      </c>
      <c r="T168" s="162">
        <f>IF(INDEX([1]Historical!$F$7:$F$1222,MATCH(B168,[1]Historical!$B$7:$B$1253,0))=0,"n/a",((INDEX([1]Historical!$C$7:$C$1231,MATCH(B168,[1]Historical!$B$7:$B$1253,0))/INDEX([1]Historical!$F$7:$F$1222,MATCH(B168,[1]Historical!$B$7:$B$1253,0)))^(1/3)-1)*100)</f>
        <v>4.8251618490393167</v>
      </c>
      <c r="U168" s="162">
        <f>IF(INDEX([1]Historical!$H$7:$H$1222,MATCH(B168,[1]Historical!$B$7:$B$1253,0))=0,"n/a",((INDEX([1]Historical!$C$7:$C$1231,MATCH(B168,[1]Historical!$B$7:$B$1253,0))/INDEX([1]Historical!$H$7:$H$1222,MATCH(B168,[1]Historical!$B$7:$B$1253,0)))^(1/5)-1)*100)</f>
        <v>4.4633805728554021</v>
      </c>
      <c r="V168" s="162">
        <f>IF(INDEX([1]Historical!$N$7:$N$1222,MATCH(B168,[1]Historical!$B$7:$B$1253,0))=0,"n/a",((INDEX([1]Historical!$C$7:$C$1231,MATCH(B168,[1]Historical!$B$7:$B$1253,0))/INDEX([1]Historical!$N$7:$N$1222,MATCH(B168,[1]Historical!$B$7:$B$1253,0)))^(1/10)-1)*100)</f>
        <v>3.3526928674343814</v>
      </c>
      <c r="W168" s="163">
        <f t="shared" si="39"/>
        <v>1.3312822705024467</v>
      </c>
      <c r="X168" s="164">
        <f t="shared" si="40"/>
        <v>0.3459984940197986</v>
      </c>
      <c r="Y168" s="223"/>
      <c r="Z168" s="157">
        <f t="shared" si="41"/>
        <v>39.909297052154194</v>
      </c>
      <c r="AA168" s="166">
        <f t="shared" si="42"/>
        <v>10.723356009070294</v>
      </c>
      <c r="AB168" s="126">
        <v>12</v>
      </c>
      <c r="AC168" s="167">
        <v>4.41</v>
      </c>
      <c r="AD168" s="167">
        <v>2.16</v>
      </c>
      <c r="AE168" s="167">
        <v>4.5</v>
      </c>
      <c r="AF168" s="167">
        <v>1.34</v>
      </c>
      <c r="AG168" s="167">
        <v>12.6</v>
      </c>
      <c r="AH168" s="167">
        <v>47.4</v>
      </c>
      <c r="AI168" s="167">
        <v>1.43</v>
      </c>
      <c r="AJ168" s="167">
        <v>12.9</v>
      </c>
      <c r="AK168" s="167">
        <v>5</v>
      </c>
      <c r="AL168" s="175">
        <v>830.87</v>
      </c>
      <c r="AM168" s="169">
        <v>0.1</v>
      </c>
      <c r="AN168" s="167">
        <v>0.09</v>
      </c>
      <c r="AO168" s="170">
        <f t="shared" si="43"/>
        <v>-2.5382583712963047</v>
      </c>
      <c r="AP168" s="171">
        <f t="shared" si="44"/>
        <v>8.185097637773989</v>
      </c>
      <c r="AQ168" s="172">
        <f t="shared" si="45"/>
        <v>-20.085331475367653</v>
      </c>
      <c r="AR168" s="157">
        <f>INDEX([1]Historical!$C$7:$C$1231,MATCH(B168,[1]Historical!$B$7:$B$1253,0))*IF(AH168="n/a",1.03,IF(AH168&lt;0,1.01,IF(AH168&gt;10,1.1,(1+AH168/100))))</f>
        <v>1.7105000000000001</v>
      </c>
      <c r="AS168" s="166">
        <f t="shared" si="46"/>
        <v>1.73496015</v>
      </c>
      <c r="AT168" s="166">
        <f t="shared" si="52"/>
        <v>1.8217081575</v>
      </c>
      <c r="AU168" s="166">
        <f t="shared" si="52"/>
        <v>1.9127935653750001</v>
      </c>
      <c r="AV168" s="166">
        <f t="shared" si="52"/>
        <v>2.0084332436437502</v>
      </c>
      <c r="AW168" s="157">
        <f t="shared" si="48"/>
        <v>9.1883951165187501</v>
      </c>
      <c r="AX168" s="173">
        <f t="shared" si="49"/>
        <v>19.42989028656957</v>
      </c>
      <c r="AY168" s="174">
        <v>0.76</v>
      </c>
      <c r="AZ168" s="169">
        <v>20.95</v>
      </c>
      <c r="BA168" s="169">
        <v>-1.17</v>
      </c>
      <c r="BB168" s="169">
        <v>10.459999999999999</v>
      </c>
      <c r="BC168" s="169">
        <v>12.11</v>
      </c>
      <c r="BE168" s="77">
        <v>1981</v>
      </c>
      <c r="BF168" s="77">
        <f t="shared" si="50"/>
        <v>4</v>
      </c>
      <c r="BG168" s="175">
        <v>1.5</v>
      </c>
      <c r="BH168" t="s">
        <v>939</v>
      </c>
      <c r="BI168" t="s">
        <v>940</v>
      </c>
    </row>
    <row r="169" spans="1:64" ht="11.25" customHeight="1" x14ac:dyDescent="0.2">
      <c r="A169" s="238" t="s">
        <v>1036</v>
      </c>
      <c r="B169" s="153" t="s">
        <v>900</v>
      </c>
      <c r="C169" s="154" t="s">
        <v>947</v>
      </c>
      <c r="D169" s="154" t="s">
        <v>999</v>
      </c>
      <c r="E169" s="155">
        <v>10</v>
      </c>
      <c r="F169" s="298">
        <v>504</v>
      </c>
      <c r="G169" s="298" t="s">
        <v>88</v>
      </c>
      <c r="H169" s="298" t="s">
        <v>88</v>
      </c>
      <c r="I169" s="116">
        <v>20.100000000000001</v>
      </c>
      <c r="J169" s="157">
        <f t="shared" si="36"/>
        <v>7.5621890547263675</v>
      </c>
      <c r="K169" s="112">
        <v>0.38</v>
      </c>
      <c r="L169" s="298">
        <v>4</v>
      </c>
      <c r="M169" s="82">
        <f t="shared" si="37"/>
        <v>1.52</v>
      </c>
      <c r="N169" s="298" t="s">
        <v>143</v>
      </c>
      <c r="O169" s="239">
        <v>0.37333333333333335</v>
      </c>
      <c r="P169" s="161">
        <v>44813</v>
      </c>
      <c r="Q169" s="161">
        <v>44834</v>
      </c>
      <c r="R169" s="82">
        <f t="shared" si="38"/>
        <v>1.785714285714282</v>
      </c>
      <c r="S169" s="162">
        <f>IF(INDEX([1]Historical!$D$7:$D$1229,MATCH(B169,[1]Historical!$B$7:$B$1253,0))=0,"n/a",(INDEX([1]Historical!$C$7:$C$1231,MATCH(B169,[1]Historical!$B$7:$B$1253,0))/INDEX([1]Historical!$D$7:$D$1229,MATCH(B169,[1]Historical!$B$7:$B$1253,0))-1)*100)</f>
        <v>110.52631578947367</v>
      </c>
      <c r="T169" s="162">
        <f>IF(INDEX([1]Historical!$F$7:$F$1222,MATCH(B169,[1]Historical!$B$7:$B$1253,0))=0,"n/a",((INDEX([1]Historical!$C$7:$C$1231,MATCH(B169,[1]Historical!$B$7:$B$1253,0))/INDEX([1]Historical!$F$7:$F$1222,MATCH(B169,[1]Historical!$B$7:$B$1253,0)))^(1/3)-1)*100)</f>
        <v>145.60209990935905</v>
      </c>
      <c r="U169" s="162">
        <f>IF(INDEX([1]Historical!$H$7:$H$1222,MATCH(B169,[1]Historical!$B$7:$B$1253,0))=0,"n/a",((INDEX([1]Historical!$C$7:$C$1231,MATCH(B169,[1]Historical!$B$7:$B$1253,0))/INDEX([1]Historical!$H$7:$H$1222,MATCH(B169,[1]Historical!$B$7:$B$1253,0)))^(1/5)-1)*100)</f>
        <v>90.365393871587855</v>
      </c>
      <c r="V169" s="162">
        <f>IF(INDEX([1]Historical!$N$7:$N$1222,MATCH(B169,[1]Historical!$B$7:$B$1253,0))=0,"n/a",((INDEX([1]Historical!$C$7:$C$1231,MATCH(B169,[1]Historical!$B$7:$B$1253,0))/INDEX([1]Historical!$N$7:$N$1222,MATCH(B169,[1]Historical!$B$7:$B$1253,0)))^(1/10)-1)*100)</f>
        <v>58.489319246111336</v>
      </c>
      <c r="W169" s="163">
        <f t="shared" si="39"/>
        <v>1.544989667110817</v>
      </c>
      <c r="X169" s="164">
        <f t="shared" si="40"/>
        <v>6.2320961290750256</v>
      </c>
      <c r="Y169" s="290" t="s">
        <v>1752</v>
      </c>
      <c r="Z169" s="157">
        <f t="shared" si="41"/>
        <v>118.75</v>
      </c>
      <c r="AA169" s="166">
        <f t="shared" si="42"/>
        <v>15.703125</v>
      </c>
      <c r="AB169" s="126">
        <v>12</v>
      </c>
      <c r="AC169" s="175">
        <v>1.28</v>
      </c>
      <c r="AD169" s="175" t="s">
        <v>95</v>
      </c>
      <c r="AE169" s="167">
        <v>4.72</v>
      </c>
      <c r="AF169" s="167">
        <v>0.85</v>
      </c>
      <c r="AG169" s="167">
        <v>4.3999999999999995</v>
      </c>
      <c r="AH169" s="167">
        <v>785.4</v>
      </c>
      <c r="AI169" s="167">
        <v>130</v>
      </c>
      <c r="AJ169" s="241">
        <v>14.499999999999998</v>
      </c>
      <c r="AK169" s="241" t="s">
        <v>95</v>
      </c>
      <c r="AL169" s="175">
        <v>367.9</v>
      </c>
      <c r="AM169" s="175">
        <v>3.8</v>
      </c>
      <c r="AN169" s="175">
        <v>0</v>
      </c>
      <c r="AO169" s="170">
        <f t="shared" si="43"/>
        <v>82.224457926314216</v>
      </c>
      <c r="AP169" s="171">
        <f t="shared" si="44"/>
        <v>97.927582926314216</v>
      </c>
      <c r="AQ169" s="172">
        <f t="shared" si="45"/>
        <v>-22.978628506974331</v>
      </c>
      <c r="AR169" s="157">
        <f>INDEX([1]Historical!$C$7:$C$1231,MATCH(B169,[1]Historical!$B$7:$B$1253,0))*IF(AH169="n/a",1.03,IF(AH169&lt;0,1.01,IF(AH169&gt;10,1.1,(1+AH169/100))))</f>
        <v>1.4666666666666668</v>
      </c>
      <c r="AS169" s="166">
        <f t="shared" si="46"/>
        <v>1.6133333333333335</v>
      </c>
      <c r="AT169" s="166">
        <f t="shared" si="52"/>
        <v>1.6617333333333335</v>
      </c>
      <c r="AU169" s="166">
        <f t="shared" si="52"/>
        <v>1.7115853333333335</v>
      </c>
      <c r="AV169" s="166">
        <f t="shared" si="52"/>
        <v>1.7629328933333335</v>
      </c>
      <c r="AW169" s="157">
        <f t="shared" si="48"/>
        <v>8.2162515599999999</v>
      </c>
      <c r="AX169" s="173">
        <f t="shared" si="49"/>
        <v>40.876873432835822</v>
      </c>
      <c r="AY169" s="225">
        <v>0.74</v>
      </c>
      <c r="AZ169" s="167">
        <v>17</v>
      </c>
      <c r="BA169" s="167">
        <v>-12.870000000000001</v>
      </c>
      <c r="BB169" s="167">
        <v>1.97</v>
      </c>
      <c r="BC169" s="167">
        <v>-2.5100000000000002</v>
      </c>
      <c r="BE169" s="77">
        <v>2013</v>
      </c>
      <c r="BF169" s="77">
        <f t="shared" si="50"/>
        <v>1</v>
      </c>
      <c r="BG169" s="175">
        <v>2.5</v>
      </c>
      <c r="BH169" t="s">
        <v>939</v>
      </c>
      <c r="BI169" t="s">
        <v>945</v>
      </c>
    </row>
    <row r="170" spans="1:64" s="252" customFormat="1" ht="11.25" customHeight="1" x14ac:dyDescent="0.2">
      <c r="A170" s="236" t="s">
        <v>1734</v>
      </c>
      <c r="B170" s="184" t="s">
        <v>1735</v>
      </c>
      <c r="C170" s="154" t="s">
        <v>109</v>
      </c>
      <c r="D170" s="154" t="s">
        <v>1028</v>
      </c>
      <c r="E170" s="185">
        <v>6</v>
      </c>
      <c r="F170" s="298">
        <v>663</v>
      </c>
      <c r="G170" s="297" t="s">
        <v>88</v>
      </c>
      <c r="H170" s="297" t="s">
        <v>88</v>
      </c>
      <c r="I170" s="186">
        <v>31.13</v>
      </c>
      <c r="J170" s="187">
        <f t="shared" si="36"/>
        <v>1.9274012206874396</v>
      </c>
      <c r="K170" s="188">
        <v>0.15</v>
      </c>
      <c r="L170" s="189">
        <v>4</v>
      </c>
      <c r="M170" s="190">
        <f t="shared" si="37"/>
        <v>0.6</v>
      </c>
      <c r="N170" s="191" t="s">
        <v>199</v>
      </c>
      <c r="O170" s="192">
        <v>0.125</v>
      </c>
      <c r="P170" s="193">
        <v>44624</v>
      </c>
      <c r="Q170" s="193">
        <v>44637</v>
      </c>
      <c r="R170" s="190">
        <f t="shared" si="38"/>
        <v>19.999999999999996</v>
      </c>
      <c r="S170" s="162">
        <f>IF(INDEX([1]Historical!$D$7:$D$1229,MATCH(B170,[1]Historical!$B$7:$B$1253,0))=0,"n/a",(INDEX([1]Historical!$C$7:$C$1231,MATCH(B170,[1]Historical!$B$7:$B$1253,0))/INDEX([1]Historical!$D$7:$D$1229,MATCH(B170,[1]Historical!$B$7:$B$1253,0))-1)*100)</f>
        <v>11.250000000000004</v>
      </c>
      <c r="T170" s="162">
        <f>IF(INDEX([1]Historical!$F$7:$F$1222,MATCH(B170,[1]Historical!$B$7:$B$1253,0))=0,"n/a",((INDEX([1]Historical!$C$7:$C$1231,MATCH(B170,[1]Historical!$B$7:$B$1253,0))/INDEX([1]Historical!$F$7:$F$1222,MATCH(B170,[1]Historical!$B$7:$B$1253,0)))^(1/3)-1)*100)</f>
        <v>21.191827410603793</v>
      </c>
      <c r="U170" s="162">
        <f>IF(INDEX([1]Historical!$H$7:$H$1222,MATCH(B170,[1]Historical!$B$7:$B$1253,0))=0,"n/a",((INDEX([1]Historical!$C$7:$C$1231,MATCH(B170,[1]Historical!$B$7:$B$1253,0))/INDEX([1]Historical!$H$7:$H$1222,MATCH(B170,[1]Historical!$B$7:$B$1253,0)))^(1/5)-1)*100)</f>
        <v>40.946405528565364</v>
      </c>
      <c r="V170" s="162">
        <f>IF(INDEX([1]Historical!$N$7:$N$1222,MATCH(B170,[1]Historical!$B$7:$B$1253,0))=0,"n/a",((INDEX([1]Historical!$C$7:$C$1231,MATCH(B170,[1]Historical!$B$7:$B$1253,0))/INDEX([1]Historical!$N$7:$N$1222,MATCH(B170,[1]Historical!$B$7:$B$1253,0)))^(1/10)-1)*100)</f>
        <v>30.955539968035396</v>
      </c>
      <c r="W170" s="163">
        <f t="shared" si="39"/>
        <v>1.3227488705041652</v>
      </c>
      <c r="X170" s="164">
        <f t="shared" si="40"/>
        <v>1.1632501570615161</v>
      </c>
      <c r="Y170" s="227"/>
      <c r="Z170" s="187">
        <f t="shared" si="41"/>
        <v>16.806722689075631</v>
      </c>
      <c r="AA170" s="194">
        <f t="shared" si="42"/>
        <v>8.7198879551820738</v>
      </c>
      <c r="AB170" s="189">
        <v>12</v>
      </c>
      <c r="AC170" s="195">
        <v>3.57</v>
      </c>
      <c r="AD170" s="195">
        <v>0.88</v>
      </c>
      <c r="AE170" s="195">
        <v>3.47</v>
      </c>
      <c r="AF170" s="195">
        <v>1.98</v>
      </c>
      <c r="AG170" s="195">
        <v>29.9</v>
      </c>
      <c r="AH170" s="195">
        <v>358.9</v>
      </c>
      <c r="AI170" s="195">
        <v>-14.69</v>
      </c>
      <c r="AJ170" s="195">
        <v>35.199999999999996</v>
      </c>
      <c r="AK170" s="195">
        <v>9.6100000000000012</v>
      </c>
      <c r="AL170" s="196">
        <v>23980</v>
      </c>
      <c r="AM170" s="197">
        <v>0.1</v>
      </c>
      <c r="AN170" s="195">
        <v>0.26</v>
      </c>
      <c r="AO170" s="198">
        <f t="shared" si="43"/>
        <v>34.153918794070734</v>
      </c>
      <c r="AP170" s="199">
        <f t="shared" si="44"/>
        <v>42.873806749252807</v>
      </c>
      <c r="AQ170" s="172">
        <f t="shared" si="45"/>
        <v>-12.401476036635062</v>
      </c>
      <c r="AR170" s="157">
        <f>INDEX([1]Historical!$C$7:$C$1231,MATCH(B170,[1]Historical!$B$7:$B$1253,0))*IF(AH170="n/a",1.03,IF(AH170&lt;0,1.01,IF(AH170&gt;10,1.1,(1+AH170/100))))</f>
        <v>0.48950000000000005</v>
      </c>
      <c r="AS170" s="194">
        <f t="shared" si="46"/>
        <v>0.49439500000000003</v>
      </c>
      <c r="AT170" s="194">
        <f t="shared" si="52"/>
        <v>0.5419063595000001</v>
      </c>
      <c r="AU170" s="194">
        <f t="shared" si="52"/>
        <v>0.5939835606479501</v>
      </c>
      <c r="AV170" s="194">
        <f t="shared" si="52"/>
        <v>0.65106538082621812</v>
      </c>
      <c r="AW170" s="187">
        <f t="shared" si="48"/>
        <v>2.7708503009741685</v>
      </c>
      <c r="AX170" s="200">
        <f t="shared" si="49"/>
        <v>8.9009004207329543</v>
      </c>
      <c r="AY170" s="201">
        <v>0.21</v>
      </c>
      <c r="AZ170" s="197">
        <v>77.73</v>
      </c>
      <c r="BA170" s="197">
        <v>-13.350000000000001</v>
      </c>
      <c r="BB170" s="197">
        <v>6.21</v>
      </c>
      <c r="BC170" s="197">
        <v>13.819999999999999</v>
      </c>
      <c r="BD170" s="202"/>
      <c r="BE170" s="77">
        <v>2017</v>
      </c>
      <c r="BF170" s="77">
        <f t="shared" si="50"/>
        <v>1</v>
      </c>
      <c r="BG170" s="203">
        <v>17.299999999999997</v>
      </c>
      <c r="BH170" t="s">
        <v>939</v>
      </c>
      <c r="BI170" t="s">
        <v>940</v>
      </c>
      <c r="BJ170" s="208"/>
      <c r="BK170" s="208"/>
      <c r="BL170" s="208"/>
    </row>
    <row r="171" spans="1:64" ht="11.25" customHeight="1" x14ac:dyDescent="0.2">
      <c r="A171" s="238" t="s">
        <v>1345</v>
      </c>
      <c r="B171" s="153" t="s">
        <v>899</v>
      </c>
      <c r="C171" s="154" t="s">
        <v>947</v>
      </c>
      <c r="D171" s="154" t="s">
        <v>948</v>
      </c>
      <c r="E171" s="155">
        <v>9</v>
      </c>
      <c r="F171" s="298">
        <v>538</v>
      </c>
      <c r="G171" s="298" t="s">
        <v>88</v>
      </c>
      <c r="H171" s="298" t="s">
        <v>88</v>
      </c>
      <c r="I171" s="116">
        <v>18.68</v>
      </c>
      <c r="J171" s="157">
        <f t="shared" si="36"/>
        <v>5.8886509635974313</v>
      </c>
      <c r="K171" s="112">
        <v>0.27500000000000002</v>
      </c>
      <c r="L171" s="298">
        <v>4</v>
      </c>
      <c r="M171" s="82">
        <f t="shared" si="37"/>
        <v>1.1000000000000001</v>
      </c>
      <c r="N171" s="298" t="s">
        <v>119</v>
      </c>
      <c r="O171" s="239">
        <v>0.26500000000000001</v>
      </c>
      <c r="P171" s="161">
        <v>44650</v>
      </c>
      <c r="Q171" s="161">
        <v>44666</v>
      </c>
      <c r="R171" s="82">
        <f t="shared" si="38"/>
        <v>3.7735849056603805</v>
      </c>
      <c r="S171" s="162">
        <f>IF(INDEX([1]Historical!$D$7:$D$1229,MATCH(B171,[1]Historical!$B$7:$B$1253,0))=0,"n/a",(INDEX([1]Historical!$C$7:$C$1231,MATCH(B171,[1]Historical!$B$7:$B$1253,0))/INDEX([1]Historical!$D$7:$D$1229,MATCH(B171,[1]Historical!$B$7:$B$1253,0))-1)*100)</f>
        <v>7.1794871794871762</v>
      </c>
      <c r="T171" s="162">
        <f>IF(INDEX([1]Historical!$F$7:$F$1222,MATCH(B171,[1]Historical!$B$7:$B$1253,0))=0,"n/a",((INDEX([1]Historical!$C$7:$C$1231,MATCH(B171,[1]Historical!$B$7:$B$1253,0))/INDEX([1]Historical!$F$7:$F$1222,MATCH(B171,[1]Historical!$B$7:$B$1253,0)))^(1/3)-1)*100)</f>
        <v>9.3139114651860986</v>
      </c>
      <c r="U171" s="162">
        <f>IF(INDEX([1]Historical!$H$7:$H$1222,MATCH(B171,[1]Historical!$B$7:$B$1253,0))=0,"n/a",((INDEX([1]Historical!$C$7:$C$1231,MATCH(B171,[1]Historical!$B$7:$B$1253,0))/INDEX([1]Historical!$H$7:$H$1222,MATCH(B171,[1]Historical!$B$7:$B$1253,0)))^(1/5)-1)*100)</f>
        <v>8.9736444803260262</v>
      </c>
      <c r="V171" s="162" t="str">
        <f>IF(INDEX([1]Historical!$N$7:$N$1222,MATCH(B171,[1]Historical!$B$7:$B$1253,0))=0,"n/a",((INDEX([1]Historical!$C$7:$C$1231,MATCH(B171,[1]Historical!$B$7:$B$1253,0))/INDEX([1]Historical!$N$7:$N$1222,MATCH(B171,[1]Historical!$B$7:$B$1253,0)))^(1/10)-1)*100)</f>
        <v>n/a</v>
      </c>
      <c r="W171" s="163" t="str">
        <f t="shared" si="39"/>
        <v>n/a</v>
      </c>
      <c r="X171" s="164">
        <f t="shared" si="40"/>
        <v>1.1964859307101368</v>
      </c>
      <c r="Y171" s="240"/>
      <c r="Z171" s="157">
        <f t="shared" si="41"/>
        <v>1571.4285714285713</v>
      </c>
      <c r="AA171" s="166">
        <f t="shared" si="42"/>
        <v>266.85714285714283</v>
      </c>
      <c r="AB171" s="126">
        <v>12</v>
      </c>
      <c r="AC171" s="175">
        <v>7.0000000000000007E-2</v>
      </c>
      <c r="AD171" s="175">
        <v>23.76</v>
      </c>
      <c r="AE171" s="167">
        <v>9.25</v>
      </c>
      <c r="AF171" s="167">
        <v>2.16</v>
      </c>
      <c r="AG171" s="167">
        <v>0.8</v>
      </c>
      <c r="AH171" s="167">
        <v>-12.1</v>
      </c>
      <c r="AI171" s="167">
        <v>322.90999999999997</v>
      </c>
      <c r="AJ171" s="241">
        <v>7.5</v>
      </c>
      <c r="AK171" s="241">
        <v>10.8</v>
      </c>
      <c r="AL171" s="175">
        <v>1780</v>
      </c>
      <c r="AM171" s="175">
        <v>0.4</v>
      </c>
      <c r="AN171" s="175">
        <v>0.95</v>
      </c>
      <c r="AO171" s="170">
        <f t="shared" si="43"/>
        <v>-251.99484741321936</v>
      </c>
      <c r="AP171" s="171">
        <f t="shared" si="44"/>
        <v>14.862295443923458</v>
      </c>
      <c r="AQ171" s="172">
        <f t="shared" si="45"/>
        <v>406.14509495090152</v>
      </c>
      <c r="AR171" s="157">
        <f>INDEX([1]Historical!$C$7:$C$1231,MATCH(B171,[1]Historical!$B$7:$B$1253,0))*IF(AH171="n/a",1.03,IF(AH171&lt;0,1.01,IF(AH171&gt;10,1.1,(1+AH171/100))))</f>
        <v>1.05545</v>
      </c>
      <c r="AS171" s="166">
        <f t="shared" si="46"/>
        <v>1.160995</v>
      </c>
      <c r="AT171" s="166">
        <f t="shared" si="52"/>
        <v>1.2770945</v>
      </c>
      <c r="AU171" s="166">
        <f t="shared" si="52"/>
        <v>1.4048039500000002</v>
      </c>
      <c r="AV171" s="166">
        <f t="shared" si="52"/>
        <v>1.5452843450000004</v>
      </c>
      <c r="AW171" s="157">
        <f t="shared" si="48"/>
        <v>6.4436277950000012</v>
      </c>
      <c r="AX171" s="173">
        <f t="shared" si="49"/>
        <v>34.494795476445397</v>
      </c>
      <c r="AY171" s="225">
        <v>1.1399999999999999</v>
      </c>
      <c r="AZ171" s="167">
        <v>17.48</v>
      </c>
      <c r="BA171" s="167">
        <v>-20.810000000000002</v>
      </c>
      <c r="BB171" s="167">
        <v>-2.96</v>
      </c>
      <c r="BC171" s="167">
        <v>-1.47</v>
      </c>
      <c r="BE171" s="77">
        <v>2014</v>
      </c>
      <c r="BF171" s="77">
        <f t="shared" si="50"/>
        <v>1</v>
      </c>
      <c r="BG171" s="175">
        <v>0.4</v>
      </c>
      <c r="BH171" t="s">
        <v>939</v>
      </c>
      <c r="BI171" t="s">
        <v>945</v>
      </c>
    </row>
    <row r="172" spans="1:64" ht="11.25" customHeight="1" x14ac:dyDescent="0.2">
      <c r="A172" s="112" t="s">
        <v>530</v>
      </c>
      <c r="B172" s="153" t="s">
        <v>531</v>
      </c>
      <c r="C172" s="154" t="s">
        <v>947</v>
      </c>
      <c r="D172" s="154" t="s">
        <v>948</v>
      </c>
      <c r="E172" s="155">
        <v>12</v>
      </c>
      <c r="F172" s="298">
        <v>323</v>
      </c>
      <c r="G172" s="298" t="s">
        <v>88</v>
      </c>
      <c r="H172" s="298" t="s">
        <v>88</v>
      </c>
      <c r="I172" s="156">
        <v>41.87</v>
      </c>
      <c r="J172" s="157">
        <f t="shared" si="36"/>
        <v>4.107953188440411</v>
      </c>
      <c r="K172" s="158">
        <v>0.43</v>
      </c>
      <c r="L172" s="126">
        <v>4</v>
      </c>
      <c r="M172" s="82">
        <f t="shared" si="37"/>
        <v>1.72</v>
      </c>
      <c r="N172" s="159" t="s">
        <v>112</v>
      </c>
      <c r="O172" s="160">
        <v>0.34</v>
      </c>
      <c r="P172" s="161">
        <v>44561</v>
      </c>
      <c r="Q172" s="161">
        <v>44579</v>
      </c>
      <c r="R172" s="82">
        <f t="shared" si="38"/>
        <v>26.470588235294105</v>
      </c>
      <c r="S172" s="162">
        <f>IF(INDEX([1]Historical!$D$7:$D$1229,MATCH(B172,[1]Historical!$B$7:$B$1253,0))=0,"n/a",(INDEX([1]Historical!$C$7:$C$1231,MATCH(B172,[1]Historical!$B$7:$B$1253,0))/INDEX([1]Historical!$D$7:$D$1229,MATCH(B172,[1]Historical!$B$7:$B$1253,0))-1)*100)</f>
        <v>3.0303030303030276</v>
      </c>
      <c r="T172" s="162">
        <f>IF(INDEX([1]Historical!$F$7:$F$1222,MATCH(B172,[1]Historical!$B$7:$B$1253,0))=0,"n/a",((INDEX([1]Historical!$C$7:$C$1231,MATCH(B172,[1]Historical!$B$7:$B$1253,0))/INDEX([1]Historical!$F$7:$F$1222,MATCH(B172,[1]Historical!$B$7:$B$1253,0)))^(1/3)-1)*100)</f>
        <v>4.2603601458844453</v>
      </c>
      <c r="U172" s="162">
        <f>IF(INDEX([1]Historical!$H$7:$H$1222,MATCH(B172,[1]Historical!$B$7:$B$1253,0))=0,"n/a",((INDEX([1]Historical!$C$7:$C$1231,MATCH(B172,[1]Historical!$B$7:$B$1253,0))/INDEX([1]Historical!$H$7:$H$1222,MATCH(B172,[1]Historical!$B$7:$B$1253,0)))^(1/5)-1)*100)</f>
        <v>10.116379654429863</v>
      </c>
      <c r="V172" s="162">
        <f>IF(INDEX([1]Historical!$N$7:$N$1222,MATCH(B172,[1]Historical!$B$7:$B$1253,0))=0,"n/a",((INDEX([1]Historical!$C$7:$C$1231,MATCH(B172,[1]Historical!$B$7:$B$1253,0))/INDEX([1]Historical!$N$7:$N$1222,MATCH(B172,[1]Historical!$B$7:$B$1253,0)))^(1/10)-1)*100)</f>
        <v>17.121894235865188</v>
      </c>
      <c r="W172" s="163">
        <f t="shared" si="39"/>
        <v>0.59084465276272469</v>
      </c>
      <c r="X172" s="164">
        <f t="shared" si="40"/>
        <v>0.51614181910356438</v>
      </c>
      <c r="Y172" s="165"/>
      <c r="Z172" s="157">
        <f t="shared" si="41"/>
        <v>150.87719298245614</v>
      </c>
      <c r="AA172" s="166">
        <f t="shared" si="42"/>
        <v>36.728070175438596</v>
      </c>
      <c r="AB172" s="126">
        <v>12</v>
      </c>
      <c r="AC172" s="167">
        <v>1.1399999999999999</v>
      </c>
      <c r="AD172" s="167">
        <v>6.12</v>
      </c>
      <c r="AE172" s="167">
        <v>9.11</v>
      </c>
      <c r="AF172" s="167">
        <v>3.34</v>
      </c>
      <c r="AG172" s="167">
        <v>8.4</v>
      </c>
      <c r="AH172" s="167">
        <v>28.299999999999997</v>
      </c>
      <c r="AI172" s="167">
        <v>25.380000000000003</v>
      </c>
      <c r="AJ172" s="167">
        <v>19.600000000000001</v>
      </c>
      <c r="AK172" s="167">
        <v>6</v>
      </c>
      <c r="AL172" s="168">
        <v>8840</v>
      </c>
      <c r="AM172" s="169">
        <v>0.1</v>
      </c>
      <c r="AN172" s="167">
        <v>0</v>
      </c>
      <c r="AO172" s="170">
        <f t="shared" si="43"/>
        <v>-22.503737332568321</v>
      </c>
      <c r="AP172" s="171">
        <f t="shared" si="44"/>
        <v>14.224332842870275</v>
      </c>
      <c r="AQ172" s="172">
        <f t="shared" si="45"/>
        <v>133.49685164279092</v>
      </c>
      <c r="AR172" s="157">
        <f>INDEX([1]Historical!$C$7:$C$1231,MATCH(B172,[1]Historical!$B$7:$B$1253,0))*IF(AH172="n/a",1.03,IF(AH172&lt;0,1.01,IF(AH172&gt;10,1.1,(1+AH172/100))))</f>
        <v>1.4960000000000002</v>
      </c>
      <c r="AS172" s="166">
        <f t="shared" si="46"/>
        <v>1.6456000000000004</v>
      </c>
      <c r="AT172" s="166">
        <f t="shared" si="52"/>
        <v>1.7443360000000006</v>
      </c>
      <c r="AU172" s="166">
        <f t="shared" si="52"/>
        <v>1.8489961600000007</v>
      </c>
      <c r="AV172" s="166">
        <f t="shared" si="52"/>
        <v>1.9599359296000007</v>
      </c>
      <c r="AW172" s="157">
        <f t="shared" si="48"/>
        <v>8.6948680896000017</v>
      </c>
      <c r="AX172" s="173">
        <f t="shared" si="49"/>
        <v>20.766343657989019</v>
      </c>
      <c r="AY172" s="174">
        <v>0.54</v>
      </c>
      <c r="AZ172" s="169">
        <v>13.719999999999999</v>
      </c>
      <c r="BA172" s="169">
        <v>-26.979999999999997</v>
      </c>
      <c r="BB172" s="169">
        <v>-1.67</v>
      </c>
      <c r="BC172" s="169">
        <v>-9.2899999999999991</v>
      </c>
      <c r="BE172" s="77">
        <v>2011</v>
      </c>
      <c r="BF172" s="77">
        <f t="shared" si="50"/>
        <v>1</v>
      </c>
      <c r="BG172" s="175">
        <v>3.5999999999999996</v>
      </c>
      <c r="BH172" t="s">
        <v>939</v>
      </c>
      <c r="BI172" t="s">
        <v>945</v>
      </c>
    </row>
    <row r="173" spans="1:64" ht="11.25" customHeight="1" x14ac:dyDescent="0.2">
      <c r="A173" s="176" t="s">
        <v>1346</v>
      </c>
      <c r="B173" s="153" t="s">
        <v>222</v>
      </c>
      <c r="C173" s="154" t="s">
        <v>109</v>
      </c>
      <c r="D173" s="154" t="s">
        <v>1028</v>
      </c>
      <c r="E173" s="155">
        <v>35</v>
      </c>
      <c r="F173" s="298">
        <v>82</v>
      </c>
      <c r="G173" s="298" t="s">
        <v>104</v>
      </c>
      <c r="H173" s="298" t="s">
        <v>104</v>
      </c>
      <c r="I173" s="167">
        <v>180.9</v>
      </c>
      <c r="J173" s="157">
        <f t="shared" si="36"/>
        <v>3.1398562741846319</v>
      </c>
      <c r="K173" s="209">
        <v>1.42</v>
      </c>
      <c r="L173" s="126">
        <v>4</v>
      </c>
      <c r="M173" s="82">
        <f t="shared" si="37"/>
        <v>5.68</v>
      </c>
      <c r="N173" s="159" t="s">
        <v>93</v>
      </c>
      <c r="O173" s="210">
        <v>1.34</v>
      </c>
      <c r="P173" s="161">
        <v>44607</v>
      </c>
      <c r="Q173" s="161">
        <v>44630</v>
      </c>
      <c r="R173" s="82">
        <f t="shared" si="38"/>
        <v>5.9701492537313312</v>
      </c>
      <c r="S173" s="162">
        <f>IF(INDEX([1]Historical!$D$7:$D$1229,MATCH(B173,[1]Historical!$B$7:$B$1253,0))=0,"n/a",(INDEX([1]Historical!$C$7:$C$1231,MATCH(B173,[1]Historical!$B$7:$B$1253,0))/INDEX([1]Historical!$D$7:$D$1229,MATCH(B173,[1]Historical!$B$7:$B$1253,0))-1)*100)</f>
        <v>2.3121387283236761</v>
      </c>
      <c r="T173" s="162">
        <f>IF(INDEX([1]Historical!$F$7:$F$1222,MATCH(B173,[1]Historical!$B$7:$B$1253,0))=0,"n/a",((INDEX([1]Historical!$C$7:$C$1231,MATCH(B173,[1]Historical!$B$7:$B$1253,0))/INDEX([1]Historical!$F$7:$F$1222,MATCH(B173,[1]Historical!$B$7:$B$1253,0)))^(1/3)-1)*100)</f>
        <v>5.8291973697796928</v>
      </c>
      <c r="U173" s="162">
        <f>IF(INDEX([1]Historical!$H$7:$H$1222,MATCH(B173,[1]Historical!$B$7:$B$1253,0))=0,"n/a",((INDEX([1]Historical!$C$7:$C$1231,MATCH(B173,[1]Historical!$B$7:$B$1253,0))/INDEX([1]Historical!$H$7:$H$1222,MATCH(B173,[1]Historical!$B$7:$B$1253,0)))^(1/5)-1)*100)</f>
        <v>4.3584081237309613</v>
      </c>
      <c r="V173" s="162">
        <f>IF(INDEX([1]Historical!$N$7:$N$1222,MATCH(B173,[1]Historical!$B$7:$B$1253,0))=0,"n/a",((INDEX([1]Historical!$C$7:$C$1231,MATCH(B173,[1]Historical!$B$7:$B$1253,0))/INDEX([1]Historical!$N$7:$N$1222,MATCH(B173,[1]Historical!$B$7:$B$1253,0)))^(1/10)-1)*100)</f>
        <v>5.5634570186028798</v>
      </c>
      <c r="W173" s="163">
        <f t="shared" si="39"/>
        <v>0.78339926221367018</v>
      </c>
      <c r="X173" s="164">
        <f t="shared" si="40"/>
        <v>4.3238175830664298E-2</v>
      </c>
      <c r="Y173" s="212"/>
      <c r="Z173" s="157">
        <f t="shared" si="41"/>
        <v>37.942551770207075</v>
      </c>
      <c r="AA173" s="166">
        <f t="shared" si="42"/>
        <v>12.084168336673347</v>
      </c>
      <c r="AB173" s="126">
        <v>12</v>
      </c>
      <c r="AC173" s="167">
        <v>14.97</v>
      </c>
      <c r="AD173" s="167">
        <v>0.82</v>
      </c>
      <c r="AE173" s="167">
        <v>1.69</v>
      </c>
      <c r="AF173" s="167">
        <v>2.2799999999999998</v>
      </c>
      <c r="AG173" s="167">
        <v>14.299999999999999</v>
      </c>
      <c r="AH173" s="179">
        <v>374.5</v>
      </c>
      <c r="AI173" s="179">
        <v>-9.83</v>
      </c>
      <c r="AJ173" s="167">
        <v>100.8</v>
      </c>
      <c r="AK173" s="167">
        <v>14.69</v>
      </c>
      <c r="AL173" s="168">
        <v>348230</v>
      </c>
      <c r="AM173" s="169">
        <v>6.9999999999999993E-2</v>
      </c>
      <c r="AN173" s="167">
        <v>0.17</v>
      </c>
      <c r="AO173" s="170">
        <f t="shared" si="43"/>
        <v>-4.5859039387577543</v>
      </c>
      <c r="AP173" s="171">
        <f t="shared" si="44"/>
        <v>7.4982643979155927</v>
      </c>
      <c r="AQ173" s="172">
        <f t="shared" si="45"/>
        <v>10.658441075059088</v>
      </c>
      <c r="AR173" s="157">
        <f>INDEX([1]Historical!$C$7:$C$1231,MATCH(B173,[1]Historical!$B$7:$B$1253,0))*IF(AH173="n/a",1.03,IF(AH173&lt;0,1.01,IF(AH173&gt;10,1.1,(1+AH173/100))))</f>
        <v>5.8410000000000002</v>
      </c>
      <c r="AS173" s="166">
        <f t="shared" si="46"/>
        <v>5.8994100000000005</v>
      </c>
      <c r="AT173" s="166">
        <f t="shared" si="52"/>
        <v>6.489351000000001</v>
      </c>
      <c r="AU173" s="166">
        <f t="shared" si="52"/>
        <v>7.138286100000002</v>
      </c>
      <c r="AV173" s="166">
        <f t="shared" si="52"/>
        <v>7.8521147100000031</v>
      </c>
      <c r="AW173" s="157">
        <f t="shared" si="48"/>
        <v>33.220161810000008</v>
      </c>
      <c r="AX173" s="173">
        <f t="shared" si="49"/>
        <v>18.363826318407963</v>
      </c>
      <c r="AY173" s="174">
        <v>1.19</v>
      </c>
      <c r="AZ173" s="169">
        <v>63.370000000000005</v>
      </c>
      <c r="BA173" s="169">
        <v>-1.0699999999999998</v>
      </c>
      <c r="BB173" s="169">
        <v>13.309999999999999</v>
      </c>
      <c r="BC173" s="169">
        <v>15.909999999999998</v>
      </c>
      <c r="BE173" s="77">
        <v>1988</v>
      </c>
      <c r="BF173" s="77">
        <f t="shared" si="50"/>
        <v>4</v>
      </c>
      <c r="BG173" s="175">
        <v>8.3000000000000007</v>
      </c>
      <c r="BH173" t="s">
        <v>939</v>
      </c>
      <c r="BI173" t="s">
        <v>940</v>
      </c>
    </row>
    <row r="174" spans="1:64" ht="11.25" customHeight="1" x14ac:dyDescent="0.2">
      <c r="A174" s="205" t="s">
        <v>1038</v>
      </c>
      <c r="B174" s="153" t="s">
        <v>1039</v>
      </c>
      <c r="C174" s="154" t="s">
        <v>94</v>
      </c>
      <c r="D174" s="154" t="s">
        <v>1003</v>
      </c>
      <c r="E174" s="155">
        <v>6</v>
      </c>
      <c r="F174" s="298">
        <v>678</v>
      </c>
      <c r="G174" s="298" t="s">
        <v>88</v>
      </c>
      <c r="H174" s="298" t="s">
        <v>88</v>
      </c>
      <c r="I174" s="156">
        <v>167.83</v>
      </c>
      <c r="J174" s="157">
        <f t="shared" si="36"/>
        <v>0.45283918250610738</v>
      </c>
      <c r="K174" s="158">
        <v>0.19</v>
      </c>
      <c r="L174" s="126">
        <v>4</v>
      </c>
      <c r="M174" s="82">
        <f t="shared" si="37"/>
        <v>0.76</v>
      </c>
      <c r="N174" s="159" t="s">
        <v>700</v>
      </c>
      <c r="O174" s="160">
        <v>0.18</v>
      </c>
      <c r="P174" s="161">
        <v>44728</v>
      </c>
      <c r="Q174" s="161">
        <v>44743</v>
      </c>
      <c r="R174" s="82">
        <f t="shared" si="38"/>
        <v>5.5555555555555607</v>
      </c>
      <c r="S174" s="162">
        <f>IF(INDEX([1]Historical!$D$7:$D$1229,MATCH(B174,[1]Historical!$B$7:$B$1253,0))=0,"n/a",(INDEX([1]Historical!$C$7:$C$1231,MATCH(B174,[1]Historical!$B$7:$B$1253,0))/INDEX([1]Historical!$D$7:$D$1229,MATCH(B174,[1]Historical!$B$7:$B$1253,0))-1)*100)</f>
        <v>4.4117647058823373</v>
      </c>
      <c r="T174" s="162">
        <f>IF(INDEX([1]Historical!$F$7:$F$1222,MATCH(B174,[1]Historical!$B$7:$B$1253,0))=0,"n/a",((INDEX([1]Historical!$C$7:$C$1231,MATCH(B174,[1]Historical!$B$7:$B$1253,0))/INDEX([1]Historical!$F$7:$F$1222,MATCH(B174,[1]Historical!$B$7:$B$1253,0)))^(1/3)-1)*100)</f>
        <v>5.7715899735125475</v>
      </c>
      <c r="U174" s="162">
        <f>IF(INDEX([1]Historical!$H$7:$H$1222,MATCH(B174,[1]Historical!$B$7:$B$1253,0))=0,"n/a",((INDEX([1]Historical!$C$7:$C$1231,MATCH(B174,[1]Historical!$B$7:$B$1253,0))/INDEX([1]Historical!$H$7:$H$1222,MATCH(B174,[1]Historical!$B$7:$B$1253,0)))^(1/5)-1)*100)</f>
        <v>6.4267992326247247</v>
      </c>
      <c r="V174" s="162">
        <f>IF(INDEX([1]Historical!$N$7:$N$1222,MATCH(B174,[1]Historical!$B$7:$B$1253,0))=0,"n/a",((INDEX([1]Historical!$C$7:$C$1231,MATCH(B174,[1]Historical!$B$7:$B$1253,0))/INDEX([1]Historical!$N$7:$N$1222,MATCH(B174,[1]Historical!$B$7:$B$1253,0)))^(1/10)-1)*100)</f>
        <v>8.2956062937228126</v>
      </c>
      <c r="W174" s="163">
        <f t="shared" si="39"/>
        <v>0.77472326977327843</v>
      </c>
      <c r="X174" s="164">
        <f t="shared" si="40"/>
        <v>0.68370204602390683</v>
      </c>
      <c r="Y174" s="180"/>
      <c r="Z174" s="157">
        <f t="shared" si="41"/>
        <v>11.62079510703364</v>
      </c>
      <c r="AA174" s="166">
        <f t="shared" si="42"/>
        <v>25.662079510703364</v>
      </c>
      <c r="AB174" s="126">
        <v>12</v>
      </c>
      <c r="AC174" s="167">
        <v>6.54</v>
      </c>
      <c r="AD174" s="167" t="s">
        <v>95</v>
      </c>
      <c r="AE174" s="167">
        <v>2.59</v>
      </c>
      <c r="AF174" s="167">
        <v>3.48</v>
      </c>
      <c r="AG174" s="167">
        <v>13.900000000000002</v>
      </c>
      <c r="AH174" s="167">
        <v>37.200000000000003</v>
      </c>
      <c r="AI174" s="167">
        <v>6.21</v>
      </c>
      <c r="AJ174" s="167">
        <v>9.4</v>
      </c>
      <c r="AK174" s="167" t="s">
        <v>95</v>
      </c>
      <c r="AL174" s="168">
        <v>6360</v>
      </c>
      <c r="AM174" s="169">
        <v>0.2</v>
      </c>
      <c r="AN174" s="167">
        <v>0.65</v>
      </c>
      <c r="AO174" s="170">
        <f t="shared" si="43"/>
        <v>-18.782441095572533</v>
      </c>
      <c r="AP174" s="171">
        <f t="shared" si="44"/>
        <v>6.8796384151308319</v>
      </c>
      <c r="AQ174" s="172">
        <f t="shared" si="45"/>
        <v>99.225206679663259</v>
      </c>
      <c r="AR174" s="157">
        <f>INDEX([1]Historical!$C$7:$C$1231,MATCH(B174,[1]Historical!$B$7:$B$1253,0))*IF(AH174="n/a",1.03,IF(AH174&lt;0,1.01,IF(AH174&gt;10,1.1,(1+AH174/100))))</f>
        <v>0.78100000000000003</v>
      </c>
      <c r="AS174" s="166">
        <f t="shared" si="46"/>
        <v>0.82950010000000007</v>
      </c>
      <c r="AT174" s="166">
        <f t="shared" si="52"/>
        <v>0.85438510300000015</v>
      </c>
      <c r="AU174" s="166">
        <f t="shared" si="52"/>
        <v>0.88001665609000013</v>
      </c>
      <c r="AV174" s="166">
        <f t="shared" si="52"/>
        <v>0.9064171557727001</v>
      </c>
      <c r="AW174" s="157">
        <f t="shared" si="48"/>
        <v>4.2513190148627</v>
      </c>
      <c r="AX174" s="173">
        <f t="shared" si="49"/>
        <v>2.5331102990303878</v>
      </c>
      <c r="AY174" s="174">
        <v>1.27</v>
      </c>
      <c r="AZ174" s="169">
        <v>35.520000000000003</v>
      </c>
      <c r="BA174" s="169">
        <v>-1.27</v>
      </c>
      <c r="BB174" s="169">
        <v>11.99</v>
      </c>
      <c r="BC174" s="169">
        <v>16.869999999999997</v>
      </c>
      <c r="BE174" s="77">
        <v>2017</v>
      </c>
      <c r="BF174" s="77">
        <f t="shared" si="50"/>
        <v>1</v>
      </c>
      <c r="BG174" s="175">
        <v>6.2</v>
      </c>
      <c r="BH174" t="s">
        <v>939</v>
      </c>
      <c r="BI174" t="s">
        <v>940</v>
      </c>
      <c r="BJ174" s="112"/>
      <c r="BK174" s="112"/>
      <c r="BL174" s="112"/>
    </row>
    <row r="175" spans="1:64" ht="11.25" customHeight="1" x14ac:dyDescent="0.2">
      <c r="A175" s="112" t="s">
        <v>1347</v>
      </c>
      <c r="B175" s="153" t="s">
        <v>202</v>
      </c>
      <c r="C175" s="154" t="s">
        <v>117</v>
      </c>
      <c r="D175" s="154" t="s">
        <v>978</v>
      </c>
      <c r="E175" s="155">
        <v>55</v>
      </c>
      <c r="F175" s="298">
        <v>18</v>
      </c>
      <c r="G175" s="298" t="s">
        <v>30</v>
      </c>
      <c r="H175" s="298" t="s">
        <v>30</v>
      </c>
      <c r="I175" s="167">
        <v>62.06</v>
      </c>
      <c r="J175" s="157">
        <f t="shared" si="36"/>
        <v>1.6113438607798902</v>
      </c>
      <c r="K175" s="158">
        <v>0.25</v>
      </c>
      <c r="L175" s="126">
        <v>4</v>
      </c>
      <c r="M175" s="82">
        <f t="shared" si="37"/>
        <v>1</v>
      </c>
      <c r="N175" s="159" t="s">
        <v>135</v>
      </c>
      <c r="O175" s="160">
        <v>0.23</v>
      </c>
      <c r="P175" s="161">
        <v>44596</v>
      </c>
      <c r="Q175" s="161">
        <v>44610</v>
      </c>
      <c r="R175" s="82">
        <f t="shared" si="38"/>
        <v>8.6956521739130395</v>
      </c>
      <c r="S175" s="162">
        <f>IF(INDEX([1]Historical!$D$7:$D$1229,MATCH(B175,[1]Historical!$B$7:$B$1253,0))=0,"n/a",(INDEX([1]Historical!$C$7:$C$1231,MATCH(B175,[1]Historical!$B$7:$B$1253,0))/INDEX([1]Historical!$D$7:$D$1229,MATCH(B175,[1]Historical!$B$7:$B$1253,0))-1)*100)</f>
        <v>8.235294117647074</v>
      </c>
      <c r="T175" s="162">
        <f>IF(INDEX([1]Historical!$F$7:$F$1222,MATCH(B175,[1]Historical!$B$7:$B$1253,0))=0,"n/a",((INDEX([1]Historical!$C$7:$C$1231,MATCH(B175,[1]Historical!$B$7:$B$1253,0))/INDEX([1]Historical!$F$7:$F$1222,MATCH(B175,[1]Historical!$B$7:$B$1253,0)))^(1/3)-1)*100)</f>
        <v>6.9522672739187108</v>
      </c>
      <c r="U175" s="162">
        <f>IF(INDEX([1]Historical!$H$7:$H$1222,MATCH(B175,[1]Historical!$B$7:$B$1253,0))=0,"n/a",((INDEX([1]Historical!$C$7:$C$1231,MATCH(B175,[1]Historical!$B$7:$B$1253,0))/INDEX([1]Historical!$H$7:$H$1222,MATCH(B175,[1]Historical!$B$7:$B$1253,0)))^(1/5)-1)*100)</f>
        <v>5.9223841048812176</v>
      </c>
      <c r="V175" s="162">
        <f>IF(INDEX([1]Historical!$N$7:$N$1222,MATCH(B175,[1]Historical!$B$7:$B$1253,0))=0,"n/a",((INDEX([1]Historical!$C$7:$C$1231,MATCH(B175,[1]Historical!$B$7:$B$1253,0))/INDEX([1]Historical!$N$7:$N$1222,MATCH(B175,[1]Historical!$B$7:$B$1253,0)))^(1/10)-1)*100)</f>
        <v>4.1097182501000251</v>
      </c>
      <c r="W175" s="163">
        <f t="shared" si="39"/>
        <v>1.4410681571022721</v>
      </c>
      <c r="X175" s="164" t="str">
        <f t="shared" si="40"/>
        <v>n/a</v>
      </c>
      <c r="Y175" s="212"/>
      <c r="Z175" s="157" t="str">
        <f t="shared" si="41"/>
        <v>n/a</v>
      </c>
      <c r="AA175" s="166" t="str">
        <f t="shared" si="42"/>
        <v>n/a</v>
      </c>
      <c r="AB175" s="126">
        <v>12</v>
      </c>
      <c r="AC175" s="167">
        <v>-7.0000000000000007E-2</v>
      </c>
      <c r="AD175" s="167" t="s">
        <v>95</v>
      </c>
      <c r="AE175" s="167">
        <v>3.93</v>
      </c>
      <c r="AF175" s="167">
        <v>2.74</v>
      </c>
      <c r="AG175" s="167">
        <v>9</v>
      </c>
      <c r="AH175" s="167">
        <v>212.4</v>
      </c>
      <c r="AI175" s="167">
        <v>11.360000000000001</v>
      </c>
      <c r="AJ175" s="167">
        <v>-28.7</v>
      </c>
      <c r="AK175" s="167">
        <v>11.700000000000001</v>
      </c>
      <c r="AL175" s="168">
        <v>3180</v>
      </c>
      <c r="AM175" s="169">
        <v>0.6</v>
      </c>
      <c r="AN175" s="167">
        <v>0.94</v>
      </c>
      <c r="AO175" s="170" t="str">
        <f t="shared" si="43"/>
        <v>n/a</v>
      </c>
      <c r="AP175" s="171">
        <f t="shared" si="44"/>
        <v>7.5337279656611074</v>
      </c>
      <c r="AQ175" s="172" t="str">
        <f t="shared" si="45"/>
        <v>n/a</v>
      </c>
      <c r="AR175" s="157">
        <f>INDEX([1]Historical!$C$7:$C$1231,MATCH(B175,[1]Historical!$B$7:$B$1253,0))*IF(AH175="n/a",1.03,IF(AH175&lt;0,1.01,IF(AH175&gt;10,1.1,(1+AH175/100))))</f>
        <v>1.0120000000000002</v>
      </c>
      <c r="AS175" s="166">
        <f t="shared" si="46"/>
        <v>1.1132000000000004</v>
      </c>
      <c r="AT175" s="166">
        <f t="shared" si="52"/>
        <v>1.2245200000000005</v>
      </c>
      <c r="AU175" s="166">
        <f t="shared" si="52"/>
        <v>1.3469720000000007</v>
      </c>
      <c r="AV175" s="166">
        <f t="shared" si="52"/>
        <v>1.4816692000000009</v>
      </c>
      <c r="AW175" s="157">
        <f t="shared" si="48"/>
        <v>6.1783612000000021</v>
      </c>
      <c r="AX175" s="173">
        <f t="shared" si="49"/>
        <v>9.9554643893006798</v>
      </c>
      <c r="AY175" s="174">
        <v>0.4</v>
      </c>
      <c r="AZ175" s="169">
        <v>28.060000000000002</v>
      </c>
      <c r="BA175" s="169">
        <v>-13.900000000000002</v>
      </c>
      <c r="BB175" s="169">
        <v>8.58</v>
      </c>
      <c r="BC175" s="169">
        <v>8.9599999999999991</v>
      </c>
      <c r="BE175" s="77">
        <v>1968</v>
      </c>
      <c r="BF175" s="77">
        <f t="shared" si="50"/>
        <v>7</v>
      </c>
      <c r="BG175" s="175">
        <v>2.9000000000000004</v>
      </c>
      <c r="BH175" t="s">
        <v>939</v>
      </c>
      <c r="BI175" t="s">
        <v>940</v>
      </c>
    </row>
    <row r="176" spans="1:64" ht="11.25" customHeight="1" x14ac:dyDescent="0.2">
      <c r="A176" s="112" t="s">
        <v>1348</v>
      </c>
      <c r="B176" s="153" t="s">
        <v>227</v>
      </c>
      <c r="C176" s="154" t="s">
        <v>90</v>
      </c>
      <c r="D176" s="154" t="s">
        <v>969</v>
      </c>
      <c r="E176" s="155">
        <v>24</v>
      </c>
      <c r="F176" s="298">
        <v>153</v>
      </c>
      <c r="G176" s="298" t="s">
        <v>88</v>
      </c>
      <c r="H176" s="298" t="s">
        <v>88</v>
      </c>
      <c r="I176" s="156">
        <v>68.58</v>
      </c>
      <c r="J176" s="157">
        <f t="shared" si="36"/>
        <v>2.7996500437445322</v>
      </c>
      <c r="K176" s="209">
        <v>0.48</v>
      </c>
      <c r="L176" s="126">
        <v>4</v>
      </c>
      <c r="M176" s="82">
        <f t="shared" si="37"/>
        <v>1.92</v>
      </c>
      <c r="N176" s="159" t="s">
        <v>119</v>
      </c>
      <c r="O176" s="210">
        <v>0.47499999999999998</v>
      </c>
      <c r="P176" s="161">
        <v>44819</v>
      </c>
      <c r="Q176" s="161">
        <v>44834</v>
      </c>
      <c r="R176" s="82">
        <f t="shared" si="38"/>
        <v>1.0526315789473695</v>
      </c>
      <c r="S176" s="162">
        <f>IF(INDEX([1]Historical!$D$7:$D$1229,MATCH(B176,[1]Historical!$B$7:$B$1253,0))=0,"n/a",(INDEX([1]Historical!$C$7:$C$1231,MATCH(B176,[1]Historical!$B$7:$B$1253,0))/INDEX([1]Historical!$D$7:$D$1229,MATCH(B176,[1]Historical!$B$7:$B$1253,0))-1)*100)</f>
        <v>2.1857923497267784</v>
      </c>
      <c r="T176" s="162">
        <f>IF(INDEX([1]Historical!$F$7:$F$1222,MATCH(B176,[1]Historical!$B$7:$B$1253,0))=0,"n/a",((INDEX([1]Historical!$C$7:$C$1231,MATCH(B176,[1]Historical!$B$7:$B$1253,0))/INDEX([1]Historical!$F$7:$F$1222,MATCH(B176,[1]Historical!$B$7:$B$1253,0)))^(1/3)-1)*100)</f>
        <v>2.2353730292836715</v>
      </c>
      <c r="U176" s="162">
        <f>IF(INDEX([1]Historical!$H$7:$H$1222,MATCH(B176,[1]Historical!$B$7:$B$1253,0))=0,"n/a",((INDEX([1]Historical!$C$7:$C$1231,MATCH(B176,[1]Historical!$B$7:$B$1253,0))/INDEX([1]Historical!$H$7:$H$1222,MATCH(B176,[1]Historical!$B$7:$B$1253,0)))^(1/5)-1)*100)</f>
        <v>2.3384900558402144</v>
      </c>
      <c r="V176" s="162">
        <f>IF(INDEX([1]Historical!$N$7:$N$1222,MATCH(B176,[1]Historical!$B$7:$B$1253,0))=0,"n/a",((INDEX([1]Historical!$C$7:$C$1231,MATCH(B176,[1]Historical!$B$7:$B$1253,0))/INDEX([1]Historical!$N$7:$N$1222,MATCH(B176,[1]Historical!$B$7:$B$1253,0)))^(1/10)-1)*100)</f>
        <v>6.4644565110025143</v>
      </c>
      <c r="W176" s="163">
        <f t="shared" si="39"/>
        <v>0.3617458098542547</v>
      </c>
      <c r="X176" s="164" t="str">
        <f t="shared" si="40"/>
        <v>n/a</v>
      </c>
      <c r="Y176" s="178"/>
      <c r="Z176" s="157" t="str">
        <f t="shared" si="41"/>
        <v>n/a</v>
      </c>
      <c r="AA176" s="166" t="str">
        <f t="shared" si="42"/>
        <v>n/a</v>
      </c>
      <c r="AB176" s="126">
        <v>12</v>
      </c>
      <c r="AC176" s="167" t="s">
        <v>95</v>
      </c>
      <c r="AD176" s="167" t="s">
        <v>95</v>
      </c>
      <c r="AE176" s="167" t="s">
        <v>95</v>
      </c>
      <c r="AF176" s="167" t="s">
        <v>95</v>
      </c>
      <c r="AG176" s="167" t="s">
        <v>95</v>
      </c>
      <c r="AH176" s="167" t="s">
        <v>95</v>
      </c>
      <c r="AI176" s="167" t="s">
        <v>95</v>
      </c>
      <c r="AJ176" s="167" t="s">
        <v>95</v>
      </c>
      <c r="AK176" s="167" t="s">
        <v>95</v>
      </c>
      <c r="AL176" s="168" t="s">
        <v>95</v>
      </c>
      <c r="AM176" s="169" t="s">
        <v>95</v>
      </c>
      <c r="AN176" s="167" t="s">
        <v>95</v>
      </c>
      <c r="AO176" s="170" t="str">
        <f t="shared" si="43"/>
        <v>n/a</v>
      </c>
      <c r="AP176" s="171">
        <f t="shared" si="44"/>
        <v>5.1381400995847466</v>
      </c>
      <c r="AQ176" s="172" t="str">
        <f t="shared" si="45"/>
        <v>n/a</v>
      </c>
      <c r="AR176" s="157">
        <f>INDEX([1]Historical!$C$7:$C$1231,MATCH(B176,[1]Historical!$B$7:$B$1253,0))*IF(AH176="n/a",1.03,IF(AH176&lt;0,1.01,IF(AH176&gt;10,1.1,(1+AH176/100))))</f>
        <v>1.9261000000000001</v>
      </c>
      <c r="AS176" s="166">
        <f t="shared" si="46"/>
        <v>1.9838830000000003</v>
      </c>
      <c r="AT176" s="166">
        <f t="shared" si="52"/>
        <v>2.0433994900000005</v>
      </c>
      <c r="AU176" s="166">
        <f t="shared" si="52"/>
        <v>2.1047014747000006</v>
      </c>
      <c r="AV176" s="166">
        <f t="shared" si="52"/>
        <v>2.1678425189410007</v>
      </c>
      <c r="AW176" s="157">
        <f t="shared" si="48"/>
        <v>10.225926483641002</v>
      </c>
      <c r="AX176" s="173">
        <f t="shared" si="49"/>
        <v>14.910945587111406</v>
      </c>
      <c r="AY176" s="174" t="s">
        <v>95</v>
      </c>
      <c r="AZ176" s="169" t="s">
        <v>95</v>
      </c>
      <c r="BA176" s="169" t="s">
        <v>95</v>
      </c>
      <c r="BB176" s="169" t="s">
        <v>95</v>
      </c>
      <c r="BC176" s="169" t="s">
        <v>95</v>
      </c>
      <c r="BD176" s="100" t="s">
        <v>932</v>
      </c>
      <c r="BE176" s="77">
        <v>1999</v>
      </c>
      <c r="BF176" s="77">
        <f t="shared" si="50"/>
        <v>3</v>
      </c>
      <c r="BG176" s="175" t="s">
        <v>95</v>
      </c>
      <c r="BH176" t="s">
        <v>939</v>
      </c>
      <c r="BI176" t="s">
        <v>940</v>
      </c>
    </row>
    <row r="177" spans="1:64" s="252" customFormat="1" ht="11.25" customHeight="1" x14ac:dyDescent="0.2">
      <c r="A177" s="208" t="s">
        <v>1349</v>
      </c>
      <c r="B177" s="184" t="s">
        <v>254</v>
      </c>
      <c r="C177" s="154" t="s">
        <v>94</v>
      </c>
      <c r="D177" s="154" t="s">
        <v>101</v>
      </c>
      <c r="E177" s="185">
        <v>36</v>
      </c>
      <c r="F177" s="298">
        <v>78</v>
      </c>
      <c r="G177" s="297" t="s">
        <v>30</v>
      </c>
      <c r="H177" s="297" t="s">
        <v>30</v>
      </c>
      <c r="I177" s="195">
        <v>57.45</v>
      </c>
      <c r="J177" s="187">
        <f t="shared" si="36"/>
        <v>1.6013925152306354</v>
      </c>
      <c r="K177" s="231">
        <v>0.23</v>
      </c>
      <c r="L177" s="189">
        <v>4</v>
      </c>
      <c r="M177" s="190">
        <f t="shared" si="37"/>
        <v>0.92</v>
      </c>
      <c r="N177" s="191" t="s">
        <v>635</v>
      </c>
      <c r="O177" s="232">
        <v>0.22</v>
      </c>
      <c r="P177" s="193">
        <v>44720</v>
      </c>
      <c r="Q177" s="193">
        <v>44736</v>
      </c>
      <c r="R177" s="190">
        <f t="shared" si="38"/>
        <v>4.5454545454545494</v>
      </c>
      <c r="S177" s="162">
        <f>IF(INDEX([1]Historical!$D$7:$D$1229,MATCH(B177,[1]Historical!$B$7:$B$1253,0))=0,"n/a",(INDEX([1]Historical!$C$7:$C$1231,MATCH(B177,[1]Historical!$B$7:$B$1253,0))/INDEX([1]Historical!$D$7:$D$1229,MATCH(B177,[1]Historical!$B$7:$B$1253,0))-1)*100)</f>
        <v>3.5714285714285809</v>
      </c>
      <c r="T177" s="162">
        <f>IF(INDEX([1]Historical!$F$7:$F$1222,MATCH(B177,[1]Historical!$B$7:$B$1253,0))=0,"n/a",((INDEX([1]Historical!$C$7:$C$1231,MATCH(B177,[1]Historical!$B$7:$B$1253,0))/INDEX([1]Historical!$F$7:$F$1222,MATCH(B177,[1]Historical!$B$7:$B$1253,0)))^(1/3)-1)*100)</f>
        <v>5.0717574498580165</v>
      </c>
      <c r="U177" s="162">
        <f>IF(INDEX([1]Historical!$H$7:$H$1222,MATCH(B177,[1]Historical!$B$7:$B$1253,0))=0,"n/a",((INDEX([1]Historical!$C$7:$C$1231,MATCH(B177,[1]Historical!$B$7:$B$1253,0))/INDEX([1]Historical!$H$7:$H$1222,MATCH(B177,[1]Historical!$B$7:$B$1253,0)))^(1/5)-1)*100)</f>
        <v>4.5940283027151585</v>
      </c>
      <c r="V177" s="162">
        <f>IF(INDEX([1]Historical!$N$7:$N$1222,MATCH(B177,[1]Historical!$B$7:$B$1253,0))=0,"n/a",((INDEX([1]Historical!$C$7:$C$1231,MATCH(B177,[1]Historical!$B$7:$B$1253,0))/INDEX([1]Historical!$N$7:$N$1222,MATCH(B177,[1]Historical!$B$7:$B$1253,0)))^(1/10)-1)*100)</f>
        <v>11.612317403390438</v>
      </c>
      <c r="W177" s="163">
        <f t="shared" si="39"/>
        <v>0.39561683883820159</v>
      </c>
      <c r="X177" s="164">
        <f t="shared" si="40"/>
        <v>0.51618295536125369</v>
      </c>
      <c r="Y177" s="227"/>
      <c r="Z177" s="187">
        <f t="shared" si="41"/>
        <v>34.586466165413533</v>
      </c>
      <c r="AA177" s="194">
        <f t="shared" si="42"/>
        <v>21.597744360902254</v>
      </c>
      <c r="AB177" s="189">
        <v>7</v>
      </c>
      <c r="AC177" s="195">
        <v>2.66</v>
      </c>
      <c r="AD177" s="195">
        <v>2.15</v>
      </c>
      <c r="AE177" s="195">
        <v>2.08</v>
      </c>
      <c r="AF177" s="195">
        <v>6.23</v>
      </c>
      <c r="AG177" s="195">
        <v>29.7</v>
      </c>
      <c r="AH177" s="195">
        <v>18.8</v>
      </c>
      <c r="AI177" s="195">
        <v>5.4399999999999995</v>
      </c>
      <c r="AJ177" s="195">
        <v>8.9</v>
      </c>
      <c r="AK177" s="195">
        <v>10</v>
      </c>
      <c r="AL177" s="196">
        <v>6870</v>
      </c>
      <c r="AM177" s="197">
        <v>0.5</v>
      </c>
      <c r="AN177" s="195">
        <v>0.56999999999999995</v>
      </c>
      <c r="AO177" s="198">
        <f t="shared" si="43"/>
        <v>-15.402323542956459</v>
      </c>
      <c r="AP177" s="199">
        <f t="shared" si="44"/>
        <v>6.1954208179457941</v>
      </c>
      <c r="AQ177" s="172">
        <f t="shared" si="45"/>
        <v>144.54397229530093</v>
      </c>
      <c r="AR177" s="157">
        <f>INDEX([1]Historical!$C$7:$C$1231,MATCH(B177,[1]Historical!$B$7:$B$1253,0))*IF(AH177="n/a",1.03,IF(AH177&lt;0,1.01,IF(AH177&gt;10,1.1,(1+AH177/100))))</f>
        <v>0.95700000000000007</v>
      </c>
      <c r="AS177" s="194">
        <f t="shared" si="46"/>
        <v>1.0090608000000001</v>
      </c>
      <c r="AT177" s="194">
        <f t="shared" si="52"/>
        <v>1.1099668800000002</v>
      </c>
      <c r="AU177" s="194">
        <f t="shared" si="52"/>
        <v>1.2209635680000004</v>
      </c>
      <c r="AV177" s="194">
        <f t="shared" si="52"/>
        <v>1.3430599248000006</v>
      </c>
      <c r="AW177" s="187">
        <f t="shared" si="48"/>
        <v>5.6400511728000007</v>
      </c>
      <c r="AX177" s="200">
        <f t="shared" si="49"/>
        <v>9.8173214496083556</v>
      </c>
      <c r="AY177" s="201">
        <v>1.23</v>
      </c>
      <c r="AZ177" s="197">
        <v>24.89</v>
      </c>
      <c r="BA177" s="197">
        <v>-9.0300000000000011</v>
      </c>
      <c r="BB177" s="197">
        <v>9.92</v>
      </c>
      <c r="BC177" s="197">
        <v>10.290000000000001</v>
      </c>
      <c r="BD177" s="202"/>
      <c r="BE177" s="77">
        <v>1987</v>
      </c>
      <c r="BF177" s="77">
        <f t="shared" si="50"/>
        <v>4</v>
      </c>
      <c r="BG177" s="203">
        <v>13.3</v>
      </c>
      <c r="BH177" t="s">
        <v>939</v>
      </c>
      <c r="BI177" t="s">
        <v>940</v>
      </c>
    </row>
    <row r="178" spans="1:64" ht="11.25" customHeight="1" x14ac:dyDescent="0.2">
      <c r="A178" s="112" t="s">
        <v>1350</v>
      </c>
      <c r="B178" s="153" t="s">
        <v>653</v>
      </c>
      <c r="C178" s="154" t="s">
        <v>100</v>
      </c>
      <c r="D178" s="154" t="s">
        <v>1040</v>
      </c>
      <c r="E178" s="155">
        <v>11</v>
      </c>
      <c r="F178" s="298">
        <v>390</v>
      </c>
      <c r="G178" s="298" t="s">
        <v>88</v>
      </c>
      <c r="H178" s="298" t="s">
        <v>88</v>
      </c>
      <c r="I178" s="156">
        <v>328.79</v>
      </c>
      <c r="J178" s="157">
        <f t="shared" si="36"/>
        <v>0.24331640256698805</v>
      </c>
      <c r="K178" s="158">
        <v>0.2</v>
      </c>
      <c r="L178" s="126">
        <v>4</v>
      </c>
      <c r="M178" s="82">
        <f t="shared" si="37"/>
        <v>0.8</v>
      </c>
      <c r="N178" s="159" t="s">
        <v>309</v>
      </c>
      <c r="O178" s="160">
        <v>0.15</v>
      </c>
      <c r="P178" s="182">
        <v>44468</v>
      </c>
      <c r="Q178" s="182">
        <v>44501</v>
      </c>
      <c r="R178" s="82">
        <f t="shared" si="38"/>
        <v>33.33333333333335</v>
      </c>
      <c r="S178" s="162">
        <f>IF(INDEX([1]Historical!$D$7:$D$1229,MATCH(B178,[1]Historical!$B$7:$B$1253,0))=0,"n/a",(INDEX([1]Historical!$C$7:$C$1231,MATCH(B178,[1]Historical!$B$7:$B$1253,0))/INDEX([1]Historical!$D$7:$D$1229,MATCH(B178,[1]Historical!$B$7:$B$1253,0))-1)*100)</f>
        <v>8.3333333333333481</v>
      </c>
      <c r="T178" s="162">
        <f>IF(INDEX([1]Historical!$F$7:$F$1222,MATCH(B178,[1]Historical!$B$7:$B$1253,0))=0,"n/a",((INDEX([1]Historical!$C$7:$C$1231,MATCH(B178,[1]Historical!$B$7:$B$1253,0))/INDEX([1]Historical!$F$7:$F$1222,MATCH(B178,[1]Historical!$B$7:$B$1253,0)))^(1/3)-1)*100)</f>
        <v>17.566734386037886</v>
      </c>
      <c r="U178" s="162">
        <f>IF(INDEX([1]Historical!$H$7:$H$1222,MATCH(B178,[1]Historical!$B$7:$B$1253,0))=0,"n/a",((INDEX([1]Historical!$C$7:$C$1231,MATCH(B178,[1]Historical!$B$7:$B$1253,0))/INDEX([1]Historical!$H$7:$H$1222,MATCH(B178,[1]Historical!$B$7:$B$1253,0)))^(1/5)-1)*100)</f>
        <v>18.345313666193498</v>
      </c>
      <c r="V178" s="162">
        <f>IF(INDEX([1]Historical!$N$7:$N$1222,MATCH(B178,[1]Historical!$B$7:$B$1253,0))=0,"n/a",((INDEX([1]Historical!$C$7:$C$1231,MATCH(B178,[1]Historical!$B$7:$B$1253,0))/INDEX([1]Historical!$N$7:$N$1222,MATCH(B178,[1]Historical!$B$7:$B$1253,0)))^(1/10)-1)*100)</f>
        <v>13.700947856217894</v>
      </c>
      <c r="W178" s="163">
        <f t="shared" si="39"/>
        <v>1.3389813506857378</v>
      </c>
      <c r="X178" s="164">
        <f t="shared" si="40"/>
        <v>0.34354519974145126</v>
      </c>
      <c r="Y178" s="180"/>
      <c r="Z178" s="157">
        <f t="shared" si="41"/>
        <v>1.6194331983805668</v>
      </c>
      <c r="AA178" s="166">
        <f t="shared" si="42"/>
        <v>6.6556680161943325</v>
      </c>
      <c r="AB178" s="126">
        <v>1</v>
      </c>
      <c r="AC178" s="167">
        <v>49.4</v>
      </c>
      <c r="AD178" s="167" t="s">
        <v>95</v>
      </c>
      <c r="AE178" s="167">
        <v>0.79</v>
      </c>
      <c r="AF178" s="167">
        <v>3.95</v>
      </c>
      <c r="AG178" s="167">
        <v>62.4</v>
      </c>
      <c r="AH178" s="167">
        <v>84.1</v>
      </c>
      <c r="AI178" s="167">
        <v>-36.809999999999995</v>
      </c>
      <c r="AJ178" s="167">
        <v>53.400000000000006</v>
      </c>
      <c r="AK178" s="167" t="s">
        <v>95</v>
      </c>
      <c r="AL178" s="168">
        <v>5470</v>
      </c>
      <c r="AM178" s="169">
        <v>26.200000000000003</v>
      </c>
      <c r="AN178" s="167">
        <v>0.39</v>
      </c>
      <c r="AO178" s="170">
        <f t="shared" si="43"/>
        <v>11.932962052566154</v>
      </c>
      <c r="AP178" s="171">
        <f t="shared" si="44"/>
        <v>18.588630068760487</v>
      </c>
      <c r="AQ178" s="172">
        <f t="shared" si="45"/>
        <v>8.0943798805626308</v>
      </c>
      <c r="AR178" s="157">
        <f>INDEX([1]Historical!$C$7:$C$1231,MATCH(B178,[1]Historical!$B$7:$B$1253,0))*IF(AH178="n/a",1.03,IF(AH178&lt;0,1.01,IF(AH178&gt;10,1.1,(1+AH178/100))))</f>
        <v>0.71500000000000008</v>
      </c>
      <c r="AS178" s="166">
        <f t="shared" si="46"/>
        <v>0.72215000000000007</v>
      </c>
      <c r="AT178" s="166">
        <f t="shared" si="52"/>
        <v>0.74381450000000005</v>
      </c>
      <c r="AU178" s="166">
        <f t="shared" si="52"/>
        <v>0.76612893500000001</v>
      </c>
      <c r="AV178" s="166">
        <f t="shared" si="52"/>
        <v>0.78911280304999998</v>
      </c>
      <c r="AW178" s="157">
        <f t="shared" si="48"/>
        <v>3.7362062380500003</v>
      </c>
      <c r="AX178" s="173">
        <f t="shared" si="49"/>
        <v>1.1363503263633323</v>
      </c>
      <c r="AY178" s="174">
        <v>0.81</v>
      </c>
      <c r="AZ178" s="169">
        <v>70.36</v>
      </c>
      <c r="BA178" s="169">
        <v>-17.84</v>
      </c>
      <c r="BB178" s="169">
        <v>11.21</v>
      </c>
      <c r="BC178" s="169">
        <v>19.97</v>
      </c>
      <c r="BE178" s="77">
        <v>2012</v>
      </c>
      <c r="BF178" s="77">
        <f t="shared" si="50"/>
        <v>1</v>
      </c>
      <c r="BG178" s="175">
        <v>26.900000000000002</v>
      </c>
      <c r="BH178" t="s">
        <v>939</v>
      </c>
      <c r="BI178" t="s">
        <v>940</v>
      </c>
    </row>
    <row r="179" spans="1:64" ht="11.25" customHeight="1" x14ac:dyDescent="0.2">
      <c r="A179" s="112" t="s">
        <v>617</v>
      </c>
      <c r="B179" s="153" t="s">
        <v>618</v>
      </c>
      <c r="C179" s="154" t="s">
        <v>90</v>
      </c>
      <c r="D179" s="154" t="s">
        <v>966</v>
      </c>
      <c r="E179" s="155">
        <v>12</v>
      </c>
      <c r="F179" s="298">
        <v>364</v>
      </c>
      <c r="G179" s="298" t="s">
        <v>30</v>
      </c>
      <c r="H179" s="298" t="s">
        <v>104</v>
      </c>
      <c r="I179" s="156">
        <v>104.46</v>
      </c>
      <c r="J179" s="157">
        <f t="shared" si="36"/>
        <v>2.2975301550832854</v>
      </c>
      <c r="K179" s="158">
        <v>0.6</v>
      </c>
      <c r="L179" s="126">
        <v>4</v>
      </c>
      <c r="M179" s="82">
        <f t="shared" si="37"/>
        <v>2.4</v>
      </c>
      <c r="N179" s="159" t="s">
        <v>162</v>
      </c>
      <c r="O179" s="160">
        <v>0.5</v>
      </c>
      <c r="P179" s="161">
        <v>44706</v>
      </c>
      <c r="Q179" s="161">
        <v>44721</v>
      </c>
      <c r="R179" s="82">
        <f t="shared" si="38"/>
        <v>19.999999999999996</v>
      </c>
      <c r="S179" s="162">
        <f>IF(INDEX([1]Historical!$D$7:$D$1229,MATCH(B179,[1]Historical!$B$7:$B$1253,0))=0,"n/a",(INDEX([1]Historical!$C$7:$C$1231,MATCH(B179,[1]Historical!$B$7:$B$1253,0))/INDEX([1]Historical!$D$7:$D$1229,MATCH(B179,[1]Historical!$B$7:$B$1253,0))-1)*100)</f>
        <v>6.8181818181818121</v>
      </c>
      <c r="T179" s="162">
        <f>IF(INDEX([1]Historical!$F$7:$F$1222,MATCH(B179,[1]Historical!$B$7:$B$1253,0))=0,"n/a",((INDEX([1]Historical!$C$7:$C$1231,MATCH(B179,[1]Historical!$B$7:$B$1253,0))/INDEX([1]Historical!$F$7:$F$1222,MATCH(B179,[1]Historical!$B$7:$B$1253,0)))^(1/3)-1)*100)</f>
        <v>7.8174021668855564</v>
      </c>
      <c r="U179" s="162">
        <f>IF(INDEX([1]Historical!$H$7:$H$1222,MATCH(B179,[1]Historical!$B$7:$B$1253,0))=0,"n/a",((INDEX([1]Historical!$C$7:$C$1231,MATCH(B179,[1]Historical!$B$7:$B$1253,0))/INDEX([1]Historical!$H$7:$H$1222,MATCH(B179,[1]Historical!$B$7:$B$1253,0)))^(1/5)-1)*100)</f>
        <v>10.138706578336464</v>
      </c>
      <c r="V179" s="162">
        <f>IF(INDEX([1]Historical!$N$7:$N$1222,MATCH(B179,[1]Historical!$B$7:$B$1253,0))=0,"n/a",((INDEX([1]Historical!$C$7:$C$1231,MATCH(B179,[1]Historical!$B$7:$B$1253,0))/INDEX([1]Historical!$N$7:$N$1222,MATCH(B179,[1]Historical!$B$7:$B$1253,0)))^(1/10)-1)*100)</f>
        <v>25.115980974759687</v>
      </c>
      <c r="W179" s="163">
        <f t="shared" si="39"/>
        <v>0.40367551594044287</v>
      </c>
      <c r="X179" s="164">
        <f t="shared" si="40"/>
        <v>0.39916167631245925</v>
      </c>
      <c r="Y179" s="180"/>
      <c r="Z179" s="157">
        <f t="shared" si="41"/>
        <v>15.614834092387769</v>
      </c>
      <c r="AA179" s="166">
        <f t="shared" si="42"/>
        <v>6.7963565387117759</v>
      </c>
      <c r="AB179" s="126">
        <v>12</v>
      </c>
      <c r="AC179" s="167">
        <v>15.37</v>
      </c>
      <c r="AD179" s="167" t="s">
        <v>95</v>
      </c>
      <c r="AE179" s="167">
        <v>2.39</v>
      </c>
      <c r="AF179" s="167">
        <v>2.1800000000000002</v>
      </c>
      <c r="AG179" s="167">
        <v>34.300000000000004</v>
      </c>
      <c r="AH179" s="167">
        <v>396</v>
      </c>
      <c r="AI179" s="167">
        <v>-7.7799999999999994</v>
      </c>
      <c r="AJ179" s="167">
        <v>25.4</v>
      </c>
      <c r="AK179" s="167" t="s">
        <v>95</v>
      </c>
      <c r="AL179" s="168">
        <v>28070</v>
      </c>
      <c r="AM179" s="169">
        <v>0.2</v>
      </c>
      <c r="AN179" s="167">
        <v>1.53</v>
      </c>
      <c r="AO179" s="170">
        <f t="shared" si="43"/>
        <v>5.6398801947079731</v>
      </c>
      <c r="AP179" s="171">
        <f t="shared" si="44"/>
        <v>12.436236733419749</v>
      </c>
      <c r="AQ179" s="172">
        <f t="shared" si="45"/>
        <v>-18.852514917064809</v>
      </c>
      <c r="AR179" s="157">
        <f>INDEX([1]Historical!$C$7:$C$1231,MATCH(B179,[1]Historical!$B$7:$B$1253,0))*IF(AH179="n/a",1.03,IF(AH179&lt;0,1.01,IF(AH179&gt;10,1.1,(1+AH179/100))))</f>
        <v>2.0680000000000001</v>
      </c>
      <c r="AS179" s="166">
        <f t="shared" si="46"/>
        <v>2.0886800000000001</v>
      </c>
      <c r="AT179" s="166">
        <f t="shared" si="52"/>
        <v>2.1513404</v>
      </c>
      <c r="AU179" s="166">
        <f t="shared" si="52"/>
        <v>2.2158806120000003</v>
      </c>
      <c r="AV179" s="166">
        <f t="shared" si="52"/>
        <v>2.2823570303600005</v>
      </c>
      <c r="AW179" s="157">
        <f t="shared" si="48"/>
        <v>10.80625804236</v>
      </c>
      <c r="AX179" s="173">
        <f t="shared" si="49"/>
        <v>10.344876548305573</v>
      </c>
      <c r="AY179" s="174">
        <v>1.41</v>
      </c>
      <c r="AZ179" s="169">
        <v>19.189999999999998</v>
      </c>
      <c r="BA179" s="169">
        <v>-20.14</v>
      </c>
      <c r="BB179" s="169">
        <v>6.7299999999999995</v>
      </c>
      <c r="BC179" s="169">
        <v>-1.9800000000000002</v>
      </c>
      <c r="BE179" s="77">
        <v>2011</v>
      </c>
      <c r="BF179" s="77">
        <f t="shared" si="50"/>
        <v>1</v>
      </c>
      <c r="BG179" s="175">
        <v>3.8</v>
      </c>
      <c r="BH179" t="s">
        <v>939</v>
      </c>
      <c r="BI179" t="s">
        <v>940</v>
      </c>
    </row>
    <row r="180" spans="1:64" ht="11.25" customHeight="1" x14ac:dyDescent="0.2">
      <c r="A180" s="176" t="s">
        <v>1351</v>
      </c>
      <c r="B180" s="153" t="s">
        <v>1041</v>
      </c>
      <c r="C180" s="154" t="s">
        <v>100</v>
      </c>
      <c r="D180" s="154" t="s">
        <v>1040</v>
      </c>
      <c r="E180" s="155">
        <v>8</v>
      </c>
      <c r="F180" s="298">
        <v>589</v>
      </c>
      <c r="G180" s="298" t="s">
        <v>88</v>
      </c>
      <c r="H180" s="298" t="s">
        <v>88</v>
      </c>
      <c r="I180" s="156">
        <v>255.05</v>
      </c>
      <c r="J180" s="157">
        <f t="shared" si="36"/>
        <v>0.86257596549696136</v>
      </c>
      <c r="K180" s="158">
        <v>0.55000000000000004</v>
      </c>
      <c r="L180" s="126">
        <v>4</v>
      </c>
      <c r="M180" s="82">
        <f t="shared" si="37"/>
        <v>2.2000000000000002</v>
      </c>
      <c r="N180" s="159" t="s">
        <v>141</v>
      </c>
      <c r="O180" s="160">
        <v>0.42</v>
      </c>
      <c r="P180" s="161">
        <v>44655</v>
      </c>
      <c r="Q180" s="161">
        <v>44670</v>
      </c>
      <c r="R180" s="82">
        <f t="shared" si="38"/>
        <v>30.95238095238097</v>
      </c>
      <c r="S180" s="162">
        <f>IF(INDEX([1]Historical!$D$7:$D$1229,MATCH(B180,[1]Historical!$B$7:$B$1253,0))=0,"n/a",(INDEX([1]Historical!$C$7:$C$1231,MATCH(B180,[1]Historical!$B$7:$B$1253,0))/INDEX([1]Historical!$D$7:$D$1229,MATCH(B180,[1]Historical!$B$7:$B$1253,0))-1)*100)</f>
        <v>15.714285714285726</v>
      </c>
      <c r="T180" s="162">
        <f>IF(INDEX([1]Historical!$F$7:$F$1222,MATCH(B180,[1]Historical!$B$7:$B$1253,0))=0,"n/a",((INDEX([1]Historical!$C$7:$C$1231,MATCH(B180,[1]Historical!$B$7:$B$1253,0))/INDEX([1]Historical!$F$7:$F$1222,MATCH(B180,[1]Historical!$B$7:$B$1253,0)))^(1/3)-1)*100)</f>
        <v>12.757522154286672</v>
      </c>
      <c r="U180" s="162">
        <f>IF(INDEX([1]Historical!$H$7:$H$1222,MATCH(B180,[1]Historical!$B$7:$B$1253,0))=0,"n/a",((INDEX([1]Historical!$C$7:$C$1231,MATCH(B180,[1]Historical!$B$7:$B$1253,0))/INDEX([1]Historical!$H$7:$H$1222,MATCH(B180,[1]Historical!$B$7:$B$1253,0)))^(1/5)-1)*100)</f>
        <v>10.802269541937925</v>
      </c>
      <c r="V180" s="162" t="str">
        <f>IF(INDEX([1]Historical!$N$7:$N$1222,MATCH(B180,[1]Historical!$B$7:$B$1253,0))=0,"n/a",((INDEX([1]Historical!$C$7:$C$1231,MATCH(B180,[1]Historical!$B$7:$B$1253,0))/INDEX([1]Historical!$N$7:$N$1222,MATCH(B180,[1]Historical!$B$7:$B$1253,0)))^(1/10)-1)*100)</f>
        <v>n/a</v>
      </c>
      <c r="W180" s="163" t="str">
        <f t="shared" si="39"/>
        <v>n/a</v>
      </c>
      <c r="X180" s="164">
        <f t="shared" si="40"/>
        <v>0.59681047193027215</v>
      </c>
      <c r="Y180" s="178"/>
      <c r="Z180" s="157">
        <f t="shared" si="41"/>
        <v>21.912350597609564</v>
      </c>
      <c r="AA180" s="166">
        <f t="shared" si="42"/>
        <v>25.40338645418327</v>
      </c>
      <c r="AB180" s="126">
        <v>1</v>
      </c>
      <c r="AC180" s="167">
        <v>10.039999999999999</v>
      </c>
      <c r="AD180" s="167">
        <v>2.27</v>
      </c>
      <c r="AE180" s="167">
        <v>1.62</v>
      </c>
      <c r="AF180" s="167">
        <v>9.52</v>
      </c>
      <c r="AG180" s="167">
        <v>37.6</v>
      </c>
      <c r="AH180" s="167">
        <v>-4.2</v>
      </c>
      <c r="AI180" s="167">
        <v>9.7199999999999989</v>
      </c>
      <c r="AJ180" s="167">
        <v>18.099999999999998</v>
      </c>
      <c r="AK180" s="167">
        <v>11.42</v>
      </c>
      <c r="AL180" s="168">
        <v>57190</v>
      </c>
      <c r="AM180" s="169">
        <v>0.2</v>
      </c>
      <c r="AN180" s="167">
        <v>0.84</v>
      </c>
      <c r="AO180" s="170">
        <f t="shared" si="43"/>
        <v>-13.738540946748383</v>
      </c>
      <c r="AP180" s="171">
        <f t="shared" si="44"/>
        <v>11.664845507434887</v>
      </c>
      <c r="AQ180" s="172">
        <f t="shared" si="45"/>
        <v>227.84836538580504</v>
      </c>
      <c r="AR180" s="157">
        <f>INDEX([1]Historical!$C$7:$C$1231,MATCH(B180,[1]Historical!$B$7:$B$1253,0))*IF(AH180="n/a",1.03,IF(AH180&lt;0,1.01,IF(AH180&gt;10,1.1,(1+AH180/100))))</f>
        <v>1.6362000000000001</v>
      </c>
      <c r="AS180" s="166">
        <f t="shared" si="46"/>
        <v>1.79523864</v>
      </c>
      <c r="AT180" s="166">
        <f t="shared" si="52"/>
        <v>1.9747625040000001</v>
      </c>
      <c r="AU180" s="166">
        <f t="shared" si="52"/>
        <v>2.1722387544000004</v>
      </c>
      <c r="AV180" s="166">
        <f t="shared" si="52"/>
        <v>2.3894626298400006</v>
      </c>
      <c r="AW180" s="157">
        <f t="shared" si="48"/>
        <v>9.9679025282400016</v>
      </c>
      <c r="AX180" s="173">
        <f t="shared" si="49"/>
        <v>3.908215066943737</v>
      </c>
      <c r="AY180" s="174">
        <v>0.39</v>
      </c>
      <c r="AZ180" s="169">
        <v>39.18</v>
      </c>
      <c r="BA180" s="169">
        <v>-2.73</v>
      </c>
      <c r="BB180" s="169">
        <v>5.0299999999999994</v>
      </c>
      <c r="BC180" s="169">
        <v>9.879999999999999</v>
      </c>
      <c r="BE180" s="77">
        <v>2015</v>
      </c>
      <c r="BF180" s="77">
        <f t="shared" si="50"/>
        <v>1</v>
      </c>
      <c r="BG180" s="175">
        <v>8.6</v>
      </c>
      <c r="BH180" t="s">
        <v>939</v>
      </c>
      <c r="BI180" t="s">
        <v>940</v>
      </c>
      <c r="BJ180" s="112"/>
      <c r="BK180" s="112"/>
      <c r="BL180" s="112"/>
    </row>
    <row r="181" spans="1:64" ht="11.25" customHeight="1" x14ac:dyDescent="0.2">
      <c r="A181" s="176" t="s">
        <v>255</v>
      </c>
      <c r="B181" s="153" t="s">
        <v>256</v>
      </c>
      <c r="C181" s="154" t="s">
        <v>90</v>
      </c>
      <c r="D181" s="154" t="s">
        <v>110</v>
      </c>
      <c r="E181" s="155">
        <v>20</v>
      </c>
      <c r="F181" s="298">
        <v>176</v>
      </c>
      <c r="G181" s="298" t="s">
        <v>30</v>
      </c>
      <c r="H181" s="298" t="s">
        <v>30</v>
      </c>
      <c r="I181" s="156">
        <v>14.64</v>
      </c>
      <c r="J181" s="157">
        <f t="shared" si="36"/>
        <v>4.5081967213114753</v>
      </c>
      <c r="K181" s="158">
        <v>0.16500000000000001</v>
      </c>
      <c r="L181" s="126">
        <v>4</v>
      </c>
      <c r="M181" s="82">
        <f t="shared" si="37"/>
        <v>0.66</v>
      </c>
      <c r="N181" s="159" t="s">
        <v>89</v>
      </c>
      <c r="O181" s="160">
        <v>0.16</v>
      </c>
      <c r="P181" s="161">
        <v>44680</v>
      </c>
      <c r="Q181" s="161">
        <v>44697</v>
      </c>
      <c r="R181" s="82">
        <f t="shared" si="38"/>
        <v>3.1250000000000027</v>
      </c>
      <c r="S181" s="162">
        <f>IF(INDEX([1]Historical!$D$7:$D$1229,MATCH(B181,[1]Historical!$B$7:$B$1253,0))=0,"n/a",(INDEX([1]Historical!$C$7:$C$1231,MATCH(B181,[1]Historical!$B$7:$B$1253,0))/INDEX([1]Historical!$D$7:$D$1229,MATCH(B181,[1]Historical!$B$7:$B$1253,0))-1)*100)</f>
        <v>5.8823529411764719</v>
      </c>
      <c r="T181" s="162">
        <f>IF(INDEX([1]Historical!$F$7:$F$1222,MATCH(B181,[1]Historical!$B$7:$B$1253,0))=0,"n/a",((INDEX([1]Historical!$C$7:$C$1231,MATCH(B181,[1]Historical!$B$7:$B$1253,0))/INDEX([1]Historical!$F$7:$F$1222,MATCH(B181,[1]Historical!$B$7:$B$1253,0)))^(1/3)-1)*100)</f>
        <v>3.5439895963785828</v>
      </c>
      <c r="U181" s="162">
        <f>IF(INDEX([1]Historical!$H$7:$H$1222,MATCH(B181,[1]Historical!$B$7:$B$1253,0))=0,"n/a",((INDEX([1]Historical!$C$7:$C$1231,MATCH(B181,[1]Historical!$B$7:$B$1253,0))/INDEX([1]Historical!$H$7:$H$1222,MATCH(B181,[1]Historical!$B$7:$B$1253,0)))^(1/5)-1)*100)</f>
        <v>2.8469188070353812</v>
      </c>
      <c r="V181" s="162">
        <f>IF(INDEX([1]Historical!$N$7:$N$1222,MATCH(B181,[1]Historical!$B$7:$B$1253,0))=0,"n/a",((INDEX([1]Historical!$C$7:$C$1231,MATCH(B181,[1]Historical!$B$7:$B$1253,0))/INDEX([1]Historical!$N$7:$N$1222,MATCH(B181,[1]Historical!$B$7:$B$1253,0)))^(1/10)-1)*100)</f>
        <v>2.864304490630798</v>
      </c>
      <c r="W181" s="163">
        <f t="shared" si="39"/>
        <v>0.99393022506780071</v>
      </c>
      <c r="X181" s="164" t="str">
        <f t="shared" si="40"/>
        <v>n/a</v>
      </c>
      <c r="Y181" s="153"/>
      <c r="Z181" s="157">
        <f t="shared" si="41"/>
        <v>600</v>
      </c>
      <c r="AA181" s="166">
        <f t="shared" si="42"/>
        <v>133.09090909090909</v>
      </c>
      <c r="AB181" s="126">
        <v>12</v>
      </c>
      <c r="AC181" s="167">
        <v>0.11</v>
      </c>
      <c r="AD181" s="167">
        <v>13.03</v>
      </c>
      <c r="AE181" s="167">
        <v>0.57999999999999996</v>
      </c>
      <c r="AF181" s="167">
        <v>0.91</v>
      </c>
      <c r="AG181" s="167">
        <v>5.3</v>
      </c>
      <c r="AH181" s="167">
        <v>-54.7</v>
      </c>
      <c r="AI181" s="167">
        <v>75.86</v>
      </c>
      <c r="AJ181" s="167">
        <v>-6.5</v>
      </c>
      <c r="AK181" s="167">
        <v>10</v>
      </c>
      <c r="AL181" s="168">
        <v>479.28</v>
      </c>
      <c r="AM181" s="169">
        <v>43</v>
      </c>
      <c r="AN181" s="167">
        <v>7.0000000000000007E-2</v>
      </c>
      <c r="AO181" s="170">
        <f t="shared" si="43"/>
        <v>-125.73579356256224</v>
      </c>
      <c r="AP181" s="171">
        <f t="shared" si="44"/>
        <v>7.3551155283468566</v>
      </c>
      <c r="AQ181" s="172">
        <f t="shared" si="45"/>
        <v>132.0083593060362</v>
      </c>
      <c r="AR181" s="157">
        <f>INDEX([1]Historical!$C$7:$C$1231,MATCH(B181,[1]Historical!$B$7:$B$1253,0))*IF(AH181="n/a",1.03,IF(AH181&lt;0,1.01,IF(AH181&gt;10,1.1,(1+AH181/100))))</f>
        <v>0.63629999999999998</v>
      </c>
      <c r="AS181" s="166">
        <f t="shared" si="46"/>
        <v>0.69993000000000005</v>
      </c>
      <c r="AT181" s="166">
        <f t="shared" si="52"/>
        <v>0.76992300000000014</v>
      </c>
      <c r="AU181" s="166">
        <f t="shared" si="52"/>
        <v>0.84691530000000026</v>
      </c>
      <c r="AV181" s="166">
        <f t="shared" si="52"/>
        <v>0.93160683000000033</v>
      </c>
      <c r="AW181" s="157">
        <f t="shared" si="48"/>
        <v>3.8846751300000002</v>
      </c>
      <c r="AX181" s="173">
        <f t="shared" si="49"/>
        <v>26.534666188524593</v>
      </c>
      <c r="AY181" s="174">
        <v>-0.03</v>
      </c>
      <c r="AZ181" s="169">
        <v>12.18</v>
      </c>
      <c r="BA181" s="169">
        <v>-14.540000000000001</v>
      </c>
      <c r="BB181" s="169">
        <v>2.4500000000000002</v>
      </c>
      <c r="BC181" s="169">
        <v>0.03</v>
      </c>
      <c r="BE181" s="77">
        <v>2003</v>
      </c>
      <c r="BF181" s="77">
        <f t="shared" si="50"/>
        <v>2</v>
      </c>
      <c r="BG181" s="175">
        <v>1.2</v>
      </c>
      <c r="BH181" t="s">
        <v>939</v>
      </c>
      <c r="BI181" t="s">
        <v>940</v>
      </c>
    </row>
    <row r="182" spans="1:64" ht="11.25" customHeight="1" x14ac:dyDescent="0.2">
      <c r="A182" s="176" t="s">
        <v>257</v>
      </c>
      <c r="B182" s="178" t="s">
        <v>258</v>
      </c>
      <c r="C182" s="154" t="s">
        <v>90</v>
      </c>
      <c r="D182" s="154" t="s">
        <v>110</v>
      </c>
      <c r="E182" s="155">
        <v>20</v>
      </c>
      <c r="F182" s="298">
        <v>177</v>
      </c>
      <c r="G182" s="298" t="s">
        <v>88</v>
      </c>
      <c r="H182" s="298" t="s">
        <v>88</v>
      </c>
      <c r="I182" s="156">
        <v>16.100000000000001</v>
      </c>
      <c r="J182" s="157">
        <f t="shared" si="36"/>
        <v>3.6645962732919251</v>
      </c>
      <c r="K182" s="158">
        <v>0.14749999999999999</v>
      </c>
      <c r="L182" s="126">
        <v>4</v>
      </c>
      <c r="M182" s="82">
        <f t="shared" si="37"/>
        <v>0.59</v>
      </c>
      <c r="N182" s="159" t="s">
        <v>89</v>
      </c>
      <c r="O182" s="160">
        <v>0.14249999999999999</v>
      </c>
      <c r="P182" s="161">
        <v>44680</v>
      </c>
      <c r="Q182" s="161">
        <v>44697</v>
      </c>
      <c r="R182" s="82">
        <f t="shared" si="38"/>
        <v>3.5087719298245648</v>
      </c>
      <c r="S182" s="162">
        <f>IF(INDEX([1]Historical!$D$7:$D$1229,MATCH(B182,[1]Historical!$B$7:$B$1253,0))=0,"n/a",(INDEX([1]Historical!$C$7:$C$1231,MATCH(B182,[1]Historical!$B$7:$B$1253,0))/INDEX([1]Historical!$D$7:$D$1229,MATCH(B182,[1]Historical!$B$7:$B$1253,0))-1)*100)</f>
        <v>6.6666666666666652</v>
      </c>
      <c r="T182" s="162">
        <f>IF(INDEX([1]Historical!$F$7:$F$1222,MATCH(B182,[1]Historical!$B$7:$B$1253,0))=0,"n/a",((INDEX([1]Historical!$C$7:$C$1231,MATCH(B182,[1]Historical!$B$7:$B$1253,0))/INDEX([1]Historical!$F$7:$F$1222,MATCH(B182,[1]Historical!$B$7:$B$1253,0)))^(1/3)-1)*100)</f>
        <v>4.0235443705991525</v>
      </c>
      <c r="U182" s="162">
        <f>IF(INDEX([1]Historical!$H$7:$H$1222,MATCH(B182,[1]Historical!$B$7:$B$1253,0))=0,"n/a",((INDEX([1]Historical!$C$7:$C$1231,MATCH(B182,[1]Historical!$B$7:$B$1253,0))/INDEX([1]Historical!$H$7:$H$1222,MATCH(B182,[1]Historical!$B$7:$B$1253,0)))^(1/5)-1)*100)</f>
        <v>3.2387958052728871</v>
      </c>
      <c r="V182" s="162">
        <f>IF(INDEX([1]Historical!$N$7:$N$1222,MATCH(B182,[1]Historical!$B$7:$B$1253,0))=0,"n/a",((INDEX([1]Historical!$C$7:$C$1231,MATCH(B182,[1]Historical!$B$7:$B$1253,0))/INDEX([1]Historical!$N$7:$N$1222,MATCH(B182,[1]Historical!$B$7:$B$1253,0)))^(1/10)-1)*100)</f>
        <v>2.7968743567221566</v>
      </c>
      <c r="W182" s="163">
        <f t="shared" si="39"/>
        <v>1.1580054704597627</v>
      </c>
      <c r="X182" s="164" t="str">
        <f t="shared" si="40"/>
        <v>n/a</v>
      </c>
      <c r="Y182" s="153"/>
      <c r="Z182" s="157" t="str">
        <f t="shared" si="41"/>
        <v>n/a</v>
      </c>
      <c r="AA182" s="166" t="str">
        <f t="shared" si="42"/>
        <v>n/a</v>
      </c>
      <c r="AB182" s="126">
        <v>12</v>
      </c>
      <c r="AC182" s="167" t="s">
        <v>95</v>
      </c>
      <c r="AD182" s="167" t="s">
        <v>95</v>
      </c>
      <c r="AE182" s="167" t="s">
        <v>95</v>
      </c>
      <c r="AF182" s="167" t="s">
        <v>95</v>
      </c>
      <c r="AG182" s="167" t="s">
        <v>95</v>
      </c>
      <c r="AH182" s="167" t="s">
        <v>95</v>
      </c>
      <c r="AI182" s="167" t="s">
        <v>95</v>
      </c>
      <c r="AJ182" s="167" t="s">
        <v>95</v>
      </c>
      <c r="AK182" s="167" t="s">
        <v>95</v>
      </c>
      <c r="AL182" s="168" t="s">
        <v>95</v>
      </c>
      <c r="AM182" s="169" t="s">
        <v>95</v>
      </c>
      <c r="AN182" s="167" t="s">
        <v>95</v>
      </c>
      <c r="AO182" s="170" t="str">
        <f t="shared" si="43"/>
        <v>n/a</v>
      </c>
      <c r="AP182" s="171">
        <f t="shared" si="44"/>
        <v>6.9033920785648117</v>
      </c>
      <c r="AQ182" s="172" t="str">
        <f t="shared" si="45"/>
        <v>n/a</v>
      </c>
      <c r="AR182" s="157">
        <f>INDEX([1]Historical!$C$7:$C$1231,MATCH(B182,[1]Historical!$B$7:$B$1253,0))*IF(AH182="n/a",1.03,IF(AH182&lt;0,1.01,IF(AH182&gt;10,1.1,(1+AH182/100))))</f>
        <v>0.57680000000000009</v>
      </c>
      <c r="AS182" s="166">
        <f t="shared" si="46"/>
        <v>0.59410400000000008</v>
      </c>
      <c r="AT182" s="166">
        <f t="shared" si="52"/>
        <v>0.61192712000000005</v>
      </c>
      <c r="AU182" s="166">
        <f t="shared" si="52"/>
        <v>0.63028493360000004</v>
      </c>
      <c r="AV182" s="166">
        <f t="shared" si="52"/>
        <v>0.64919348160800006</v>
      </c>
      <c r="AW182" s="157">
        <f t="shared" si="48"/>
        <v>3.0623095352080005</v>
      </c>
      <c r="AX182" s="173">
        <f t="shared" si="49"/>
        <v>19.020556119304349</v>
      </c>
      <c r="AY182" s="174" t="s">
        <v>95</v>
      </c>
      <c r="AZ182" s="169" t="s">
        <v>95</v>
      </c>
      <c r="BA182" s="169" t="s">
        <v>95</v>
      </c>
      <c r="BB182" s="169" t="s">
        <v>95</v>
      </c>
      <c r="BC182" s="169" t="s">
        <v>95</v>
      </c>
      <c r="BE182" s="77">
        <v>2003</v>
      </c>
      <c r="BF182" s="77">
        <f t="shared" si="50"/>
        <v>2</v>
      </c>
      <c r="BG182" s="175" t="s">
        <v>95</v>
      </c>
      <c r="BH182" t="s">
        <v>939</v>
      </c>
      <c r="BI182" t="s">
        <v>940</v>
      </c>
    </row>
    <row r="183" spans="1:64" ht="11.25" customHeight="1" x14ac:dyDescent="0.2">
      <c r="A183" s="176" t="s">
        <v>1352</v>
      </c>
      <c r="B183" s="153" t="s">
        <v>702</v>
      </c>
      <c r="C183" s="154" t="s">
        <v>137</v>
      </c>
      <c r="D183" s="154" t="s">
        <v>942</v>
      </c>
      <c r="E183" s="155">
        <v>11</v>
      </c>
      <c r="F183" s="298">
        <v>418</v>
      </c>
      <c r="G183" s="298" t="s">
        <v>88</v>
      </c>
      <c r="H183" s="298" t="s">
        <v>88</v>
      </c>
      <c r="I183" s="156">
        <v>143.65</v>
      </c>
      <c r="J183" s="157">
        <f t="shared" si="36"/>
        <v>1.8378002088409329</v>
      </c>
      <c r="K183" s="158">
        <v>0.66</v>
      </c>
      <c r="L183" s="126">
        <v>4</v>
      </c>
      <c r="M183" s="82">
        <f t="shared" si="37"/>
        <v>2.64</v>
      </c>
      <c r="N183" s="159" t="s">
        <v>665</v>
      </c>
      <c r="O183" s="160">
        <v>0.62</v>
      </c>
      <c r="P183" s="161">
        <v>44656</v>
      </c>
      <c r="Q183" s="161">
        <v>44671</v>
      </c>
      <c r="R183" s="82">
        <f t="shared" si="38"/>
        <v>6.4516129032258114</v>
      </c>
      <c r="S183" s="162">
        <f>IF(INDEX([1]Historical!$D$7:$D$1229,MATCH(B183,[1]Historical!$B$7:$B$1253,0))=0,"n/a",(INDEX([1]Historical!$C$7:$C$1231,MATCH(B183,[1]Historical!$B$7:$B$1253,0))/INDEX([1]Historical!$D$7:$D$1229,MATCH(B183,[1]Historical!$B$7:$B$1253,0))-1)*100)</f>
        <v>9.5022624434389016</v>
      </c>
      <c r="T183" s="162">
        <f>IF(INDEX([1]Historical!$F$7:$F$1222,MATCH(B183,[1]Historical!$B$7:$B$1253,0))=0,"n/a",((INDEX([1]Historical!$C$7:$C$1231,MATCH(B183,[1]Historical!$B$7:$B$1253,0))/INDEX([1]Historical!$F$7:$F$1222,MATCH(B183,[1]Historical!$B$7:$B$1253,0)))^(1/3)-1)*100)</f>
        <v>7.4633194783177093</v>
      </c>
      <c r="U183" s="162">
        <f>IF(INDEX([1]Historical!$H$7:$H$1222,MATCH(B183,[1]Historical!$B$7:$B$1253,0))=0,"n/a",((INDEX([1]Historical!$C$7:$C$1231,MATCH(B183,[1]Historical!$B$7:$B$1253,0))/INDEX([1]Historical!$H$7:$H$1222,MATCH(B183,[1]Historical!$B$7:$B$1253,0)))^(1/5)-1)*100)</f>
        <v>8.6273229256118356</v>
      </c>
      <c r="V183" s="162">
        <f>IF(INDEX([1]Historical!$N$7:$N$1222,MATCH(B183,[1]Historical!$B$7:$B$1253,0))=0,"n/a",((INDEX([1]Historical!$C$7:$C$1231,MATCH(B183,[1]Historical!$B$7:$B$1253,0))/INDEX([1]Historical!$N$7:$N$1222,MATCH(B183,[1]Historical!$B$7:$B$1253,0)))^(1/10)-1)*100)</f>
        <v>19.722433957227324</v>
      </c>
      <c r="W183" s="163">
        <f t="shared" si="39"/>
        <v>0.43743702954321906</v>
      </c>
      <c r="X183" s="164">
        <f t="shared" si="40"/>
        <v>0.30811867591470837</v>
      </c>
      <c r="Y183" s="165"/>
      <c r="Z183" s="157">
        <f t="shared" si="41"/>
        <v>26.009852216748769</v>
      </c>
      <c r="AA183" s="166">
        <f t="shared" si="42"/>
        <v>14.152709359605911</v>
      </c>
      <c r="AB183" s="126">
        <v>12</v>
      </c>
      <c r="AC183" s="167">
        <v>10.15</v>
      </c>
      <c r="AD183" s="167" t="s">
        <v>95</v>
      </c>
      <c r="AE183" s="167">
        <v>1.58</v>
      </c>
      <c r="AF183" s="167">
        <v>2.69</v>
      </c>
      <c r="AG183" s="167">
        <v>19.3</v>
      </c>
      <c r="AH183" s="167">
        <v>48.199999999999996</v>
      </c>
      <c r="AI183" s="167">
        <v>-13.03</v>
      </c>
      <c r="AJ183" s="167">
        <v>28.000000000000004</v>
      </c>
      <c r="AK183" s="167">
        <v>-14.82</v>
      </c>
      <c r="AL183" s="168">
        <v>16250</v>
      </c>
      <c r="AM183" s="169">
        <v>0.5</v>
      </c>
      <c r="AN183" s="167">
        <v>0.64</v>
      </c>
      <c r="AO183" s="170">
        <f t="shared" si="43"/>
        <v>-3.6875862251531419</v>
      </c>
      <c r="AP183" s="171">
        <f t="shared" si="44"/>
        <v>10.465123134452769</v>
      </c>
      <c r="AQ183" s="172">
        <f t="shared" si="45"/>
        <v>30.078246840276712</v>
      </c>
      <c r="AR183" s="157">
        <f>INDEX([1]Historical!$C$7:$C$1231,MATCH(B183,[1]Historical!$B$7:$B$1253,0))*IF(AH183="n/a",1.03,IF(AH183&lt;0,1.01,IF(AH183&gt;10,1.1,(1+AH183/100))))</f>
        <v>2.6619999999999999</v>
      </c>
      <c r="AS183" s="166">
        <f t="shared" si="46"/>
        <v>2.6886199999999998</v>
      </c>
      <c r="AT183" s="166">
        <f t="shared" ref="AT183:AV198" si="53">IF($AK183="n/a",1.03*AS183,IF($AK183&lt;0,1.01*AS183,IF($AK183&gt;10,1.1*AS183,(1+$AK183/100)*AS183)))</f>
        <v>2.7155061999999996</v>
      </c>
      <c r="AU183" s="166">
        <f t="shared" si="53"/>
        <v>2.7426612619999995</v>
      </c>
      <c r="AV183" s="166">
        <f t="shared" si="53"/>
        <v>2.7700878746199997</v>
      </c>
      <c r="AW183" s="157">
        <f t="shared" si="48"/>
        <v>13.578875336619998</v>
      </c>
      <c r="AX183" s="173">
        <f t="shared" si="49"/>
        <v>9.4527499732822822</v>
      </c>
      <c r="AY183" s="174">
        <v>1</v>
      </c>
      <c r="AZ183" s="169">
        <v>19.309999999999999</v>
      </c>
      <c r="BA183" s="169">
        <v>-17.52</v>
      </c>
      <c r="BB183" s="169">
        <v>11.940000000000001</v>
      </c>
      <c r="BC183" s="169">
        <v>6.8599999999999994</v>
      </c>
      <c r="BE183" s="77">
        <v>2012</v>
      </c>
      <c r="BF183" s="77">
        <f t="shared" si="50"/>
        <v>1</v>
      </c>
      <c r="BG183" s="175">
        <v>9.1999999999999993</v>
      </c>
      <c r="BH183" t="s">
        <v>939</v>
      </c>
      <c r="BI183" t="s">
        <v>940</v>
      </c>
    </row>
    <row r="184" spans="1:64" ht="11.25" customHeight="1" x14ac:dyDescent="0.2">
      <c r="A184" s="205" t="s">
        <v>1353</v>
      </c>
      <c r="B184" s="153" t="s">
        <v>1042</v>
      </c>
      <c r="C184" s="154" t="s">
        <v>100</v>
      </c>
      <c r="D184" s="154" t="s">
        <v>1043</v>
      </c>
      <c r="E184" s="155">
        <v>8</v>
      </c>
      <c r="F184" s="298">
        <v>571</v>
      </c>
      <c r="G184" s="298" t="s">
        <v>88</v>
      </c>
      <c r="H184" s="298" t="s">
        <v>88</v>
      </c>
      <c r="I184" s="156">
        <v>76.88</v>
      </c>
      <c r="J184" s="157">
        <f t="shared" si="36"/>
        <v>1.170655567117586</v>
      </c>
      <c r="K184" s="158">
        <v>0.22500000000000001</v>
      </c>
      <c r="L184" s="126">
        <v>4</v>
      </c>
      <c r="M184" s="82">
        <f t="shared" si="37"/>
        <v>0.9</v>
      </c>
      <c r="N184" s="159" t="s">
        <v>167</v>
      </c>
      <c r="O184" s="160">
        <v>0.2</v>
      </c>
      <c r="P184" s="161">
        <v>44533</v>
      </c>
      <c r="Q184" s="161">
        <v>44545</v>
      </c>
      <c r="R184" s="82">
        <f t="shared" si="38"/>
        <v>12.499999999999996</v>
      </c>
      <c r="S184" s="162">
        <f>IF(INDEX([1]Historical!$D$7:$D$1229,MATCH(B184,[1]Historical!$B$7:$B$1253,0))=0,"n/a",(INDEX([1]Historical!$C$7:$C$1231,MATCH(B184,[1]Historical!$B$7:$B$1253,0))/INDEX([1]Historical!$D$7:$D$1229,MATCH(B184,[1]Historical!$B$7:$B$1253,0))-1)*100)</f>
        <v>13.793103448275868</v>
      </c>
      <c r="T184" s="162">
        <f>IF(INDEX([1]Historical!$F$7:$F$1222,MATCH(B184,[1]Historical!$B$7:$B$1253,0))=0,"n/a",((INDEX([1]Historical!$C$7:$C$1231,MATCH(B184,[1]Historical!$B$7:$B$1253,0))/INDEX([1]Historical!$F$7:$F$1222,MATCH(B184,[1]Historical!$B$7:$B$1253,0)))^(1/3)-1)*100)</f>
        <v>16.260329205681433</v>
      </c>
      <c r="U184" s="162">
        <f>IF(INDEX([1]Historical!$H$7:$H$1222,MATCH(B184,[1]Historical!$B$7:$B$1253,0))=0,"n/a",((INDEX([1]Historical!$C$7:$C$1231,MATCH(B184,[1]Historical!$B$7:$B$1253,0))/INDEX([1]Historical!$H$7:$H$1222,MATCH(B184,[1]Historical!$B$7:$B$1253,0)))^(1/5)-1)*100)</f>
        <v>19.397437557170115</v>
      </c>
      <c r="V184" s="162">
        <f>IF(INDEX([1]Historical!$N$7:$N$1222,MATCH(B184,[1]Historical!$B$7:$B$1253,0))=0,"n/a",((INDEX([1]Historical!$C$7:$C$1231,MATCH(B184,[1]Historical!$B$7:$B$1253,0))/INDEX([1]Historical!$N$7:$N$1222,MATCH(B184,[1]Historical!$B$7:$B$1253,0)))^(1/10)-1)*100)</f>
        <v>18.586777862780089</v>
      </c>
      <c r="W184" s="163">
        <f t="shared" si="39"/>
        <v>1.0436148589268592</v>
      </c>
      <c r="X184" s="164">
        <f t="shared" si="40"/>
        <v>0.52425506911270581</v>
      </c>
      <c r="Y184" s="178"/>
      <c r="Z184" s="157">
        <f t="shared" si="41"/>
        <v>5.7803468208092488</v>
      </c>
      <c r="AA184" s="166">
        <f t="shared" si="42"/>
        <v>4.937700706486833</v>
      </c>
      <c r="AB184" s="126">
        <v>9</v>
      </c>
      <c r="AC184" s="167">
        <v>15.57</v>
      </c>
      <c r="AD184" s="167">
        <v>0.28000000000000003</v>
      </c>
      <c r="AE184" s="167">
        <v>0.82</v>
      </c>
      <c r="AF184" s="167">
        <v>1.51</v>
      </c>
      <c r="AG184" s="167">
        <v>34</v>
      </c>
      <c r="AH184" s="167">
        <v>78</v>
      </c>
      <c r="AI184" s="167">
        <v>-22.37</v>
      </c>
      <c r="AJ184" s="167">
        <v>37</v>
      </c>
      <c r="AK184" s="167">
        <v>17.899999999999999</v>
      </c>
      <c r="AL184" s="168">
        <v>26330</v>
      </c>
      <c r="AM184" s="169">
        <v>11.97</v>
      </c>
      <c r="AN184" s="167">
        <v>0.33</v>
      </c>
      <c r="AO184" s="170">
        <f t="shared" si="43"/>
        <v>15.630392417800866</v>
      </c>
      <c r="AP184" s="171">
        <f t="shared" si="44"/>
        <v>20.568093124287699</v>
      </c>
      <c r="AQ184" s="172">
        <f t="shared" si="45"/>
        <v>-42.434855967656112</v>
      </c>
      <c r="AR184" s="157">
        <f>INDEX([1]Historical!$C$7:$C$1231,MATCH(B184,[1]Historical!$B$7:$B$1253,0))*IF(AH184="n/a",1.03,IF(AH184&lt;0,1.01,IF(AH184&gt;10,1.1,(1+AH184/100))))</f>
        <v>0.90749999999999997</v>
      </c>
      <c r="AS184" s="166">
        <f t="shared" si="46"/>
        <v>0.91657500000000003</v>
      </c>
      <c r="AT184" s="166">
        <f t="shared" si="53"/>
        <v>1.0082325000000001</v>
      </c>
      <c r="AU184" s="166">
        <f t="shared" si="53"/>
        <v>1.1090557500000002</v>
      </c>
      <c r="AV184" s="166">
        <f t="shared" si="53"/>
        <v>1.2199613250000003</v>
      </c>
      <c r="AW184" s="157">
        <f t="shared" si="48"/>
        <v>5.1613245750000001</v>
      </c>
      <c r="AX184" s="173">
        <f t="shared" si="49"/>
        <v>6.7134814971383978</v>
      </c>
      <c r="AY184" s="174">
        <v>1.54</v>
      </c>
      <c r="AZ184" s="169">
        <v>29.759999999999998</v>
      </c>
      <c r="BA184" s="169">
        <v>-30.39</v>
      </c>
      <c r="BB184" s="169">
        <v>7.2499999999999991</v>
      </c>
      <c r="BC184" s="169">
        <v>1.97</v>
      </c>
      <c r="BE184" s="77">
        <v>2014</v>
      </c>
      <c r="BF184" s="77">
        <f t="shared" si="50"/>
        <v>1</v>
      </c>
      <c r="BG184" s="175">
        <v>21.3</v>
      </c>
      <c r="BH184" t="s">
        <v>939</v>
      </c>
      <c r="BI184" t="s">
        <v>940</v>
      </c>
      <c r="BJ184" s="112"/>
      <c r="BK184" s="112"/>
      <c r="BL184" s="112"/>
    </row>
    <row r="185" spans="1:64" s="252" customFormat="1" ht="11.25" customHeight="1" x14ac:dyDescent="0.2">
      <c r="A185" s="183" t="s">
        <v>1354</v>
      </c>
      <c r="B185" s="184" t="s">
        <v>847</v>
      </c>
      <c r="C185" s="154" t="s">
        <v>137</v>
      </c>
      <c r="D185" s="154" t="s">
        <v>946</v>
      </c>
      <c r="E185" s="185">
        <v>9</v>
      </c>
      <c r="F185" s="298">
        <v>536</v>
      </c>
      <c r="G185" s="297" t="s">
        <v>88</v>
      </c>
      <c r="H185" s="297" t="s">
        <v>88</v>
      </c>
      <c r="I185" s="186">
        <v>251.67</v>
      </c>
      <c r="J185" s="187">
        <f t="shared" si="36"/>
        <v>0.39734573052012556</v>
      </c>
      <c r="K185" s="188">
        <v>0.25</v>
      </c>
      <c r="L185" s="189">
        <v>4</v>
      </c>
      <c r="M185" s="190">
        <f t="shared" si="37"/>
        <v>1</v>
      </c>
      <c r="N185" s="191" t="s">
        <v>843</v>
      </c>
      <c r="O185" s="192">
        <v>0.21</v>
      </c>
      <c r="P185" s="193">
        <v>44644</v>
      </c>
      <c r="Q185" s="193">
        <v>44680</v>
      </c>
      <c r="R185" s="190">
        <f t="shared" si="38"/>
        <v>19.047619047619051</v>
      </c>
      <c r="S185" s="162">
        <f>IF(INDEX([1]Historical!$D$7:$D$1229,MATCH(B185,[1]Historical!$B$7:$B$1253,0))=0,"n/a",(INDEX([1]Historical!$C$7:$C$1231,MATCH(B185,[1]Historical!$B$7:$B$1253,0))/INDEX([1]Historical!$D$7:$D$1229,MATCH(B185,[1]Historical!$B$7:$B$1253,0))-1)*100)</f>
        <v>14.084507042253524</v>
      </c>
      <c r="T185" s="162">
        <f>IF(INDEX([1]Historical!$F$7:$F$1222,MATCH(B185,[1]Historical!$B$7:$B$1253,0))=0,"n/a",((INDEX([1]Historical!$C$7:$C$1231,MATCH(B185,[1]Historical!$B$7:$B$1253,0))/INDEX([1]Historical!$F$7:$F$1222,MATCH(B185,[1]Historical!$B$7:$B$1253,0)))^(1/3)-1)*100)</f>
        <v>9.319535187362149</v>
      </c>
      <c r="U185" s="162">
        <f>IF(INDEX([1]Historical!$H$7:$H$1222,MATCH(B185,[1]Historical!$B$7:$B$1253,0))=0,"n/a",((INDEX([1]Historical!$C$7:$C$1231,MATCH(B185,[1]Historical!$B$7:$B$1253,0))/INDEX([1]Historical!$H$7:$H$1222,MATCH(B185,[1]Historical!$B$7:$B$1253,0)))^(1/5)-1)*100)</f>
        <v>10.624381279132766</v>
      </c>
      <c r="V185" s="162">
        <f>IF(INDEX([1]Historical!$N$7:$N$1222,MATCH(B185,[1]Historical!$B$7:$B$1253,0))=0,"n/a",((INDEX([1]Historical!$C$7:$C$1231,MATCH(B185,[1]Historical!$B$7:$B$1253,0))/INDEX([1]Historical!$N$7:$N$1222,MATCH(B185,[1]Historical!$B$7:$B$1253,0)))^(1/10)-1)*100)</f>
        <v>32.423227421480959</v>
      </c>
      <c r="W185" s="163">
        <f t="shared" si="39"/>
        <v>0.32767809141954596</v>
      </c>
      <c r="X185" s="164">
        <f t="shared" si="40"/>
        <v>0.47219472351701186</v>
      </c>
      <c r="Y185" s="323"/>
      <c r="Z185" s="187">
        <f t="shared" si="41"/>
        <v>11.037527593818984</v>
      </c>
      <c r="AA185" s="194">
        <f t="shared" si="42"/>
        <v>27.778145695364234</v>
      </c>
      <c r="AB185" s="189">
        <v>12</v>
      </c>
      <c r="AC185" s="195">
        <v>9.06</v>
      </c>
      <c r="AD185" s="195">
        <v>4.71</v>
      </c>
      <c r="AE185" s="195">
        <v>5.78</v>
      </c>
      <c r="AF185" s="195">
        <v>4.05</v>
      </c>
      <c r="AG185" s="195">
        <v>15.2</v>
      </c>
      <c r="AH185" s="195">
        <v>73.900000000000006</v>
      </c>
      <c r="AI185" s="195">
        <v>-0.86999999999999988</v>
      </c>
      <c r="AJ185" s="195">
        <v>22.5</v>
      </c>
      <c r="AK185" s="195">
        <v>5.8999999999999995</v>
      </c>
      <c r="AL185" s="196">
        <v>180610</v>
      </c>
      <c r="AM185" s="197">
        <v>0.4</v>
      </c>
      <c r="AN185" s="195">
        <v>0.42</v>
      </c>
      <c r="AO185" s="198">
        <f t="shared" si="43"/>
        <v>-16.756418685711342</v>
      </c>
      <c r="AP185" s="199">
        <f t="shared" si="44"/>
        <v>11.021727009652892</v>
      </c>
      <c r="AQ185" s="172">
        <f t="shared" si="45"/>
        <v>123.60827858479576</v>
      </c>
      <c r="AR185" s="157">
        <f>INDEX([1]Historical!$C$7:$C$1231,MATCH(B185,[1]Historical!$B$7:$B$1253,0))*IF(AH185="n/a",1.03,IF(AH185&lt;0,1.01,IF(AH185&gt;10,1.1,(1+AH185/100))))</f>
        <v>0.89100000000000013</v>
      </c>
      <c r="AS185" s="194">
        <f t="shared" si="46"/>
        <v>0.8999100000000001</v>
      </c>
      <c r="AT185" s="194">
        <f t="shared" si="53"/>
        <v>0.9530046900000001</v>
      </c>
      <c r="AU185" s="194">
        <f t="shared" si="53"/>
        <v>1.00923196671</v>
      </c>
      <c r="AV185" s="194">
        <f t="shared" si="53"/>
        <v>1.06877665274589</v>
      </c>
      <c r="AW185" s="187">
        <f t="shared" si="48"/>
        <v>4.8219233094558902</v>
      </c>
      <c r="AX185" s="200">
        <f t="shared" si="49"/>
        <v>1.9159706399077725</v>
      </c>
      <c r="AY185" s="201">
        <v>0.83</v>
      </c>
      <c r="AZ185" s="197">
        <v>7.6899999999999995</v>
      </c>
      <c r="BA185" s="197">
        <v>-24.12</v>
      </c>
      <c r="BB185" s="197">
        <v>-6.6000000000000005</v>
      </c>
      <c r="BC185" s="197">
        <v>-6.84</v>
      </c>
      <c r="BD185" s="202"/>
      <c r="BE185" s="77">
        <v>2014</v>
      </c>
      <c r="BF185" s="77">
        <f t="shared" si="50"/>
        <v>1</v>
      </c>
      <c r="BG185" s="203">
        <v>8.1</v>
      </c>
      <c r="BH185" t="s">
        <v>939</v>
      </c>
      <c r="BI185" t="s">
        <v>940</v>
      </c>
    </row>
    <row r="186" spans="1:64" ht="11.25" customHeight="1" x14ac:dyDescent="0.2">
      <c r="A186" s="176" t="s">
        <v>1355</v>
      </c>
      <c r="B186" s="153" t="s">
        <v>754</v>
      </c>
      <c r="C186" s="154" t="s">
        <v>109</v>
      </c>
      <c r="D186" s="154" t="s">
        <v>1028</v>
      </c>
      <c r="E186" s="155">
        <v>10</v>
      </c>
      <c r="F186" s="298">
        <v>498</v>
      </c>
      <c r="G186" s="298" t="s">
        <v>88</v>
      </c>
      <c r="H186" s="298" t="s">
        <v>88</v>
      </c>
      <c r="I186" s="156">
        <v>54.83</v>
      </c>
      <c r="J186" s="157">
        <f t="shared" si="36"/>
        <v>7.2223235455042865</v>
      </c>
      <c r="K186" s="158">
        <v>0.99</v>
      </c>
      <c r="L186" s="126">
        <v>4</v>
      </c>
      <c r="M186" s="82">
        <f t="shared" si="37"/>
        <v>3.96</v>
      </c>
      <c r="N186" s="159" t="s">
        <v>89</v>
      </c>
      <c r="O186" s="160">
        <v>0.98499999999999999</v>
      </c>
      <c r="P186" s="161">
        <v>44868</v>
      </c>
      <c r="Q186" s="161">
        <v>44875</v>
      </c>
      <c r="R186" s="82">
        <f t="shared" si="38"/>
        <v>0.50761421319797007</v>
      </c>
      <c r="S186" s="162">
        <f>IF(INDEX([1]Historical!$D$7:$D$1229,MATCH(B186,[1]Historical!$B$7:$B$1253,0))=0,"n/a",(INDEX([1]Historical!$C$7:$C$1231,MATCH(B186,[1]Historical!$B$7:$B$1253,0))/INDEX([1]Historical!$D$7:$D$1229,MATCH(B186,[1]Historical!$B$7:$B$1253,0))-1)*100)</f>
        <v>3.9106145251396773</v>
      </c>
      <c r="T186" s="162">
        <f>IF(INDEX([1]Historical!$F$7:$F$1222,MATCH(B186,[1]Historical!$B$7:$B$1253,0))=0,"n/a",((INDEX([1]Historical!$C$7:$C$1231,MATCH(B186,[1]Historical!$B$7:$B$1253,0))/INDEX([1]Historical!$F$7:$F$1222,MATCH(B186,[1]Historical!$B$7:$B$1253,0)))^(1/3)-1)*100)</f>
        <v>7.0191296843787443</v>
      </c>
      <c r="U186" s="162">
        <f>IF(INDEX([1]Historical!$H$7:$H$1222,MATCH(B186,[1]Historical!$B$7:$B$1253,0))=0,"n/a",((INDEX([1]Historical!$C$7:$C$1231,MATCH(B186,[1]Historical!$B$7:$B$1253,0))/INDEX([1]Historical!$H$7:$H$1222,MATCH(B186,[1]Historical!$B$7:$B$1253,0)))^(1/5)-1)*100)</f>
        <v>8.4035012388569363</v>
      </c>
      <c r="V186" s="162" t="str">
        <f>IF(INDEX([1]Historical!$N$7:$N$1222,MATCH(B186,[1]Historical!$B$7:$B$1253,0))=0,"n/a",((INDEX([1]Historical!$C$7:$C$1231,MATCH(B186,[1]Historical!$B$7:$B$1253,0))/INDEX([1]Historical!$N$7:$N$1222,MATCH(B186,[1]Historical!$B$7:$B$1253,0)))^(1/10)-1)*100)</f>
        <v>n/a</v>
      </c>
      <c r="W186" s="163" t="str">
        <f t="shared" si="39"/>
        <v>n/a</v>
      </c>
      <c r="X186" s="164">
        <f t="shared" si="40"/>
        <v>0.6565235342856981</v>
      </c>
      <c r="Y186" s="178"/>
      <c r="Z186" s="157">
        <f t="shared" si="41"/>
        <v>109.69529085872576</v>
      </c>
      <c r="AA186" s="166">
        <f t="shared" si="42"/>
        <v>15.18836565096953</v>
      </c>
      <c r="AB186" s="126">
        <v>12</v>
      </c>
      <c r="AC186" s="167">
        <v>3.61</v>
      </c>
      <c r="AD186" s="167">
        <v>1.1499999999999999</v>
      </c>
      <c r="AE186" s="167">
        <v>2.74</v>
      </c>
      <c r="AF186" s="167" t="s">
        <v>95</v>
      </c>
      <c r="AG186" s="167">
        <v>-145.5</v>
      </c>
      <c r="AH186" s="167">
        <v>-9.3000000000000007</v>
      </c>
      <c r="AI186" s="167">
        <v>59.430000000000007</v>
      </c>
      <c r="AJ186" s="167">
        <v>12.8</v>
      </c>
      <c r="AK186" s="167">
        <v>13.08</v>
      </c>
      <c r="AL186" s="168">
        <v>2330</v>
      </c>
      <c r="AM186" s="169">
        <v>0.5</v>
      </c>
      <c r="AN186" s="167" t="s">
        <v>95</v>
      </c>
      <c r="AO186" s="170">
        <f t="shared" si="43"/>
        <v>0.43745913339169284</v>
      </c>
      <c r="AP186" s="171">
        <f t="shared" si="44"/>
        <v>15.625824784361223</v>
      </c>
      <c r="AQ186" s="172" t="str">
        <f t="shared" si="45"/>
        <v>n/a</v>
      </c>
      <c r="AR186" s="157">
        <f>INDEX([1]Historical!$C$7:$C$1231,MATCH(B186,[1]Historical!$B$7:$B$1253,0))*IF(AH186="n/a",1.03,IF(AH186&lt;0,1.01,IF(AH186&gt;10,1.1,(1+AH186/100))))</f>
        <v>3.7572000000000001</v>
      </c>
      <c r="AS186" s="166">
        <f t="shared" si="46"/>
        <v>4.1329200000000004</v>
      </c>
      <c r="AT186" s="166">
        <f t="shared" si="53"/>
        <v>4.5462120000000006</v>
      </c>
      <c r="AU186" s="166">
        <f t="shared" si="53"/>
        <v>5.0008332000000006</v>
      </c>
      <c r="AV186" s="166">
        <f t="shared" si="53"/>
        <v>5.5009165200000014</v>
      </c>
      <c r="AW186" s="157">
        <f t="shared" si="48"/>
        <v>22.938081720000003</v>
      </c>
      <c r="AX186" s="173">
        <f t="shared" si="49"/>
        <v>41.834911034105424</v>
      </c>
      <c r="AY186" s="174">
        <v>2.2000000000000002</v>
      </c>
      <c r="AZ186" s="169">
        <v>40.589999999999996</v>
      </c>
      <c r="BA186" s="169">
        <v>-14.95</v>
      </c>
      <c r="BB186" s="169">
        <v>-1.41</v>
      </c>
      <c r="BC186" s="169">
        <v>10.01</v>
      </c>
      <c r="BE186" s="77">
        <v>2013</v>
      </c>
      <c r="BF186" s="77">
        <f t="shared" si="50"/>
        <v>1</v>
      </c>
      <c r="BG186" s="175">
        <v>14.2</v>
      </c>
      <c r="BH186" t="s">
        <v>939</v>
      </c>
      <c r="BI186" t="s">
        <v>993</v>
      </c>
    </row>
    <row r="187" spans="1:64" ht="11.25" customHeight="1" x14ac:dyDescent="0.2">
      <c r="A187" s="205" t="s">
        <v>1356</v>
      </c>
      <c r="B187" s="153" t="s">
        <v>1044</v>
      </c>
      <c r="C187" s="154" t="s">
        <v>100</v>
      </c>
      <c r="D187" s="154" t="s">
        <v>989</v>
      </c>
      <c r="E187" s="155">
        <v>8</v>
      </c>
      <c r="F187" s="298">
        <v>585</v>
      </c>
      <c r="G187" s="298" t="s">
        <v>88</v>
      </c>
      <c r="H187" s="298" t="s">
        <v>88</v>
      </c>
      <c r="I187" s="156">
        <v>113.76</v>
      </c>
      <c r="J187" s="157">
        <f t="shared" si="36"/>
        <v>1.7141350210970463</v>
      </c>
      <c r="K187" s="158">
        <v>0.48749999999999999</v>
      </c>
      <c r="L187" s="126">
        <v>4</v>
      </c>
      <c r="M187" s="82">
        <f t="shared" si="37"/>
        <v>1.95</v>
      </c>
      <c r="N187" s="159" t="s">
        <v>119</v>
      </c>
      <c r="O187" s="160">
        <v>0.4375</v>
      </c>
      <c r="P187" s="161">
        <v>44637</v>
      </c>
      <c r="Q187" s="161">
        <v>44645</v>
      </c>
      <c r="R187" s="82">
        <f t="shared" si="38"/>
        <v>11.428571428571425</v>
      </c>
      <c r="S187" s="162">
        <f>IF(INDEX([1]Historical!$D$7:$D$1229,MATCH(B187,[1]Historical!$B$7:$B$1253,0))=0,"n/a",(INDEX([1]Historical!$C$7:$C$1231,MATCH(B187,[1]Historical!$B$7:$B$1253,0))/INDEX([1]Historical!$D$7:$D$1229,MATCH(B187,[1]Historical!$B$7:$B$1253,0))-1)*100)</f>
        <v>28.000000000000004</v>
      </c>
      <c r="T187" s="162">
        <f>IF(INDEX([1]Historical!$F$7:$F$1222,MATCH(B187,[1]Historical!$B$7:$B$1253,0))=0,"n/a",((INDEX([1]Historical!$C$7:$C$1231,MATCH(B187,[1]Historical!$B$7:$B$1253,0))/INDEX([1]Historical!$F$7:$F$1222,MATCH(B187,[1]Historical!$B$7:$B$1253,0)))^(1/3)-1)*100)</f>
        <v>21.141372855475971</v>
      </c>
      <c r="U187" s="162">
        <f>IF(INDEX([1]Historical!$H$7:$H$1222,MATCH(B187,[1]Historical!$B$7:$B$1253,0))=0,"n/a",((INDEX([1]Historical!$C$7:$C$1231,MATCH(B187,[1]Historical!$B$7:$B$1253,0))/INDEX([1]Historical!$H$7:$H$1222,MATCH(B187,[1]Historical!$B$7:$B$1253,0)))^(1/5)-1)*100)</f>
        <v>21.471088049964692</v>
      </c>
      <c r="V187" s="162" t="str">
        <f>IF(INDEX([1]Historical!$N$7:$N$1222,MATCH(B187,[1]Historical!$B$7:$B$1253,0))=0,"n/a",((INDEX([1]Historical!$C$7:$C$1231,MATCH(B187,[1]Historical!$B$7:$B$1253,0))/INDEX([1]Historical!$N$7:$N$1222,MATCH(B187,[1]Historical!$B$7:$B$1253,0)))^(1/10)-1)*100)</f>
        <v>n/a</v>
      </c>
      <c r="W187" s="163" t="str">
        <f t="shared" si="39"/>
        <v>n/a</v>
      </c>
      <c r="X187" s="164">
        <f t="shared" si="40"/>
        <v>0.5341066679095694</v>
      </c>
      <c r="Y187" s="178"/>
      <c r="Z187" s="157">
        <f t="shared" si="41"/>
        <v>16.927083333333336</v>
      </c>
      <c r="AA187" s="166">
        <f t="shared" si="42"/>
        <v>9.875</v>
      </c>
      <c r="AB187" s="126">
        <v>1</v>
      </c>
      <c r="AC187" s="167">
        <v>11.52</v>
      </c>
      <c r="AD187" s="167" t="s">
        <v>95</v>
      </c>
      <c r="AE187" s="167">
        <v>0.74</v>
      </c>
      <c r="AF187" s="167">
        <v>4.04</v>
      </c>
      <c r="AG187" s="167">
        <v>55.2</v>
      </c>
      <c r="AH187" s="167">
        <v>142.30000000000001</v>
      </c>
      <c r="AI187" s="167">
        <v>2.8899999999999997</v>
      </c>
      <c r="AJ187" s="167">
        <v>40.200000000000003</v>
      </c>
      <c r="AK187" s="167">
        <v>-7.9</v>
      </c>
      <c r="AL187" s="168">
        <v>8800</v>
      </c>
      <c r="AM187" s="169">
        <v>1.4000000000000001</v>
      </c>
      <c r="AN187" s="167">
        <v>0.85</v>
      </c>
      <c r="AO187" s="170">
        <f t="shared" si="43"/>
        <v>13.310223071061738</v>
      </c>
      <c r="AP187" s="171">
        <f t="shared" si="44"/>
        <v>23.185223071061738</v>
      </c>
      <c r="AQ187" s="172">
        <f t="shared" si="45"/>
        <v>33.158218338603177</v>
      </c>
      <c r="AR187" s="157">
        <f>INDEX([1]Historical!$C$7:$C$1231,MATCH(B187,[1]Historical!$B$7:$B$1253,0))*IF(AH187="n/a",1.03,IF(AH187&lt;0,1.01,IF(AH187&gt;10,1.1,(1+AH187/100))))</f>
        <v>1.7600000000000002</v>
      </c>
      <c r="AS187" s="166">
        <f t="shared" si="46"/>
        <v>1.810864</v>
      </c>
      <c r="AT187" s="166">
        <f t="shared" si="53"/>
        <v>1.8289726400000001</v>
      </c>
      <c r="AU187" s="166">
        <f t="shared" si="53"/>
        <v>1.8472623664000001</v>
      </c>
      <c r="AV187" s="166">
        <f t="shared" si="53"/>
        <v>1.8657349900640001</v>
      </c>
      <c r="AW187" s="157">
        <f t="shared" si="48"/>
        <v>9.1128339964639995</v>
      </c>
      <c r="AX187" s="173">
        <f t="shared" si="49"/>
        <v>8.010578407580871</v>
      </c>
      <c r="AY187" s="174">
        <v>1.48</v>
      </c>
      <c r="AZ187" s="169">
        <v>79.290000000000006</v>
      </c>
      <c r="BA187" s="169">
        <v>-20.32</v>
      </c>
      <c r="BB187" s="169">
        <v>2.8000000000000003</v>
      </c>
      <c r="BC187" s="169">
        <v>12.790000000000001</v>
      </c>
      <c r="BE187" s="77">
        <v>2015</v>
      </c>
      <c r="BF187" s="77">
        <f t="shared" si="50"/>
        <v>1</v>
      </c>
      <c r="BG187" s="175">
        <v>14.099999999999998</v>
      </c>
      <c r="BH187" t="s">
        <v>939</v>
      </c>
      <c r="BI187" t="s">
        <v>940</v>
      </c>
      <c r="BJ187" s="112"/>
      <c r="BK187" s="112"/>
      <c r="BL187" s="112"/>
    </row>
    <row r="188" spans="1:64" ht="11.25" customHeight="1" x14ac:dyDescent="0.2">
      <c r="A188" s="204" t="s">
        <v>1357</v>
      </c>
      <c r="B188" s="153" t="s">
        <v>1045</v>
      </c>
      <c r="C188" s="154" t="s">
        <v>922</v>
      </c>
      <c r="D188" s="154" t="s">
        <v>974</v>
      </c>
      <c r="E188" s="155">
        <v>8</v>
      </c>
      <c r="F188" s="298">
        <v>570</v>
      </c>
      <c r="G188" s="298" t="s">
        <v>88</v>
      </c>
      <c r="H188" s="298" t="s">
        <v>88</v>
      </c>
      <c r="I188" s="156">
        <v>66.84</v>
      </c>
      <c r="J188" s="157">
        <f t="shared" si="36"/>
        <v>1.4961101137043686</v>
      </c>
      <c r="K188" s="158">
        <v>0.25</v>
      </c>
      <c r="L188" s="126">
        <v>4</v>
      </c>
      <c r="M188" s="82">
        <f t="shared" si="37"/>
        <v>1</v>
      </c>
      <c r="N188" s="159" t="s">
        <v>89</v>
      </c>
      <c r="O188" s="160">
        <v>0.22</v>
      </c>
      <c r="P188" s="224">
        <v>44529</v>
      </c>
      <c r="Q188" s="224">
        <v>44538</v>
      </c>
      <c r="R188" s="82">
        <f t="shared" si="38"/>
        <v>13.636363636363635</v>
      </c>
      <c r="S188" s="162">
        <f>IF(INDEX([1]Historical!$D$7:$D$1229,MATCH(B188,[1]Historical!$B$7:$B$1253,0))=0,"n/a",(INDEX([1]Historical!$C$7:$C$1231,MATCH(B188,[1]Historical!$B$7:$B$1253,0))/INDEX([1]Historical!$D$7:$D$1229,MATCH(B188,[1]Historical!$B$7:$B$1253,0))-1)*100)</f>
        <v>3.4090909090909172</v>
      </c>
      <c r="T188" s="162">
        <f>IF(INDEX([1]Historical!$F$7:$F$1222,MATCH(B188,[1]Historical!$B$7:$B$1253,0))=0,"n/a",((INDEX([1]Historical!$C$7:$C$1231,MATCH(B188,[1]Historical!$B$7:$B$1253,0))/INDEX([1]Historical!$F$7:$F$1222,MATCH(B188,[1]Historical!$B$7:$B$1253,0)))^(1/3)-1)*100)</f>
        <v>10.744507612303034</v>
      </c>
      <c r="U188" s="162">
        <f>IF(INDEX([1]Historical!$H$7:$H$1222,MATCH(B188,[1]Historical!$B$7:$B$1253,0))=0,"n/a",((INDEX([1]Historical!$C$7:$C$1231,MATCH(B188,[1]Historical!$B$7:$B$1253,0))/INDEX([1]Historical!$H$7:$H$1222,MATCH(B188,[1]Historical!$B$7:$B$1253,0)))^(1/5)-1)*100)</f>
        <v>12.723451383166729</v>
      </c>
      <c r="V188" s="162" t="str">
        <f>IF(INDEX([1]Historical!$N$7:$N$1222,MATCH(B188,[1]Historical!$B$7:$B$1253,0))=0,"n/a",((INDEX([1]Historical!$C$7:$C$1231,MATCH(B188,[1]Historical!$B$7:$B$1253,0))/INDEX([1]Historical!$N$7:$N$1222,MATCH(B188,[1]Historical!$B$7:$B$1253,0)))^(1/10)-1)*100)</f>
        <v>n/a</v>
      </c>
      <c r="W188" s="163" t="str">
        <f t="shared" si="39"/>
        <v>n/a</v>
      </c>
      <c r="X188" s="164">
        <f t="shared" si="40"/>
        <v>1.2352865420550223</v>
      </c>
      <c r="Y188" s="180"/>
      <c r="Z188" s="157">
        <f t="shared" si="41"/>
        <v>51.546391752577328</v>
      </c>
      <c r="AA188" s="166">
        <f t="shared" si="42"/>
        <v>34.453608247422686</v>
      </c>
      <c r="AB188" s="126">
        <v>12</v>
      </c>
      <c r="AC188" s="167">
        <v>1.94</v>
      </c>
      <c r="AD188" s="167">
        <v>2.16</v>
      </c>
      <c r="AE188" s="167">
        <v>5.08</v>
      </c>
      <c r="AF188" s="167">
        <v>2.73</v>
      </c>
      <c r="AG188" s="167">
        <v>7.8</v>
      </c>
      <c r="AH188" s="167">
        <v>31.900000000000002</v>
      </c>
      <c r="AI188" s="167">
        <v>10.41</v>
      </c>
      <c r="AJ188" s="167">
        <v>10.299999999999999</v>
      </c>
      <c r="AK188" s="167">
        <v>16</v>
      </c>
      <c r="AL188" s="168">
        <v>6410</v>
      </c>
      <c r="AM188" s="169">
        <v>0.5</v>
      </c>
      <c r="AN188" s="167">
        <v>0</v>
      </c>
      <c r="AO188" s="170">
        <f t="shared" si="43"/>
        <v>-20.234046750551588</v>
      </c>
      <c r="AP188" s="171">
        <f t="shared" si="44"/>
        <v>14.219561496871098</v>
      </c>
      <c r="AQ188" s="172">
        <f t="shared" si="45"/>
        <v>104.45955918030876</v>
      </c>
      <c r="AR188" s="157">
        <f>INDEX([1]Historical!$C$7:$C$1231,MATCH(B188,[1]Historical!$B$7:$B$1253,0))*IF(AH188="n/a",1.03,IF(AH188&lt;0,1.01,IF(AH188&gt;10,1.1,(1+AH188/100))))</f>
        <v>1.0010000000000001</v>
      </c>
      <c r="AS188" s="166">
        <f t="shared" si="46"/>
        <v>1.1011000000000002</v>
      </c>
      <c r="AT188" s="166">
        <f t="shared" si="53"/>
        <v>1.2112100000000003</v>
      </c>
      <c r="AU188" s="166">
        <f t="shared" si="53"/>
        <v>1.3323310000000004</v>
      </c>
      <c r="AV188" s="166">
        <f t="shared" si="53"/>
        <v>1.4655641000000006</v>
      </c>
      <c r="AW188" s="157">
        <f t="shared" si="48"/>
        <v>6.1112051000000021</v>
      </c>
      <c r="AX188" s="173">
        <f t="shared" si="49"/>
        <v>9.1430357570317202</v>
      </c>
      <c r="AY188" s="174">
        <v>0.97</v>
      </c>
      <c r="AZ188" s="169">
        <v>8.59</v>
      </c>
      <c r="BA188" s="169">
        <v>-30.990000000000002</v>
      </c>
      <c r="BB188" s="169">
        <v>-4.1500000000000004</v>
      </c>
      <c r="BC188" s="169">
        <v>-10.870000000000001</v>
      </c>
      <c r="BE188" s="77">
        <v>2014</v>
      </c>
      <c r="BF188" s="77">
        <f t="shared" si="50"/>
        <v>1</v>
      </c>
      <c r="BG188" s="175">
        <v>6.6000000000000005</v>
      </c>
      <c r="BH188" t="s">
        <v>939</v>
      </c>
      <c r="BI188" t="s">
        <v>940</v>
      </c>
      <c r="BJ188" s="112"/>
      <c r="BK188" s="112"/>
      <c r="BL188" s="112"/>
    </row>
    <row r="189" spans="1:64" s="252" customFormat="1" ht="11.25" customHeight="1" x14ac:dyDescent="0.2">
      <c r="A189" s="183" t="s">
        <v>1358</v>
      </c>
      <c r="B189" s="184" t="s">
        <v>252</v>
      </c>
      <c r="C189" s="154" t="s">
        <v>947</v>
      </c>
      <c r="D189" s="154" t="s">
        <v>948</v>
      </c>
      <c r="E189" s="185">
        <v>18</v>
      </c>
      <c r="F189" s="298">
        <v>212</v>
      </c>
      <c r="G189" s="297" t="s">
        <v>88</v>
      </c>
      <c r="H189" s="297" t="s">
        <v>88</v>
      </c>
      <c r="I189" s="186">
        <v>100.25</v>
      </c>
      <c r="J189" s="187">
        <f t="shared" si="36"/>
        <v>4.8678304239401493</v>
      </c>
      <c r="K189" s="188">
        <v>1.22</v>
      </c>
      <c r="L189" s="189">
        <v>4</v>
      </c>
      <c r="M189" s="190">
        <f t="shared" si="37"/>
        <v>4.88</v>
      </c>
      <c r="N189" s="191" t="s">
        <v>119</v>
      </c>
      <c r="O189" s="192">
        <v>1.1599999999999999</v>
      </c>
      <c r="P189" s="193">
        <v>44634</v>
      </c>
      <c r="Q189" s="193">
        <v>44651</v>
      </c>
      <c r="R189" s="190">
        <f t="shared" si="38"/>
        <v>5.1724137931034528</v>
      </c>
      <c r="S189" s="162">
        <f>IF(INDEX([1]Historical!$D$7:$D$1229,MATCH(B189,[1]Historical!$B$7:$B$1253,0))=0,"n/a",(INDEX([1]Historical!$C$7:$C$1231,MATCH(B189,[1]Historical!$B$7:$B$1253,0))/INDEX([1]Historical!$D$7:$D$1229,MATCH(B189,[1]Historical!$B$7:$B$1253,0))-1)*100)</f>
        <v>3.603603603603589</v>
      </c>
      <c r="T189" s="162">
        <f>IF(INDEX([1]Historical!$F$7:$F$1222,MATCH(B189,[1]Historical!$B$7:$B$1253,0))=0,"n/a",((INDEX([1]Historical!$C$7:$C$1231,MATCH(B189,[1]Historical!$B$7:$B$1253,0))/INDEX([1]Historical!$F$7:$F$1222,MATCH(B189,[1]Historical!$B$7:$B$1253,0)))^(1/3)-1)*100)</f>
        <v>5.120531627664815</v>
      </c>
      <c r="U189" s="162">
        <f>IF(INDEX([1]Historical!$H$7:$H$1222,MATCH(B189,[1]Historical!$B$7:$B$1253,0))=0,"n/a",((INDEX([1]Historical!$C$7:$C$1231,MATCH(B189,[1]Historical!$B$7:$B$1253,0))/INDEX([1]Historical!$H$7:$H$1222,MATCH(B189,[1]Historical!$B$7:$B$1253,0)))^(1/5)-1)*100)</f>
        <v>5.4977102369160535</v>
      </c>
      <c r="V189" s="162">
        <f>IF(INDEX([1]Historical!$N$7:$N$1222,MATCH(B189,[1]Historical!$B$7:$B$1253,0))=0,"n/a",((INDEX([1]Historical!$C$7:$C$1231,MATCH(B189,[1]Historical!$B$7:$B$1253,0))/INDEX([1]Historical!$N$7:$N$1222,MATCH(B189,[1]Historical!$B$7:$B$1253,0)))^(1/10)-1)*100)</f>
        <v>5.394729309620816</v>
      </c>
      <c r="W189" s="163">
        <f t="shared" si="39"/>
        <v>1.019089174152183</v>
      </c>
      <c r="X189" s="164">
        <f t="shared" si="40"/>
        <v>0.25103699711945454</v>
      </c>
      <c r="Y189" s="184"/>
      <c r="Z189" s="187">
        <f t="shared" si="41"/>
        <v>100.61855670103093</v>
      </c>
      <c r="AA189" s="194">
        <f t="shared" si="42"/>
        <v>20.670103092783506</v>
      </c>
      <c r="AB189" s="189">
        <v>12</v>
      </c>
      <c r="AC189" s="195">
        <v>4.8499999999999996</v>
      </c>
      <c r="AD189" s="195" t="s">
        <v>95</v>
      </c>
      <c r="AE189" s="195">
        <v>6.42</v>
      </c>
      <c r="AF189" s="195">
        <v>1.76</v>
      </c>
      <c r="AG189" s="195">
        <v>8.2000000000000011</v>
      </c>
      <c r="AH189" s="195">
        <v>491.9</v>
      </c>
      <c r="AI189" s="195">
        <v>-1.72</v>
      </c>
      <c r="AJ189" s="195">
        <v>21.9</v>
      </c>
      <c r="AK189" s="195" t="s">
        <v>95</v>
      </c>
      <c r="AL189" s="196">
        <v>29350</v>
      </c>
      <c r="AM189" s="197">
        <v>0.1</v>
      </c>
      <c r="AN189" s="195">
        <v>0.87</v>
      </c>
      <c r="AO189" s="198">
        <f t="shared" si="43"/>
        <v>-10.304562431927303</v>
      </c>
      <c r="AP189" s="199">
        <f t="shared" si="44"/>
        <v>10.365540660856203</v>
      </c>
      <c r="AQ189" s="172">
        <f t="shared" si="45"/>
        <v>27.155864885578708</v>
      </c>
      <c r="AR189" s="157">
        <f>INDEX([1]Historical!$C$7:$C$1231,MATCH(B189,[1]Historical!$B$7:$B$1253,0))*IF(AH189="n/a",1.03,IF(AH189&lt;0,1.01,IF(AH189&gt;10,1.1,(1+AH189/100))))</f>
        <v>5.0599999999999996</v>
      </c>
      <c r="AS189" s="194">
        <f t="shared" si="46"/>
        <v>5.1105999999999998</v>
      </c>
      <c r="AT189" s="194">
        <f t="shared" si="53"/>
        <v>5.2639180000000003</v>
      </c>
      <c r="AU189" s="194">
        <f t="shared" si="53"/>
        <v>5.4218355400000009</v>
      </c>
      <c r="AV189" s="194">
        <f t="shared" si="53"/>
        <v>5.584490606200001</v>
      </c>
      <c r="AW189" s="187">
        <f t="shared" si="48"/>
        <v>26.4408441462</v>
      </c>
      <c r="AX189" s="200">
        <f t="shared" si="49"/>
        <v>26.374906879002491</v>
      </c>
      <c r="AY189" s="201">
        <v>0.44</v>
      </c>
      <c r="AZ189" s="197">
        <v>16.900000000000002</v>
      </c>
      <c r="BA189" s="197">
        <v>-43.75</v>
      </c>
      <c r="BB189" s="197">
        <v>-7.2499999999999991</v>
      </c>
      <c r="BC189" s="197">
        <v>-22.84</v>
      </c>
      <c r="BD189" s="202"/>
      <c r="BE189" s="77">
        <v>2005</v>
      </c>
      <c r="BF189" s="77">
        <f t="shared" si="50"/>
        <v>2</v>
      </c>
      <c r="BG189" s="203">
        <v>3.8</v>
      </c>
      <c r="BH189" t="s">
        <v>939</v>
      </c>
      <c r="BI189" t="s">
        <v>945</v>
      </c>
    </row>
    <row r="190" spans="1:64" ht="11.25" customHeight="1" x14ac:dyDescent="0.2">
      <c r="A190" s="112" t="s">
        <v>1359</v>
      </c>
      <c r="B190" s="153" t="s">
        <v>260</v>
      </c>
      <c r="C190" s="154" t="s">
        <v>94</v>
      </c>
      <c r="D190" s="154" t="s">
        <v>101</v>
      </c>
      <c r="E190" s="155">
        <v>67</v>
      </c>
      <c r="F190" s="298">
        <v>2</v>
      </c>
      <c r="G190" s="298" t="s">
        <v>104</v>
      </c>
      <c r="H190" s="298" t="s">
        <v>30</v>
      </c>
      <c r="I190" s="167">
        <v>130.69</v>
      </c>
      <c r="J190" s="157">
        <f t="shared" si="36"/>
        <v>1.5456423597826918</v>
      </c>
      <c r="K190" s="158">
        <v>0.505</v>
      </c>
      <c r="L190" s="126">
        <v>4</v>
      </c>
      <c r="M190" s="82">
        <f t="shared" si="37"/>
        <v>2.02</v>
      </c>
      <c r="N190" s="159" t="s">
        <v>167</v>
      </c>
      <c r="O190" s="160">
        <v>0.5</v>
      </c>
      <c r="P190" s="161">
        <v>44803</v>
      </c>
      <c r="Q190" s="161">
        <v>44819</v>
      </c>
      <c r="R190" s="82">
        <f t="shared" si="38"/>
        <v>1.0000000000000009</v>
      </c>
      <c r="S190" s="162">
        <f>IF(INDEX([1]Historical!$D$7:$D$1229,MATCH(B190,[1]Historical!$B$7:$B$1253,0))=0,"n/a",(INDEX([1]Historical!$C$7:$C$1231,MATCH(B190,[1]Historical!$B$7:$B$1253,0))/INDEX([1]Historical!$D$7:$D$1229,MATCH(B190,[1]Historical!$B$7:$B$1253,0))-1)*100)</f>
        <v>1.0152284263959421</v>
      </c>
      <c r="T190" s="162">
        <f>IF(INDEX([1]Historical!$F$7:$F$1222,MATCH(B190,[1]Historical!$B$7:$B$1253,0))=0,"n/a",((INDEX([1]Historical!$C$7:$C$1231,MATCH(B190,[1]Historical!$B$7:$B$1253,0))/INDEX([1]Historical!$F$7:$F$1222,MATCH(B190,[1]Historical!$B$7:$B$1253,0)))^(1/3)-1)*100)</f>
        <v>1.5546526688833273</v>
      </c>
      <c r="U190" s="162">
        <f>IF(INDEX([1]Historical!$H$7:$H$1222,MATCH(B190,[1]Historical!$B$7:$B$1253,0))=0,"n/a",((INDEX([1]Historical!$C$7:$C$1231,MATCH(B190,[1]Historical!$B$7:$B$1253,0))/INDEX([1]Historical!$H$7:$H$1222,MATCH(B190,[1]Historical!$B$7:$B$1253,0)))^(1/5)-1)*100)</f>
        <v>2.9591446409518385</v>
      </c>
      <c r="V190" s="162">
        <f>IF(INDEX([1]Historical!$N$7:$N$1222,MATCH(B190,[1]Historical!$B$7:$B$1253,0))=0,"n/a",((INDEX([1]Historical!$C$7:$C$1231,MATCH(B190,[1]Historical!$B$7:$B$1253,0))/INDEX([1]Historical!$N$7:$N$1222,MATCH(B190,[1]Historical!$B$7:$B$1253,0)))^(1/10)-1)*100)</f>
        <v>7.2785410837295395</v>
      </c>
      <c r="W190" s="163">
        <f t="shared" si="39"/>
        <v>0.40655738655741253</v>
      </c>
      <c r="X190" s="164">
        <f t="shared" si="40"/>
        <v>0.15332355652600199</v>
      </c>
      <c r="Y190" s="178"/>
      <c r="Z190" s="157">
        <f t="shared" si="41"/>
        <v>25.093167701863351</v>
      </c>
      <c r="AA190" s="166">
        <f t="shared" si="42"/>
        <v>16.234782608695649</v>
      </c>
      <c r="AB190" s="126">
        <v>12</v>
      </c>
      <c r="AC190" s="167">
        <v>8.0500000000000007</v>
      </c>
      <c r="AD190" s="167">
        <v>1.53</v>
      </c>
      <c r="AE190" s="167">
        <v>2.2000000000000002</v>
      </c>
      <c r="AF190" s="167">
        <v>4.71</v>
      </c>
      <c r="AG190" s="167">
        <v>27.6</v>
      </c>
      <c r="AH190" s="167">
        <v>64.600000000000009</v>
      </c>
      <c r="AI190" s="167">
        <v>5.41</v>
      </c>
      <c r="AJ190" s="167">
        <v>19.3</v>
      </c>
      <c r="AK190" s="167">
        <v>10.7</v>
      </c>
      <c r="AL190" s="168">
        <v>18380</v>
      </c>
      <c r="AM190" s="169">
        <v>1.1199999999999999</v>
      </c>
      <c r="AN190" s="167">
        <v>0.91</v>
      </c>
      <c r="AO190" s="170">
        <f t="shared" si="43"/>
        <v>-11.729995607961119</v>
      </c>
      <c r="AP190" s="171">
        <f t="shared" si="44"/>
        <v>4.5047870007345301</v>
      </c>
      <c r="AQ190" s="172">
        <f t="shared" si="45"/>
        <v>84.349699197484156</v>
      </c>
      <c r="AR190" s="157">
        <f>INDEX([1]Historical!$C$7:$C$1231,MATCH(B190,[1]Historical!$B$7:$B$1253,0))*IF(AH190="n/a",1.03,IF(AH190&lt;0,1.01,IF(AH190&gt;10,1.1,(1+AH190/100))))</f>
        <v>2.1890000000000001</v>
      </c>
      <c r="AS190" s="166">
        <f t="shared" si="46"/>
        <v>2.3074249</v>
      </c>
      <c r="AT190" s="166">
        <f t="shared" si="53"/>
        <v>2.5381673900000004</v>
      </c>
      <c r="AU190" s="166">
        <f t="shared" si="53"/>
        <v>2.7919841290000007</v>
      </c>
      <c r="AV190" s="166">
        <f t="shared" si="53"/>
        <v>3.0711825419000012</v>
      </c>
      <c r="AW190" s="157">
        <f t="shared" si="48"/>
        <v>12.897758960900003</v>
      </c>
      <c r="AX190" s="173">
        <f t="shared" si="49"/>
        <v>9.8689715822939803</v>
      </c>
      <c r="AY190" s="174">
        <v>1.35</v>
      </c>
      <c r="AZ190" s="169">
        <v>14.149999999999999</v>
      </c>
      <c r="BA190" s="169">
        <v>-28.99</v>
      </c>
      <c r="BB190" s="169">
        <v>4.71</v>
      </c>
      <c r="BC190" s="169">
        <v>-5.7799999999999994</v>
      </c>
      <c r="BE190" s="77">
        <v>1956</v>
      </c>
      <c r="BF190" s="77">
        <f t="shared" si="50"/>
        <v>9</v>
      </c>
      <c r="BG190" s="175">
        <v>11</v>
      </c>
      <c r="BH190" t="s">
        <v>939</v>
      </c>
      <c r="BI190" t="s">
        <v>940</v>
      </c>
    </row>
    <row r="191" spans="1:64" ht="11.25" customHeight="1" x14ac:dyDescent="0.2">
      <c r="A191" s="204" t="s">
        <v>681</v>
      </c>
      <c r="B191" s="153" t="s">
        <v>682</v>
      </c>
      <c r="C191" s="154" t="s">
        <v>922</v>
      </c>
      <c r="D191" s="154" t="s">
        <v>949</v>
      </c>
      <c r="E191" s="155">
        <v>11</v>
      </c>
      <c r="F191" s="298">
        <v>416</v>
      </c>
      <c r="G191" s="298" t="s">
        <v>88</v>
      </c>
      <c r="H191" s="298" t="s">
        <v>88</v>
      </c>
      <c r="I191" s="156">
        <v>86.31</v>
      </c>
      <c r="J191" s="157">
        <f t="shared" si="36"/>
        <v>1.8306105897346774</v>
      </c>
      <c r="K191" s="158">
        <v>0.39500000000000002</v>
      </c>
      <c r="L191" s="126">
        <v>4</v>
      </c>
      <c r="M191" s="82">
        <f t="shared" si="37"/>
        <v>1.58</v>
      </c>
      <c r="N191" s="159" t="s">
        <v>296</v>
      </c>
      <c r="O191" s="160">
        <v>0.36</v>
      </c>
      <c r="P191" s="161">
        <v>44650</v>
      </c>
      <c r="Q191" s="161">
        <v>44680</v>
      </c>
      <c r="R191" s="82">
        <f t="shared" si="38"/>
        <v>9.7222222222222303</v>
      </c>
      <c r="S191" s="162">
        <f>IF(INDEX([1]Historical!$D$7:$D$1229,MATCH(B191,[1]Historical!$B$7:$B$1253,0))=0,"n/a",(INDEX([1]Historical!$C$7:$C$1231,MATCH(B191,[1]Historical!$B$7:$B$1253,0))/INDEX([1]Historical!$D$7:$D$1229,MATCH(B191,[1]Historical!$B$7:$B$1253,0))-1)*100)</f>
        <v>7.4427480916030575</v>
      </c>
      <c r="T191" s="162">
        <f>IF(INDEX([1]Historical!$F$7:$F$1222,MATCH(B191,[1]Historical!$B$7:$B$1253,0))=0,"n/a",((INDEX([1]Historical!$C$7:$C$1231,MATCH(B191,[1]Historical!$B$7:$B$1253,0))/INDEX([1]Historical!$F$7:$F$1222,MATCH(B191,[1]Historical!$B$7:$B$1253,0)))^(1/3)-1)*100)</f>
        <v>13.211937538205266</v>
      </c>
      <c r="U191" s="162">
        <f>IF(INDEX([1]Historical!$H$7:$H$1222,MATCH(B191,[1]Historical!$B$7:$B$1253,0))=0,"n/a",((INDEX([1]Historical!$C$7:$C$1231,MATCH(B191,[1]Historical!$B$7:$B$1253,0))/INDEX([1]Historical!$H$7:$H$1222,MATCH(B191,[1]Historical!$B$7:$B$1253,0)))^(1/5)-1)*100)</f>
        <v>13.266189539917983</v>
      </c>
      <c r="V191" s="162" t="str">
        <f>IF(INDEX([1]Historical!$N$7:$N$1222,MATCH(B191,[1]Historical!$B$7:$B$1253,0))=0,"n/a",((INDEX([1]Historical!$C$7:$C$1231,MATCH(B191,[1]Historical!$B$7:$B$1253,0))/INDEX([1]Historical!$N$7:$N$1222,MATCH(B191,[1]Historical!$B$7:$B$1253,0)))^(1/10)-1)*100)</f>
        <v>n/a</v>
      </c>
      <c r="W191" s="163" t="str">
        <f t="shared" si="39"/>
        <v>n/a</v>
      </c>
      <c r="X191" s="164">
        <f t="shared" si="40"/>
        <v>0.91490962344261961</v>
      </c>
      <c r="Y191" s="244" t="s">
        <v>683</v>
      </c>
      <c r="Z191" s="157">
        <f t="shared" si="41"/>
        <v>36.489607390300236</v>
      </c>
      <c r="AA191" s="166">
        <f t="shared" si="42"/>
        <v>19.933025404157043</v>
      </c>
      <c r="AB191" s="126">
        <v>9</v>
      </c>
      <c r="AC191" s="167">
        <v>4.33</v>
      </c>
      <c r="AD191" s="167">
        <v>1.78</v>
      </c>
      <c r="AE191" s="167">
        <v>2.29</v>
      </c>
      <c r="AF191" s="167">
        <v>3</v>
      </c>
      <c r="AG191" s="167">
        <v>15.4</v>
      </c>
      <c r="AH191" s="167">
        <v>43.6</v>
      </c>
      <c r="AI191" s="167">
        <v>12.45</v>
      </c>
      <c r="AJ191" s="167">
        <v>14.499999999999998</v>
      </c>
      <c r="AK191" s="167">
        <v>11.200000000000001</v>
      </c>
      <c r="AL191" s="168">
        <v>10320</v>
      </c>
      <c r="AM191" s="169">
        <v>4.8</v>
      </c>
      <c r="AN191" s="167">
        <v>0</v>
      </c>
      <c r="AO191" s="170">
        <f t="shared" si="43"/>
        <v>-4.8362252745043826</v>
      </c>
      <c r="AP191" s="171">
        <f t="shared" si="44"/>
        <v>15.09680012965266</v>
      </c>
      <c r="AQ191" s="172">
        <f t="shared" si="45"/>
        <v>63.025664254260064</v>
      </c>
      <c r="AR191" s="157">
        <f>INDEX([1]Historical!$C$7:$C$1231,MATCH(B191,[1]Historical!$B$7:$B$1253,0))*IF(AH191="n/a",1.03,IF(AH191&lt;0,1.01,IF(AH191&gt;10,1.1,(1+AH191/100))))</f>
        <v>1.5482500000000001</v>
      </c>
      <c r="AS191" s="166">
        <f t="shared" si="46"/>
        <v>1.7030750000000003</v>
      </c>
      <c r="AT191" s="166">
        <f t="shared" si="53"/>
        <v>1.8733825000000006</v>
      </c>
      <c r="AU191" s="166">
        <f t="shared" si="53"/>
        <v>2.0607207500000007</v>
      </c>
      <c r="AV191" s="166">
        <f t="shared" si="53"/>
        <v>2.2667928250000009</v>
      </c>
      <c r="AW191" s="157">
        <f t="shared" si="48"/>
        <v>9.4522210750000024</v>
      </c>
      <c r="AX191" s="173">
        <f t="shared" si="49"/>
        <v>10.95147847873943</v>
      </c>
      <c r="AY191" s="174">
        <v>0.69</v>
      </c>
      <c r="AZ191" s="169">
        <v>26.31</v>
      </c>
      <c r="BA191" s="169">
        <v>-4.91</v>
      </c>
      <c r="BB191" s="169">
        <v>4.2299999999999995</v>
      </c>
      <c r="BC191" s="169">
        <v>5.09</v>
      </c>
      <c r="BE191" s="77">
        <v>2012</v>
      </c>
      <c r="BF191" s="77">
        <f t="shared" si="50"/>
        <v>1</v>
      </c>
      <c r="BG191" s="175">
        <v>8.4</v>
      </c>
      <c r="BH191" t="s">
        <v>939</v>
      </c>
      <c r="BI191" t="s">
        <v>940</v>
      </c>
    </row>
    <row r="192" spans="1:64" ht="11.25" customHeight="1" x14ac:dyDescent="0.2">
      <c r="A192" s="176" t="s">
        <v>1360</v>
      </c>
      <c r="B192" s="153" t="s">
        <v>803</v>
      </c>
      <c r="C192" s="154" t="s">
        <v>100</v>
      </c>
      <c r="D192" s="154" t="s">
        <v>991</v>
      </c>
      <c r="E192" s="155">
        <v>10</v>
      </c>
      <c r="F192" s="298">
        <v>479</v>
      </c>
      <c r="G192" s="298" t="s">
        <v>104</v>
      </c>
      <c r="H192" s="298" t="s">
        <v>104</v>
      </c>
      <c r="I192" s="156">
        <v>332.24</v>
      </c>
      <c r="J192" s="157">
        <f t="shared" si="36"/>
        <v>1.3243438478208525</v>
      </c>
      <c r="K192" s="158">
        <v>1.1000000000000001</v>
      </c>
      <c r="L192" s="126">
        <v>4</v>
      </c>
      <c r="M192" s="82">
        <f t="shared" si="37"/>
        <v>4.4000000000000004</v>
      </c>
      <c r="N192" s="159" t="s">
        <v>119</v>
      </c>
      <c r="O192" s="160">
        <v>0.94</v>
      </c>
      <c r="P192" s="161">
        <v>44634</v>
      </c>
      <c r="Q192" s="161">
        <v>44650</v>
      </c>
      <c r="R192" s="82">
        <f t="shared" si="38"/>
        <v>17.021276595744698</v>
      </c>
      <c r="S192" s="162">
        <f>IF(INDEX([1]Historical!$D$7:$D$1229,MATCH(B192,[1]Historical!$B$7:$B$1253,0))=0,"n/a",(INDEX([1]Historical!$C$7:$C$1231,MATCH(B192,[1]Historical!$B$7:$B$1253,0))/INDEX([1]Historical!$D$7:$D$1229,MATCH(B192,[1]Historical!$B$7:$B$1253,0))-1)*100)</f>
        <v>20.512820512820507</v>
      </c>
      <c r="T192" s="162">
        <f>IF(INDEX([1]Historical!$F$7:$F$1222,MATCH(B192,[1]Historical!$B$7:$B$1253,0))=0,"n/a",((INDEX([1]Historical!$C$7:$C$1231,MATCH(B192,[1]Historical!$B$7:$B$1253,0))/INDEX([1]Historical!$F$7:$F$1222,MATCH(B192,[1]Historical!$B$7:$B$1253,0)))^(1/3)-1)*100)</f>
        <v>19.560683197865124</v>
      </c>
      <c r="U192" s="162">
        <f>IF(INDEX([1]Historical!$H$7:$H$1222,MATCH(B192,[1]Historical!$B$7:$B$1253,0))=0,"n/a",((INDEX([1]Historical!$C$7:$C$1231,MATCH(B192,[1]Historical!$B$7:$B$1253,0))/INDEX([1]Historical!$H$7:$H$1222,MATCH(B192,[1]Historical!$B$7:$B$1253,0)))^(1/5)-1)*100)</f>
        <v>19.858503613188617</v>
      </c>
      <c r="V192" s="162" t="str">
        <f>IF(INDEX([1]Historical!$N$7:$N$1222,MATCH(B192,[1]Historical!$B$7:$B$1253,0))=0,"n/a",((INDEX([1]Historical!$C$7:$C$1231,MATCH(B192,[1]Historical!$B$7:$B$1253,0))/INDEX([1]Historical!$N$7:$N$1222,MATCH(B192,[1]Historical!$B$7:$B$1253,0)))^(1/10)-1)*100)</f>
        <v>n/a</v>
      </c>
      <c r="W192" s="163" t="str">
        <f t="shared" si="39"/>
        <v>n/a</v>
      </c>
      <c r="X192" s="164">
        <f t="shared" si="40"/>
        <v>0.76970944237165184</v>
      </c>
      <c r="Y192" s="165"/>
      <c r="Z192" s="157">
        <f t="shared" si="41"/>
        <v>35.512510088781276</v>
      </c>
      <c r="AA192" s="166">
        <f t="shared" si="42"/>
        <v>26.815173527037935</v>
      </c>
      <c r="AB192" s="126">
        <v>12</v>
      </c>
      <c r="AC192" s="167">
        <v>12.39</v>
      </c>
      <c r="AD192" s="167">
        <v>3.07</v>
      </c>
      <c r="AE192" s="167">
        <v>2.61</v>
      </c>
      <c r="AF192" s="167" t="s">
        <v>95</v>
      </c>
      <c r="AG192" s="167">
        <v>-10.6</v>
      </c>
      <c r="AH192" s="167">
        <v>9.3000000000000007</v>
      </c>
      <c r="AI192" s="167">
        <v>16.7</v>
      </c>
      <c r="AJ192" s="167">
        <v>25.8</v>
      </c>
      <c r="AK192" s="167">
        <v>8.7900000000000009</v>
      </c>
      <c r="AL192" s="168">
        <v>11730</v>
      </c>
      <c r="AM192" s="169">
        <v>0.4</v>
      </c>
      <c r="AN192" s="167" t="s">
        <v>95</v>
      </c>
      <c r="AO192" s="170">
        <f t="shared" si="43"/>
        <v>-5.6323260660284653</v>
      </c>
      <c r="AP192" s="171">
        <f t="shared" si="44"/>
        <v>21.182847461009469</v>
      </c>
      <c r="AQ192" s="172" t="str">
        <f t="shared" si="45"/>
        <v>n/a</v>
      </c>
      <c r="AR192" s="157">
        <f>INDEX([1]Historical!$C$7:$C$1231,MATCH(B192,[1]Historical!$B$7:$B$1253,0))*IF(AH192="n/a",1.03,IF(AH192&lt;0,1.01,IF(AH192&gt;10,1.1,(1+AH192/100))))</f>
        <v>4.10968</v>
      </c>
      <c r="AS192" s="166">
        <f t="shared" si="46"/>
        <v>4.5206480000000004</v>
      </c>
      <c r="AT192" s="166">
        <f t="shared" si="53"/>
        <v>4.9180129592000013</v>
      </c>
      <c r="AU192" s="166">
        <f t="shared" si="53"/>
        <v>5.350306298313682</v>
      </c>
      <c r="AV192" s="166">
        <f t="shared" si="53"/>
        <v>5.8205982219354553</v>
      </c>
      <c r="AW192" s="157">
        <f t="shared" si="48"/>
        <v>24.719245479449139</v>
      </c>
      <c r="AX192" s="173">
        <f t="shared" si="49"/>
        <v>7.4401774257913376</v>
      </c>
      <c r="AY192" s="174">
        <v>0.69</v>
      </c>
      <c r="AZ192" s="169">
        <v>10.96</v>
      </c>
      <c r="BA192" s="169">
        <v>-41.46</v>
      </c>
      <c r="BB192" s="169">
        <v>-3.08</v>
      </c>
      <c r="BC192" s="169">
        <v>-13.239999999999998</v>
      </c>
      <c r="BE192" s="77">
        <v>2013</v>
      </c>
      <c r="BF192" s="77">
        <f t="shared" si="50"/>
        <v>1</v>
      </c>
      <c r="BG192" s="175">
        <v>27</v>
      </c>
      <c r="BH192" t="s">
        <v>939</v>
      </c>
      <c r="BI192" t="s">
        <v>940</v>
      </c>
    </row>
    <row r="193" spans="1:64" ht="11.25" customHeight="1" x14ac:dyDescent="0.2">
      <c r="A193" s="112" t="s">
        <v>262</v>
      </c>
      <c r="B193" s="153" t="s">
        <v>263</v>
      </c>
      <c r="C193" s="154" t="s">
        <v>117</v>
      </c>
      <c r="D193" s="154" t="s">
        <v>953</v>
      </c>
      <c r="E193" s="155">
        <v>13</v>
      </c>
      <c r="F193" s="298">
        <v>271</v>
      </c>
      <c r="G193" s="298" t="s">
        <v>104</v>
      </c>
      <c r="H193" s="298" t="s">
        <v>104</v>
      </c>
      <c r="I193" s="156">
        <v>112.11</v>
      </c>
      <c r="J193" s="157">
        <f t="shared" si="36"/>
        <v>3.1576130586031579</v>
      </c>
      <c r="K193" s="158">
        <v>0.88500000000000001</v>
      </c>
      <c r="L193" s="126">
        <v>4</v>
      </c>
      <c r="M193" s="82">
        <f t="shared" si="37"/>
        <v>3.54</v>
      </c>
      <c r="N193" s="159" t="s">
        <v>164</v>
      </c>
      <c r="O193" s="160">
        <v>0.82499999999999996</v>
      </c>
      <c r="P193" s="161">
        <v>44547</v>
      </c>
      <c r="Q193" s="161">
        <v>44576</v>
      </c>
      <c r="R193" s="82">
        <f t="shared" si="38"/>
        <v>7.2727272727272796</v>
      </c>
      <c r="S193" s="162">
        <f>IF(INDEX([1]Historical!$D$7:$D$1229,MATCH(B193,[1]Historical!$B$7:$B$1253,0))=0,"n/a",(INDEX([1]Historical!$C$7:$C$1231,MATCH(B193,[1]Historical!$B$7:$B$1253,0))/INDEX([1]Historical!$D$7:$D$1229,MATCH(B193,[1]Historical!$B$7:$B$1253,0))-1)*100)</f>
        <v>7.1604938271604857</v>
      </c>
      <c r="T193" s="162">
        <f>IF(INDEX([1]Historical!$F$7:$F$1222,MATCH(B193,[1]Historical!$B$7:$B$1253,0))=0,"n/a",((INDEX([1]Historical!$C$7:$C$1231,MATCH(B193,[1]Historical!$B$7:$B$1253,0))/INDEX([1]Historical!$F$7:$F$1222,MATCH(B193,[1]Historical!$B$7:$B$1253,0)))^(1/3)-1)*100)</f>
        <v>7.1487357150813224</v>
      </c>
      <c r="U193" s="162">
        <f>IF(INDEX([1]Historical!$H$7:$H$1222,MATCH(B193,[1]Historical!$B$7:$B$1253,0))=0,"n/a",((INDEX([1]Historical!$C$7:$C$1231,MATCH(B193,[1]Historical!$B$7:$B$1253,0))/INDEX([1]Historical!$H$7:$H$1222,MATCH(B193,[1]Historical!$B$7:$B$1253,0)))^(1/5)-1)*100)</f>
        <v>7.0995886039598277</v>
      </c>
      <c r="V193" s="162">
        <f>IF(INDEX([1]Historical!$N$7:$N$1222,MATCH(B193,[1]Historical!$B$7:$B$1253,0))=0,"n/a",((INDEX([1]Historical!$C$7:$C$1231,MATCH(B193,[1]Historical!$B$7:$B$1253,0))/INDEX([1]Historical!$N$7:$N$1222,MATCH(B193,[1]Historical!$B$7:$B$1253,0)))^(1/10)-1)*100)</f>
        <v>6.5787700290734552</v>
      </c>
      <c r="W193" s="163">
        <f t="shared" si="39"/>
        <v>1.0791665573632649</v>
      </c>
      <c r="X193" s="164" t="str">
        <f t="shared" si="40"/>
        <v>n/a</v>
      </c>
      <c r="Y193" s="165"/>
      <c r="Z193" s="157">
        <f t="shared" si="41"/>
        <v>87.192118226600996</v>
      </c>
      <c r="AA193" s="166">
        <f t="shared" si="42"/>
        <v>27.61330049261084</v>
      </c>
      <c r="AB193" s="126">
        <v>12</v>
      </c>
      <c r="AC193" s="167">
        <v>4.0599999999999996</v>
      </c>
      <c r="AD193" s="167">
        <v>7.06</v>
      </c>
      <c r="AE193" s="167">
        <v>1.19</v>
      </c>
      <c r="AF193" s="167">
        <v>2.44</v>
      </c>
      <c r="AG193" s="167">
        <v>12.8</v>
      </c>
      <c r="AH193" s="167">
        <v>-24.9</v>
      </c>
      <c r="AI193" s="167">
        <v>4.26</v>
      </c>
      <c r="AJ193" s="167">
        <v>-3.3000000000000003</v>
      </c>
      <c r="AK193" s="167">
        <v>3.9600000000000004</v>
      </c>
      <c r="AL193" s="168">
        <v>21170</v>
      </c>
      <c r="AM193" s="169">
        <v>0.2</v>
      </c>
      <c r="AN193" s="167">
        <v>2.21</v>
      </c>
      <c r="AO193" s="170">
        <f t="shared" si="43"/>
        <v>-17.356098830047856</v>
      </c>
      <c r="AP193" s="171">
        <f t="shared" si="44"/>
        <v>10.257201662562986</v>
      </c>
      <c r="AQ193" s="172">
        <f t="shared" si="45"/>
        <v>73.046497543252428</v>
      </c>
      <c r="AR193" s="157">
        <f>INDEX([1]Historical!$C$7:$C$1231,MATCH(B193,[1]Historical!$B$7:$B$1253,0))*IF(AH193="n/a",1.03,IF(AH193&lt;0,1.01,IF(AH193&gt;10,1.1,(1+AH193/100))))</f>
        <v>3.3329999999999997</v>
      </c>
      <c r="AS193" s="166">
        <f t="shared" si="46"/>
        <v>3.4749857999999998</v>
      </c>
      <c r="AT193" s="166">
        <f t="shared" si="53"/>
        <v>3.6125952376799999</v>
      </c>
      <c r="AU193" s="166">
        <f t="shared" si="53"/>
        <v>3.7556540090921282</v>
      </c>
      <c r="AV193" s="166">
        <f t="shared" si="53"/>
        <v>3.9043779078521768</v>
      </c>
      <c r="AW193" s="157">
        <f t="shared" si="48"/>
        <v>18.080612954624304</v>
      </c>
      <c r="AX193" s="173">
        <f t="shared" si="49"/>
        <v>16.127564851150034</v>
      </c>
      <c r="AY193" s="174">
        <v>0.62</v>
      </c>
      <c r="AZ193" s="169">
        <v>11.4</v>
      </c>
      <c r="BA193" s="169">
        <v>-20.05</v>
      </c>
      <c r="BB193" s="169">
        <v>-7.9600000000000009</v>
      </c>
      <c r="BC193" s="169">
        <v>-10.83</v>
      </c>
      <c r="BE193" s="77">
        <v>2010</v>
      </c>
      <c r="BF193" s="77">
        <f t="shared" si="50"/>
        <v>1</v>
      </c>
      <c r="BG193" s="175">
        <v>2.7</v>
      </c>
      <c r="BH193" t="s">
        <v>939</v>
      </c>
      <c r="BI193" t="s">
        <v>940</v>
      </c>
    </row>
    <row r="194" spans="1:64" ht="11.25" customHeight="1" x14ac:dyDescent="0.2">
      <c r="A194" s="176" t="s">
        <v>1361</v>
      </c>
      <c r="B194" s="153" t="s">
        <v>264</v>
      </c>
      <c r="C194" s="154" t="s">
        <v>117</v>
      </c>
      <c r="D194" s="154" t="s">
        <v>957</v>
      </c>
      <c r="E194" s="155">
        <v>18</v>
      </c>
      <c r="F194" s="298">
        <v>221</v>
      </c>
      <c r="G194" s="298" t="s">
        <v>30</v>
      </c>
      <c r="H194" s="298" t="s">
        <v>30</v>
      </c>
      <c r="I194" s="156">
        <v>93.18</v>
      </c>
      <c r="J194" s="157">
        <f t="shared" si="36"/>
        <v>4.3142305215711518</v>
      </c>
      <c r="K194" s="158">
        <v>1.0049999999999999</v>
      </c>
      <c r="L194" s="126">
        <v>4</v>
      </c>
      <c r="M194" s="82">
        <f t="shared" si="37"/>
        <v>4.0199999999999996</v>
      </c>
      <c r="N194" s="159" t="s">
        <v>236</v>
      </c>
      <c r="O194" s="160">
        <v>0.98499999999999999</v>
      </c>
      <c r="P194" s="161">
        <v>44784</v>
      </c>
      <c r="Q194" s="161">
        <v>44820</v>
      </c>
      <c r="R194" s="82">
        <f t="shared" si="38"/>
        <v>2.0304568527918687</v>
      </c>
      <c r="S194" s="162">
        <f>IF(INDEX([1]Historical!$D$7:$D$1229,MATCH(B194,[1]Historical!$B$7:$B$1253,0))=0,"n/a",(INDEX([1]Historical!$C$7:$C$1231,MATCH(B194,[1]Historical!$B$7:$B$1253,0))/INDEX([1]Historical!$D$7:$D$1229,MATCH(B194,[1]Historical!$B$7:$B$1253,0))-1)*100)</f>
        <v>2.0942408376963373</v>
      </c>
      <c r="T194" s="162">
        <f>IF(INDEX([1]Historical!$F$7:$F$1222,MATCH(B194,[1]Historical!$B$7:$B$1253,0))=0,"n/a",((INDEX([1]Historical!$C$7:$C$1231,MATCH(B194,[1]Historical!$B$7:$B$1253,0))/INDEX([1]Historical!$F$7:$F$1222,MATCH(B194,[1]Historical!$B$7:$B$1253,0)))^(1/3)-1)*100)</f>
        <v>2.3639204941226177</v>
      </c>
      <c r="U194" s="162">
        <f>IF(INDEX([1]Historical!$H$7:$H$1222,MATCH(B194,[1]Historical!$B$7:$B$1253,0))=0,"n/a",((INDEX([1]Historical!$C$7:$C$1231,MATCH(B194,[1]Historical!$B$7:$B$1253,0))/INDEX([1]Historical!$H$7:$H$1222,MATCH(B194,[1]Historical!$B$7:$B$1253,0)))^(1/5)-1)*100)</f>
        <v>3.0255794755612575</v>
      </c>
      <c r="V194" s="162">
        <f>IF(INDEX([1]Historical!$N$7:$N$1222,MATCH(B194,[1]Historical!$B$7:$B$1253,0))=0,"n/a",((INDEX([1]Historical!$C$7:$C$1231,MATCH(B194,[1]Historical!$B$7:$B$1253,0))/INDEX([1]Historical!$N$7:$N$1222,MATCH(B194,[1]Historical!$B$7:$B$1253,0)))^(1/10)-1)*100)</f>
        <v>2.7615900977818297</v>
      </c>
      <c r="W194" s="163">
        <f t="shared" si="39"/>
        <v>1.0955932518701708</v>
      </c>
      <c r="X194" s="164">
        <f t="shared" si="40"/>
        <v>0.512810080603603</v>
      </c>
      <c r="Y194" s="222"/>
      <c r="Z194" s="157">
        <f t="shared" si="41"/>
        <v>81.37651821862346</v>
      </c>
      <c r="AA194" s="166">
        <f t="shared" si="42"/>
        <v>18.862348178137651</v>
      </c>
      <c r="AB194" s="126">
        <v>12</v>
      </c>
      <c r="AC194" s="167">
        <v>4.9400000000000004</v>
      </c>
      <c r="AD194" s="167">
        <v>3.48</v>
      </c>
      <c r="AE194" s="167">
        <v>2.6</v>
      </c>
      <c r="AF194" s="167">
        <v>1.52</v>
      </c>
      <c r="AG194" s="167">
        <v>8</v>
      </c>
      <c r="AH194" s="167">
        <v>188.39999999999998</v>
      </c>
      <c r="AI194" s="167">
        <v>5.27</v>
      </c>
      <c r="AJ194" s="167">
        <v>5.8999999999999995</v>
      </c>
      <c r="AK194" s="167">
        <v>5.47</v>
      </c>
      <c r="AL194" s="168">
        <v>70100</v>
      </c>
      <c r="AM194" s="169">
        <v>0.1</v>
      </c>
      <c r="AN194" s="167">
        <v>1.47</v>
      </c>
      <c r="AO194" s="170">
        <f t="shared" si="43"/>
        <v>-11.522538181005242</v>
      </c>
      <c r="AP194" s="171">
        <f t="shared" si="44"/>
        <v>7.3398099971324093</v>
      </c>
      <c r="AQ194" s="172">
        <f t="shared" si="45"/>
        <v>12.882966396901985</v>
      </c>
      <c r="AR194" s="157">
        <f>INDEX([1]Historical!$C$7:$C$1231,MATCH(B194,[1]Historical!$B$7:$B$1253,0))*IF(AH194="n/a",1.03,IF(AH194&lt;0,1.01,IF(AH194&gt;10,1.1,(1+AH194/100))))</f>
        <v>4.29</v>
      </c>
      <c r="AS194" s="166">
        <f t="shared" si="46"/>
        <v>4.5160830000000001</v>
      </c>
      <c r="AT194" s="166">
        <f t="shared" si="53"/>
        <v>4.7631127400999995</v>
      </c>
      <c r="AU194" s="166">
        <f t="shared" si="53"/>
        <v>5.0236550069834696</v>
      </c>
      <c r="AV194" s="166">
        <f t="shared" si="53"/>
        <v>5.2984489358654656</v>
      </c>
      <c r="AW194" s="157">
        <f t="shared" si="48"/>
        <v>23.891299682948933</v>
      </c>
      <c r="AX194" s="173">
        <f t="shared" si="49"/>
        <v>25.639943853776487</v>
      </c>
      <c r="AY194" s="174">
        <v>0.4</v>
      </c>
      <c r="AZ194" s="169">
        <v>11.25</v>
      </c>
      <c r="BA194" s="169">
        <v>-19.900000000000002</v>
      </c>
      <c r="BB194" s="169">
        <v>-6.8199999999999994</v>
      </c>
      <c r="BC194" s="169">
        <v>-11.700000000000001</v>
      </c>
      <c r="BE194" s="77">
        <v>2005</v>
      </c>
      <c r="BF194" s="77">
        <f t="shared" si="50"/>
        <v>2</v>
      </c>
      <c r="BG194" s="175">
        <v>2.1999999999999997</v>
      </c>
      <c r="BH194" t="s">
        <v>939</v>
      </c>
      <c r="BI194" t="s">
        <v>940</v>
      </c>
    </row>
    <row r="195" spans="1:64" ht="11.25" customHeight="1" x14ac:dyDescent="0.2">
      <c r="A195" s="112" t="s">
        <v>1362</v>
      </c>
      <c r="B195" s="153" t="s">
        <v>265</v>
      </c>
      <c r="C195" s="154" t="s">
        <v>90</v>
      </c>
      <c r="D195" s="154" t="s">
        <v>969</v>
      </c>
      <c r="E195" s="155">
        <v>23</v>
      </c>
      <c r="F195" s="298">
        <v>156</v>
      </c>
      <c r="G195" s="298" t="s">
        <v>88</v>
      </c>
      <c r="H195" s="298" t="s">
        <v>88</v>
      </c>
      <c r="I195" s="167">
        <v>18.64</v>
      </c>
      <c r="J195" s="157">
        <f t="shared" si="36"/>
        <v>2.9506437768240348</v>
      </c>
      <c r="K195" s="209">
        <v>0.13750000000000001</v>
      </c>
      <c r="L195" s="126">
        <v>4</v>
      </c>
      <c r="M195" s="82">
        <f t="shared" si="37"/>
        <v>0.55000000000000004</v>
      </c>
      <c r="N195" s="159" t="s">
        <v>116</v>
      </c>
      <c r="O195" s="210">
        <v>0.125</v>
      </c>
      <c r="P195" s="161">
        <v>44784</v>
      </c>
      <c r="Q195" s="161">
        <v>44806</v>
      </c>
      <c r="R195" s="82">
        <f t="shared" si="38"/>
        <v>10.000000000000009</v>
      </c>
      <c r="S195" s="162">
        <f>IF(INDEX([1]Historical!$D$7:$D$1229,MATCH(B195,[1]Historical!$B$7:$B$1253,0))=0,"n/a",(INDEX([1]Historical!$C$7:$C$1231,MATCH(B195,[1]Historical!$B$7:$B$1253,0))/INDEX([1]Historical!$D$7:$D$1229,MATCH(B195,[1]Historical!$B$7:$B$1253,0))-1)*100)</f>
        <v>15.58441558441559</v>
      </c>
      <c r="T195" s="162">
        <f>IF(INDEX([1]Historical!$F$7:$F$1222,MATCH(B195,[1]Historical!$B$7:$B$1253,0))=0,"n/a",((INDEX([1]Historical!$C$7:$C$1231,MATCH(B195,[1]Historical!$B$7:$B$1253,0))/INDEX([1]Historical!$F$7:$F$1222,MATCH(B195,[1]Historical!$B$7:$B$1253,0)))^(1/3)-1)*100)</f>
        <v>6.8289718970508728</v>
      </c>
      <c r="U195" s="162">
        <f>IF(INDEX([1]Historical!$H$7:$H$1222,MATCH(B195,[1]Historical!$B$7:$B$1253,0))=0,"n/a",((INDEX([1]Historical!$C$7:$C$1231,MATCH(B195,[1]Historical!$B$7:$B$1253,0))/INDEX([1]Historical!$H$7:$H$1222,MATCH(B195,[1]Historical!$B$7:$B$1253,0)))^(1/5)-1)*100)</f>
        <v>7.1543710308821007</v>
      </c>
      <c r="V195" s="162">
        <f>IF(INDEX([1]Historical!$N$7:$N$1222,MATCH(B195,[1]Historical!$B$7:$B$1253,0))=0,"n/a",((INDEX([1]Historical!$C$7:$C$1231,MATCH(B195,[1]Historical!$B$7:$B$1253,0))/INDEX([1]Historical!$N$7:$N$1222,MATCH(B195,[1]Historical!$B$7:$B$1253,0)))^(1/10)-1)*100)</f>
        <v>4.648776675237265</v>
      </c>
      <c r="W195" s="163">
        <f t="shared" si="39"/>
        <v>1.5389792908296578</v>
      </c>
      <c r="X195" s="164">
        <f t="shared" si="40"/>
        <v>0.68792029143097122</v>
      </c>
      <c r="Y195" s="212"/>
      <c r="Z195" s="157">
        <f t="shared" si="41"/>
        <v>44.000000000000007</v>
      </c>
      <c r="AA195" s="166">
        <f t="shared" si="42"/>
        <v>14.912000000000001</v>
      </c>
      <c r="AB195" s="126">
        <v>6</v>
      </c>
      <c r="AC195" s="167">
        <v>1.25</v>
      </c>
      <c r="AD195" s="167">
        <v>1.53</v>
      </c>
      <c r="AE195" s="167">
        <v>2.44</v>
      </c>
      <c r="AF195" s="179">
        <v>0.87</v>
      </c>
      <c r="AG195" s="167">
        <v>7.3</v>
      </c>
      <c r="AH195" s="167">
        <v>-30.3</v>
      </c>
      <c r="AI195" s="167">
        <v>44.93</v>
      </c>
      <c r="AJ195" s="167">
        <v>10.4</v>
      </c>
      <c r="AK195" s="167">
        <v>10</v>
      </c>
      <c r="AL195" s="168">
        <v>151.38</v>
      </c>
      <c r="AM195" s="169">
        <v>2.7</v>
      </c>
      <c r="AN195" s="167">
        <v>0.36</v>
      </c>
      <c r="AO195" s="170">
        <f t="shared" si="43"/>
        <v>-4.8069851922938653</v>
      </c>
      <c r="AP195" s="171">
        <f t="shared" si="44"/>
        <v>10.105014807706135</v>
      </c>
      <c r="AQ195" s="172">
        <f t="shared" si="45"/>
        <v>-24.065993564587064</v>
      </c>
      <c r="AR195" s="157">
        <f>INDEX([1]Historical!$C$7:$C$1231,MATCH(B195,[1]Historical!$B$7:$B$1253,0))*IF(AH195="n/a",1.03,IF(AH195&lt;0,1.01,IF(AH195&gt;10,1.1,(1+AH195/100))))</f>
        <v>0.44945000000000002</v>
      </c>
      <c r="AS195" s="166">
        <f t="shared" si="46"/>
        <v>0.49439500000000008</v>
      </c>
      <c r="AT195" s="166">
        <f t="shared" si="53"/>
        <v>0.54383450000000011</v>
      </c>
      <c r="AU195" s="166">
        <f t="shared" si="53"/>
        <v>0.59821795000000022</v>
      </c>
      <c r="AV195" s="166">
        <f t="shared" si="53"/>
        <v>0.65803974500000029</v>
      </c>
      <c r="AW195" s="157">
        <f t="shared" si="48"/>
        <v>2.7439371950000004</v>
      </c>
      <c r="AX195" s="173">
        <f t="shared" si="49"/>
        <v>14.720693106223179</v>
      </c>
      <c r="AY195" s="174">
        <v>0.53</v>
      </c>
      <c r="AZ195" s="169">
        <v>2.08</v>
      </c>
      <c r="BA195" s="169">
        <v>-24.66</v>
      </c>
      <c r="BB195" s="169">
        <v>-2.58</v>
      </c>
      <c r="BC195" s="169">
        <v>-8.9</v>
      </c>
      <c r="BE195" s="77">
        <v>2000</v>
      </c>
      <c r="BF195" s="77">
        <f t="shared" si="50"/>
        <v>3</v>
      </c>
      <c r="BG195" s="175">
        <v>0.70000000000000007</v>
      </c>
      <c r="BH195" t="s">
        <v>939</v>
      </c>
      <c r="BI195" t="s">
        <v>940</v>
      </c>
    </row>
    <row r="196" spans="1:64" s="252" customFormat="1" ht="11.25" customHeight="1" x14ac:dyDescent="0.2">
      <c r="A196" s="183" t="s">
        <v>1363</v>
      </c>
      <c r="B196" s="184" t="s">
        <v>279</v>
      </c>
      <c r="C196" s="154" t="s">
        <v>90</v>
      </c>
      <c r="D196" s="154" t="s">
        <v>969</v>
      </c>
      <c r="E196" s="185">
        <v>30</v>
      </c>
      <c r="F196" s="298">
        <v>99</v>
      </c>
      <c r="G196" s="297" t="s">
        <v>30</v>
      </c>
      <c r="H196" s="297" t="s">
        <v>88</v>
      </c>
      <c r="I196" s="186">
        <v>31.28</v>
      </c>
      <c r="J196" s="187">
        <f t="shared" si="36"/>
        <v>2.621483375959079</v>
      </c>
      <c r="K196" s="188">
        <v>0.20499999999999999</v>
      </c>
      <c r="L196" s="189">
        <v>4</v>
      </c>
      <c r="M196" s="190">
        <f t="shared" si="37"/>
        <v>0.82</v>
      </c>
      <c r="N196" s="191" t="s">
        <v>116</v>
      </c>
      <c r="O196" s="192">
        <v>0.185</v>
      </c>
      <c r="P196" s="193">
        <v>44599</v>
      </c>
      <c r="Q196" s="193">
        <v>44621</v>
      </c>
      <c r="R196" s="190">
        <f t="shared" si="38"/>
        <v>10.810810810810805</v>
      </c>
      <c r="S196" s="162">
        <f>IF(INDEX([1]Historical!$D$7:$D$1229,MATCH(B196,[1]Historical!$B$7:$B$1253,0))=0,"n/a",(INDEX([1]Historical!$C$7:$C$1231,MATCH(B196,[1]Historical!$B$7:$B$1253,0))/INDEX([1]Historical!$D$7:$D$1229,MATCH(B196,[1]Historical!$B$7:$B$1253,0))-1)*100)</f>
        <v>5.7142857142857162</v>
      </c>
      <c r="T196" s="162">
        <f>IF(INDEX([1]Historical!$F$7:$F$1222,MATCH(B196,[1]Historical!$B$7:$B$1253,0))=0,"n/a",((INDEX([1]Historical!$C$7:$C$1231,MATCH(B196,[1]Historical!$B$7:$B$1253,0))/INDEX([1]Historical!$F$7:$F$1222,MATCH(B196,[1]Historical!$B$7:$B$1253,0)))^(1/3)-1)*100)</f>
        <v>8.4595775991327393</v>
      </c>
      <c r="U196" s="162">
        <f>IF(INDEX([1]Historical!$H$7:$H$1222,MATCH(B196,[1]Historical!$B$7:$B$1253,0))=0,"n/a",((INDEX([1]Historical!$C$7:$C$1231,MATCH(B196,[1]Historical!$B$7:$B$1253,0))/INDEX([1]Historical!$H$7:$H$1222,MATCH(B196,[1]Historical!$B$7:$B$1253,0)))^(1/5)-1)*100)</f>
        <v>7.3113541506014013</v>
      </c>
      <c r="V196" s="162">
        <f>IF(INDEX([1]Historical!$N$7:$N$1222,MATCH(B196,[1]Historical!$B$7:$B$1253,0))=0,"n/a",((INDEX([1]Historical!$C$7:$C$1231,MATCH(B196,[1]Historical!$B$7:$B$1253,0))/INDEX([1]Historical!$N$7:$N$1222,MATCH(B196,[1]Historical!$B$7:$B$1253,0)))^(1/10)-1)*100)</f>
        <v>5.8274284018819511</v>
      </c>
      <c r="W196" s="163">
        <f t="shared" si="39"/>
        <v>1.2546450417546477</v>
      </c>
      <c r="X196" s="164">
        <f t="shared" si="40"/>
        <v>0.46867654811547443</v>
      </c>
      <c r="Y196" s="184"/>
      <c r="Z196" s="187">
        <f t="shared" si="41"/>
        <v>24.117647058823529</v>
      </c>
      <c r="AA196" s="194">
        <f t="shared" si="42"/>
        <v>9.2000000000000011</v>
      </c>
      <c r="AB196" s="189">
        <v>12</v>
      </c>
      <c r="AC196" s="195">
        <v>3.4</v>
      </c>
      <c r="AD196" s="195" t="s">
        <v>95</v>
      </c>
      <c r="AE196" s="195">
        <v>2.38</v>
      </c>
      <c r="AF196" s="195">
        <v>1.36</v>
      </c>
      <c r="AG196" s="195">
        <v>13.100000000000001</v>
      </c>
      <c r="AH196" s="195">
        <v>32.6</v>
      </c>
      <c r="AI196" s="195" t="s">
        <v>95</v>
      </c>
      <c r="AJ196" s="195">
        <v>15.6</v>
      </c>
      <c r="AK196" s="195" t="s">
        <v>95</v>
      </c>
      <c r="AL196" s="196">
        <v>361.09</v>
      </c>
      <c r="AM196" s="197">
        <v>10.8</v>
      </c>
      <c r="AN196" s="195">
        <v>0.21</v>
      </c>
      <c r="AO196" s="198">
        <f t="shared" si="43"/>
        <v>0.73283752656047874</v>
      </c>
      <c r="AP196" s="199">
        <f t="shared" si="44"/>
        <v>9.9328375265604798</v>
      </c>
      <c r="AQ196" s="172">
        <f t="shared" si="45"/>
        <v>-25.428632244748993</v>
      </c>
      <c r="AR196" s="157">
        <f>INDEX([1]Historical!$C$7:$C$1231,MATCH(B196,[1]Historical!$B$7:$B$1253,0))*IF(AH196="n/a",1.03,IF(AH196&lt;0,1.01,IF(AH196&gt;10,1.1,(1+AH196/100))))</f>
        <v>0.81400000000000006</v>
      </c>
      <c r="AS196" s="194">
        <f t="shared" si="46"/>
        <v>0.83842000000000005</v>
      </c>
      <c r="AT196" s="194">
        <f t="shared" si="53"/>
        <v>0.86357260000000002</v>
      </c>
      <c r="AU196" s="194">
        <f t="shared" si="53"/>
        <v>0.889479778</v>
      </c>
      <c r="AV196" s="194">
        <f t="shared" si="53"/>
        <v>0.91616417134000006</v>
      </c>
      <c r="AW196" s="187">
        <f t="shared" si="48"/>
        <v>4.32163654934</v>
      </c>
      <c r="AX196" s="200">
        <f t="shared" si="49"/>
        <v>13.815973623209718</v>
      </c>
      <c r="AY196" s="201">
        <v>0.5</v>
      </c>
      <c r="AZ196" s="197">
        <v>9.49</v>
      </c>
      <c r="BA196" s="197">
        <v>-32.700000000000003</v>
      </c>
      <c r="BB196" s="197">
        <v>0.82000000000000006</v>
      </c>
      <c r="BC196" s="197">
        <v>-10.029999999999999</v>
      </c>
      <c r="BD196" s="202"/>
      <c r="BE196" s="77">
        <v>1995</v>
      </c>
      <c r="BF196" s="77">
        <f t="shared" si="50"/>
        <v>3</v>
      </c>
      <c r="BG196" s="203">
        <v>0.89999999999999991</v>
      </c>
      <c r="BH196" t="s">
        <v>939</v>
      </c>
      <c r="BI196" t="s">
        <v>940</v>
      </c>
    </row>
    <row r="197" spans="1:64" ht="11.25" customHeight="1" x14ac:dyDescent="0.2">
      <c r="A197" s="176" t="s">
        <v>271</v>
      </c>
      <c r="B197" s="153" t="s">
        <v>272</v>
      </c>
      <c r="C197" s="154" t="s">
        <v>96</v>
      </c>
      <c r="D197" s="154" t="s">
        <v>911</v>
      </c>
      <c r="E197" s="155">
        <v>30</v>
      </c>
      <c r="F197" s="298">
        <v>97</v>
      </c>
      <c r="G197" s="298" t="s">
        <v>30</v>
      </c>
      <c r="H197" s="298" t="s">
        <v>30</v>
      </c>
      <c r="I197" s="167">
        <v>157.07</v>
      </c>
      <c r="J197" s="157">
        <f t="shared" si="36"/>
        <v>1.2987839816642262</v>
      </c>
      <c r="K197" s="209">
        <v>0.51</v>
      </c>
      <c r="L197" s="126">
        <v>4</v>
      </c>
      <c r="M197" s="82">
        <f t="shared" si="37"/>
        <v>2.04</v>
      </c>
      <c r="N197" s="159" t="s">
        <v>112</v>
      </c>
      <c r="O197" s="210">
        <v>0.48</v>
      </c>
      <c r="P197" s="161">
        <v>44543</v>
      </c>
      <c r="Q197" s="161">
        <v>44579</v>
      </c>
      <c r="R197" s="82">
        <f t="shared" si="38"/>
        <v>6.2500000000000053</v>
      </c>
      <c r="S197" s="162">
        <f>IF(INDEX([1]Historical!$D$7:$D$1229,MATCH(B197,[1]Historical!$B$7:$B$1253,0))=0,"n/a",(INDEX([1]Historical!$C$7:$C$1231,MATCH(B197,[1]Historical!$B$7:$B$1253,0))/INDEX([1]Historical!$D$7:$D$1229,MATCH(B197,[1]Historical!$B$7:$B$1253,0))-1)*100)</f>
        <v>2.1276595744680771</v>
      </c>
      <c r="T197" s="162">
        <f>IF(INDEX([1]Historical!$F$7:$F$1222,MATCH(B197,[1]Historical!$B$7:$B$1253,0))=0,"n/a",((INDEX([1]Historical!$C$7:$C$1231,MATCH(B197,[1]Historical!$B$7:$B$1253,0))/INDEX([1]Historical!$F$7:$F$1222,MATCH(B197,[1]Historical!$B$7:$B$1253,0)))^(1/3)-1)*100)</f>
        <v>5.3947861260881913</v>
      </c>
      <c r="U197" s="162">
        <f>IF(INDEX([1]Historical!$H$7:$H$1222,MATCH(B197,[1]Historical!$B$7:$B$1253,0))=0,"n/a",((INDEX([1]Historical!$C$7:$C$1231,MATCH(B197,[1]Historical!$B$7:$B$1253,0))/INDEX([1]Historical!$H$7:$H$1222,MATCH(B197,[1]Historical!$B$7:$B$1253,0)))^(1/5)-1)*100)</f>
        <v>6.5208537533447908</v>
      </c>
      <c r="V197" s="162">
        <f>IF(INDEX([1]Historical!$N$7:$N$1222,MATCH(B197,[1]Historical!$B$7:$B$1253,0))=0,"n/a",((INDEX([1]Historical!$C$7:$C$1231,MATCH(B197,[1]Historical!$B$7:$B$1253,0))/INDEX([1]Historical!$N$7:$N$1222,MATCH(B197,[1]Historical!$B$7:$B$1253,0)))^(1/10)-1)*100)</f>
        <v>10.616603400821756</v>
      </c>
      <c r="W197" s="163">
        <f t="shared" si="39"/>
        <v>0.61421280490142993</v>
      </c>
      <c r="X197" s="164" t="str">
        <f t="shared" si="40"/>
        <v>n/a</v>
      </c>
      <c r="Y197" s="181"/>
      <c r="Z197" s="157">
        <f t="shared" si="41"/>
        <v>53.263707571801568</v>
      </c>
      <c r="AA197" s="166">
        <f t="shared" si="42"/>
        <v>41.010443864229764</v>
      </c>
      <c r="AB197" s="126">
        <v>12</v>
      </c>
      <c r="AC197" s="167">
        <v>3.83</v>
      </c>
      <c r="AD197" s="167">
        <v>3.27</v>
      </c>
      <c r="AE197" s="167">
        <v>3.23</v>
      </c>
      <c r="AF197" s="167">
        <v>6.34</v>
      </c>
      <c r="AG197" s="167">
        <v>15.6</v>
      </c>
      <c r="AH197" s="167">
        <v>15.9</v>
      </c>
      <c r="AI197" s="167">
        <v>21.41</v>
      </c>
      <c r="AJ197" s="167">
        <v>-1.2</v>
      </c>
      <c r="AK197" s="167">
        <v>12.590000000000002</v>
      </c>
      <c r="AL197" s="168">
        <v>43650</v>
      </c>
      <c r="AM197" s="169">
        <v>0.1</v>
      </c>
      <c r="AN197" s="167">
        <v>1.24</v>
      </c>
      <c r="AO197" s="170">
        <f t="shared" si="43"/>
        <v>-33.190806129220746</v>
      </c>
      <c r="AP197" s="171">
        <f t="shared" si="44"/>
        <v>7.8196377350090174</v>
      </c>
      <c r="AQ197" s="172">
        <f t="shared" si="45"/>
        <v>239.93869649898591</v>
      </c>
      <c r="AR197" s="157">
        <f>INDEX([1]Historical!$C$7:$C$1231,MATCH(B197,[1]Historical!$B$7:$B$1253,0))*IF(AH197="n/a",1.03,IF(AH197&lt;0,1.01,IF(AH197&gt;10,1.1,(1+AH197/100))))</f>
        <v>2.1120000000000001</v>
      </c>
      <c r="AS197" s="166">
        <f t="shared" si="46"/>
        <v>2.3232000000000004</v>
      </c>
      <c r="AT197" s="166">
        <f t="shared" si="53"/>
        <v>2.5555200000000005</v>
      </c>
      <c r="AU197" s="166">
        <f t="shared" si="53"/>
        <v>2.8110720000000007</v>
      </c>
      <c r="AV197" s="166">
        <f t="shared" si="53"/>
        <v>3.0921792000000008</v>
      </c>
      <c r="AW197" s="157">
        <f t="shared" si="48"/>
        <v>12.893971200000001</v>
      </c>
      <c r="AX197" s="173">
        <f t="shared" si="49"/>
        <v>8.2090604189215011</v>
      </c>
      <c r="AY197" s="174">
        <v>1.03</v>
      </c>
      <c r="AZ197" s="169">
        <v>14.7</v>
      </c>
      <c r="BA197" s="169">
        <v>-34.260000000000005</v>
      </c>
      <c r="BB197" s="169">
        <v>0.9900000000000001</v>
      </c>
      <c r="BC197" s="169">
        <v>-6</v>
      </c>
      <c r="BE197" s="77">
        <v>1993</v>
      </c>
      <c r="BF197" s="77">
        <f t="shared" si="50"/>
        <v>3</v>
      </c>
      <c r="BG197" s="175">
        <v>5.4</v>
      </c>
      <c r="BH197" t="s">
        <v>939</v>
      </c>
      <c r="BI197" t="s">
        <v>940</v>
      </c>
    </row>
    <row r="198" spans="1:64" ht="11.25" customHeight="1" x14ac:dyDescent="0.2">
      <c r="A198" s="112" t="s">
        <v>1364</v>
      </c>
      <c r="B198" s="153" t="s">
        <v>244</v>
      </c>
      <c r="C198" s="154" t="s">
        <v>117</v>
      </c>
      <c r="D198" s="154" t="s">
        <v>953</v>
      </c>
      <c r="E198" s="155">
        <v>48</v>
      </c>
      <c r="F198" s="298">
        <v>49</v>
      </c>
      <c r="G198" s="298" t="s">
        <v>30</v>
      </c>
      <c r="H198" s="298" t="s">
        <v>104</v>
      </c>
      <c r="I198" s="167">
        <v>87.96</v>
      </c>
      <c r="J198" s="157">
        <f t="shared" si="36"/>
        <v>3.5925420645748072</v>
      </c>
      <c r="K198" s="158">
        <v>0.79</v>
      </c>
      <c r="L198" s="126">
        <v>4</v>
      </c>
      <c r="M198" s="82">
        <f t="shared" si="37"/>
        <v>3.16</v>
      </c>
      <c r="N198" s="159" t="s">
        <v>167</v>
      </c>
      <c r="O198" s="160">
        <v>0.77500000000000002</v>
      </c>
      <c r="P198" s="161">
        <v>44607</v>
      </c>
      <c r="Q198" s="161">
        <v>44635</v>
      </c>
      <c r="R198" s="82">
        <f t="shared" si="38"/>
        <v>1.9354838709677438</v>
      </c>
      <c r="S198" s="162">
        <f>IF(INDEX([1]Historical!$D$7:$D$1229,MATCH(B198,[1]Historical!$B$7:$B$1253,0))=0,"n/a",(INDEX([1]Historical!$C$7:$C$1231,MATCH(B198,[1]Historical!$B$7:$B$1253,0))/INDEX([1]Historical!$D$7:$D$1229,MATCH(B198,[1]Historical!$B$7:$B$1253,0))-1)*100)</f>
        <v>1.3071895424836555</v>
      </c>
      <c r="T198" s="162">
        <f>IF(INDEX([1]Historical!$F$7:$F$1222,MATCH(B198,[1]Historical!$B$7:$B$1253,0))=0,"n/a",((INDEX([1]Historical!$C$7:$C$1231,MATCH(B198,[1]Historical!$B$7:$B$1253,0))/INDEX([1]Historical!$F$7:$F$1222,MATCH(B198,[1]Historical!$B$7:$B$1253,0)))^(1/3)-1)*100)</f>
        <v>2.7224147974898694</v>
      </c>
      <c r="U198" s="162">
        <f>IF(INDEX([1]Historical!$H$7:$H$1222,MATCH(B198,[1]Historical!$B$7:$B$1253,0))=0,"n/a",((INDEX([1]Historical!$C$7:$C$1231,MATCH(B198,[1]Historical!$B$7:$B$1253,0))/INDEX([1]Historical!$H$7:$H$1222,MATCH(B198,[1]Historical!$B$7:$B$1253,0)))^(1/5)-1)*100)</f>
        <v>2.9545109465493713</v>
      </c>
      <c r="V198" s="162">
        <f>IF(INDEX([1]Historical!$N$7:$N$1222,MATCH(B198,[1]Historical!$B$7:$B$1253,0))=0,"n/a",((INDEX([1]Historical!$C$7:$C$1231,MATCH(B198,[1]Historical!$B$7:$B$1253,0))/INDEX([1]Historical!$N$7:$N$1222,MATCH(B198,[1]Historical!$B$7:$B$1253,0)))^(1/10)-1)*100)</f>
        <v>2.5923658862717858</v>
      </c>
      <c r="W198" s="163">
        <f t="shared" si="39"/>
        <v>1.1396967388729238</v>
      </c>
      <c r="X198" s="164" t="str">
        <f t="shared" si="40"/>
        <v>n/a</v>
      </c>
      <c r="Y198" s="153"/>
      <c r="Z198" s="157">
        <f t="shared" si="41"/>
        <v>69.146608315098462</v>
      </c>
      <c r="AA198" s="166">
        <f t="shared" si="42"/>
        <v>19.247264770240697</v>
      </c>
      <c r="AB198" s="126">
        <v>12</v>
      </c>
      <c r="AC198" s="167">
        <v>4.57</v>
      </c>
      <c r="AD198" s="167">
        <v>3.93</v>
      </c>
      <c r="AE198" s="167">
        <v>2.11</v>
      </c>
      <c r="AF198" s="167">
        <v>1.54</v>
      </c>
      <c r="AG198" s="167">
        <v>8</v>
      </c>
      <c r="AH198" s="167">
        <v>17.5</v>
      </c>
      <c r="AI198" s="167">
        <v>6.5500000000000007</v>
      </c>
      <c r="AJ198" s="167">
        <v>-1.4000000000000001</v>
      </c>
      <c r="AK198" s="167">
        <v>4.93</v>
      </c>
      <c r="AL198" s="168">
        <v>30640</v>
      </c>
      <c r="AM198" s="169">
        <v>0.1</v>
      </c>
      <c r="AN198" s="167">
        <v>1.24</v>
      </c>
      <c r="AO198" s="170">
        <f t="shared" si="43"/>
        <v>-12.700211759116518</v>
      </c>
      <c r="AP198" s="171">
        <f t="shared" si="44"/>
        <v>6.5470530111241789</v>
      </c>
      <c r="AQ198" s="172">
        <f t="shared" si="45"/>
        <v>14.776667675719368</v>
      </c>
      <c r="AR198" s="157">
        <f>INDEX([1]Historical!$C$7:$C$1231,MATCH(B198,[1]Historical!$B$7:$B$1253,0))*IF(AH198="n/a",1.03,IF(AH198&lt;0,1.01,IF(AH198&gt;10,1.1,(1+AH198/100))))</f>
        <v>3.4100000000000006</v>
      </c>
      <c r="AS198" s="166">
        <f t="shared" si="46"/>
        <v>3.6333550000000012</v>
      </c>
      <c r="AT198" s="166">
        <f t="shared" si="53"/>
        <v>3.812479401500001</v>
      </c>
      <c r="AU198" s="166">
        <f t="shared" si="53"/>
        <v>4.0004346359939502</v>
      </c>
      <c r="AV198" s="166">
        <f t="shared" si="53"/>
        <v>4.1976560635484512</v>
      </c>
      <c r="AW198" s="157">
        <f t="shared" si="48"/>
        <v>19.053925101042402</v>
      </c>
      <c r="AX198" s="173">
        <f t="shared" si="49"/>
        <v>21.662033993909056</v>
      </c>
      <c r="AY198" s="174">
        <v>0.31</v>
      </c>
      <c r="AZ198" s="169">
        <v>17.080000000000002</v>
      </c>
      <c r="BA198" s="169">
        <v>-13.94</v>
      </c>
      <c r="BB198" s="169">
        <v>-4.4799999999999995</v>
      </c>
      <c r="BC198" s="169">
        <v>-4.62</v>
      </c>
      <c r="BE198" s="77">
        <v>1975</v>
      </c>
      <c r="BF198" s="77">
        <f t="shared" si="50"/>
        <v>5</v>
      </c>
      <c r="BG198" s="175">
        <v>2.5</v>
      </c>
      <c r="BH198" t="s">
        <v>939</v>
      </c>
      <c r="BI198" t="s">
        <v>940</v>
      </c>
    </row>
    <row r="199" spans="1:64" ht="11.25" customHeight="1" x14ac:dyDescent="0.2">
      <c r="A199" s="205" t="s">
        <v>1046</v>
      </c>
      <c r="B199" s="153" t="s">
        <v>1047</v>
      </c>
      <c r="C199" s="154" t="s">
        <v>90</v>
      </c>
      <c r="D199" s="154" t="s">
        <v>969</v>
      </c>
      <c r="E199" s="155">
        <v>8</v>
      </c>
      <c r="F199" s="298">
        <v>599</v>
      </c>
      <c r="G199" s="298" t="s">
        <v>88</v>
      </c>
      <c r="H199" s="298" t="s">
        <v>88</v>
      </c>
      <c r="I199" s="156">
        <v>53.47</v>
      </c>
      <c r="J199" s="157">
        <f t="shared" ref="J199:J262" si="54">(M199/I199)*100</f>
        <v>1.7953992893211146</v>
      </c>
      <c r="K199" s="158">
        <v>0.24</v>
      </c>
      <c r="L199" s="126">
        <v>4</v>
      </c>
      <c r="M199" s="82">
        <f t="shared" ref="M199:M262" si="55">K199*L199</f>
        <v>0.96</v>
      </c>
      <c r="N199" s="159" t="s">
        <v>119</v>
      </c>
      <c r="O199" s="160">
        <v>0.23</v>
      </c>
      <c r="P199" s="161">
        <v>44909</v>
      </c>
      <c r="Q199" s="161">
        <v>44925</v>
      </c>
      <c r="R199" s="82">
        <f t="shared" ref="R199:R262" si="56">(K199-O199)/O199*100</f>
        <v>4.3478260869565135</v>
      </c>
      <c r="S199" s="162">
        <f>IF(INDEX([1]Historical!$D$7:$D$1229,MATCH(B199,[1]Historical!$B$7:$B$1253,0))=0,"n/a",(INDEX([1]Historical!$C$7:$C$1231,MATCH(B199,[1]Historical!$B$7:$B$1253,0))/INDEX([1]Historical!$D$7:$D$1229,MATCH(B199,[1]Historical!$B$7:$B$1253,0))-1)*100)</f>
        <v>4.1666666666666741</v>
      </c>
      <c r="T199" s="162">
        <f>IF(INDEX([1]Historical!$F$7:$F$1222,MATCH(B199,[1]Historical!$B$7:$B$1253,0))=0,"n/a",((INDEX([1]Historical!$C$7:$C$1231,MATCH(B199,[1]Historical!$B$7:$B$1253,0))/INDEX([1]Historical!$F$7:$F$1222,MATCH(B199,[1]Historical!$B$7:$B$1253,0)))^(1/3)-1)*100)</f>
        <v>16.856928897683865</v>
      </c>
      <c r="U199" s="162">
        <f>IF(INDEX([1]Historical!$H$7:$H$1222,MATCH(B199,[1]Historical!$B$7:$B$1253,0))=0,"n/a",((INDEX([1]Historical!$C$7:$C$1231,MATCH(B199,[1]Historical!$B$7:$B$1253,0))/INDEX([1]Historical!$H$7:$H$1222,MATCH(B199,[1]Historical!$B$7:$B$1253,0)))^(1/5)-1)*100)</f>
        <v>12.838026357723686</v>
      </c>
      <c r="V199" s="162">
        <f>IF(INDEX([1]Historical!$N$7:$N$1222,MATCH(B199,[1]Historical!$B$7:$B$1253,0))=0,"n/a",((INDEX([1]Historical!$C$7:$C$1231,MATCH(B199,[1]Historical!$B$7:$B$1253,0))/INDEX([1]Historical!$N$7:$N$1222,MATCH(B199,[1]Historical!$B$7:$B$1253,0)))^(1/10)-1)*100)</f>
        <v>13.575379559642652</v>
      </c>
      <c r="W199" s="163">
        <f t="shared" ref="W199:W262" si="57">IF(OR(U199&lt;=0,U199="n/a",V199&lt;=0,V199="n/a"),"n/a",U199/V199)</f>
        <v>0.94568452405478265</v>
      </c>
      <c r="X199" s="164">
        <f t="shared" ref="X199:X262" si="58">IF(OR(AJ199&lt;=0,AJ199="n/a",U199&lt;=0,U199="n/a"),"n/a",U199/AJ199)</f>
        <v>1.2967703391640086</v>
      </c>
      <c r="Y199" s="178"/>
      <c r="Z199" s="157">
        <f t="shared" ref="Z199:Z262" si="59">IF(OR(AC199&lt;0.01,AC199="n/a"),"n/a",M199/AC199*100)</f>
        <v>18.972332015810277</v>
      </c>
      <c r="AA199" s="166">
        <f t="shared" ref="AA199:AA262" si="60">IF(OR(AC199&lt;0.01,AC199="n/a"),"n/a",I199/AC199)</f>
        <v>10.567193675889328</v>
      </c>
      <c r="AB199" s="126">
        <v>12</v>
      </c>
      <c r="AC199" s="167">
        <v>5.0599999999999996</v>
      </c>
      <c r="AD199" s="167">
        <v>1.17</v>
      </c>
      <c r="AE199" s="167">
        <v>4.1500000000000004</v>
      </c>
      <c r="AF199" s="167">
        <v>1.44</v>
      </c>
      <c r="AG199" s="167">
        <v>10.5</v>
      </c>
      <c r="AH199" s="167">
        <v>39.900000000000006</v>
      </c>
      <c r="AI199" s="167">
        <v>9.1999999999999993</v>
      </c>
      <c r="AJ199" s="167">
        <v>9.9</v>
      </c>
      <c r="AK199" s="167">
        <v>9</v>
      </c>
      <c r="AL199" s="168">
        <v>1930</v>
      </c>
      <c r="AM199" s="169">
        <v>2.2999999999999998</v>
      </c>
      <c r="AN199" s="167">
        <v>0.11</v>
      </c>
      <c r="AO199" s="170">
        <f t="shared" ref="AO199:AO262" si="61">IF(U199="n/a","n/a",IF(AA199&lt;0,"n/a",IF(AA199="n/a","n/a",J199+U199-AA199)))</f>
        <v>4.0662319711554726</v>
      </c>
      <c r="AP199" s="171">
        <f t="shared" ref="AP199:AP262" si="62">IF(U199="n/a","n/a",J199+U199)</f>
        <v>14.633425647044801</v>
      </c>
      <c r="AQ199" s="172">
        <f t="shared" ref="AQ199:AQ262" si="63">IF(OR(AC199&lt;0.01,AC199="n/a",AF199="n/a"),"n/a",(I199/SQRT(22.5*AC199*(I199/AF199))-1)*100)</f>
        <v>-17.762514918261452</v>
      </c>
      <c r="AR199" s="157">
        <f>INDEX([1]Historical!$C$7:$C$1231,MATCH(B199,[1]Historical!$B$7:$B$1253,0))*IF(AH199="n/a",1.03,IF(AH199&lt;0,1.01,IF(AH199&gt;10,1.1,(1+AH199/100))))</f>
        <v>0.82500000000000007</v>
      </c>
      <c r="AS199" s="166">
        <f t="shared" ref="AS199:AS262" si="64">IF($AI199="n/a",1.03*AR199,IF($AI199&lt;0,1.01*AR199,IF($AI199&gt;10,1.1*AR199,(1+$AI199/100)*AR199)))</f>
        <v>0.90090000000000015</v>
      </c>
      <c r="AT199" s="166">
        <f t="shared" ref="AT199:AV214" si="65">IF($AK199="n/a",1.03*AS199,IF($AK199&lt;0,1.01*AS199,IF($AK199&gt;10,1.1*AS199,(1+$AK199/100)*AS199)))</f>
        <v>0.98198100000000021</v>
      </c>
      <c r="AU199" s="166">
        <f t="shared" si="65"/>
        <v>1.0703592900000003</v>
      </c>
      <c r="AV199" s="166">
        <f t="shared" si="65"/>
        <v>1.1666916261000004</v>
      </c>
      <c r="AW199" s="157">
        <f t="shared" ref="AW199:AW262" si="66">SUM(AR199:AV199)</f>
        <v>4.9449319161000016</v>
      </c>
      <c r="AX199" s="173">
        <f t="shared" ref="AX199:AX262" si="67">AW199/I199*100</f>
        <v>9.2480492165700419</v>
      </c>
      <c r="AY199" s="174">
        <v>1.17</v>
      </c>
      <c r="AZ199" s="169">
        <v>34.910000000000004</v>
      </c>
      <c r="BA199" s="169">
        <v>-0.16999999999999998</v>
      </c>
      <c r="BB199" s="169">
        <v>13.919999999999998</v>
      </c>
      <c r="BC199" s="169">
        <v>15.27</v>
      </c>
      <c r="BE199" s="77">
        <v>2015</v>
      </c>
      <c r="BF199" s="77">
        <f t="shared" ref="BF199:BF262" si="68">IF(BE199&gt;2020,0,IF(BE199&gt;2008,1,IF(BE199&gt;2001,2,IF(BE199&gt;1990,3,IF(BE199&gt;1980,4,IF(BE199&gt;1973,5,IF(BE199&gt;1970,6,IF(BE199&gt;1960,7,IF(BE199&gt;1958,8,IF(BE199&gt;1953,9,10))))))))))</f>
        <v>1</v>
      </c>
      <c r="BG199" s="175">
        <v>1.0999999999999999</v>
      </c>
      <c r="BH199" t="s">
        <v>939</v>
      </c>
      <c r="BI199" t="s">
        <v>940</v>
      </c>
      <c r="BJ199" s="112"/>
      <c r="BK199" s="112"/>
      <c r="BL199" s="112"/>
    </row>
    <row r="200" spans="1:64" ht="11.25" customHeight="1" x14ac:dyDescent="0.2">
      <c r="A200" s="176" t="s">
        <v>1365</v>
      </c>
      <c r="B200" s="153" t="s">
        <v>267</v>
      </c>
      <c r="C200" s="154" t="s">
        <v>90</v>
      </c>
      <c r="D200" s="154" t="s">
        <v>969</v>
      </c>
      <c r="E200" s="155">
        <v>36</v>
      </c>
      <c r="F200" s="298">
        <v>79</v>
      </c>
      <c r="G200" s="298" t="s">
        <v>88</v>
      </c>
      <c r="H200" s="298" t="s">
        <v>88</v>
      </c>
      <c r="I200" s="156">
        <v>36.5</v>
      </c>
      <c r="J200" s="157">
        <f t="shared" si="54"/>
        <v>3.2876712328767121</v>
      </c>
      <c r="K200" s="158">
        <v>0.3</v>
      </c>
      <c r="L200" s="126">
        <v>4</v>
      </c>
      <c r="M200" s="82">
        <f t="shared" si="55"/>
        <v>1.2</v>
      </c>
      <c r="N200" s="159" t="s">
        <v>268</v>
      </c>
      <c r="O200" s="160">
        <v>0.28999999999999998</v>
      </c>
      <c r="P200" s="161">
        <v>44869</v>
      </c>
      <c r="Q200" s="161">
        <v>44886</v>
      </c>
      <c r="R200" s="82">
        <f t="shared" si="56"/>
        <v>3.4482758620689689</v>
      </c>
      <c r="S200" s="162">
        <f>IF(INDEX([1]Historical!$D$7:$D$1229,MATCH(B200,[1]Historical!$B$7:$B$1253,0))=0,"n/a",(INDEX([1]Historical!$C$7:$C$1231,MATCH(B200,[1]Historical!$B$7:$B$1253,0))/INDEX([1]Historical!$D$7:$D$1229,MATCH(B200,[1]Historical!$B$7:$B$1253,0))-1)*100)</f>
        <v>5.7692307692307709</v>
      </c>
      <c r="T200" s="162">
        <f>IF(INDEX([1]Historical!$F$7:$F$1222,MATCH(B200,[1]Historical!$B$7:$B$1253,0))=0,"n/a",((INDEX([1]Historical!$C$7:$C$1231,MATCH(B200,[1]Historical!$B$7:$B$1253,0))/INDEX([1]Historical!$F$7:$F$1222,MATCH(B200,[1]Historical!$B$7:$B$1253,0)))^(1/3)-1)*100)</f>
        <v>5.3792113089372373</v>
      </c>
      <c r="U200" s="162">
        <f>IF(INDEX([1]Historical!$H$7:$H$1222,MATCH(B200,[1]Historical!$B$7:$B$1253,0))=0,"n/a",((INDEX([1]Historical!$C$7:$C$1231,MATCH(B200,[1]Historical!$B$7:$B$1253,0))/INDEX([1]Historical!$H$7:$H$1222,MATCH(B200,[1]Historical!$B$7:$B$1253,0)))^(1/5)-1)*100)</f>
        <v>6.0512438341298491</v>
      </c>
      <c r="V200" s="162">
        <f>IF(INDEX([1]Historical!$N$7:$N$1222,MATCH(B200,[1]Historical!$B$7:$B$1253,0))=0,"n/a",((INDEX([1]Historical!$C$7:$C$1231,MATCH(B200,[1]Historical!$B$7:$B$1253,0))/INDEX([1]Historical!$N$7:$N$1222,MATCH(B200,[1]Historical!$B$7:$B$1253,0)))^(1/10)-1)*100)</f>
        <v>4.329234031341489</v>
      </c>
      <c r="W200" s="163">
        <f t="shared" si="57"/>
        <v>1.3977631586377337</v>
      </c>
      <c r="X200" s="164" t="str">
        <f t="shared" si="58"/>
        <v>n/a</v>
      </c>
      <c r="Y200" s="180"/>
      <c r="Z200" s="157" t="str">
        <f t="shared" si="59"/>
        <v>n/a</v>
      </c>
      <c r="AA200" s="166" t="str">
        <f t="shared" si="60"/>
        <v>n/a</v>
      </c>
      <c r="AB200" s="126">
        <v>12</v>
      </c>
      <c r="AC200" s="167" t="s">
        <v>95</v>
      </c>
      <c r="AD200" s="167" t="s">
        <v>95</v>
      </c>
      <c r="AE200" s="167" t="s">
        <v>95</v>
      </c>
      <c r="AF200" s="167" t="s">
        <v>95</v>
      </c>
      <c r="AG200" s="167" t="s">
        <v>95</v>
      </c>
      <c r="AH200" s="167" t="s">
        <v>95</v>
      </c>
      <c r="AI200" s="167" t="s">
        <v>95</v>
      </c>
      <c r="AJ200" s="167" t="s">
        <v>95</v>
      </c>
      <c r="AK200" s="167" t="s">
        <v>95</v>
      </c>
      <c r="AL200" s="168" t="s">
        <v>95</v>
      </c>
      <c r="AM200" s="169" t="s">
        <v>95</v>
      </c>
      <c r="AN200" s="167" t="s">
        <v>95</v>
      </c>
      <c r="AO200" s="170" t="str">
        <f t="shared" si="61"/>
        <v>n/a</v>
      </c>
      <c r="AP200" s="171">
        <f t="shared" si="62"/>
        <v>9.3389150670065604</v>
      </c>
      <c r="AQ200" s="172" t="str">
        <f t="shared" si="63"/>
        <v>n/a</v>
      </c>
      <c r="AR200" s="157">
        <f>INDEX([1]Historical!$C$7:$C$1231,MATCH(B200,[1]Historical!$B$7:$B$1253,0))*IF(AH200="n/a",1.03,IF(AH200&lt;0,1.01,IF(AH200&gt;10,1.1,(1+AH200/100))))</f>
        <v>1.1330000000000002</v>
      </c>
      <c r="AS200" s="166">
        <f t="shared" si="64"/>
        <v>1.1669900000000002</v>
      </c>
      <c r="AT200" s="166">
        <f t="shared" si="65"/>
        <v>1.2019997000000002</v>
      </c>
      <c r="AU200" s="166">
        <f t="shared" si="65"/>
        <v>1.2380596910000004</v>
      </c>
      <c r="AV200" s="166">
        <f t="shared" si="65"/>
        <v>1.2752014817300004</v>
      </c>
      <c r="AW200" s="157">
        <f t="shared" si="66"/>
        <v>6.0152508727300003</v>
      </c>
      <c r="AX200" s="173">
        <f t="shared" si="67"/>
        <v>16.480139377342468</v>
      </c>
      <c r="AY200" s="174" t="s">
        <v>95</v>
      </c>
      <c r="AZ200" s="169" t="s">
        <v>95</v>
      </c>
      <c r="BA200" s="169" t="s">
        <v>95</v>
      </c>
      <c r="BB200" s="169" t="s">
        <v>95</v>
      </c>
      <c r="BC200" s="169" t="s">
        <v>95</v>
      </c>
      <c r="BD200" s="100" t="s">
        <v>932</v>
      </c>
      <c r="BE200" s="77">
        <v>1987</v>
      </c>
      <c r="BF200" s="77">
        <f t="shared" si="68"/>
        <v>4</v>
      </c>
      <c r="BG200" s="175" t="s">
        <v>95</v>
      </c>
      <c r="BH200" t="s">
        <v>939</v>
      </c>
      <c r="BI200" t="s">
        <v>940</v>
      </c>
    </row>
    <row r="201" spans="1:64" ht="11.25" customHeight="1" x14ac:dyDescent="0.2">
      <c r="A201" s="176" t="s">
        <v>1366</v>
      </c>
      <c r="B201" s="153" t="s">
        <v>755</v>
      </c>
      <c r="C201" s="154" t="s">
        <v>947</v>
      </c>
      <c r="D201" s="154" t="s">
        <v>948</v>
      </c>
      <c r="E201" s="155">
        <v>11</v>
      </c>
      <c r="F201" s="298">
        <v>440</v>
      </c>
      <c r="G201" s="298" t="s">
        <v>88</v>
      </c>
      <c r="H201" s="298" t="s">
        <v>88</v>
      </c>
      <c r="I201" s="156">
        <v>156.69</v>
      </c>
      <c r="J201" s="157">
        <f t="shared" si="54"/>
        <v>3.1910141042823406</v>
      </c>
      <c r="K201" s="158">
        <v>1.25</v>
      </c>
      <c r="L201" s="126">
        <v>4</v>
      </c>
      <c r="M201" s="82">
        <f t="shared" si="55"/>
        <v>5</v>
      </c>
      <c r="N201" s="159" t="s">
        <v>628</v>
      </c>
      <c r="O201" s="160">
        <v>1.1000000000000001</v>
      </c>
      <c r="P201" s="161">
        <v>44833</v>
      </c>
      <c r="Q201" s="161">
        <v>44848</v>
      </c>
      <c r="R201" s="82">
        <f t="shared" si="56"/>
        <v>13.636363636363628</v>
      </c>
      <c r="S201" s="162">
        <f>IF(INDEX([1]Historical!$D$7:$D$1229,MATCH(B201,[1]Historical!$B$7:$B$1253,0))=0,"n/a",(INDEX([1]Historical!$C$7:$C$1231,MATCH(B201,[1]Historical!$B$7:$B$1253,0))/INDEX([1]Historical!$D$7:$D$1229,MATCH(B201,[1]Historical!$B$7:$B$1253,0))-1)*100)</f>
        <v>7.5657894736842035</v>
      </c>
      <c r="T201" s="162">
        <f>IF(INDEX([1]Historical!$F$7:$F$1222,MATCH(B201,[1]Historical!$B$7:$B$1253,0))=0,"n/a",((INDEX([1]Historical!$C$7:$C$1231,MATCH(B201,[1]Historical!$B$7:$B$1253,0))/INDEX([1]Historical!$F$7:$F$1222,MATCH(B201,[1]Historical!$B$7:$B$1253,0)))^(1/3)-1)*100)</f>
        <v>7.3943107964647314</v>
      </c>
      <c r="U201" s="162">
        <f>IF(INDEX([1]Historical!$H$7:$H$1222,MATCH(B201,[1]Historical!$B$7:$B$1253,0))=0,"n/a",((INDEX([1]Historical!$C$7:$C$1231,MATCH(B201,[1]Historical!$B$7:$B$1253,0))/INDEX([1]Historical!$H$7:$H$1222,MATCH(B201,[1]Historical!$B$7:$B$1253,0)))^(1/5)-1)*100)</f>
        <v>6.030689427453173</v>
      </c>
      <c r="V201" s="162">
        <f>IF(INDEX([1]Historical!$N$7:$N$1222,MATCH(B201,[1]Historical!$B$7:$B$1253,0))=0,"n/a",((INDEX([1]Historical!$C$7:$C$1231,MATCH(B201,[1]Historical!$B$7:$B$1253,0))/INDEX([1]Historical!$N$7:$N$1222,MATCH(B201,[1]Historical!$B$7:$B$1253,0)))^(1/10)-1)*100)</f>
        <v>4.6281248080960014</v>
      </c>
      <c r="W201" s="163">
        <f t="shared" si="57"/>
        <v>1.3030524623933344</v>
      </c>
      <c r="X201" s="164">
        <f t="shared" si="58"/>
        <v>1.0221507504157921</v>
      </c>
      <c r="Y201" s="214"/>
      <c r="Z201" s="157">
        <f t="shared" si="59"/>
        <v>95.238095238095227</v>
      </c>
      <c r="AA201" s="166">
        <f t="shared" si="60"/>
        <v>29.845714285714287</v>
      </c>
      <c r="AB201" s="126">
        <v>12</v>
      </c>
      <c r="AC201" s="167">
        <v>5.25</v>
      </c>
      <c r="AD201" s="167">
        <v>3.86</v>
      </c>
      <c r="AE201" s="167">
        <v>14.36</v>
      </c>
      <c r="AF201" s="167">
        <v>3.41</v>
      </c>
      <c r="AG201" s="167">
        <v>12.2</v>
      </c>
      <c r="AH201" s="167">
        <v>41.5</v>
      </c>
      <c r="AI201" s="167">
        <v>-14.860000000000001</v>
      </c>
      <c r="AJ201" s="167">
        <v>5.8999999999999995</v>
      </c>
      <c r="AK201" s="167">
        <v>7.7</v>
      </c>
      <c r="AL201" s="168">
        <v>6670</v>
      </c>
      <c r="AM201" s="169">
        <v>0.4</v>
      </c>
      <c r="AN201" s="167">
        <v>0.85</v>
      </c>
      <c r="AO201" s="170">
        <f t="shared" si="61"/>
        <v>-20.624010753978773</v>
      </c>
      <c r="AP201" s="171">
        <f t="shared" si="62"/>
        <v>9.221703531735514</v>
      </c>
      <c r="AQ201" s="172">
        <f t="shared" si="63"/>
        <v>112.68013093666767</v>
      </c>
      <c r="AR201" s="157">
        <f>INDEX([1]Historical!$C$7:$C$1231,MATCH(B201,[1]Historical!$B$7:$B$1253,0))*IF(AH201="n/a",1.03,IF(AH201&lt;0,1.01,IF(AH201&gt;10,1.1,(1+AH201/100))))</f>
        <v>3.5970000000000004</v>
      </c>
      <c r="AS201" s="166">
        <f t="shared" si="64"/>
        <v>3.6329700000000003</v>
      </c>
      <c r="AT201" s="166">
        <f t="shared" si="65"/>
        <v>3.9127086900000001</v>
      </c>
      <c r="AU201" s="166">
        <f t="shared" si="65"/>
        <v>4.2139872591299996</v>
      </c>
      <c r="AV201" s="166">
        <f t="shared" si="65"/>
        <v>4.5384642780830093</v>
      </c>
      <c r="AW201" s="157">
        <f t="shared" si="66"/>
        <v>19.895130227213009</v>
      </c>
      <c r="AX201" s="173">
        <f t="shared" si="67"/>
        <v>12.697128232314128</v>
      </c>
      <c r="AY201" s="174">
        <v>0.92</v>
      </c>
      <c r="AZ201" s="169">
        <v>13.98</v>
      </c>
      <c r="BA201" s="169">
        <v>-31.830000000000002</v>
      </c>
      <c r="BB201" s="169">
        <v>1.28</v>
      </c>
      <c r="BC201" s="169">
        <v>-9.89</v>
      </c>
      <c r="BE201" s="77">
        <v>2012</v>
      </c>
      <c r="BF201" s="77">
        <f t="shared" si="68"/>
        <v>1</v>
      </c>
      <c r="BG201" s="175">
        <v>6.1</v>
      </c>
      <c r="BH201" t="s">
        <v>939</v>
      </c>
      <c r="BI201" t="s">
        <v>945</v>
      </c>
    </row>
    <row r="202" spans="1:64" ht="11.25" customHeight="1" x14ac:dyDescent="0.2">
      <c r="A202" s="176" t="s">
        <v>273</v>
      </c>
      <c r="B202" s="153" t="s">
        <v>274</v>
      </c>
      <c r="C202" s="154" t="s">
        <v>117</v>
      </c>
      <c r="D202" s="154" t="s">
        <v>957</v>
      </c>
      <c r="E202" s="155">
        <v>19</v>
      </c>
      <c r="F202" s="298">
        <v>188</v>
      </c>
      <c r="G202" s="298" t="s">
        <v>30</v>
      </c>
      <c r="H202" s="298" t="s">
        <v>30</v>
      </c>
      <c r="I202" s="156">
        <v>60.04</v>
      </c>
      <c r="J202" s="157">
        <f t="shared" si="54"/>
        <v>4.6635576282478342</v>
      </c>
      <c r="K202" s="158">
        <v>0.7</v>
      </c>
      <c r="L202" s="126">
        <v>4</v>
      </c>
      <c r="M202" s="82">
        <f t="shared" si="55"/>
        <v>2.8</v>
      </c>
      <c r="N202" s="159" t="s">
        <v>190</v>
      </c>
      <c r="O202" s="160">
        <v>0.66249999999999998</v>
      </c>
      <c r="P202" s="161">
        <v>44560</v>
      </c>
      <c r="Q202" s="161">
        <v>44592</v>
      </c>
      <c r="R202" s="82">
        <f t="shared" si="56"/>
        <v>5.660377358490563</v>
      </c>
      <c r="S202" s="162">
        <f>IF(INDEX([1]Historical!$D$7:$D$1229,MATCH(B202,[1]Historical!$B$7:$B$1253,0))=0,"n/a",(INDEX([1]Historical!$C$7:$C$1231,MATCH(B202,[1]Historical!$B$7:$B$1253,0))/INDEX([1]Historical!$D$7:$D$1229,MATCH(B202,[1]Historical!$B$7:$B$1253,0))-1)*100)</f>
        <v>3.9215686274509887</v>
      </c>
      <c r="T202" s="162">
        <f>IF(INDEX([1]Historical!$F$7:$F$1222,MATCH(B202,[1]Historical!$B$7:$B$1253,0))=0,"n/a",((INDEX([1]Historical!$C$7:$C$1231,MATCH(B202,[1]Historical!$B$7:$B$1253,0))/INDEX([1]Historical!$F$7:$F$1222,MATCH(B202,[1]Historical!$B$7:$B$1253,0)))^(1/3)-1)*100)</f>
        <v>3.0726644161907402</v>
      </c>
      <c r="U202" s="162">
        <f>IF(INDEX([1]Historical!$H$7:$H$1222,MATCH(B202,[1]Historical!$B$7:$B$1253,0))=0,"n/a",((INDEX([1]Historical!$C$7:$C$1231,MATCH(B202,[1]Historical!$B$7:$B$1253,0))/INDEX([1]Historical!$H$7:$H$1222,MATCH(B202,[1]Historical!$B$7:$B$1253,0)))^(1/5)-1)*100)</f>
        <v>6.6568932108852064</v>
      </c>
      <c r="V202" s="162">
        <f>IF(INDEX([1]Historical!$N$7:$N$1222,MATCH(B202,[1]Historical!$B$7:$B$1253,0))=0,"n/a",((INDEX([1]Historical!$C$7:$C$1231,MATCH(B202,[1]Historical!$B$7:$B$1253,0))/INDEX([1]Historical!$N$7:$N$1222,MATCH(B202,[1]Historical!$B$7:$B$1253,0)))^(1/10)-1)*100)</f>
        <v>7.5483100243106893</v>
      </c>
      <c r="W202" s="163">
        <f t="shared" si="57"/>
        <v>0.88190511378646153</v>
      </c>
      <c r="X202" s="164" t="str">
        <f t="shared" si="58"/>
        <v>n/a</v>
      </c>
      <c r="Y202" s="181"/>
      <c r="Z202" s="157">
        <f t="shared" si="59"/>
        <v>210.52631578947367</v>
      </c>
      <c r="AA202" s="166">
        <f t="shared" si="60"/>
        <v>45.142857142857139</v>
      </c>
      <c r="AB202" s="126">
        <v>12</v>
      </c>
      <c r="AC202" s="167">
        <v>1.33</v>
      </c>
      <c r="AD202" s="167">
        <v>10.4</v>
      </c>
      <c r="AE202" s="167">
        <v>1.34</v>
      </c>
      <c r="AF202" s="167">
        <v>1.66</v>
      </c>
      <c r="AG202" s="167">
        <v>3.9</v>
      </c>
      <c r="AH202" s="179">
        <v>1.0999999999999999</v>
      </c>
      <c r="AI202" s="179">
        <v>6.93</v>
      </c>
      <c r="AJ202" s="167">
        <v>-12.7</v>
      </c>
      <c r="AK202" s="167">
        <v>4.3499999999999996</v>
      </c>
      <c r="AL202" s="168">
        <v>22270</v>
      </c>
      <c r="AM202" s="169">
        <v>0.09</v>
      </c>
      <c r="AN202" s="167">
        <v>2.12</v>
      </c>
      <c r="AO202" s="170">
        <f t="shared" si="61"/>
        <v>-33.822406303724094</v>
      </c>
      <c r="AP202" s="171">
        <f t="shared" si="62"/>
        <v>11.320450839133041</v>
      </c>
      <c r="AQ202" s="172">
        <f t="shared" si="63"/>
        <v>82.497662520364415</v>
      </c>
      <c r="AR202" s="157">
        <f>INDEX([1]Historical!$C$7:$C$1231,MATCH(B202,[1]Historical!$B$7:$B$1253,0))*IF(AH202="n/a",1.03,IF(AH202&lt;0,1.01,IF(AH202&gt;10,1.1,(1+AH202/100))))</f>
        <v>2.6791499999999995</v>
      </c>
      <c r="AS202" s="166">
        <f t="shared" si="64"/>
        <v>2.8648150949999991</v>
      </c>
      <c r="AT202" s="166">
        <f t="shared" si="65"/>
        <v>2.9894345516324994</v>
      </c>
      <c r="AU202" s="166">
        <f t="shared" si="65"/>
        <v>3.1194749546285134</v>
      </c>
      <c r="AV202" s="166">
        <f t="shared" si="65"/>
        <v>3.2551721151548541</v>
      </c>
      <c r="AW202" s="157">
        <f t="shared" si="66"/>
        <v>14.908046716415866</v>
      </c>
      <c r="AX202" s="173">
        <f t="shared" si="67"/>
        <v>24.830191066648677</v>
      </c>
      <c r="AY202" s="174">
        <v>0.74</v>
      </c>
      <c r="AZ202" s="169">
        <v>10.27</v>
      </c>
      <c r="BA202" s="169">
        <v>-18.11</v>
      </c>
      <c r="BB202" s="169">
        <v>-5.07</v>
      </c>
      <c r="BC202" s="169">
        <v>-7.8</v>
      </c>
      <c r="BE202" s="77">
        <v>2004</v>
      </c>
      <c r="BF202" s="77">
        <f t="shared" si="68"/>
        <v>2</v>
      </c>
      <c r="BG202" s="175">
        <v>0.70000000000000007</v>
      </c>
      <c r="BH202" t="s">
        <v>939</v>
      </c>
      <c r="BI202" t="s">
        <v>940</v>
      </c>
    </row>
    <row r="203" spans="1:64" ht="11.25" customHeight="1" x14ac:dyDescent="0.2">
      <c r="A203" s="176" t="s">
        <v>1367</v>
      </c>
      <c r="B203" s="153" t="s">
        <v>282</v>
      </c>
      <c r="C203" s="154" t="s">
        <v>947</v>
      </c>
      <c r="D203" s="154" t="s">
        <v>948</v>
      </c>
      <c r="E203" s="155">
        <v>18</v>
      </c>
      <c r="F203" s="298">
        <v>214</v>
      </c>
      <c r="G203" s="298" t="s">
        <v>30</v>
      </c>
      <c r="H203" s="298" t="s">
        <v>30</v>
      </c>
      <c r="I203" s="156">
        <v>63.96</v>
      </c>
      <c r="J203" s="157">
        <f t="shared" si="54"/>
        <v>2.5641025641025639</v>
      </c>
      <c r="K203" s="158">
        <v>0.41</v>
      </c>
      <c r="L203" s="126">
        <v>4</v>
      </c>
      <c r="M203" s="82">
        <f t="shared" si="55"/>
        <v>1.64</v>
      </c>
      <c r="N203" s="159" t="s">
        <v>634</v>
      </c>
      <c r="O203" s="226">
        <v>0.36249999999999999</v>
      </c>
      <c r="P203" s="161">
        <v>44644</v>
      </c>
      <c r="Q203" s="161">
        <v>44659</v>
      </c>
      <c r="R203" s="82">
        <f t="shared" si="56"/>
        <v>13.103448275862064</v>
      </c>
      <c r="S203" s="162">
        <f>IF(INDEX([1]Historical!$D$7:$D$1229,MATCH(B203,[1]Historical!$B$7:$B$1253,0))=0,"n/a",(INDEX([1]Historical!$C$7:$C$1231,MATCH(B203,[1]Historical!$B$7:$B$1253,0))/INDEX([1]Historical!$D$7:$D$1229,MATCH(B203,[1]Historical!$B$7:$B$1253,0))-1)*100)</f>
        <v>7.2164948453608213</v>
      </c>
      <c r="T203" s="162">
        <f>IF(INDEX([1]Historical!$F$7:$F$1222,MATCH(B203,[1]Historical!$B$7:$B$1253,0))=0,"n/a",((INDEX([1]Historical!$C$7:$C$1231,MATCH(B203,[1]Historical!$B$7:$B$1253,0))/INDEX([1]Historical!$F$7:$F$1222,MATCH(B203,[1]Historical!$B$7:$B$1253,0)))^(1/3)-1)*100)</f>
        <v>10.184230775050329</v>
      </c>
      <c r="U203" s="162">
        <f>IF(INDEX([1]Historical!$H$7:$H$1222,MATCH(B203,[1]Historical!$B$7:$B$1253,0))=0,"n/a",((INDEX([1]Historical!$C$7:$C$1231,MATCH(B203,[1]Historical!$B$7:$B$1253,0))/INDEX([1]Historical!$H$7:$H$1222,MATCH(B203,[1]Historical!$B$7:$B$1253,0)))^(1/5)-1)*100)</f>
        <v>11.628841548417412</v>
      </c>
      <c r="V203" s="162">
        <f>IF(INDEX([1]Historical!$N$7:$N$1222,MATCH(B203,[1]Historical!$B$7:$B$1253,0))=0,"n/a",((INDEX([1]Historical!$C$7:$C$1231,MATCH(B203,[1]Historical!$B$7:$B$1253,0))/INDEX([1]Historical!$N$7:$N$1222,MATCH(B203,[1]Historical!$B$7:$B$1253,0)))^(1/10)-1)*100)</f>
        <v>14.910077206406935</v>
      </c>
      <c r="W203" s="163">
        <f t="shared" si="57"/>
        <v>0.77993167891984094</v>
      </c>
      <c r="X203" s="164">
        <f t="shared" si="58"/>
        <v>1.6151168817246409</v>
      </c>
      <c r="Y203" s="218" t="s">
        <v>995</v>
      </c>
      <c r="Z203" s="157">
        <f t="shared" si="59"/>
        <v>115.49295774647888</v>
      </c>
      <c r="AA203" s="166">
        <f t="shared" si="60"/>
        <v>45.04225352112676</v>
      </c>
      <c r="AB203" s="126">
        <v>12</v>
      </c>
      <c r="AC203" s="167">
        <v>1.42</v>
      </c>
      <c r="AD203" s="167">
        <v>6.33</v>
      </c>
      <c r="AE203" s="167">
        <v>8.01</v>
      </c>
      <c r="AF203" s="167">
        <v>8.09</v>
      </c>
      <c r="AG203" s="167">
        <v>19.2</v>
      </c>
      <c r="AH203" s="167">
        <v>14.799999999999999</v>
      </c>
      <c r="AI203" s="167">
        <v>7.5</v>
      </c>
      <c r="AJ203" s="167">
        <v>7.1999999999999993</v>
      </c>
      <c r="AK203" s="167">
        <v>7.0000000000000009</v>
      </c>
      <c r="AL203" s="168">
        <v>11410</v>
      </c>
      <c r="AM203" s="169">
        <v>0.70000000000000007</v>
      </c>
      <c r="AN203" s="167">
        <v>2.2799999999999998</v>
      </c>
      <c r="AO203" s="170">
        <f t="shared" si="61"/>
        <v>-30.849309408606786</v>
      </c>
      <c r="AP203" s="171">
        <f t="shared" si="62"/>
        <v>14.192944112519976</v>
      </c>
      <c r="AQ203" s="172">
        <f t="shared" si="63"/>
        <v>302.43250972384067</v>
      </c>
      <c r="AR203" s="157">
        <f>INDEX([1]Historical!$C$7:$C$1231,MATCH(B203,[1]Historical!$B$7:$B$1253,0))*IF(AH203="n/a",1.03,IF(AH203&lt;0,1.01,IF(AH203&gt;10,1.1,(1+AH203/100))))</f>
        <v>1.573</v>
      </c>
      <c r="AS203" s="166">
        <f t="shared" si="64"/>
        <v>1.6909749999999999</v>
      </c>
      <c r="AT203" s="166">
        <f t="shared" si="65"/>
        <v>1.80934325</v>
      </c>
      <c r="AU203" s="166">
        <f t="shared" si="65"/>
        <v>1.9359972775000001</v>
      </c>
      <c r="AV203" s="166">
        <f t="shared" si="65"/>
        <v>2.0715170869250001</v>
      </c>
      <c r="AW203" s="157">
        <f t="shared" si="66"/>
        <v>9.0808326144250007</v>
      </c>
      <c r="AX203" s="173">
        <f t="shared" si="67"/>
        <v>14.197674506605692</v>
      </c>
      <c r="AY203" s="174">
        <v>0.62</v>
      </c>
      <c r="AZ203" s="169">
        <v>12.389999999999999</v>
      </c>
      <c r="BA203" s="169">
        <v>-27.889999999999997</v>
      </c>
      <c r="BB203" s="169">
        <v>-3.91</v>
      </c>
      <c r="BC203" s="169">
        <v>-12.24</v>
      </c>
      <c r="BE203" s="77">
        <v>2005</v>
      </c>
      <c r="BF203" s="77">
        <f t="shared" si="68"/>
        <v>2</v>
      </c>
      <c r="BG203" s="175">
        <v>5.2</v>
      </c>
      <c r="BH203" t="s">
        <v>939</v>
      </c>
      <c r="BI203" t="s">
        <v>945</v>
      </c>
    </row>
    <row r="204" spans="1:64" ht="11.25" customHeight="1" x14ac:dyDescent="0.2">
      <c r="A204" s="112" t="s">
        <v>1830</v>
      </c>
      <c r="B204" s="153" t="s">
        <v>1831</v>
      </c>
      <c r="C204" s="154" t="s">
        <v>137</v>
      </c>
      <c r="D204" s="154" t="s">
        <v>942</v>
      </c>
      <c r="E204" s="155">
        <v>12</v>
      </c>
      <c r="F204" s="298">
        <v>346</v>
      </c>
      <c r="G204" s="298" t="s">
        <v>88</v>
      </c>
      <c r="H204" s="298" t="s">
        <v>88</v>
      </c>
      <c r="I204" s="156">
        <v>546.77</v>
      </c>
      <c r="J204" s="157">
        <f t="shared" si="54"/>
        <v>0.93640836183404363</v>
      </c>
      <c r="K204" s="158">
        <v>1.28</v>
      </c>
      <c r="L204" s="126">
        <v>4</v>
      </c>
      <c r="M204" s="82">
        <f t="shared" si="55"/>
        <v>5.12</v>
      </c>
      <c r="N204" s="159" t="s">
        <v>319</v>
      </c>
      <c r="O204" s="160">
        <v>1.1299999999999999</v>
      </c>
      <c r="P204" s="161">
        <v>44629</v>
      </c>
      <c r="Q204" s="161">
        <v>44645</v>
      </c>
      <c r="R204" s="82">
        <f t="shared" si="56"/>
        <v>13.274336283185853</v>
      </c>
      <c r="S204" s="162">
        <f>IF(INDEX([1]Historical!$D$7:$D$1229,MATCH(B204,[1]Historical!$B$7:$B$1253,0))=0,"n/a",(INDEX([1]Historical!$C$7:$C$1231,MATCH(B204,[1]Historical!$B$7:$B$1253,0))/INDEX([1]Historical!$D$7:$D$1229,MATCH(B204,[1]Historical!$B$7:$B$1253,0))-1)*100)</f>
        <v>18.947368421052623</v>
      </c>
      <c r="T204" s="162">
        <f>IF(INDEX([1]Historical!$F$7:$F$1222,MATCH(B204,[1]Historical!$B$7:$B$1253,0))=0,"n/a",((INDEX([1]Historical!$C$7:$C$1231,MATCH(B204,[1]Historical!$B$7:$B$1253,0))/INDEX([1]Historical!$F$7:$F$1222,MATCH(B204,[1]Historical!$B$7:$B$1253,0)))^(1/3)-1)*100)</f>
        <v>14.640760928603601</v>
      </c>
      <c r="U204" s="162">
        <f>IF(INDEX([1]Historical!$H$7:$H$1222,MATCH(B204,[1]Historical!$B$7:$B$1253,0))=0,"n/a",((INDEX([1]Historical!$C$7:$C$1231,MATCH(B204,[1]Historical!$B$7:$B$1253,0))/INDEX([1]Historical!$H$7:$H$1222,MATCH(B204,[1]Historical!$B$7:$B$1253,0)))^(1/5)-1)*100)</f>
        <v>11.694816087134608</v>
      </c>
      <c r="V204" s="162">
        <f>IF(INDEX([1]Historical!$N$7:$N$1222,MATCH(B204,[1]Historical!$B$7:$B$1253,0))=0,"n/a",((INDEX([1]Historical!$C$7:$C$1231,MATCH(B204,[1]Historical!$B$7:$B$1253,0))/INDEX([1]Historical!$N$7:$N$1222,MATCH(B204,[1]Historical!$B$7:$B$1253,0)))^(1/10)-1)*100)</f>
        <v>16.282361633785158</v>
      </c>
      <c r="W204" s="163">
        <f t="shared" si="57"/>
        <v>0.7182506045602377</v>
      </c>
      <c r="X204" s="164">
        <f t="shared" si="58"/>
        <v>0.53645945353828473</v>
      </c>
      <c r="Y204" s="216"/>
      <c r="Z204" s="157">
        <f t="shared" si="59"/>
        <v>20.086308356218126</v>
      </c>
      <c r="AA204" s="166">
        <f t="shared" si="60"/>
        <v>21.450372695174579</v>
      </c>
      <c r="AB204" s="126">
        <v>12</v>
      </c>
      <c r="AC204" s="167">
        <v>25.49</v>
      </c>
      <c r="AD204" s="167">
        <v>1.8</v>
      </c>
      <c r="AE204" s="167">
        <v>0.83</v>
      </c>
      <c r="AF204" s="167">
        <v>3.62</v>
      </c>
      <c r="AG204" s="167">
        <v>17.299999999999997</v>
      </c>
      <c r="AH204" s="167">
        <v>37.6</v>
      </c>
      <c r="AI204" s="167">
        <v>12.620000000000001</v>
      </c>
      <c r="AJ204" s="167">
        <v>21.8</v>
      </c>
      <c r="AK204" s="167">
        <v>11.87</v>
      </c>
      <c r="AL204" s="168">
        <v>126960</v>
      </c>
      <c r="AM204" s="169">
        <v>0.22999999999999998</v>
      </c>
      <c r="AN204" s="167">
        <v>0.66</v>
      </c>
      <c r="AO204" s="170">
        <f t="shared" si="61"/>
        <v>-8.819148246205927</v>
      </c>
      <c r="AP204" s="171">
        <f t="shared" si="62"/>
        <v>12.631224448968652</v>
      </c>
      <c r="AQ204" s="172">
        <f t="shared" si="63"/>
        <v>85.772081572533352</v>
      </c>
      <c r="AR204" s="157">
        <f>INDEX([1]Historical!$C$7:$C$1231,MATCH(B204,[1]Historical!$B$7:$B$1253,0))*IF(AH204="n/a",1.03,IF(AH204&lt;0,1.01,IF(AH204&gt;10,1.1,(1+AH204/100))))</f>
        <v>4.9719999999999995</v>
      </c>
      <c r="AS204" s="166">
        <f t="shared" si="64"/>
        <v>5.4691999999999998</v>
      </c>
      <c r="AT204" s="166">
        <f t="shared" si="65"/>
        <v>6.0161199999999999</v>
      </c>
      <c r="AU204" s="166">
        <f t="shared" si="65"/>
        <v>6.6177320000000002</v>
      </c>
      <c r="AV204" s="166">
        <f t="shared" si="65"/>
        <v>7.2795052000000009</v>
      </c>
      <c r="AW204" s="157">
        <f t="shared" si="66"/>
        <v>30.354557200000002</v>
      </c>
      <c r="AX204" s="173">
        <f t="shared" si="67"/>
        <v>5.5516135120800341</v>
      </c>
      <c r="AY204" s="174">
        <v>0.92</v>
      </c>
      <c r="AZ204" s="169">
        <v>39.340000000000003</v>
      </c>
      <c r="BA204" s="169">
        <v>0.28999999999999998</v>
      </c>
      <c r="BB204" s="169">
        <v>13</v>
      </c>
      <c r="BC204" s="169">
        <v>14.06</v>
      </c>
      <c r="BE204" s="77">
        <v>2011</v>
      </c>
      <c r="BF204" s="77">
        <f t="shared" si="68"/>
        <v>1</v>
      </c>
      <c r="BG204" s="175">
        <v>6.2</v>
      </c>
      <c r="BH204" t="s">
        <v>939</v>
      </c>
      <c r="BI204" t="s">
        <v>940</v>
      </c>
    </row>
    <row r="205" spans="1:64" s="252" customFormat="1" ht="11.25" customHeight="1" x14ac:dyDescent="0.2">
      <c r="A205" s="208" t="s">
        <v>1368</v>
      </c>
      <c r="B205" s="184" t="s">
        <v>532</v>
      </c>
      <c r="C205" s="154" t="s">
        <v>96</v>
      </c>
      <c r="D205" s="154" t="s">
        <v>911</v>
      </c>
      <c r="E205" s="185">
        <v>12</v>
      </c>
      <c r="F205" s="298">
        <v>319</v>
      </c>
      <c r="G205" s="297" t="s">
        <v>104</v>
      </c>
      <c r="H205" s="297" t="s">
        <v>104</v>
      </c>
      <c r="I205" s="186">
        <v>76.81</v>
      </c>
      <c r="J205" s="187">
        <f t="shared" si="54"/>
        <v>3.9578179924488999</v>
      </c>
      <c r="K205" s="188">
        <v>0.76</v>
      </c>
      <c r="L205" s="189">
        <v>4</v>
      </c>
      <c r="M205" s="190">
        <f t="shared" si="55"/>
        <v>3.04</v>
      </c>
      <c r="N205" s="191" t="s">
        <v>539</v>
      </c>
      <c r="O205" s="192">
        <v>0.69</v>
      </c>
      <c r="P205" s="193">
        <v>44544</v>
      </c>
      <c r="Q205" s="193">
        <v>44568</v>
      </c>
      <c r="R205" s="190">
        <f t="shared" si="56"/>
        <v>10.144927536231894</v>
      </c>
      <c r="S205" s="162">
        <f>IF(INDEX([1]Historical!$D$7:$D$1229,MATCH(B205,[1]Historical!$B$7:$B$1253,0))=0,"n/a",(INDEX([1]Historical!$C$7:$C$1231,MATCH(B205,[1]Historical!$B$7:$B$1253,0))/INDEX([1]Historical!$D$7:$D$1229,MATCH(B205,[1]Historical!$B$7:$B$1253,0))-1)*100)</f>
        <v>4.5454545454545414</v>
      </c>
      <c r="T205" s="162">
        <f>IF(INDEX([1]Historical!$F$7:$F$1222,MATCH(B205,[1]Historical!$B$7:$B$1253,0))=0,"n/a",((INDEX([1]Historical!$C$7:$C$1231,MATCH(B205,[1]Historical!$B$7:$B$1253,0))/INDEX([1]Historical!$F$7:$F$1222,MATCH(B205,[1]Historical!$B$7:$B$1253,0)))^(1/3)-1)*100)</f>
        <v>7.2063116185391296</v>
      </c>
      <c r="U205" s="162">
        <f>IF(INDEX([1]Historical!$H$7:$H$1222,MATCH(B205,[1]Historical!$B$7:$B$1253,0))=0,"n/a",((INDEX([1]Historical!$C$7:$C$1231,MATCH(B205,[1]Historical!$B$7:$B$1253,0))/INDEX([1]Historical!$H$7:$H$1222,MATCH(B205,[1]Historical!$B$7:$B$1253,0)))^(1/5)-1)*100)</f>
        <v>8.4471771197698544</v>
      </c>
      <c r="V205" s="162">
        <f>IF(INDEX([1]Historical!$N$7:$N$1222,MATCH(B205,[1]Historical!$B$7:$B$1253,0))=0,"n/a",((INDEX([1]Historical!$C$7:$C$1231,MATCH(B205,[1]Historical!$B$7:$B$1253,0))/INDEX([1]Historical!$N$7:$N$1222,MATCH(B205,[1]Historical!$B$7:$B$1253,0)))^(1/10)-1)*100)</f>
        <v>11.08058975713373</v>
      </c>
      <c r="W205" s="163">
        <f t="shared" si="57"/>
        <v>0.76234002926888678</v>
      </c>
      <c r="X205" s="164">
        <f t="shared" si="58"/>
        <v>4.9689277175116784</v>
      </c>
      <c r="Y205" s="206"/>
      <c r="Z205" s="187">
        <f t="shared" si="59"/>
        <v>33.151581243184296</v>
      </c>
      <c r="AA205" s="194">
        <f t="shared" si="60"/>
        <v>8.3762268266085069</v>
      </c>
      <c r="AB205" s="189">
        <v>12</v>
      </c>
      <c r="AC205" s="195">
        <v>9.17</v>
      </c>
      <c r="AD205" s="195">
        <v>2.27</v>
      </c>
      <c r="AE205" s="195">
        <v>0.85</v>
      </c>
      <c r="AF205" s="195">
        <v>1.79</v>
      </c>
      <c r="AG205" s="195">
        <v>14.2</v>
      </c>
      <c r="AH205" s="215">
        <v>78.5</v>
      </c>
      <c r="AI205" s="215">
        <v>4.07</v>
      </c>
      <c r="AJ205" s="195">
        <v>1.7000000000000002</v>
      </c>
      <c r="AK205" s="195">
        <v>3.66</v>
      </c>
      <c r="AL205" s="196">
        <v>9280</v>
      </c>
      <c r="AM205" s="197">
        <v>0.1</v>
      </c>
      <c r="AN205" s="195">
        <v>0.94</v>
      </c>
      <c r="AO205" s="198">
        <f t="shared" si="61"/>
        <v>4.0287682856102478</v>
      </c>
      <c r="AP205" s="199">
        <f t="shared" si="62"/>
        <v>12.404995112218755</v>
      </c>
      <c r="AQ205" s="172">
        <f t="shared" si="63"/>
        <v>-18.368181531330087</v>
      </c>
      <c r="AR205" s="157">
        <f>INDEX([1]Historical!$C$7:$C$1231,MATCH(B205,[1]Historical!$B$7:$B$1253,0))*IF(AH205="n/a",1.03,IF(AH205&lt;0,1.01,IF(AH205&gt;10,1.1,(1+AH205/100))))</f>
        <v>3.036</v>
      </c>
      <c r="AS205" s="194">
        <f t="shared" si="64"/>
        <v>3.1595651999999999</v>
      </c>
      <c r="AT205" s="194">
        <f t="shared" si="65"/>
        <v>3.2752052863199999</v>
      </c>
      <c r="AU205" s="194">
        <f t="shared" si="65"/>
        <v>3.3950777997993118</v>
      </c>
      <c r="AV205" s="194">
        <f t="shared" si="65"/>
        <v>3.5193376472719664</v>
      </c>
      <c r="AW205" s="187">
        <f t="shared" si="66"/>
        <v>16.385185933391277</v>
      </c>
      <c r="AX205" s="200">
        <f t="shared" si="67"/>
        <v>21.332099900262044</v>
      </c>
      <c r="AY205" s="201">
        <v>1.49</v>
      </c>
      <c r="AZ205" s="197">
        <v>9.8699999999999992</v>
      </c>
      <c r="BA205" s="197">
        <v>-40.68</v>
      </c>
      <c r="BB205" s="197">
        <v>-5.1499999999999995</v>
      </c>
      <c r="BC205" s="197">
        <v>-22.98</v>
      </c>
      <c r="BD205" s="202"/>
      <c r="BE205" s="77">
        <v>2011</v>
      </c>
      <c r="BF205" s="77">
        <f t="shared" si="68"/>
        <v>1</v>
      </c>
      <c r="BG205" s="203">
        <v>5.2</v>
      </c>
      <c r="BH205" t="s">
        <v>939</v>
      </c>
      <c r="BI205" t="s">
        <v>940</v>
      </c>
    </row>
    <row r="206" spans="1:64" ht="11.25" customHeight="1" x14ac:dyDescent="0.2">
      <c r="A206" s="112" t="s">
        <v>1369</v>
      </c>
      <c r="B206" s="153" t="s">
        <v>275</v>
      </c>
      <c r="C206" s="154" t="s">
        <v>94</v>
      </c>
      <c r="D206" s="154" t="s">
        <v>1048</v>
      </c>
      <c r="E206" s="155">
        <v>65</v>
      </c>
      <c r="F206" s="298">
        <v>7</v>
      </c>
      <c r="G206" s="298" t="s">
        <v>30</v>
      </c>
      <c r="H206" s="298" t="s">
        <v>30</v>
      </c>
      <c r="I206" s="167">
        <v>86.6</v>
      </c>
      <c r="J206" s="157">
        <f t="shared" si="54"/>
        <v>2.3787528868360277</v>
      </c>
      <c r="K206" s="158">
        <v>0.51500000000000001</v>
      </c>
      <c r="L206" s="126">
        <v>4</v>
      </c>
      <c r="M206" s="82">
        <f t="shared" si="55"/>
        <v>2.06</v>
      </c>
      <c r="N206" s="159" t="s">
        <v>140</v>
      </c>
      <c r="O206" s="160">
        <v>0.505</v>
      </c>
      <c r="P206" s="224">
        <v>44510</v>
      </c>
      <c r="Q206" s="224">
        <v>44540</v>
      </c>
      <c r="R206" s="82">
        <f t="shared" si="56"/>
        <v>1.980198019801982</v>
      </c>
      <c r="S206" s="162">
        <f>IF(INDEX([1]Historical!$D$7:$D$1229,MATCH(B206,[1]Historical!$B$7:$B$1253,0))=0,"n/a",(INDEX([1]Historical!$C$7:$C$1231,MATCH(B206,[1]Historical!$B$7:$B$1253,0))/INDEX([1]Historical!$D$7:$D$1229,MATCH(B206,[1]Historical!$B$7:$B$1253,0))-1)*100)</f>
        <v>1.2468827930174564</v>
      </c>
      <c r="T206" s="162">
        <f>IF(INDEX([1]Historical!$F$7:$F$1222,MATCH(B206,[1]Historical!$B$7:$B$1253,0))=0,"n/a",((INDEX([1]Historical!$C$7:$C$1231,MATCH(B206,[1]Historical!$B$7:$B$1253,0))/INDEX([1]Historical!$F$7:$F$1222,MATCH(B206,[1]Historical!$B$7:$B$1253,0)))^(1/3)-1)*100)</f>
        <v>1.4360067875288873</v>
      </c>
      <c r="U206" s="162">
        <f>IF(INDEX([1]Historical!$H$7:$H$1222,MATCH(B206,[1]Historical!$B$7:$B$1253,0))=0,"n/a",((INDEX([1]Historical!$C$7:$C$1231,MATCH(B206,[1]Historical!$B$7:$B$1253,0))/INDEX([1]Historical!$H$7:$H$1222,MATCH(B206,[1]Historical!$B$7:$B$1253,0)))^(1/5)-1)*100)</f>
        <v>1.2791881921203618</v>
      </c>
      <c r="V206" s="162">
        <f>IF(INDEX([1]Historical!$N$7:$N$1222,MATCH(B206,[1]Historical!$B$7:$B$1253,0))=0,"n/a",((INDEX([1]Historical!$C$7:$C$1231,MATCH(B206,[1]Historical!$B$7:$B$1253,0))/INDEX([1]Historical!$N$7:$N$1222,MATCH(B206,[1]Historical!$B$7:$B$1253,0)))^(1/10)-1)*100)</f>
        <v>3.5295708270354442</v>
      </c>
      <c r="W206" s="163">
        <f t="shared" si="57"/>
        <v>0.36242032099828325</v>
      </c>
      <c r="X206" s="164">
        <f t="shared" si="58"/>
        <v>0.13754711743229697</v>
      </c>
      <c r="Y206" s="222"/>
      <c r="Z206" s="157">
        <f t="shared" si="59"/>
        <v>38.9413988657845</v>
      </c>
      <c r="AA206" s="166">
        <f t="shared" si="60"/>
        <v>16.370510396975423</v>
      </c>
      <c r="AB206" s="126">
        <v>9</v>
      </c>
      <c r="AC206" s="167">
        <v>5.29</v>
      </c>
      <c r="AD206" s="167">
        <v>1.62</v>
      </c>
      <c r="AE206" s="167">
        <v>2.64</v>
      </c>
      <c r="AF206" s="167">
        <v>5.0199999999999996</v>
      </c>
      <c r="AG206" s="167">
        <v>30.8</v>
      </c>
      <c r="AH206" s="167">
        <v>18.099999999999998</v>
      </c>
      <c r="AI206" s="167">
        <v>7.1800000000000006</v>
      </c>
      <c r="AJ206" s="167">
        <v>9.3000000000000007</v>
      </c>
      <c r="AK206" s="167">
        <v>10.209999999999999</v>
      </c>
      <c r="AL206" s="168">
        <v>50790</v>
      </c>
      <c r="AM206" s="169">
        <v>0.1</v>
      </c>
      <c r="AN206" s="167">
        <v>1.1200000000000001</v>
      </c>
      <c r="AO206" s="170">
        <f t="shared" si="61"/>
        <v>-12.712569318019034</v>
      </c>
      <c r="AP206" s="171">
        <f t="shared" si="62"/>
        <v>3.6579410789563895</v>
      </c>
      <c r="AQ206" s="172">
        <f t="shared" si="63"/>
        <v>91.113651111718937</v>
      </c>
      <c r="AR206" s="157">
        <f>INDEX([1]Historical!$C$7:$C$1231,MATCH(B206,[1]Historical!$B$7:$B$1253,0))*IF(AH206="n/a",1.03,IF(AH206&lt;0,1.01,IF(AH206&gt;10,1.1,(1+AH206/100))))</f>
        <v>2.2330000000000001</v>
      </c>
      <c r="AS206" s="166">
        <f t="shared" si="64"/>
        <v>2.3933294000000003</v>
      </c>
      <c r="AT206" s="166">
        <f t="shared" si="65"/>
        <v>2.6326623400000004</v>
      </c>
      <c r="AU206" s="166">
        <f t="shared" si="65"/>
        <v>2.8959285740000009</v>
      </c>
      <c r="AV206" s="166">
        <f t="shared" si="65"/>
        <v>3.1855214314000011</v>
      </c>
      <c r="AW206" s="157">
        <f t="shared" si="66"/>
        <v>13.340441745400003</v>
      </c>
      <c r="AX206" s="173">
        <f t="shared" si="67"/>
        <v>15.40466714249423</v>
      </c>
      <c r="AY206" s="174">
        <v>1.43</v>
      </c>
      <c r="AZ206" s="169">
        <v>19.600000000000001</v>
      </c>
      <c r="BA206" s="169">
        <v>-13.81</v>
      </c>
      <c r="BB206" s="169">
        <v>7.04</v>
      </c>
      <c r="BC206" s="169">
        <v>-1.05</v>
      </c>
      <c r="BE206" s="77">
        <v>1958</v>
      </c>
      <c r="BF206" s="77">
        <f t="shared" si="68"/>
        <v>9</v>
      </c>
      <c r="BG206" s="175">
        <v>10.7</v>
      </c>
      <c r="BH206" t="s">
        <v>939</v>
      </c>
      <c r="BI206" t="s">
        <v>940</v>
      </c>
    </row>
    <row r="207" spans="1:64" ht="11.25" customHeight="1" x14ac:dyDescent="0.2">
      <c r="A207" s="176" t="s">
        <v>276</v>
      </c>
      <c r="B207" s="153" t="s">
        <v>277</v>
      </c>
      <c r="C207" s="154" t="s">
        <v>109</v>
      </c>
      <c r="D207" s="154" t="s">
        <v>1028</v>
      </c>
      <c r="E207" s="155">
        <v>26</v>
      </c>
      <c r="F207" s="298">
        <v>136</v>
      </c>
      <c r="G207" s="298" t="s">
        <v>30</v>
      </c>
      <c r="H207" s="298" t="s">
        <v>30</v>
      </c>
      <c r="I207" s="167">
        <v>38.950000000000003</v>
      </c>
      <c r="J207" s="157">
        <f t="shared" si="54"/>
        <v>6.9216944801026958</v>
      </c>
      <c r="K207" s="209">
        <v>0.67400000000000004</v>
      </c>
      <c r="L207" s="126">
        <v>4</v>
      </c>
      <c r="M207" s="82">
        <f t="shared" si="55"/>
        <v>2.6960000000000002</v>
      </c>
      <c r="N207" s="159" t="s">
        <v>116</v>
      </c>
      <c r="O207" s="210">
        <v>0.65149999999999997</v>
      </c>
      <c r="P207" s="161">
        <v>44606</v>
      </c>
      <c r="Q207" s="161">
        <v>44621</v>
      </c>
      <c r="R207" s="82">
        <f t="shared" si="56"/>
        <v>3.4535686876439105</v>
      </c>
      <c r="S207" s="162">
        <f>IF(INDEX([1]Historical!$D$7:$D$1229,MATCH(B207,[1]Historical!$B$7:$B$1253,0))=0,"n/a",(INDEX([1]Historical!$C$7:$C$1231,MATCH(B207,[1]Historical!$B$7:$B$1253,0))/INDEX([1]Historical!$D$7:$D$1229,MATCH(B207,[1]Historical!$B$7:$B$1253,0))-1)*100)</f>
        <v>11.114334258837166</v>
      </c>
      <c r="T207" s="162">
        <f>IF(INDEX([1]Historical!$F$7:$F$1222,MATCH(B207,[1]Historical!$B$7:$B$1253,0))=0,"n/a",((INDEX([1]Historical!$C$7:$C$1231,MATCH(B207,[1]Historical!$B$7:$B$1253,0))/INDEX([1]Historical!$F$7:$F$1222,MATCH(B207,[1]Historical!$B$7:$B$1253,0)))^(1/3)-1)*100)</f>
        <v>8.9378714722497818</v>
      </c>
      <c r="U207" s="162">
        <f>IF(INDEX([1]Historical!$H$7:$H$1222,MATCH(B207,[1]Historical!$B$7:$B$1253,0))=0,"n/a",((INDEX([1]Historical!$C$7:$C$1231,MATCH(B207,[1]Historical!$B$7:$B$1253,0))/INDEX([1]Historical!$H$7:$H$1222,MATCH(B207,[1]Historical!$B$7:$B$1253,0)))^(1/5)-1)*100)</f>
        <v>11.004060987437247</v>
      </c>
      <c r="V207" s="162">
        <f>IF(INDEX([1]Historical!$N$7:$N$1222,MATCH(B207,[1]Historical!$B$7:$B$1253,0))=0,"n/a",((INDEX([1]Historical!$C$7:$C$1231,MATCH(B207,[1]Historical!$B$7:$B$1253,0))/INDEX([1]Historical!$N$7:$N$1222,MATCH(B207,[1]Historical!$B$7:$B$1253,0)))^(1/10)-1)*100)</f>
        <v>10.476783490817333</v>
      </c>
      <c r="W207" s="163">
        <f t="shared" si="57"/>
        <v>1.050328184893967</v>
      </c>
      <c r="X207" s="164">
        <f t="shared" si="58"/>
        <v>1.3419586570045423</v>
      </c>
      <c r="Y207" s="178" t="s">
        <v>666</v>
      </c>
      <c r="Z207" s="157">
        <f t="shared" si="59"/>
        <v>151.46067415730337</v>
      </c>
      <c r="AA207" s="166">
        <f t="shared" si="60"/>
        <v>21.882022471910112</v>
      </c>
      <c r="AB207" s="126">
        <v>12</v>
      </c>
      <c r="AC207" s="167">
        <v>1.78</v>
      </c>
      <c r="AD207" s="167">
        <v>5.22</v>
      </c>
      <c r="AE207" s="167">
        <v>2.0499999999999998</v>
      </c>
      <c r="AF207" s="167">
        <v>1.94</v>
      </c>
      <c r="AG207" s="167">
        <v>9</v>
      </c>
      <c r="AH207" s="179">
        <v>94.6</v>
      </c>
      <c r="AI207" s="179">
        <v>4.7600000000000007</v>
      </c>
      <c r="AJ207" s="167">
        <v>8.2000000000000011</v>
      </c>
      <c r="AK207" s="167">
        <v>4.2</v>
      </c>
      <c r="AL207" s="168">
        <v>79120</v>
      </c>
      <c r="AM207" s="169">
        <v>9.1999999999999993</v>
      </c>
      <c r="AN207" s="167">
        <v>1.43</v>
      </c>
      <c r="AO207" s="170">
        <f t="shared" si="61"/>
        <v>-3.9562670043701686</v>
      </c>
      <c r="AP207" s="171">
        <f t="shared" si="62"/>
        <v>17.925755467539943</v>
      </c>
      <c r="AQ207" s="172">
        <f t="shared" si="63"/>
        <v>37.357802990754571</v>
      </c>
      <c r="AR207" s="157">
        <f>INDEX([1]Historical!$C$7:$C$1231,MATCH(B207,[1]Historical!$B$7:$B$1253,0))*IF(AH207="n/a",1.03,IF(AH207&lt;0,1.01,IF(AH207&gt;10,1.1,(1+AH207/100))))</f>
        <v>2.94943</v>
      </c>
      <c r="AS207" s="166">
        <f t="shared" si="64"/>
        <v>3.0898228680000002</v>
      </c>
      <c r="AT207" s="166">
        <f t="shared" si="65"/>
        <v>3.2195954284560004</v>
      </c>
      <c r="AU207" s="166">
        <f t="shared" si="65"/>
        <v>3.3548184364511524</v>
      </c>
      <c r="AV207" s="166">
        <f t="shared" si="65"/>
        <v>3.495720810782101</v>
      </c>
      <c r="AW207" s="157">
        <f t="shared" si="66"/>
        <v>16.109387543689255</v>
      </c>
      <c r="AX207" s="173">
        <f t="shared" si="67"/>
        <v>41.359146453630949</v>
      </c>
      <c r="AY207" s="174">
        <v>0.82</v>
      </c>
      <c r="AZ207" s="169">
        <v>11.219999999999999</v>
      </c>
      <c r="BA207" s="169">
        <v>-18.29</v>
      </c>
      <c r="BB207" s="169">
        <v>-1.9800000000000002</v>
      </c>
      <c r="BC207" s="169">
        <v>-8.9</v>
      </c>
      <c r="BE207" s="77">
        <v>1997</v>
      </c>
      <c r="BF207" s="77">
        <f t="shared" si="68"/>
        <v>3</v>
      </c>
      <c r="BG207" s="175">
        <v>2.9000000000000004</v>
      </c>
      <c r="BH207" t="s">
        <v>1023</v>
      </c>
      <c r="BI207" t="s">
        <v>940</v>
      </c>
    </row>
    <row r="208" spans="1:64" ht="11.25" customHeight="1" x14ac:dyDescent="0.2">
      <c r="A208" s="176" t="s">
        <v>1370</v>
      </c>
      <c r="B208" s="153" t="s">
        <v>278</v>
      </c>
      <c r="C208" s="154" t="s">
        <v>137</v>
      </c>
      <c r="D208" s="154" t="s">
        <v>942</v>
      </c>
      <c r="E208" s="155">
        <v>15</v>
      </c>
      <c r="F208" s="298">
        <v>249</v>
      </c>
      <c r="G208" s="298" t="s">
        <v>88</v>
      </c>
      <c r="H208" s="298" t="s">
        <v>88</v>
      </c>
      <c r="I208" s="156">
        <v>89.78</v>
      </c>
      <c r="J208" s="157">
        <f t="shared" si="54"/>
        <v>0.24504343951882382</v>
      </c>
      <c r="K208" s="158">
        <v>5.5E-2</v>
      </c>
      <c r="L208" s="126">
        <v>4</v>
      </c>
      <c r="M208" s="82">
        <f t="shared" si="55"/>
        <v>0.22</v>
      </c>
      <c r="N208" s="159" t="s">
        <v>190</v>
      </c>
      <c r="O208" s="160">
        <v>5.2499999999999998E-2</v>
      </c>
      <c r="P208" s="161">
        <v>44560</v>
      </c>
      <c r="Q208" s="161">
        <v>44592</v>
      </c>
      <c r="R208" s="82">
        <f t="shared" si="56"/>
        <v>4.7619047619047663</v>
      </c>
      <c r="S208" s="162">
        <f>IF(INDEX([1]Historical!$D$7:$D$1229,MATCH(B208,[1]Historical!$B$7:$B$1253,0))=0,"n/a",(INDEX([1]Historical!$C$7:$C$1231,MATCH(B208,[1]Historical!$B$7:$B$1253,0))/INDEX([1]Historical!$D$7:$D$1229,MATCH(B208,[1]Historical!$B$7:$B$1253,0))-1)*100)</f>
        <v>4.9999999999999822</v>
      </c>
      <c r="T208" s="162">
        <f>IF(INDEX([1]Historical!$F$7:$F$1222,MATCH(B208,[1]Historical!$B$7:$B$1253,0))=0,"n/a",((INDEX([1]Historical!$C$7:$C$1231,MATCH(B208,[1]Historical!$B$7:$B$1253,0))/INDEX([1]Historical!$F$7:$F$1222,MATCH(B208,[1]Historical!$B$7:$B$1253,0)))^(1/3)-1)*100)</f>
        <v>4.789751061124381</v>
      </c>
      <c r="U208" s="162">
        <f>IF(INDEX([1]Historical!$H$7:$H$1222,MATCH(B208,[1]Historical!$B$7:$B$1253,0))=0,"n/a",((INDEX([1]Historical!$C$7:$C$1231,MATCH(B208,[1]Historical!$B$7:$B$1253,0))/INDEX([1]Historical!$H$7:$H$1222,MATCH(B208,[1]Historical!$B$7:$B$1253,0)))^(1/5)-1)*100)</f>
        <v>5.5892882483376871</v>
      </c>
      <c r="V208" s="162">
        <f>IF(INDEX([1]Historical!$N$7:$N$1222,MATCH(B208,[1]Historical!$B$7:$B$1253,0))=0,"n/a",((INDEX([1]Historical!$C$7:$C$1231,MATCH(B208,[1]Historical!$B$7:$B$1253,0))/INDEX([1]Historical!$N$7:$N$1222,MATCH(B208,[1]Historical!$B$7:$B$1253,0)))^(1/10)-1)*100)</f>
        <v>12.924846734018391</v>
      </c>
      <c r="W208" s="163">
        <f t="shared" si="57"/>
        <v>0.43244522456321249</v>
      </c>
      <c r="X208" s="164">
        <f t="shared" si="58"/>
        <v>0.1927340775288858</v>
      </c>
      <c r="Y208" s="181"/>
      <c r="Z208" s="157">
        <f t="shared" si="59"/>
        <v>5.8666666666666663</v>
      </c>
      <c r="AA208" s="166">
        <f t="shared" si="60"/>
        <v>23.941333333333333</v>
      </c>
      <c r="AB208" s="126">
        <v>12</v>
      </c>
      <c r="AC208" s="167">
        <v>3.75</v>
      </c>
      <c r="AD208" s="167">
        <v>1.6</v>
      </c>
      <c r="AE208" s="167">
        <v>1.65</v>
      </c>
      <c r="AF208" s="167">
        <v>4.18</v>
      </c>
      <c r="AG208" s="167">
        <v>19.5</v>
      </c>
      <c r="AH208" s="167">
        <v>11.899999999999999</v>
      </c>
      <c r="AI208" s="167">
        <v>12.139999999999999</v>
      </c>
      <c r="AJ208" s="167">
        <v>28.999999999999996</v>
      </c>
      <c r="AK208" s="167">
        <v>15</v>
      </c>
      <c r="AL208" s="168">
        <v>4800</v>
      </c>
      <c r="AM208" s="169">
        <v>1.2</v>
      </c>
      <c r="AN208" s="167">
        <v>0.13</v>
      </c>
      <c r="AO208" s="170">
        <f t="shared" si="61"/>
        <v>-18.107001645476821</v>
      </c>
      <c r="AP208" s="171">
        <f t="shared" si="62"/>
        <v>5.834331687856511</v>
      </c>
      <c r="AQ208" s="172">
        <f t="shared" si="63"/>
        <v>110.89731396354252</v>
      </c>
      <c r="AR208" s="157">
        <f>INDEX([1]Historical!$C$7:$C$1231,MATCH(B208,[1]Historical!$B$7:$B$1253,0))*IF(AH208="n/a",1.03,IF(AH208&lt;0,1.01,IF(AH208&gt;10,1.1,(1+AH208/100))))</f>
        <v>0.23100000000000001</v>
      </c>
      <c r="AS208" s="166">
        <f t="shared" si="64"/>
        <v>0.25410000000000005</v>
      </c>
      <c r="AT208" s="166">
        <f t="shared" si="65"/>
        <v>0.27951000000000009</v>
      </c>
      <c r="AU208" s="166">
        <f t="shared" si="65"/>
        <v>0.30746100000000015</v>
      </c>
      <c r="AV208" s="166">
        <f t="shared" si="65"/>
        <v>0.3382071000000002</v>
      </c>
      <c r="AW208" s="157">
        <f t="shared" si="66"/>
        <v>1.4102781000000006</v>
      </c>
      <c r="AX208" s="173">
        <f t="shared" si="67"/>
        <v>1.5708154377366903</v>
      </c>
      <c r="AY208" s="174">
        <v>0.98</v>
      </c>
      <c r="AZ208" s="169">
        <v>27.73</v>
      </c>
      <c r="BA208" s="169">
        <v>-4.74</v>
      </c>
      <c r="BB208" s="169">
        <v>5.36</v>
      </c>
      <c r="BC208" s="169">
        <v>10.01</v>
      </c>
      <c r="BE208" s="77">
        <v>2008</v>
      </c>
      <c r="BF208" s="77">
        <f t="shared" si="68"/>
        <v>2</v>
      </c>
      <c r="BG208" s="175">
        <v>7.0000000000000009</v>
      </c>
      <c r="BH208" t="s">
        <v>939</v>
      </c>
      <c r="BI208" t="s">
        <v>940</v>
      </c>
    </row>
    <row r="209" spans="1:64" ht="11.25" customHeight="1" x14ac:dyDescent="0.2">
      <c r="A209" s="205" t="s">
        <v>1756</v>
      </c>
      <c r="B209" s="153" t="s">
        <v>1757</v>
      </c>
      <c r="C209" s="154" t="s">
        <v>109</v>
      </c>
      <c r="D209" s="154" t="s">
        <v>1028</v>
      </c>
      <c r="E209" s="155">
        <v>5</v>
      </c>
      <c r="F209" s="298">
        <v>694</v>
      </c>
      <c r="G209" s="298" t="s">
        <v>88</v>
      </c>
      <c r="H209" s="298" t="s">
        <v>88</v>
      </c>
      <c r="I209" s="156">
        <v>136.52000000000001</v>
      </c>
      <c r="J209" s="157">
        <f t="shared" si="54"/>
        <v>2.1974802226779957</v>
      </c>
      <c r="K209" s="158">
        <v>0.75</v>
      </c>
      <c r="L209" s="126">
        <v>4</v>
      </c>
      <c r="M209" s="82">
        <f t="shared" si="55"/>
        <v>3</v>
      </c>
      <c r="N209" s="159" t="s">
        <v>164</v>
      </c>
      <c r="O209" s="160">
        <v>0.41249999999999998</v>
      </c>
      <c r="P209" s="161">
        <v>44574</v>
      </c>
      <c r="Q209" s="161">
        <v>44589</v>
      </c>
      <c r="R209" s="82">
        <f t="shared" si="56"/>
        <v>81.818181818181827</v>
      </c>
      <c r="S209" s="162">
        <f>IF(INDEX([1]Historical!$D$7:$D$1229,MATCH(B209,[1]Historical!$B$7:$B$1253,0))=0,"n/a",(INDEX([1]Historical!$C$7:$C$1231,MATCH(B209,[1]Historical!$B$7:$B$1253,0))/INDEX([1]Historical!$D$7:$D$1229,MATCH(B209,[1]Historical!$B$7:$B$1253,0))-1)*100)</f>
        <v>14.159292035398208</v>
      </c>
      <c r="T209" s="162">
        <f>IF(INDEX([1]Historical!$F$7:$F$1222,MATCH(B209,[1]Historical!$B$7:$B$1253,0))=0,"n/a",((INDEX([1]Historical!$C$7:$C$1231,MATCH(B209,[1]Historical!$B$7:$B$1253,0))/INDEX([1]Historical!$F$7:$F$1222,MATCH(B209,[1]Historical!$B$7:$B$1253,0)))^(1/3)-1)*100)</f>
        <v>28.638913123460942</v>
      </c>
      <c r="U209" s="162">
        <f>IF(INDEX([1]Historical!$H$7:$H$1222,MATCH(B209,[1]Historical!$B$7:$B$1253,0))=0,"n/a",((INDEX([1]Historical!$C$7:$C$1231,MATCH(B209,[1]Historical!$B$7:$B$1253,0))/INDEX([1]Historical!$H$7:$H$1222,MATCH(B209,[1]Historical!$B$7:$B$1253,0)))^(1/5)-1)*100)</f>
        <v>19.202395778843794</v>
      </c>
      <c r="V209" s="162">
        <f>IF(INDEX([1]Historical!$N$7:$N$1222,MATCH(B209,[1]Historical!$B$7:$B$1253,0))=0,"n/a",((INDEX([1]Historical!$C$7:$C$1231,MATCH(B209,[1]Historical!$B$7:$B$1253,0))/INDEX([1]Historical!$N$7:$N$1222,MATCH(B209,[1]Historical!$B$7:$B$1253,0)))^(1/10)-1)*100)</f>
        <v>17.645575719459327</v>
      </c>
      <c r="W209" s="163">
        <f t="shared" si="57"/>
        <v>1.0882272182067501</v>
      </c>
      <c r="X209" s="164">
        <f t="shared" si="58"/>
        <v>0.44449990228805075</v>
      </c>
      <c r="Y209" s="180"/>
      <c r="Z209" s="157">
        <f t="shared" si="59"/>
        <v>30.76923076923077</v>
      </c>
      <c r="AA209" s="166">
        <f t="shared" si="60"/>
        <v>14.002051282051283</v>
      </c>
      <c r="AB209" s="126">
        <v>12</v>
      </c>
      <c r="AC209" s="167">
        <v>9.75</v>
      </c>
      <c r="AD209" s="167">
        <v>1.3</v>
      </c>
      <c r="AE209" s="167">
        <v>3.56</v>
      </c>
      <c r="AF209" s="167">
        <v>3.49</v>
      </c>
      <c r="AG209" s="167">
        <v>26</v>
      </c>
      <c r="AH209" s="167">
        <v>864.8</v>
      </c>
      <c r="AI209" s="167">
        <v>5.74</v>
      </c>
      <c r="AJ209" s="167">
        <v>43.2</v>
      </c>
      <c r="AK209" s="167">
        <v>10.549999999999999</v>
      </c>
      <c r="AL209" s="168">
        <v>78750</v>
      </c>
      <c r="AM209" s="169">
        <v>0.3</v>
      </c>
      <c r="AN209" s="167">
        <v>0.23</v>
      </c>
      <c r="AO209" s="170">
        <f t="shared" si="61"/>
        <v>7.3978247194705062</v>
      </c>
      <c r="AP209" s="171">
        <f t="shared" si="62"/>
        <v>21.39987600152179</v>
      </c>
      <c r="AQ209" s="172">
        <f t="shared" si="63"/>
        <v>47.372783518319039</v>
      </c>
      <c r="AR209" s="157">
        <f>INDEX([1]Historical!$C$7:$C$1231,MATCH(B209,[1]Historical!$B$7:$B$1253,0))*IF(AH209="n/a",1.03,IF(AH209&lt;0,1.01,IF(AH209&gt;10,1.1,(1+AH209/100))))</f>
        <v>1.7737499999999999</v>
      </c>
      <c r="AS209" s="166">
        <f t="shared" si="64"/>
        <v>1.8755632499999997</v>
      </c>
      <c r="AT209" s="166">
        <f t="shared" si="65"/>
        <v>2.063119575</v>
      </c>
      <c r="AU209" s="166">
        <f t="shared" si="65"/>
        <v>2.2694315325000001</v>
      </c>
      <c r="AV209" s="166">
        <f t="shared" si="65"/>
        <v>2.4963746857500002</v>
      </c>
      <c r="AW209" s="157">
        <f t="shared" si="66"/>
        <v>10.478239043249999</v>
      </c>
      <c r="AX209" s="173">
        <f t="shared" si="67"/>
        <v>7.6752410220114253</v>
      </c>
      <c r="AY209" s="174">
        <v>1.53</v>
      </c>
      <c r="AZ209" s="169">
        <v>75.180000000000007</v>
      </c>
      <c r="BA209" s="169">
        <v>-5.33</v>
      </c>
      <c r="BB209" s="169">
        <v>11.82</v>
      </c>
      <c r="BC209" s="169">
        <v>18.09</v>
      </c>
      <c r="BE209" s="77">
        <v>2018</v>
      </c>
      <c r="BF209" s="77">
        <f t="shared" si="68"/>
        <v>1</v>
      </c>
      <c r="BG209" s="175">
        <v>15.1</v>
      </c>
      <c r="BH209" t="s">
        <v>939</v>
      </c>
      <c r="BI209" t="s">
        <v>940</v>
      </c>
      <c r="BJ209" s="112"/>
      <c r="BK209" s="112"/>
      <c r="BL209" s="112"/>
    </row>
    <row r="210" spans="1:64" ht="11.25" customHeight="1" x14ac:dyDescent="0.2">
      <c r="A210" s="112" t="s">
        <v>1371</v>
      </c>
      <c r="B210" s="153" t="s">
        <v>280</v>
      </c>
      <c r="C210" s="154" t="s">
        <v>109</v>
      </c>
      <c r="D210" s="154" t="s">
        <v>1028</v>
      </c>
      <c r="E210" s="155">
        <v>25</v>
      </c>
      <c r="F210" s="298">
        <v>141</v>
      </c>
      <c r="G210" s="298" t="s">
        <v>30</v>
      </c>
      <c r="H210" s="298" t="s">
        <v>88</v>
      </c>
      <c r="I210" s="156">
        <v>25.25</v>
      </c>
      <c r="J210" s="157">
        <f t="shared" si="54"/>
        <v>7.5247524752475243</v>
      </c>
      <c r="K210" s="209">
        <v>0.47499999999999998</v>
      </c>
      <c r="L210" s="126">
        <v>4</v>
      </c>
      <c r="M210" s="82">
        <f t="shared" si="55"/>
        <v>1.9</v>
      </c>
      <c r="N210" s="159" t="s">
        <v>174</v>
      </c>
      <c r="O210" s="210">
        <v>0.46500000000000002</v>
      </c>
      <c r="P210" s="161">
        <v>44770</v>
      </c>
      <c r="Q210" s="161">
        <v>44785</v>
      </c>
      <c r="R210" s="82">
        <f t="shared" si="56"/>
        <v>2.1505376344085918</v>
      </c>
      <c r="S210" s="162">
        <f>IF(INDEX([1]Historical!$D$7:$D$1229,MATCH(B210,[1]Historical!$B$7:$B$1253,0))=0,"n/a",(INDEX([1]Historical!$C$7:$C$1231,MATCH(B210,[1]Historical!$B$7:$B$1253,0))/INDEX([1]Historical!$D$7:$D$1229,MATCH(B210,[1]Historical!$B$7:$B$1253,0))-1)*100)</f>
        <v>1.1235955056179803</v>
      </c>
      <c r="T210" s="162">
        <f>IF(INDEX([1]Historical!$F$7:$F$1222,MATCH(B210,[1]Historical!$B$7:$B$1253,0))=0,"n/a",((INDEX([1]Historical!$C$7:$C$1231,MATCH(B210,[1]Historical!$B$7:$B$1253,0))/INDEX([1]Historical!$F$7:$F$1222,MATCH(B210,[1]Historical!$B$7:$B$1253,0)))^(1/3)-1)*100)</f>
        <v>1.6057783719578334</v>
      </c>
      <c r="U210" s="162">
        <f>IF(INDEX([1]Historical!$H$7:$H$1222,MATCH(B210,[1]Historical!$B$7:$B$1253,0))=0,"n/a",((INDEX([1]Historical!$C$7:$C$1231,MATCH(B210,[1]Historical!$B$7:$B$1253,0))/INDEX([1]Historical!$H$7:$H$1222,MATCH(B210,[1]Historical!$B$7:$B$1253,0)))^(1/5)-1)*100)</f>
        <v>2.5120872198526989</v>
      </c>
      <c r="V210" s="162">
        <f>IF(INDEX([1]Historical!$N$7:$N$1222,MATCH(B210,[1]Historical!$B$7:$B$1253,0))=0,"n/a",((INDEX([1]Historical!$C$7:$C$1231,MATCH(B210,[1]Historical!$B$7:$B$1253,0))/INDEX([1]Historical!$N$7:$N$1222,MATCH(B210,[1]Historical!$B$7:$B$1253,0)))^(1/10)-1)*100)</f>
        <v>4.1163038110386241</v>
      </c>
      <c r="W210" s="163">
        <f t="shared" si="57"/>
        <v>0.61027740788133178</v>
      </c>
      <c r="X210" s="164">
        <f t="shared" si="58"/>
        <v>0.15700545124079368</v>
      </c>
      <c r="Y210" s="178"/>
      <c r="Z210" s="157">
        <f t="shared" si="59"/>
        <v>86.36363636363636</v>
      </c>
      <c r="AA210" s="166">
        <f t="shared" si="60"/>
        <v>11.477272727272727</v>
      </c>
      <c r="AB210" s="126">
        <v>12</v>
      </c>
      <c r="AC210" s="167">
        <v>2.2000000000000002</v>
      </c>
      <c r="AD210" s="167">
        <v>1.1100000000000001</v>
      </c>
      <c r="AE210" s="167">
        <v>1.07</v>
      </c>
      <c r="AF210" s="167">
        <v>2.09</v>
      </c>
      <c r="AG210" s="167">
        <v>19.100000000000001</v>
      </c>
      <c r="AH210" s="167">
        <v>21.9</v>
      </c>
      <c r="AI210" s="167">
        <v>3.74</v>
      </c>
      <c r="AJ210" s="167">
        <v>16</v>
      </c>
      <c r="AK210" s="167">
        <v>10.199999999999999</v>
      </c>
      <c r="AL210" s="168">
        <v>54720</v>
      </c>
      <c r="AM210" s="169">
        <v>32.550000000000004</v>
      </c>
      <c r="AN210" s="167">
        <v>1.1100000000000001</v>
      </c>
      <c r="AO210" s="170">
        <f t="shared" si="61"/>
        <v>-1.4404330321725034</v>
      </c>
      <c r="AP210" s="171">
        <f t="shared" si="62"/>
        <v>10.036839695100223</v>
      </c>
      <c r="AQ210" s="172">
        <f t="shared" si="63"/>
        <v>3.2526566782235866</v>
      </c>
      <c r="AR210" s="157">
        <f>INDEX([1]Historical!$C$7:$C$1231,MATCH(B210,[1]Historical!$B$7:$B$1253,0))*IF(AH210="n/a",1.03,IF(AH210&lt;0,1.01,IF(AH210&gt;10,1.1,(1+AH210/100))))</f>
        <v>1.9800000000000002</v>
      </c>
      <c r="AS210" s="166">
        <f t="shared" si="64"/>
        <v>2.0540520000000004</v>
      </c>
      <c r="AT210" s="166">
        <f t="shared" si="65"/>
        <v>2.2594572000000008</v>
      </c>
      <c r="AU210" s="166">
        <f t="shared" si="65"/>
        <v>2.4854029200000012</v>
      </c>
      <c r="AV210" s="166">
        <f t="shared" si="65"/>
        <v>2.7339432120000016</v>
      </c>
      <c r="AW210" s="157">
        <f t="shared" si="66"/>
        <v>11.512855332000004</v>
      </c>
      <c r="AX210" s="173">
        <f t="shared" si="67"/>
        <v>45.595466661386155</v>
      </c>
      <c r="AY210" s="174">
        <v>1.1100000000000001</v>
      </c>
      <c r="AZ210" s="169">
        <v>23.65</v>
      </c>
      <c r="BA210" s="169">
        <v>-11.87</v>
      </c>
      <c r="BB210" s="169">
        <v>-0.92999999999999994</v>
      </c>
      <c r="BC210" s="169">
        <v>-0.97</v>
      </c>
      <c r="BE210" s="77">
        <v>1998</v>
      </c>
      <c r="BF210" s="77">
        <f t="shared" si="68"/>
        <v>3</v>
      </c>
      <c r="BG210" s="175">
        <v>7.0000000000000009</v>
      </c>
      <c r="BH210" t="s">
        <v>939</v>
      </c>
      <c r="BI210" t="s">
        <v>993</v>
      </c>
    </row>
    <row r="211" spans="1:64" ht="11.25" customHeight="1" x14ac:dyDescent="0.2">
      <c r="A211" s="205" t="s">
        <v>1826</v>
      </c>
      <c r="B211" s="153" t="s">
        <v>1827</v>
      </c>
      <c r="C211" s="154" t="s">
        <v>90</v>
      </c>
      <c r="D211" s="154" t="s">
        <v>968</v>
      </c>
      <c r="E211" s="155">
        <v>5</v>
      </c>
      <c r="F211" s="298">
        <v>712</v>
      </c>
      <c r="G211" s="298" t="s">
        <v>88</v>
      </c>
      <c r="H211" s="298" t="s">
        <v>88</v>
      </c>
      <c r="I211" s="156">
        <v>30.62</v>
      </c>
      <c r="J211" s="157">
        <f t="shared" si="54"/>
        <v>2.6126714565643372</v>
      </c>
      <c r="K211" s="158">
        <v>0.2</v>
      </c>
      <c r="L211" s="126">
        <v>4</v>
      </c>
      <c r="M211" s="82">
        <f t="shared" si="55"/>
        <v>0.8</v>
      </c>
      <c r="N211" s="159" t="s">
        <v>151</v>
      </c>
      <c r="O211" s="160">
        <v>0.18</v>
      </c>
      <c r="P211" s="161">
        <v>44707</v>
      </c>
      <c r="Q211" s="161">
        <v>44718</v>
      </c>
      <c r="R211" s="82">
        <f t="shared" si="56"/>
        <v>11.111111111111121</v>
      </c>
      <c r="S211" s="162">
        <f>IF(INDEX([1]Historical!$D$7:$D$1229,MATCH(B211,[1]Historical!$B$7:$B$1253,0))=0,"n/a",(INDEX([1]Historical!$C$7:$C$1231,MATCH(B211,[1]Historical!$B$7:$B$1253,0))/INDEX([1]Historical!$D$7:$D$1229,MATCH(B211,[1]Historical!$B$7:$B$1253,0))-1)*100)</f>
        <v>7.5757575757575912</v>
      </c>
      <c r="T211" s="162">
        <f>IF(INDEX([1]Historical!$F$7:$F$1222,MATCH(B211,[1]Historical!$B$7:$B$1253,0))=0,"n/a",((INDEX([1]Historical!$C$7:$C$1231,MATCH(B211,[1]Historical!$B$7:$B$1253,0))/INDEX([1]Historical!$F$7:$F$1222,MATCH(B211,[1]Historical!$B$7:$B$1253,0)))^(1/3)-1)*100)</f>
        <v>39.774624296765573</v>
      </c>
      <c r="U211" s="162" t="str">
        <f>IF(INDEX([1]Historical!$H$7:$H$1222,MATCH(B211,[1]Historical!$B$7:$B$1253,0))=0,"n/a",((INDEX([1]Historical!$C$7:$C$1231,MATCH(B211,[1]Historical!$B$7:$B$1253,0))/INDEX([1]Historical!$H$7:$H$1222,MATCH(B211,[1]Historical!$B$7:$B$1253,0)))^(1/5)-1)*100)</f>
        <v>n/a</v>
      </c>
      <c r="V211" s="162" t="str">
        <f>IF(INDEX([1]Historical!$N$7:$N$1222,MATCH(B211,[1]Historical!$B$7:$B$1253,0))=0,"n/a",((INDEX([1]Historical!$C$7:$C$1231,MATCH(B211,[1]Historical!$B$7:$B$1253,0))/INDEX([1]Historical!$N$7:$N$1222,MATCH(B211,[1]Historical!$B$7:$B$1253,0)))^(1/10)-1)*100)</f>
        <v>n/a</v>
      </c>
      <c r="W211" s="163" t="str">
        <f t="shared" si="57"/>
        <v>n/a</v>
      </c>
      <c r="X211" s="164" t="str">
        <f t="shared" si="58"/>
        <v>n/a</v>
      </c>
      <c r="Y211" s="180"/>
      <c r="Z211" s="157">
        <f t="shared" si="59"/>
        <v>9.9255583126550864</v>
      </c>
      <c r="AA211" s="166">
        <f t="shared" si="60"/>
        <v>3.7990074441687343</v>
      </c>
      <c r="AB211" s="126">
        <v>12</v>
      </c>
      <c r="AC211" s="167">
        <v>8.06</v>
      </c>
      <c r="AD211" s="167">
        <v>1.1299999999999999</v>
      </c>
      <c r="AE211" s="167">
        <v>0.82</v>
      </c>
      <c r="AF211" s="167">
        <v>2.91</v>
      </c>
      <c r="AG211" s="167">
        <v>41.3</v>
      </c>
      <c r="AH211" s="167">
        <v>20.3</v>
      </c>
      <c r="AI211" s="167">
        <v>22.58</v>
      </c>
      <c r="AJ211" s="167">
        <v>-20.599999999999998</v>
      </c>
      <c r="AK211" s="167">
        <v>3.4099999999999997</v>
      </c>
      <c r="AL211" s="168">
        <v>11250</v>
      </c>
      <c r="AM211" s="169">
        <v>0.3</v>
      </c>
      <c r="AN211" s="167">
        <v>3.11</v>
      </c>
      <c r="AO211" s="170" t="str">
        <f t="shared" si="61"/>
        <v>n/a</v>
      </c>
      <c r="AP211" s="171" t="str">
        <f t="shared" si="62"/>
        <v>n/a</v>
      </c>
      <c r="AQ211" s="172">
        <f t="shared" si="63"/>
        <v>-29.904472602562613</v>
      </c>
      <c r="AR211" s="157">
        <f>INDEX([1]Historical!$C$7:$C$1231,MATCH(B211,[1]Historical!$B$7:$B$1253,0))*IF(AH211="n/a",1.03,IF(AH211&lt;0,1.01,IF(AH211&gt;10,1.1,(1+AH211/100))))</f>
        <v>0.78100000000000014</v>
      </c>
      <c r="AS211" s="166">
        <f t="shared" si="64"/>
        <v>0.8591000000000002</v>
      </c>
      <c r="AT211" s="166">
        <f t="shared" si="65"/>
        <v>0.88839531000000027</v>
      </c>
      <c r="AU211" s="166">
        <f t="shared" si="65"/>
        <v>0.91868959007100026</v>
      </c>
      <c r="AV211" s="166">
        <f t="shared" si="65"/>
        <v>0.95001690509242143</v>
      </c>
      <c r="AW211" s="157">
        <f t="shared" si="66"/>
        <v>4.3972018051634221</v>
      </c>
      <c r="AX211" s="173">
        <f t="shared" si="67"/>
        <v>14.360554556379562</v>
      </c>
      <c r="AY211" s="174">
        <v>1.44</v>
      </c>
      <c r="AZ211" s="169">
        <v>24.42</v>
      </c>
      <c r="BA211" s="169">
        <v>-17.53</v>
      </c>
      <c r="BB211" s="169">
        <v>5.7</v>
      </c>
      <c r="BC211" s="169">
        <v>2.91</v>
      </c>
      <c r="BE211" s="77">
        <v>2018</v>
      </c>
      <c r="BF211" s="77">
        <f t="shared" si="68"/>
        <v>1</v>
      </c>
      <c r="BG211" s="175">
        <v>1.0999999999999999</v>
      </c>
      <c r="BH211" t="s">
        <v>939</v>
      </c>
      <c r="BI211" t="s">
        <v>940</v>
      </c>
      <c r="BJ211" s="112"/>
      <c r="BK211" s="112"/>
      <c r="BL211" s="112"/>
    </row>
    <row r="212" spans="1:64" ht="11.25" customHeight="1" x14ac:dyDescent="0.2">
      <c r="A212" s="112" t="s">
        <v>1372</v>
      </c>
      <c r="B212" s="153" t="s">
        <v>1049</v>
      </c>
      <c r="C212" s="154" t="s">
        <v>947</v>
      </c>
      <c r="D212" s="154" t="s">
        <v>948</v>
      </c>
      <c r="E212" s="155">
        <v>8</v>
      </c>
      <c r="F212" s="298">
        <v>582</v>
      </c>
      <c r="G212" s="298" t="s">
        <v>88</v>
      </c>
      <c r="H212" s="298" t="s">
        <v>88</v>
      </c>
      <c r="I212" s="156">
        <v>566.44000000000005</v>
      </c>
      <c r="J212" s="157">
        <f t="shared" si="54"/>
        <v>2.1891109384930441</v>
      </c>
      <c r="K212" s="158">
        <v>3.1</v>
      </c>
      <c r="L212" s="126">
        <v>4</v>
      </c>
      <c r="M212" s="82">
        <f t="shared" si="55"/>
        <v>12.4</v>
      </c>
      <c r="N212" s="159" t="s">
        <v>231</v>
      </c>
      <c r="O212" s="160">
        <v>2.87</v>
      </c>
      <c r="P212" s="161">
        <v>44624</v>
      </c>
      <c r="Q212" s="161">
        <v>44643</v>
      </c>
      <c r="R212" s="82">
        <f t="shared" si="56"/>
        <v>8.0139372822299642</v>
      </c>
      <c r="S212" s="162">
        <f>IF(INDEX([1]Historical!$D$7:$D$1229,MATCH(B212,[1]Historical!$B$7:$B$1253,0))=0,"n/a",(INDEX([1]Historical!$C$7:$C$1231,MATCH(B212,[1]Historical!$B$7:$B$1253,0))/INDEX([1]Historical!$D$7:$D$1229,MATCH(B212,[1]Historical!$B$7:$B$1253,0))-1)*100)</f>
        <v>7.8947368421052655</v>
      </c>
      <c r="T212" s="162">
        <f>IF(INDEX([1]Historical!$F$7:$F$1222,MATCH(B212,[1]Historical!$B$7:$B$1253,0))=0,"n/a",((INDEX([1]Historical!$C$7:$C$1231,MATCH(B212,[1]Historical!$B$7:$B$1253,0))/INDEX([1]Historical!$F$7:$F$1222,MATCH(B212,[1]Historical!$B$7:$B$1253,0)))^(1/3)-1)*100)</f>
        <v>7.9731280259086823</v>
      </c>
      <c r="U212" s="162">
        <f>IF(INDEX([1]Historical!$H$7:$H$1222,MATCH(B212,[1]Historical!$B$7:$B$1253,0))=0,"n/a",((INDEX([1]Historical!$C$7:$C$1231,MATCH(B212,[1]Historical!$B$7:$B$1253,0))/INDEX([1]Historical!$H$7:$H$1222,MATCH(B212,[1]Historical!$B$7:$B$1253,0)))^(1/5)-1)*100)</f>
        <v>10.399922776586902</v>
      </c>
      <c r="V212" s="162" t="str">
        <f>IF(INDEX([1]Historical!$N$7:$N$1222,MATCH(B212,[1]Historical!$B$7:$B$1253,0))=0,"n/a",((INDEX([1]Historical!$C$7:$C$1231,MATCH(B212,[1]Historical!$B$7:$B$1253,0))/INDEX([1]Historical!$N$7:$N$1222,MATCH(B212,[1]Historical!$B$7:$B$1253,0)))^(1/10)-1)*100)</f>
        <v>n/a</v>
      </c>
      <c r="W212" s="163" t="str">
        <f t="shared" si="57"/>
        <v>n/a</v>
      </c>
      <c r="X212" s="164">
        <f t="shared" si="58"/>
        <v>0.37275708876655556</v>
      </c>
      <c r="Y212" s="178"/>
      <c r="Z212" s="157">
        <f t="shared" si="59"/>
        <v>176.38691322901849</v>
      </c>
      <c r="AA212" s="166">
        <f t="shared" si="60"/>
        <v>80.574679943101003</v>
      </c>
      <c r="AB212" s="126">
        <v>12</v>
      </c>
      <c r="AC212" s="167">
        <v>7.03</v>
      </c>
      <c r="AD212" s="167">
        <v>3.8</v>
      </c>
      <c r="AE212" s="167">
        <v>7.29</v>
      </c>
      <c r="AF212" s="167">
        <v>4.87</v>
      </c>
      <c r="AG212" s="167">
        <v>5.8999999999999995</v>
      </c>
      <c r="AH212" s="167">
        <v>32.300000000000004</v>
      </c>
      <c r="AI212" s="167">
        <v>14.13</v>
      </c>
      <c r="AJ212" s="167">
        <v>27.900000000000002</v>
      </c>
      <c r="AK212" s="167">
        <v>21.3</v>
      </c>
      <c r="AL212" s="168">
        <v>50540</v>
      </c>
      <c r="AM212" s="169">
        <v>0.3</v>
      </c>
      <c r="AN212" s="167">
        <v>1.4</v>
      </c>
      <c r="AO212" s="170">
        <f t="shared" si="61"/>
        <v>-67.985646228021054</v>
      </c>
      <c r="AP212" s="171">
        <f t="shared" si="62"/>
        <v>12.589033715079946</v>
      </c>
      <c r="AQ212" s="172">
        <f t="shared" si="63"/>
        <v>317.61156397510615</v>
      </c>
      <c r="AR212" s="157">
        <f>INDEX([1]Historical!$C$7:$C$1231,MATCH(B212,[1]Historical!$B$7:$B$1253,0))*IF(AH212="n/a",1.03,IF(AH212&lt;0,1.01,IF(AH212&gt;10,1.1,(1+AH212/100))))</f>
        <v>12.628000000000002</v>
      </c>
      <c r="AS212" s="166">
        <f t="shared" si="64"/>
        <v>13.890800000000004</v>
      </c>
      <c r="AT212" s="166">
        <f t="shared" si="65"/>
        <v>15.279880000000006</v>
      </c>
      <c r="AU212" s="166">
        <f t="shared" si="65"/>
        <v>16.807868000000006</v>
      </c>
      <c r="AV212" s="166">
        <f t="shared" si="65"/>
        <v>18.48865480000001</v>
      </c>
      <c r="AW212" s="157">
        <f t="shared" si="66"/>
        <v>77.095202800000024</v>
      </c>
      <c r="AX212" s="173">
        <f t="shared" si="67"/>
        <v>13.610479980227389</v>
      </c>
      <c r="AY212" s="174">
        <v>0.53</v>
      </c>
      <c r="AZ212" s="169">
        <v>14.46</v>
      </c>
      <c r="BA212" s="169">
        <v>-33.629999999999995</v>
      </c>
      <c r="BB212" s="169">
        <v>-5.1499999999999995</v>
      </c>
      <c r="BC212" s="169">
        <v>-15.42</v>
      </c>
      <c r="BE212" s="77">
        <v>2015</v>
      </c>
      <c r="BF212" s="77">
        <f t="shared" si="68"/>
        <v>1</v>
      </c>
      <c r="BG212" s="175">
        <v>2.2999999999999998</v>
      </c>
      <c r="BH212" t="s">
        <v>939</v>
      </c>
      <c r="BI212" t="s">
        <v>945</v>
      </c>
      <c r="BJ212" s="112"/>
      <c r="BK212" s="112"/>
      <c r="BL212" s="112"/>
    </row>
    <row r="213" spans="1:64" ht="11.25" customHeight="1" x14ac:dyDescent="0.2">
      <c r="A213" s="176" t="s">
        <v>283</v>
      </c>
      <c r="B213" s="153" t="s">
        <v>284</v>
      </c>
      <c r="C213" s="154" t="s">
        <v>90</v>
      </c>
      <c r="D213" s="154" t="s">
        <v>110</v>
      </c>
      <c r="E213" s="155">
        <v>32</v>
      </c>
      <c r="F213" s="298">
        <v>88</v>
      </c>
      <c r="G213" s="298" t="s">
        <v>88</v>
      </c>
      <c r="H213" s="298" t="s">
        <v>88</v>
      </c>
      <c r="I213" s="167">
        <v>257.01</v>
      </c>
      <c r="J213" s="157">
        <f t="shared" si="54"/>
        <v>1.7275592389401191</v>
      </c>
      <c r="K213" s="209">
        <v>1.1100000000000001</v>
      </c>
      <c r="L213" s="126">
        <v>4</v>
      </c>
      <c r="M213" s="82">
        <f t="shared" si="55"/>
        <v>4.4400000000000004</v>
      </c>
      <c r="N213" s="159" t="s">
        <v>141</v>
      </c>
      <c r="O213" s="210">
        <v>1.0349999999999999</v>
      </c>
      <c r="P213" s="161">
        <v>44565</v>
      </c>
      <c r="Q213" s="161">
        <v>44581</v>
      </c>
      <c r="R213" s="82">
        <f t="shared" si="56"/>
        <v>7.2463768115942209</v>
      </c>
      <c r="S213" s="162">
        <f>IF(INDEX([1]Historical!$D$7:$D$1229,MATCH(B213,[1]Historical!$B$7:$B$1253,0))=0,"n/a",(INDEX([1]Historical!$C$7:$C$1231,MATCH(B213,[1]Historical!$B$7:$B$1253,0))/INDEX([1]Historical!$D$7:$D$1229,MATCH(B213,[1]Historical!$B$7:$B$1253,0))-1)*100)</f>
        <v>7.2538860103626979</v>
      </c>
      <c r="T213" s="162">
        <f>IF(INDEX([1]Historical!$F$7:$F$1222,MATCH(B213,[1]Historical!$B$7:$B$1253,0))=0,"n/a",((INDEX([1]Historical!$C$7:$C$1231,MATCH(B213,[1]Historical!$B$7:$B$1253,0))/INDEX([1]Historical!$F$7:$F$1222,MATCH(B213,[1]Historical!$B$7:$B$1253,0)))^(1/3)-1)*100)</f>
        <v>7.2063116185391296</v>
      </c>
      <c r="U213" s="162">
        <f>IF(INDEX([1]Historical!$H$7:$H$1222,MATCH(B213,[1]Historical!$B$7:$B$1253,0))=0,"n/a",((INDEX([1]Historical!$C$7:$C$1231,MATCH(B213,[1]Historical!$B$7:$B$1253,0))/INDEX([1]Historical!$H$7:$H$1222,MATCH(B213,[1]Historical!$B$7:$B$1253,0)))^(1/5)-1)*100)</f>
        <v>7.2317757507352143</v>
      </c>
      <c r="V213" s="162">
        <f>IF(INDEX([1]Historical!$N$7:$N$1222,MATCH(B213,[1]Historical!$B$7:$B$1253,0))=0,"n/a",((INDEX([1]Historical!$C$7:$C$1231,MATCH(B213,[1]Historical!$B$7:$B$1253,0))/INDEX([1]Historical!$N$7:$N$1222,MATCH(B213,[1]Historical!$B$7:$B$1253,0)))^(1/10)-1)*100)</f>
        <v>7.2292607867660008</v>
      </c>
      <c r="W213" s="163">
        <f t="shared" si="57"/>
        <v>1.0003478867402069</v>
      </c>
      <c r="X213" s="164">
        <f t="shared" si="58"/>
        <v>0.99065421242948148</v>
      </c>
      <c r="Y213" s="165"/>
      <c r="Z213" s="157">
        <f t="shared" si="59"/>
        <v>88.095238095238102</v>
      </c>
      <c r="AA213" s="166">
        <f t="shared" si="60"/>
        <v>50.99404761904762</v>
      </c>
      <c r="AB213" s="126">
        <v>12</v>
      </c>
      <c r="AC213" s="167">
        <v>5.04</v>
      </c>
      <c r="AD213" s="167">
        <v>4.95</v>
      </c>
      <c r="AE213" s="167">
        <v>4.05</v>
      </c>
      <c r="AF213" s="167">
        <v>9.61</v>
      </c>
      <c r="AG213" s="167">
        <v>21.5</v>
      </c>
      <c r="AH213" s="167">
        <v>1.6</v>
      </c>
      <c r="AI213" s="167">
        <v>13.239999999999998</v>
      </c>
      <c r="AJ213" s="167">
        <v>7.3</v>
      </c>
      <c r="AK213" s="167">
        <v>10</v>
      </c>
      <c r="AL213" s="168">
        <v>11020</v>
      </c>
      <c r="AM213" s="169">
        <v>0.8</v>
      </c>
      <c r="AN213" s="167">
        <v>0</v>
      </c>
      <c r="AO213" s="170">
        <f t="shared" si="61"/>
        <v>-42.034712629372287</v>
      </c>
      <c r="AP213" s="171">
        <f t="shared" si="62"/>
        <v>8.9593349896753338</v>
      </c>
      <c r="AQ213" s="172">
        <f t="shared" si="63"/>
        <v>366.69180771280242</v>
      </c>
      <c r="AR213" s="157">
        <f>INDEX([1]Historical!$C$7:$C$1231,MATCH(B213,[1]Historical!$B$7:$B$1253,0))*IF(AH213="n/a",1.03,IF(AH213&lt;0,1.01,IF(AH213&gt;10,1.1,(1+AH213/100))))</f>
        <v>4.2062399999999993</v>
      </c>
      <c r="AS213" s="166">
        <f t="shared" si="64"/>
        <v>4.6268639999999994</v>
      </c>
      <c r="AT213" s="166">
        <f t="shared" si="65"/>
        <v>5.0895503999999994</v>
      </c>
      <c r="AU213" s="166">
        <f t="shared" si="65"/>
        <v>5.5985054399999994</v>
      </c>
      <c r="AV213" s="166">
        <f t="shared" si="65"/>
        <v>6.1583559839999999</v>
      </c>
      <c r="AW213" s="157">
        <f t="shared" si="66"/>
        <v>25.679515823999999</v>
      </c>
      <c r="AX213" s="173">
        <f t="shared" si="67"/>
        <v>9.9916407237072491</v>
      </c>
      <c r="AY213" s="174">
        <v>0.35</v>
      </c>
      <c r="AZ213" s="169">
        <v>62.2</v>
      </c>
      <c r="BA213" s="169">
        <v>2.94</v>
      </c>
      <c r="BB213" s="169">
        <v>13.750000000000002</v>
      </c>
      <c r="BC213" s="169">
        <v>33.22</v>
      </c>
      <c r="BE213" s="77">
        <v>1991</v>
      </c>
      <c r="BF213" s="77">
        <f t="shared" si="68"/>
        <v>3</v>
      </c>
      <c r="BG213" s="175">
        <v>13.100000000000001</v>
      </c>
      <c r="BH213" t="s">
        <v>939</v>
      </c>
      <c r="BI213" t="s">
        <v>940</v>
      </c>
    </row>
    <row r="214" spans="1:64" ht="11.25" customHeight="1" x14ac:dyDescent="0.2">
      <c r="A214" s="112" t="s">
        <v>609</v>
      </c>
      <c r="B214" s="153" t="s">
        <v>608</v>
      </c>
      <c r="C214" s="154" t="s">
        <v>117</v>
      </c>
      <c r="D214" s="154" t="s">
        <v>957</v>
      </c>
      <c r="E214" s="155">
        <v>24</v>
      </c>
      <c r="F214" s="298">
        <v>149</v>
      </c>
      <c r="G214" s="298" t="s">
        <v>30</v>
      </c>
      <c r="H214" s="298" t="s">
        <v>104</v>
      </c>
      <c r="I214" s="156">
        <v>76.28</v>
      </c>
      <c r="J214" s="157">
        <f t="shared" si="54"/>
        <v>3.3429470372312533</v>
      </c>
      <c r="K214" s="209">
        <v>0.63749999999999996</v>
      </c>
      <c r="L214" s="126">
        <v>4</v>
      </c>
      <c r="M214" s="82">
        <f t="shared" si="55"/>
        <v>2.5499999999999998</v>
      </c>
      <c r="N214" s="159" t="s">
        <v>180</v>
      </c>
      <c r="O214" s="210">
        <v>0.60250000000000004</v>
      </c>
      <c r="P214" s="161">
        <v>44622</v>
      </c>
      <c r="Q214" s="161">
        <v>44651</v>
      </c>
      <c r="R214" s="82">
        <f t="shared" si="56"/>
        <v>5.8091286307053807</v>
      </c>
      <c r="S214" s="162">
        <f>IF(INDEX([1]Historical!$D$7:$D$1229,MATCH(B214,[1]Historical!$B$7:$B$1253,0))=0,"n/a",(INDEX([1]Historical!$C$7:$C$1231,MATCH(B214,[1]Historical!$B$7:$B$1253,0))/INDEX([1]Historical!$D$7:$D$1229,MATCH(B214,[1]Historical!$B$7:$B$1253,0))-1)*100)</f>
        <v>6.1674008810572722</v>
      </c>
      <c r="T214" s="162">
        <f>IF(INDEX([1]Historical!$F$7:$F$1222,MATCH(B214,[1]Historical!$B$7:$B$1253,0))=0,"n/a",((INDEX([1]Historical!$C$7:$C$1231,MATCH(B214,[1]Historical!$B$7:$B$1253,0))/INDEX([1]Historical!$F$7:$F$1222,MATCH(B214,[1]Historical!$B$7:$B$1253,0)))^(1/3)-1)*100)</f>
        <v>6.0608795566382323</v>
      </c>
      <c r="U214" s="162">
        <f>IF(INDEX([1]Historical!$H$7:$H$1222,MATCH(B214,[1]Historical!$B$7:$B$1253,0))=0,"n/a",((INDEX([1]Historical!$C$7:$C$1231,MATCH(B214,[1]Historical!$B$7:$B$1253,0))/INDEX([1]Historical!$H$7:$H$1222,MATCH(B214,[1]Historical!$B$7:$B$1253,0)))^(1/5)-1)*100)</f>
        <v>6.2476683505577224</v>
      </c>
      <c r="V214" s="162">
        <f>IF(INDEX([1]Historical!$N$7:$N$1222,MATCH(B214,[1]Historical!$B$7:$B$1253,0))=0,"n/a",((INDEX([1]Historical!$C$7:$C$1231,MATCH(B214,[1]Historical!$B$7:$B$1253,0))/INDEX([1]Historical!$N$7:$N$1222,MATCH(B214,[1]Historical!$B$7:$B$1253,0)))^(1/10)-1)*100)</f>
        <v>8.1589433320679241</v>
      </c>
      <c r="W214" s="163">
        <f t="shared" si="57"/>
        <v>0.76574479026001774</v>
      </c>
      <c r="X214" s="164">
        <f t="shared" si="58"/>
        <v>1.6885590136642494</v>
      </c>
      <c r="Y214" s="216"/>
      <c r="Z214" s="157">
        <f t="shared" si="59"/>
        <v>66.40625</v>
      </c>
      <c r="AA214" s="166">
        <f t="shared" si="60"/>
        <v>19.864583333333336</v>
      </c>
      <c r="AB214" s="126">
        <v>12</v>
      </c>
      <c r="AC214" s="167">
        <v>3.84</v>
      </c>
      <c r="AD214" s="167">
        <v>3.49</v>
      </c>
      <c r="AE214" s="167">
        <v>2.34</v>
      </c>
      <c r="AF214" s="167">
        <v>1.76</v>
      </c>
      <c r="AG214" s="167">
        <v>9</v>
      </c>
      <c r="AH214" s="179">
        <v>-0.1</v>
      </c>
      <c r="AI214" s="179">
        <v>6.5299999999999994</v>
      </c>
      <c r="AJ214" s="167">
        <v>3.6999999999999997</v>
      </c>
      <c r="AK214" s="167">
        <v>5.74</v>
      </c>
      <c r="AL214" s="168">
        <v>25870</v>
      </c>
      <c r="AM214" s="169">
        <v>0.1</v>
      </c>
      <c r="AN214" s="167">
        <v>1.42</v>
      </c>
      <c r="AO214" s="170">
        <f t="shared" si="61"/>
        <v>-10.27396794554436</v>
      </c>
      <c r="AP214" s="171">
        <f t="shared" si="62"/>
        <v>9.5906153877889757</v>
      </c>
      <c r="AQ214" s="172">
        <f t="shared" si="63"/>
        <v>24.65359408584462</v>
      </c>
      <c r="AR214" s="157">
        <f>INDEX([1]Historical!$C$7:$C$1231,MATCH(B214,[1]Historical!$B$7:$B$1253,0))*IF(AH214="n/a",1.03,IF(AH214&lt;0,1.01,IF(AH214&gt;10,1.1,(1+AH214/100))))</f>
        <v>2.4341000000000004</v>
      </c>
      <c r="AS214" s="166">
        <f t="shared" si="64"/>
        <v>2.5930467300000002</v>
      </c>
      <c r="AT214" s="166">
        <f t="shared" si="65"/>
        <v>2.741887612302</v>
      </c>
      <c r="AU214" s="166">
        <f t="shared" si="65"/>
        <v>2.8992719612481346</v>
      </c>
      <c r="AV214" s="166">
        <f t="shared" si="65"/>
        <v>3.065690171823777</v>
      </c>
      <c r="AW214" s="157">
        <f t="shared" si="66"/>
        <v>13.73399647537391</v>
      </c>
      <c r="AX214" s="173">
        <f t="shared" si="67"/>
        <v>18.00471483399831</v>
      </c>
      <c r="AY214" s="174">
        <v>0.49</v>
      </c>
      <c r="AZ214" s="169">
        <v>8.14</v>
      </c>
      <c r="BA214" s="169">
        <v>-19.39</v>
      </c>
      <c r="BB214" s="169">
        <v>-8.49</v>
      </c>
      <c r="BC214" s="169">
        <v>-11.51</v>
      </c>
      <c r="BE214" s="77">
        <v>1999</v>
      </c>
      <c r="BF214" s="77">
        <f t="shared" si="68"/>
        <v>3</v>
      </c>
      <c r="BG214" s="175">
        <v>2.7</v>
      </c>
      <c r="BH214" t="s">
        <v>939</v>
      </c>
      <c r="BI214" t="s">
        <v>940</v>
      </c>
    </row>
    <row r="215" spans="1:64" ht="11.25" customHeight="1" x14ac:dyDescent="0.2">
      <c r="A215" s="112" t="s">
        <v>1373</v>
      </c>
      <c r="B215" s="153" t="s">
        <v>285</v>
      </c>
      <c r="C215" s="154" t="s">
        <v>947</v>
      </c>
      <c r="D215" s="154" t="s">
        <v>948</v>
      </c>
      <c r="E215" s="155">
        <v>28</v>
      </c>
      <c r="F215" s="298">
        <v>124</v>
      </c>
      <c r="G215" s="298" t="s">
        <v>30</v>
      </c>
      <c r="H215" s="298" t="s">
        <v>104</v>
      </c>
      <c r="I215" s="167">
        <v>222.24</v>
      </c>
      <c r="J215" s="157">
        <f t="shared" si="54"/>
        <v>3.9596832253419727</v>
      </c>
      <c r="K215" s="209">
        <v>2.2000000000000002</v>
      </c>
      <c r="L215" s="126">
        <v>4</v>
      </c>
      <c r="M215" s="82">
        <f t="shared" si="55"/>
        <v>8.8000000000000007</v>
      </c>
      <c r="N215" s="159" t="s">
        <v>112</v>
      </c>
      <c r="O215" s="210">
        <v>2.09</v>
      </c>
      <c r="P215" s="161">
        <v>44650</v>
      </c>
      <c r="Q215" s="161">
        <v>44665</v>
      </c>
      <c r="R215" s="82">
        <f t="shared" si="56"/>
        <v>5.2631578947368576</v>
      </c>
      <c r="S215" s="162">
        <f>IF(INDEX([1]Historical!$D$7:$D$1229,MATCH(B215,[1]Historical!$B$7:$B$1253,0))=0,"n/a",(INDEX([1]Historical!$C$7:$C$1231,MATCH(B215,[1]Historical!$B$7:$B$1253,0))/INDEX([1]Historical!$D$7:$D$1229,MATCH(B215,[1]Historical!$B$7:$B$1253,0))-1)*100)</f>
        <v>2.0164986251145933</v>
      </c>
      <c r="T215" s="162">
        <f>IF(INDEX([1]Historical!$F$7:$F$1222,MATCH(B215,[1]Historical!$B$7:$B$1253,0))=0,"n/a",((INDEX([1]Historical!$C$7:$C$1231,MATCH(B215,[1]Historical!$B$7:$B$1253,0))/INDEX([1]Historical!$F$7:$F$1222,MATCH(B215,[1]Historical!$B$7:$B$1253,0)))^(1/3)-1)*100)</f>
        <v>4.428125965709695</v>
      </c>
      <c r="U215" s="162">
        <f>IF(INDEX([1]Historical!$H$7:$H$1222,MATCH(B215,[1]Historical!$B$7:$B$1253,0))=0,"n/a",((INDEX([1]Historical!$C$7:$C$1231,MATCH(B215,[1]Historical!$B$7:$B$1253,0))/INDEX([1]Historical!$H$7:$H$1222,MATCH(B215,[1]Historical!$B$7:$B$1253,0)))^(1/5)-1)*100)</f>
        <v>5.9923125192651083</v>
      </c>
      <c r="V215" s="162">
        <f>IF(INDEX([1]Historical!$N$7:$N$1222,MATCH(B215,[1]Historical!$B$7:$B$1253,0))=0,"n/a",((INDEX([1]Historical!$C$7:$C$1231,MATCH(B215,[1]Historical!$B$7:$B$1253,0))/INDEX([1]Historical!$N$7:$N$1222,MATCH(B215,[1]Historical!$B$7:$B$1253,0)))^(1/10)-1)*100)</f>
        <v>7.2320672844796041</v>
      </c>
      <c r="W215" s="163">
        <f t="shared" si="57"/>
        <v>0.82857532757264651</v>
      </c>
      <c r="X215" s="164">
        <f t="shared" si="58"/>
        <v>1.619543924125705</v>
      </c>
      <c r="Y215" s="153"/>
      <c r="Z215" s="157">
        <f t="shared" si="59"/>
        <v>159.4202898550725</v>
      </c>
      <c r="AA215" s="166">
        <f t="shared" si="60"/>
        <v>40.260869565217398</v>
      </c>
      <c r="AB215" s="126">
        <v>12</v>
      </c>
      <c r="AC215" s="167">
        <v>5.52</v>
      </c>
      <c r="AD215" s="167">
        <v>5.09</v>
      </c>
      <c r="AE215" s="167">
        <v>9.18</v>
      </c>
      <c r="AF215" s="167">
        <v>2.54</v>
      </c>
      <c r="AG215" s="167">
        <v>6.1</v>
      </c>
      <c r="AH215" s="167">
        <v>-13.5</v>
      </c>
      <c r="AI215" s="167">
        <v>28.060000000000002</v>
      </c>
      <c r="AJ215" s="167">
        <v>3.6999999999999997</v>
      </c>
      <c r="AK215" s="167">
        <v>7.9</v>
      </c>
      <c r="AL215" s="168">
        <v>14350</v>
      </c>
      <c r="AM215" s="169">
        <v>0.6</v>
      </c>
      <c r="AN215" s="167">
        <v>1.08</v>
      </c>
      <c r="AO215" s="170">
        <f t="shared" si="61"/>
        <v>-30.308873820610316</v>
      </c>
      <c r="AP215" s="171">
        <f t="shared" si="62"/>
        <v>9.9519957446070819</v>
      </c>
      <c r="AQ215" s="172">
        <f t="shared" si="63"/>
        <v>113.19016935398017</v>
      </c>
      <c r="AR215" s="157">
        <f>INDEX([1]Historical!$C$7:$C$1231,MATCH(B215,[1]Historical!$B$7:$B$1253,0))*IF(AH215="n/a",1.03,IF(AH215&lt;0,1.01,IF(AH215&gt;10,1.1,(1+AH215/100))))</f>
        <v>8.4309750000000001</v>
      </c>
      <c r="AS215" s="166">
        <f t="shared" si="64"/>
        <v>9.2740725000000008</v>
      </c>
      <c r="AT215" s="166">
        <f t="shared" ref="AT215:AV230" si="69">IF($AK215="n/a",1.03*AS215,IF($AK215&lt;0,1.01*AS215,IF($AK215&gt;10,1.1*AS215,(1+$AK215/100)*AS215)))</f>
        <v>10.006724227500001</v>
      </c>
      <c r="AU215" s="166">
        <f t="shared" si="69"/>
        <v>10.797255441472501</v>
      </c>
      <c r="AV215" s="166">
        <f t="shared" si="69"/>
        <v>11.650238621348828</v>
      </c>
      <c r="AW215" s="157">
        <f t="shared" si="66"/>
        <v>50.159265790321328</v>
      </c>
      <c r="AX215" s="173">
        <f t="shared" si="67"/>
        <v>22.569864016523276</v>
      </c>
      <c r="AY215" s="174">
        <v>0.76</v>
      </c>
      <c r="AZ215" s="169">
        <v>1.77</v>
      </c>
      <c r="BA215" s="169">
        <v>-38.840000000000003</v>
      </c>
      <c r="BB215" s="169">
        <v>-11.1</v>
      </c>
      <c r="BC215" s="169">
        <v>-24.13</v>
      </c>
      <c r="BE215" s="77">
        <v>1995</v>
      </c>
      <c r="BF215" s="77">
        <f t="shared" si="68"/>
        <v>3</v>
      </c>
      <c r="BG215" s="175">
        <v>2.8000000000000003</v>
      </c>
      <c r="BH215" t="s">
        <v>939</v>
      </c>
      <c r="BI215" t="s">
        <v>945</v>
      </c>
    </row>
    <row r="216" spans="1:64" ht="11.25" customHeight="1" x14ac:dyDescent="0.2">
      <c r="A216" s="112" t="s">
        <v>1374</v>
      </c>
      <c r="B216" s="153" t="s">
        <v>269</v>
      </c>
      <c r="C216" s="154" t="s">
        <v>94</v>
      </c>
      <c r="D216" s="154" t="s">
        <v>1048</v>
      </c>
      <c r="E216" s="155">
        <v>13</v>
      </c>
      <c r="F216" s="298">
        <v>286</v>
      </c>
      <c r="G216" s="298" t="s">
        <v>104</v>
      </c>
      <c r="H216" s="298" t="s">
        <v>104</v>
      </c>
      <c r="I216" s="156">
        <v>150.07</v>
      </c>
      <c r="J216" s="157">
        <f t="shared" si="54"/>
        <v>2.1589924701805825</v>
      </c>
      <c r="K216" s="158">
        <v>0.81</v>
      </c>
      <c r="L216" s="126">
        <v>4</v>
      </c>
      <c r="M216" s="82">
        <f t="shared" si="55"/>
        <v>3.24</v>
      </c>
      <c r="N216" s="159" t="s">
        <v>319</v>
      </c>
      <c r="O216" s="160">
        <v>0.76</v>
      </c>
      <c r="P216" s="161">
        <v>44630</v>
      </c>
      <c r="Q216" s="161">
        <v>44651</v>
      </c>
      <c r="R216" s="82">
        <f t="shared" si="56"/>
        <v>6.5789473684210575</v>
      </c>
      <c r="S216" s="162">
        <f>IF(INDEX([1]Historical!$D$7:$D$1229,MATCH(B216,[1]Historical!$B$7:$B$1253,0))=0,"n/a",(INDEX([1]Historical!$C$7:$C$1231,MATCH(B216,[1]Historical!$B$7:$B$1253,0))/INDEX([1]Historical!$D$7:$D$1229,MATCH(B216,[1]Historical!$B$7:$B$1253,0))-1)*100)</f>
        <v>4.1095890410958846</v>
      </c>
      <c r="T216" s="162">
        <f>IF(INDEX([1]Historical!$F$7:$F$1222,MATCH(B216,[1]Historical!$B$7:$B$1253,0))=0,"n/a",((INDEX([1]Historical!$C$7:$C$1231,MATCH(B216,[1]Historical!$B$7:$B$1253,0))/INDEX([1]Historical!$F$7:$F$1222,MATCH(B216,[1]Historical!$B$7:$B$1253,0)))^(1/3)-1)*100)</f>
        <v>4.8149469628073316</v>
      </c>
      <c r="U216" s="162">
        <f>IF(INDEX([1]Historical!$H$7:$H$1222,MATCH(B216,[1]Historical!$B$7:$B$1253,0))=0,"n/a",((INDEX([1]Historical!$C$7:$C$1231,MATCH(B216,[1]Historical!$B$7:$B$1253,0))/INDEX([1]Historical!$H$7:$H$1222,MATCH(B216,[1]Historical!$B$7:$B$1253,0)))^(1/5)-1)*100)</f>
        <v>5.9223841048812176</v>
      </c>
      <c r="V216" s="162">
        <f>IF(INDEX([1]Historical!$N$7:$N$1222,MATCH(B216,[1]Historical!$B$7:$B$1253,0))=0,"n/a",((INDEX([1]Historical!$C$7:$C$1231,MATCH(B216,[1]Historical!$B$7:$B$1253,0))/INDEX([1]Historical!$N$7:$N$1222,MATCH(B216,[1]Historical!$B$7:$B$1253,0)))^(1/10)-1)*100)</f>
        <v>8.3760872726998503</v>
      </c>
      <c r="W216" s="163">
        <f t="shared" si="57"/>
        <v>0.70705854799101986</v>
      </c>
      <c r="X216" s="164">
        <f t="shared" si="58"/>
        <v>1.2086498173226974</v>
      </c>
      <c r="Y216" s="244" t="s">
        <v>270</v>
      </c>
      <c r="Z216" s="157">
        <f t="shared" si="59"/>
        <v>56.250000000000014</v>
      </c>
      <c r="AA216" s="166">
        <f t="shared" si="60"/>
        <v>26.053819444444443</v>
      </c>
      <c r="AB216" s="126">
        <v>12</v>
      </c>
      <c r="AC216" s="167">
        <v>5.76</v>
      </c>
      <c r="AD216" s="167">
        <v>2.56</v>
      </c>
      <c r="AE216" s="167">
        <v>2.95</v>
      </c>
      <c r="AF216" s="167">
        <v>3.66</v>
      </c>
      <c r="AG216" s="167">
        <v>14.2</v>
      </c>
      <c r="AH216" s="167">
        <v>53</v>
      </c>
      <c r="AI216" s="167">
        <v>9.7199999999999989</v>
      </c>
      <c r="AJ216" s="167">
        <v>4.9000000000000004</v>
      </c>
      <c r="AK216" s="167">
        <v>10.199999999999999</v>
      </c>
      <c r="AL216" s="168">
        <v>58430</v>
      </c>
      <c r="AM216" s="169">
        <v>0.31</v>
      </c>
      <c r="AN216" s="167">
        <v>0.59</v>
      </c>
      <c r="AO216" s="170">
        <f t="shared" si="61"/>
        <v>-17.972442869382643</v>
      </c>
      <c r="AP216" s="171">
        <f t="shared" si="62"/>
        <v>8.0813765750617996</v>
      </c>
      <c r="AQ216" s="172">
        <f t="shared" si="63"/>
        <v>105.86616922075764</v>
      </c>
      <c r="AR216" s="157">
        <f>INDEX([1]Historical!$C$7:$C$1231,MATCH(B216,[1]Historical!$B$7:$B$1253,0))*IF(AH216="n/a",1.03,IF(AH216&lt;0,1.01,IF(AH216&gt;10,1.1,(1+AH216/100))))</f>
        <v>3.3440000000000003</v>
      </c>
      <c r="AS216" s="166">
        <f t="shared" si="64"/>
        <v>3.6690368000000002</v>
      </c>
      <c r="AT216" s="166">
        <f t="shared" si="69"/>
        <v>4.0359404800000007</v>
      </c>
      <c r="AU216" s="166">
        <f t="shared" si="69"/>
        <v>4.4395345280000011</v>
      </c>
      <c r="AV216" s="166">
        <f t="shared" si="69"/>
        <v>4.8834879808000018</v>
      </c>
      <c r="AW216" s="157">
        <f t="shared" si="66"/>
        <v>20.371999788800004</v>
      </c>
      <c r="AX216" s="173">
        <f t="shared" si="67"/>
        <v>13.574998193376429</v>
      </c>
      <c r="AY216" s="174">
        <v>1.1499999999999999</v>
      </c>
      <c r="AZ216" s="169">
        <v>22.509999999999998</v>
      </c>
      <c r="BA216" s="169">
        <v>-14.6</v>
      </c>
      <c r="BB216" s="169">
        <v>6.99</v>
      </c>
      <c r="BC216" s="169">
        <v>4.25</v>
      </c>
      <c r="BE216" s="77">
        <v>2010</v>
      </c>
      <c r="BF216" s="77">
        <f t="shared" si="68"/>
        <v>1</v>
      </c>
      <c r="BG216" s="175">
        <v>6.7</v>
      </c>
      <c r="BH216" t="s">
        <v>939</v>
      </c>
      <c r="BI216" t="s">
        <v>940</v>
      </c>
    </row>
    <row r="217" spans="1:64" ht="11.25" customHeight="1" x14ac:dyDescent="0.2">
      <c r="A217" s="205" t="s">
        <v>1050</v>
      </c>
      <c r="B217" s="153" t="s">
        <v>1051</v>
      </c>
      <c r="C217" s="154" t="s">
        <v>117</v>
      </c>
      <c r="D217" s="154" t="s">
        <v>957</v>
      </c>
      <c r="E217" s="155">
        <v>8</v>
      </c>
      <c r="F217" s="298">
        <v>608</v>
      </c>
      <c r="G217" s="298" t="s">
        <v>88</v>
      </c>
      <c r="H217" s="298" t="s">
        <v>88</v>
      </c>
      <c r="I217" s="156">
        <v>107.14</v>
      </c>
      <c r="J217" s="157">
        <f t="shared" si="54"/>
        <v>3.9947731939518385</v>
      </c>
      <c r="K217" s="158">
        <v>1.07</v>
      </c>
      <c r="L217" s="126">
        <v>4</v>
      </c>
      <c r="M217" s="82">
        <f t="shared" si="55"/>
        <v>4.28</v>
      </c>
      <c r="N217" s="159" t="s">
        <v>1017</v>
      </c>
      <c r="O217" s="160">
        <v>1.01</v>
      </c>
      <c r="P217" s="161">
        <v>44875</v>
      </c>
      <c r="Q217" s="161">
        <v>44896</v>
      </c>
      <c r="R217" s="82">
        <f t="shared" si="56"/>
        <v>5.9405940594059459</v>
      </c>
      <c r="S217" s="162">
        <f>IF(INDEX([1]Historical!$D$7:$D$1229,MATCH(B217,[1]Historical!$B$7:$B$1253,0))=0,"n/a",(INDEX([1]Historical!$C$7:$C$1231,MATCH(B217,[1]Historical!$B$7:$B$1253,0))/INDEX([1]Historical!$D$7:$D$1229,MATCH(B217,[1]Historical!$B$7:$B$1253,0))-1)*100)</f>
        <v>3.2085561497326109</v>
      </c>
      <c r="T217" s="162">
        <f>IF(INDEX([1]Historical!$F$7:$F$1222,MATCH(B217,[1]Historical!$B$7:$B$1253,0))=0,"n/a",((INDEX([1]Historical!$C$7:$C$1231,MATCH(B217,[1]Historical!$B$7:$B$1253,0))/INDEX([1]Historical!$F$7:$F$1222,MATCH(B217,[1]Historical!$B$7:$B$1253,0)))^(1/3)-1)*100)</f>
        <v>2.5419155321439568</v>
      </c>
      <c r="U217" s="162">
        <f>IF(INDEX([1]Historical!$H$7:$H$1222,MATCH(B217,[1]Historical!$B$7:$B$1253,0))=0,"n/a",((INDEX([1]Historical!$C$7:$C$1231,MATCH(B217,[1]Historical!$B$7:$B$1253,0))/INDEX([1]Historical!$H$7:$H$1222,MATCH(B217,[1]Historical!$B$7:$B$1253,0)))^(1/5)-1)*100)</f>
        <v>2.4500653409534889</v>
      </c>
      <c r="V217" s="162">
        <f>IF(INDEX([1]Historical!$N$7:$N$1222,MATCH(B217,[1]Historical!$B$7:$B$1253,0))=0,"n/a",((INDEX([1]Historical!$C$7:$C$1231,MATCH(B217,[1]Historical!$B$7:$B$1253,0))/INDEX([1]Historical!$N$7:$N$1222,MATCH(B217,[1]Historical!$B$7:$B$1253,0)))^(1/10)-1)*100)</f>
        <v>1.5184368717213292</v>
      </c>
      <c r="W217" s="163">
        <f t="shared" si="57"/>
        <v>1.6135444196478499</v>
      </c>
      <c r="X217" s="164">
        <f t="shared" si="58"/>
        <v>8.1941984647273883E-2</v>
      </c>
      <c r="Y217" s="178"/>
      <c r="Z217" s="157">
        <f t="shared" si="59"/>
        <v>70.860927152317885</v>
      </c>
      <c r="AA217" s="166">
        <f t="shared" si="60"/>
        <v>17.73841059602649</v>
      </c>
      <c r="AB217" s="126">
        <v>12</v>
      </c>
      <c r="AC217" s="167">
        <v>6.04</v>
      </c>
      <c r="AD217" s="167">
        <v>2.88</v>
      </c>
      <c r="AE217" s="167">
        <v>1.73</v>
      </c>
      <c r="AF217" s="167">
        <v>1.87</v>
      </c>
      <c r="AG217" s="167">
        <v>10.6</v>
      </c>
      <c r="AH217" s="167">
        <v>-19.7</v>
      </c>
      <c r="AI217" s="167">
        <v>6.13</v>
      </c>
      <c r="AJ217" s="167">
        <v>29.9</v>
      </c>
      <c r="AK217" s="167">
        <v>6.1899999999999995</v>
      </c>
      <c r="AL217" s="168">
        <v>21370</v>
      </c>
      <c r="AM217" s="169">
        <v>0.1</v>
      </c>
      <c r="AN217" s="167">
        <v>2.29</v>
      </c>
      <c r="AO217" s="170">
        <f t="shared" si="61"/>
        <v>-11.293572061121163</v>
      </c>
      <c r="AP217" s="171">
        <f t="shared" si="62"/>
        <v>6.4448385349053279</v>
      </c>
      <c r="AQ217" s="172">
        <f t="shared" si="63"/>
        <v>21.419068271044985</v>
      </c>
      <c r="AR217" s="157">
        <f>INDEX([1]Historical!$C$7:$C$1231,MATCH(B217,[1]Historical!$B$7:$B$1253,0))*IF(AH217="n/a",1.03,IF(AH217&lt;0,1.01,IF(AH217&gt;10,1.1,(1+AH217/100))))</f>
        <v>3.8986000000000001</v>
      </c>
      <c r="AS217" s="166">
        <f t="shared" si="64"/>
        <v>4.1375841799999993</v>
      </c>
      <c r="AT217" s="166">
        <f t="shared" si="69"/>
        <v>4.3937006407419998</v>
      </c>
      <c r="AU217" s="166">
        <f t="shared" si="69"/>
        <v>4.6656707104039299</v>
      </c>
      <c r="AV217" s="166">
        <f t="shared" si="69"/>
        <v>4.9544757273779334</v>
      </c>
      <c r="AW217" s="157">
        <f t="shared" si="66"/>
        <v>22.050031258523862</v>
      </c>
      <c r="AX217" s="173">
        <f t="shared" si="67"/>
        <v>20.580577990035341</v>
      </c>
      <c r="AY217" s="174">
        <v>0.61</v>
      </c>
      <c r="AZ217" s="169">
        <v>12.85</v>
      </c>
      <c r="BA217" s="169">
        <v>-15.509999999999998</v>
      </c>
      <c r="BB217" s="169">
        <v>-2.85</v>
      </c>
      <c r="BC217" s="169">
        <v>-5.1499999999999995</v>
      </c>
      <c r="BE217" s="77">
        <v>2015</v>
      </c>
      <c r="BF217" s="77">
        <f t="shared" si="68"/>
        <v>1</v>
      </c>
      <c r="BG217" s="175">
        <v>2.1</v>
      </c>
      <c r="BH217" t="s">
        <v>939</v>
      </c>
      <c r="BI217" t="s">
        <v>940</v>
      </c>
      <c r="BJ217" s="112"/>
      <c r="BK217" s="112"/>
      <c r="BL217" s="112"/>
    </row>
    <row r="218" spans="1:64" ht="11.25" customHeight="1" x14ac:dyDescent="0.2">
      <c r="A218" s="112" t="s">
        <v>1375</v>
      </c>
      <c r="B218" s="153" t="s">
        <v>1052</v>
      </c>
      <c r="C218" s="154" t="s">
        <v>109</v>
      </c>
      <c r="D218" s="154" t="s">
        <v>1028</v>
      </c>
      <c r="E218" s="155">
        <v>8</v>
      </c>
      <c r="F218" s="298">
        <v>592</v>
      </c>
      <c r="G218" s="298" t="s">
        <v>88</v>
      </c>
      <c r="H218" s="298" t="s">
        <v>88</v>
      </c>
      <c r="I218" s="156">
        <v>59.84</v>
      </c>
      <c r="J218" s="157">
        <f t="shared" si="54"/>
        <v>6.0494652406417115</v>
      </c>
      <c r="K218" s="158">
        <v>0.90500000000000003</v>
      </c>
      <c r="L218" s="126">
        <v>4</v>
      </c>
      <c r="M218" s="82">
        <f t="shared" si="55"/>
        <v>3.62</v>
      </c>
      <c r="N218" s="159" t="s">
        <v>143</v>
      </c>
      <c r="O218" s="160">
        <v>0.86</v>
      </c>
      <c r="P218" s="161">
        <v>44694</v>
      </c>
      <c r="Q218" s="161">
        <v>44708</v>
      </c>
      <c r="R218" s="82">
        <f t="shared" si="56"/>
        <v>5.2325581395348886</v>
      </c>
      <c r="S218" s="162">
        <f>IF(INDEX([1]Historical!$D$7:$D$1229,MATCH(B218,[1]Historical!$B$7:$B$1253,0))=0,"n/a",(INDEX([1]Historical!$C$7:$C$1231,MATCH(B218,[1]Historical!$B$7:$B$1253,0))/INDEX([1]Historical!$D$7:$D$1229,MATCH(B218,[1]Historical!$B$7:$B$1253,0))-1)*100)</f>
        <v>11.226252158894656</v>
      </c>
      <c r="T218" s="162">
        <f>IF(INDEX([1]Historical!$F$7:$F$1222,MATCH(B218,[1]Historical!$B$7:$B$1253,0))=0,"n/a",((INDEX([1]Historical!$C$7:$C$1231,MATCH(B218,[1]Historical!$B$7:$B$1253,0))/INDEX([1]Historical!$F$7:$F$1222,MATCH(B218,[1]Historical!$B$7:$B$1253,0)))^(1/3)-1)*100)</f>
        <v>8.6577522465140824</v>
      </c>
      <c r="U218" s="162">
        <f>IF(INDEX([1]Historical!$H$7:$H$1222,MATCH(B218,[1]Historical!$B$7:$B$1253,0))=0,"n/a",((INDEX([1]Historical!$C$7:$C$1231,MATCH(B218,[1]Historical!$B$7:$B$1253,0))/INDEX([1]Historical!$H$7:$H$1222,MATCH(B218,[1]Historical!$B$7:$B$1253,0)))^(1/5)-1)*100)</f>
        <v>9.7200934505663916</v>
      </c>
      <c r="V218" s="162" t="str">
        <f>IF(INDEX([1]Historical!$N$7:$N$1222,MATCH(B218,[1]Historical!$B$7:$B$1253,0))=0,"n/a",((INDEX([1]Historical!$C$7:$C$1231,MATCH(B218,[1]Historical!$B$7:$B$1253,0))/INDEX([1]Historical!$N$7:$N$1222,MATCH(B218,[1]Historical!$B$7:$B$1253,0)))^(1/10)-1)*100)</f>
        <v>n/a</v>
      </c>
      <c r="W218" s="163" t="str">
        <f t="shared" si="57"/>
        <v>n/a</v>
      </c>
      <c r="X218" s="164" t="str">
        <f t="shared" si="58"/>
        <v>n/a</v>
      </c>
      <c r="Y218" s="178"/>
      <c r="Z218" s="157" t="str">
        <f t="shared" si="59"/>
        <v>n/a</v>
      </c>
      <c r="AA218" s="166" t="str">
        <f t="shared" si="60"/>
        <v>n/a</v>
      </c>
      <c r="AB218" s="126">
        <v>12</v>
      </c>
      <c r="AC218" s="167">
        <v>-5.91</v>
      </c>
      <c r="AD218" s="167" t="s">
        <v>95</v>
      </c>
      <c r="AE218" s="167">
        <v>3.76</v>
      </c>
      <c r="AF218" s="167">
        <v>8.1999999999999993</v>
      </c>
      <c r="AG218" s="167">
        <v>-41.099999999999994</v>
      </c>
      <c r="AH218" s="167">
        <v>112.99999999999999</v>
      </c>
      <c r="AI218" s="167">
        <v>140</v>
      </c>
      <c r="AJ218" s="167">
        <v>-47.3</v>
      </c>
      <c r="AK218" s="167">
        <v>34.5</v>
      </c>
      <c r="AL218" s="168">
        <v>3920</v>
      </c>
      <c r="AM218" s="169">
        <v>3.5999999999999996</v>
      </c>
      <c r="AN218" s="167">
        <v>2.61</v>
      </c>
      <c r="AO218" s="170" t="str">
        <f t="shared" si="61"/>
        <v>n/a</v>
      </c>
      <c r="AP218" s="171">
        <f t="shared" si="62"/>
        <v>15.769558691208104</v>
      </c>
      <c r="AQ218" s="172" t="str">
        <f t="shared" si="63"/>
        <v>n/a</v>
      </c>
      <c r="AR218" s="157">
        <f>INDEX([1]Historical!$C$7:$C$1231,MATCH(B218,[1]Historical!$B$7:$B$1253,0))*IF(AH218="n/a",1.03,IF(AH218&lt;0,1.01,IF(AH218&gt;10,1.1,(1+AH218/100))))</f>
        <v>3.5420000000000007</v>
      </c>
      <c r="AS218" s="166">
        <f t="shared" si="64"/>
        <v>3.8962000000000012</v>
      </c>
      <c r="AT218" s="166">
        <f t="shared" si="69"/>
        <v>4.285820000000002</v>
      </c>
      <c r="AU218" s="166">
        <f t="shared" si="69"/>
        <v>4.7144020000000024</v>
      </c>
      <c r="AV218" s="166">
        <f t="shared" si="69"/>
        <v>5.1858422000000033</v>
      </c>
      <c r="AW218" s="157">
        <f t="shared" si="66"/>
        <v>21.62426420000001</v>
      </c>
      <c r="AX218" s="173">
        <f t="shared" si="67"/>
        <v>36.136805147058837</v>
      </c>
      <c r="AY218" s="174">
        <v>1.1399999999999999</v>
      </c>
      <c r="AZ218" s="169">
        <v>30.43</v>
      </c>
      <c r="BA218" s="169">
        <v>-34.29</v>
      </c>
      <c r="BB218" s="169">
        <v>-6.49</v>
      </c>
      <c r="BC218" s="169">
        <v>-14.84</v>
      </c>
      <c r="BE218" s="77">
        <v>2015</v>
      </c>
      <c r="BF218" s="77">
        <f t="shared" si="68"/>
        <v>1</v>
      </c>
      <c r="BG218" s="175">
        <v>-10.199999999999999</v>
      </c>
      <c r="BH218" t="s">
        <v>939</v>
      </c>
      <c r="BI218" t="s">
        <v>993</v>
      </c>
      <c r="BJ218" s="112"/>
      <c r="BK218" s="112"/>
      <c r="BL218" s="112"/>
    </row>
    <row r="219" spans="1:64" ht="11.25" customHeight="1" x14ac:dyDescent="0.2">
      <c r="A219" s="204" t="s">
        <v>1376</v>
      </c>
      <c r="B219" s="153" t="s">
        <v>694</v>
      </c>
      <c r="C219" s="154" t="s">
        <v>90</v>
      </c>
      <c r="D219" s="154" t="s">
        <v>969</v>
      </c>
      <c r="E219" s="155">
        <v>11</v>
      </c>
      <c r="F219" s="298">
        <v>438</v>
      </c>
      <c r="G219" s="298" t="s">
        <v>88</v>
      </c>
      <c r="H219" s="298" t="s">
        <v>88</v>
      </c>
      <c r="I219" s="156">
        <v>36.380000000000003</v>
      </c>
      <c r="J219" s="157">
        <f t="shared" si="54"/>
        <v>3.5184167124793846</v>
      </c>
      <c r="K219" s="158">
        <v>0.64</v>
      </c>
      <c r="L219" s="126">
        <v>2</v>
      </c>
      <c r="M219" s="82">
        <f t="shared" si="55"/>
        <v>1.28</v>
      </c>
      <c r="N219" s="159" t="s">
        <v>321</v>
      </c>
      <c r="O219" s="160">
        <v>0.62</v>
      </c>
      <c r="P219" s="161">
        <v>44816</v>
      </c>
      <c r="Q219" s="161">
        <v>44838</v>
      </c>
      <c r="R219" s="82">
        <f t="shared" si="56"/>
        <v>3.2258064516129057</v>
      </c>
      <c r="S219" s="162">
        <f>IF(INDEX([1]Historical!$D$7:$D$1229,MATCH(B219,[1]Historical!$B$7:$B$1253,0))=0,"n/a",(INDEX([1]Historical!$C$7:$C$1231,MATCH(B219,[1]Historical!$B$7:$B$1253,0))/INDEX([1]Historical!$D$7:$D$1229,MATCH(B219,[1]Historical!$B$7:$B$1253,0))-1)*100)</f>
        <v>3.4482758620689724</v>
      </c>
      <c r="T219" s="162">
        <f>IF(INDEX([1]Historical!$F$7:$F$1222,MATCH(B219,[1]Historical!$B$7:$B$1253,0))=0,"n/a",((INDEX([1]Historical!$C$7:$C$1231,MATCH(B219,[1]Historical!$B$7:$B$1253,0))/INDEX([1]Historical!$F$7:$F$1222,MATCH(B219,[1]Historical!$B$7:$B$1253,0)))^(1/3)-1)*100)</f>
        <v>9.2608243623279343</v>
      </c>
      <c r="U219" s="162">
        <f>IF(INDEX([1]Historical!$H$7:$H$1222,MATCH(B219,[1]Historical!$B$7:$B$1253,0))=0,"n/a",((INDEX([1]Historical!$C$7:$C$1231,MATCH(B219,[1]Historical!$B$7:$B$1253,0))/INDEX([1]Historical!$H$7:$H$1222,MATCH(B219,[1]Historical!$B$7:$B$1253,0)))^(1/5)-1)*100)</f>
        <v>9.5654257747853855</v>
      </c>
      <c r="V219" s="162">
        <f>IF(INDEX([1]Historical!$N$7:$N$1222,MATCH(B219,[1]Historical!$B$7:$B$1253,0))=0,"n/a",((INDEX([1]Historical!$C$7:$C$1231,MATCH(B219,[1]Historical!$B$7:$B$1253,0))/INDEX([1]Historical!$N$7:$N$1222,MATCH(B219,[1]Historical!$B$7:$B$1253,0)))^(1/10)-1)*100)</f>
        <v>11.612317403390438</v>
      </c>
      <c r="W219" s="163">
        <f t="shared" si="57"/>
        <v>0.82373099550246331</v>
      </c>
      <c r="X219" s="164">
        <f t="shared" si="58"/>
        <v>0.5255728447684278</v>
      </c>
      <c r="Y219" s="178"/>
      <c r="Z219" s="157">
        <f t="shared" si="59"/>
        <v>31.920199501246888</v>
      </c>
      <c r="AA219" s="166">
        <f t="shared" si="60"/>
        <v>9.072319201995013</v>
      </c>
      <c r="AB219" s="126">
        <v>12</v>
      </c>
      <c r="AC219" s="167">
        <v>4.01</v>
      </c>
      <c r="AD219" s="167" t="s">
        <v>95</v>
      </c>
      <c r="AE219" s="167">
        <v>2.59</v>
      </c>
      <c r="AF219" s="167">
        <v>1.25</v>
      </c>
      <c r="AG219" s="167">
        <v>13.8</v>
      </c>
      <c r="AH219" s="167">
        <v>104.69999999999999</v>
      </c>
      <c r="AI219" s="167">
        <v>2.19</v>
      </c>
      <c r="AJ219" s="167">
        <v>18.2</v>
      </c>
      <c r="AK219" s="167" t="s">
        <v>95</v>
      </c>
      <c r="AL219" s="168">
        <v>201.3</v>
      </c>
      <c r="AM219" s="169">
        <v>4.8599999999999994</v>
      </c>
      <c r="AN219" s="167">
        <v>0.19</v>
      </c>
      <c r="AO219" s="170">
        <f t="shared" si="61"/>
        <v>4.0115232852697567</v>
      </c>
      <c r="AP219" s="171">
        <f t="shared" si="62"/>
        <v>13.08384248726477</v>
      </c>
      <c r="AQ219" s="172">
        <f t="shared" si="63"/>
        <v>-29.005793655808265</v>
      </c>
      <c r="AR219" s="157">
        <f>INDEX([1]Historical!$C$7:$C$1231,MATCH(B219,[1]Historical!$B$7:$B$1253,0))*IF(AH219="n/a",1.03,IF(AH219&lt;0,1.01,IF(AH219&gt;10,1.1,(1+AH219/100))))</f>
        <v>1.32</v>
      </c>
      <c r="AS219" s="166">
        <f t="shared" si="64"/>
        <v>1.348908</v>
      </c>
      <c r="AT219" s="166">
        <f t="shared" si="69"/>
        <v>1.3893752400000001</v>
      </c>
      <c r="AU219" s="166">
        <f t="shared" si="69"/>
        <v>1.4310564972000002</v>
      </c>
      <c r="AV219" s="166">
        <f t="shared" si="69"/>
        <v>1.4739881921160003</v>
      </c>
      <c r="AW219" s="157">
        <f t="shared" si="66"/>
        <v>6.9633279293159998</v>
      </c>
      <c r="AX219" s="173">
        <f t="shared" si="67"/>
        <v>19.140538563265526</v>
      </c>
      <c r="AY219" s="174">
        <v>0.91</v>
      </c>
      <c r="AZ219" s="169">
        <v>11.84</v>
      </c>
      <c r="BA219" s="169">
        <v>-18.2</v>
      </c>
      <c r="BB219" s="169">
        <v>-3.16</v>
      </c>
      <c r="BC219" s="169">
        <v>-3.6999999999999997</v>
      </c>
      <c r="BE219" s="77">
        <v>2012</v>
      </c>
      <c r="BF219" s="77">
        <f t="shared" si="68"/>
        <v>1</v>
      </c>
      <c r="BG219" s="175">
        <v>1.0999999999999999</v>
      </c>
      <c r="BH219" t="s">
        <v>939</v>
      </c>
      <c r="BI219" t="s">
        <v>940</v>
      </c>
    </row>
    <row r="220" spans="1:64" ht="11.25" customHeight="1" x14ac:dyDescent="0.2">
      <c r="A220" s="176" t="s">
        <v>1758</v>
      </c>
      <c r="B220" s="153" t="s">
        <v>286</v>
      </c>
      <c r="C220" s="154" t="s">
        <v>90</v>
      </c>
      <c r="D220" s="154" t="s">
        <v>972</v>
      </c>
      <c r="E220" s="155">
        <v>16</v>
      </c>
      <c r="F220" s="298">
        <v>244</v>
      </c>
      <c r="G220" s="298" t="s">
        <v>88</v>
      </c>
      <c r="H220" s="298" t="s">
        <v>88</v>
      </c>
      <c r="I220" s="156">
        <v>105.1</v>
      </c>
      <c r="J220" s="157">
        <f t="shared" si="54"/>
        <v>2.7402473834443386</v>
      </c>
      <c r="K220" s="158">
        <v>0.72</v>
      </c>
      <c r="L220" s="126">
        <v>4</v>
      </c>
      <c r="M220" s="82">
        <f t="shared" si="55"/>
        <v>2.88</v>
      </c>
      <c r="N220" s="159" t="s">
        <v>251</v>
      </c>
      <c r="O220" s="160">
        <v>0.68</v>
      </c>
      <c r="P220" s="161">
        <v>44707</v>
      </c>
      <c r="Q220" s="161">
        <v>44722</v>
      </c>
      <c r="R220" s="82">
        <f t="shared" si="56"/>
        <v>5.8823529411764595</v>
      </c>
      <c r="S220" s="162">
        <f>IF(INDEX([1]Historical!$D$7:$D$1229,MATCH(B220,[1]Historical!$B$7:$B$1253,0))=0,"n/a",(INDEX([1]Historical!$C$7:$C$1231,MATCH(B220,[1]Historical!$B$7:$B$1253,0))/INDEX([1]Historical!$D$7:$D$1229,MATCH(B220,[1]Historical!$B$7:$B$1253,0))-1)*100)</f>
        <v>12.765957446808507</v>
      </c>
      <c r="T220" s="162">
        <f>IF(INDEX([1]Historical!$F$7:$F$1222,MATCH(B220,[1]Historical!$B$7:$B$1253,0))=0,"n/a",((INDEX([1]Historical!$C$7:$C$1231,MATCH(B220,[1]Historical!$B$7:$B$1253,0))/INDEX([1]Historical!$F$7:$F$1222,MATCH(B220,[1]Historical!$B$7:$B$1253,0)))^(1/3)-1)*100)</f>
        <v>11.72853158368412</v>
      </c>
      <c r="U220" s="162">
        <f>IF(INDEX([1]Historical!$H$7:$H$1222,MATCH(B220,[1]Historical!$B$7:$B$1253,0))=0,"n/a",((INDEX([1]Historical!$C$7:$C$1231,MATCH(B220,[1]Historical!$B$7:$B$1253,0))/INDEX([1]Historical!$H$7:$H$1222,MATCH(B220,[1]Historical!$B$7:$B$1253,0)))^(1/5)-1)*100)</f>
        <v>15.84797067508854</v>
      </c>
      <c r="V220" s="162">
        <f>IF(INDEX([1]Historical!$N$7:$N$1222,MATCH(B220,[1]Historical!$B$7:$B$1253,0))=0,"n/a",((INDEX([1]Historical!$C$7:$C$1231,MATCH(B220,[1]Historical!$B$7:$B$1253,0))/INDEX([1]Historical!$N$7:$N$1222,MATCH(B220,[1]Historical!$B$7:$B$1253,0)))^(1/10)-1)*100)</f>
        <v>13.606038338918736</v>
      </c>
      <c r="W220" s="163">
        <f t="shared" si="57"/>
        <v>1.1647748066207468</v>
      </c>
      <c r="X220" s="164">
        <f t="shared" si="58"/>
        <v>0.33224257180479122</v>
      </c>
      <c r="Y220" s="153"/>
      <c r="Z220" s="157">
        <f t="shared" si="59"/>
        <v>19.060225016545335</v>
      </c>
      <c r="AA220" s="166">
        <f t="shared" si="60"/>
        <v>6.9556585043017867</v>
      </c>
      <c r="AB220" s="126">
        <v>12</v>
      </c>
      <c r="AC220" s="167">
        <v>15.11</v>
      </c>
      <c r="AD220" s="167" t="s">
        <v>95</v>
      </c>
      <c r="AE220" s="167">
        <v>1.38</v>
      </c>
      <c r="AF220" s="167">
        <v>3.07</v>
      </c>
      <c r="AG220" s="167">
        <v>56.899999999999991</v>
      </c>
      <c r="AH220" s="167">
        <v>107.69999999999999</v>
      </c>
      <c r="AI220" s="167">
        <v>-2.8899999999999997</v>
      </c>
      <c r="AJ220" s="167">
        <v>47.699999999999996</v>
      </c>
      <c r="AK220" s="167">
        <v>-4</v>
      </c>
      <c r="AL220" s="168">
        <v>4220</v>
      </c>
      <c r="AM220" s="169">
        <v>0.5</v>
      </c>
      <c r="AN220" s="167">
        <v>0</v>
      </c>
      <c r="AO220" s="170">
        <f t="shared" si="61"/>
        <v>11.63255955423109</v>
      </c>
      <c r="AP220" s="171">
        <f t="shared" si="62"/>
        <v>18.588218058532878</v>
      </c>
      <c r="AQ220" s="172">
        <f t="shared" si="63"/>
        <v>-2.5802401786612528</v>
      </c>
      <c r="AR220" s="157">
        <f>INDEX([1]Historical!$C$7:$C$1231,MATCH(B220,[1]Historical!$B$7:$B$1253,0))*IF(AH220="n/a",1.03,IF(AH220&lt;0,1.01,IF(AH220&gt;10,1.1,(1+AH220/100))))</f>
        <v>2.915</v>
      </c>
      <c r="AS220" s="166">
        <f t="shared" si="64"/>
        <v>2.94415</v>
      </c>
      <c r="AT220" s="166">
        <f t="shared" si="69"/>
        <v>2.9735914999999999</v>
      </c>
      <c r="AU220" s="166">
        <f t="shared" si="69"/>
        <v>3.0033274149999998</v>
      </c>
      <c r="AV220" s="166">
        <f t="shared" si="69"/>
        <v>3.0333606891499998</v>
      </c>
      <c r="AW220" s="157">
        <f t="shared" si="66"/>
        <v>14.869429604149998</v>
      </c>
      <c r="AX220" s="173">
        <f t="shared" si="67"/>
        <v>14.147887349333965</v>
      </c>
      <c r="AY220" s="174">
        <v>1.51</v>
      </c>
      <c r="AZ220" s="169">
        <v>33.6</v>
      </c>
      <c r="BA220" s="169">
        <v>-33.35</v>
      </c>
      <c r="BB220" s="169">
        <v>14.23</v>
      </c>
      <c r="BC220" s="169">
        <v>-0.03</v>
      </c>
      <c r="BE220" s="77">
        <v>2007</v>
      </c>
      <c r="BF220" s="77">
        <f t="shared" si="68"/>
        <v>2</v>
      </c>
      <c r="BG220" s="175">
        <v>23.1</v>
      </c>
      <c r="BH220" t="s">
        <v>939</v>
      </c>
      <c r="BI220" t="s">
        <v>940</v>
      </c>
    </row>
    <row r="221" spans="1:64" s="252" customFormat="1" ht="11.25" customHeight="1" x14ac:dyDescent="0.2">
      <c r="A221" s="243" t="s">
        <v>1377</v>
      </c>
      <c r="B221" s="184" t="s">
        <v>1053</v>
      </c>
      <c r="C221" s="154" t="s">
        <v>117</v>
      </c>
      <c r="D221" s="154" t="s">
        <v>957</v>
      </c>
      <c r="E221" s="185">
        <v>17</v>
      </c>
      <c r="F221" s="298">
        <v>231</v>
      </c>
      <c r="G221" s="297" t="s">
        <v>88</v>
      </c>
      <c r="H221" s="297" t="s">
        <v>88</v>
      </c>
      <c r="I221" s="186">
        <v>61.13</v>
      </c>
      <c r="J221" s="187">
        <f t="shared" si="54"/>
        <v>3.7461148372321285</v>
      </c>
      <c r="K221" s="188">
        <v>0.57250000000000001</v>
      </c>
      <c r="L221" s="189">
        <v>4</v>
      </c>
      <c r="M221" s="190">
        <f t="shared" si="55"/>
        <v>2.29</v>
      </c>
      <c r="N221" s="252" t="s">
        <v>93</v>
      </c>
      <c r="O221" s="192">
        <v>0.53500000000000003</v>
      </c>
      <c r="P221" s="247">
        <v>44518</v>
      </c>
      <c r="Q221" s="247">
        <v>44550</v>
      </c>
      <c r="R221" s="190">
        <f t="shared" si="56"/>
        <v>7.0093457943925186</v>
      </c>
      <c r="S221" s="162">
        <f>IF(INDEX([1]Historical!$D$7:$D$1229,MATCH(B221,[1]Historical!$B$7:$B$1253,0))=0,"n/a",(INDEX([1]Historical!$C$7:$C$1231,MATCH(B221,[1]Historical!$B$7:$B$1253,0))/INDEX([1]Historical!$D$7:$D$1229,MATCH(B221,[1]Historical!$B$7:$B$1253,0))-1)*100)</f>
        <v>6.2195121951219789</v>
      </c>
      <c r="T221" s="162">
        <f>IF(INDEX([1]Historical!$F$7:$F$1222,MATCH(B221,[1]Historical!$B$7:$B$1253,0))=0,"n/a",((INDEX([1]Historical!$C$7:$C$1231,MATCH(B221,[1]Historical!$B$7:$B$1253,0))/INDEX([1]Historical!$F$7:$F$1222,MATCH(B221,[1]Historical!$B$7:$B$1253,0)))^(1/3)-1)*100)</f>
        <v>7.8664108346093942</v>
      </c>
      <c r="U221" s="162">
        <f>IF(INDEX([1]Historical!$H$7:$H$1222,MATCH(B221,[1]Historical!$B$7:$B$1253,0))=0,"n/a",((INDEX([1]Historical!$C$7:$C$1231,MATCH(B221,[1]Historical!$B$7:$B$1253,0))/INDEX([1]Historical!$H$7:$H$1222,MATCH(B221,[1]Historical!$B$7:$B$1253,0)))^(1/5)-1)*100)</f>
        <v>7.7391093238865061</v>
      </c>
      <c r="V221" s="162">
        <f>IF(INDEX([1]Historical!$N$7:$N$1222,MATCH(B221,[1]Historical!$B$7:$B$1253,0))=0,"n/a",((INDEX([1]Historical!$C$7:$C$1231,MATCH(B221,[1]Historical!$B$7:$B$1253,0))/INDEX([1]Historical!$N$7:$N$1222,MATCH(B221,[1]Historical!$B$7:$B$1253,0)))^(1/10)-1)*100)</f>
        <v>5.5396001031511544</v>
      </c>
      <c r="W221" s="163">
        <f t="shared" si="57"/>
        <v>1.3970519856630408</v>
      </c>
      <c r="X221" s="164">
        <f t="shared" si="58"/>
        <v>0.80615722123817779</v>
      </c>
      <c r="Y221" s="221" t="s">
        <v>1054</v>
      </c>
      <c r="Z221" s="187">
        <f t="shared" si="59"/>
        <v>64.325842696629209</v>
      </c>
      <c r="AA221" s="194">
        <f t="shared" si="60"/>
        <v>17.171348314606742</v>
      </c>
      <c r="AB221" s="189">
        <v>12</v>
      </c>
      <c r="AC221" s="195">
        <v>3.56</v>
      </c>
      <c r="AD221" s="195">
        <v>4.83</v>
      </c>
      <c r="AE221" s="195">
        <v>2.5499999999999998</v>
      </c>
      <c r="AF221" s="195">
        <v>1.53</v>
      </c>
      <c r="AG221" s="195">
        <v>8.7999999999999989</v>
      </c>
      <c r="AH221" s="195">
        <v>41</v>
      </c>
      <c r="AI221" s="195">
        <v>5.76</v>
      </c>
      <c r="AJ221" s="195">
        <v>9.6</v>
      </c>
      <c r="AK221" s="195">
        <v>3.5999999999999996</v>
      </c>
      <c r="AL221" s="196">
        <v>13820</v>
      </c>
      <c r="AM221" s="197">
        <v>0.1</v>
      </c>
      <c r="AN221" s="195">
        <v>1.28</v>
      </c>
      <c r="AO221" s="198">
        <f t="shared" si="61"/>
        <v>-5.6861241534881088</v>
      </c>
      <c r="AP221" s="199">
        <f t="shared" si="62"/>
        <v>11.485224161118634</v>
      </c>
      <c r="AQ221" s="172">
        <f t="shared" si="63"/>
        <v>8.0579328597978783</v>
      </c>
      <c r="AR221" s="157">
        <f>INDEX([1]Historical!$C$7:$C$1231,MATCH(B221,[1]Historical!$B$7:$B$1253,0))*IF(AH221="n/a",1.03,IF(AH221&lt;0,1.01,IF(AH221&gt;10,1.1,(1+AH221/100))))</f>
        <v>2.3952500000000003</v>
      </c>
      <c r="AS221" s="194">
        <f t="shared" si="64"/>
        <v>2.5332164000000006</v>
      </c>
      <c r="AT221" s="194">
        <f t="shared" si="69"/>
        <v>2.6244121904000006</v>
      </c>
      <c r="AU221" s="194">
        <f t="shared" si="69"/>
        <v>2.7188910292544008</v>
      </c>
      <c r="AV221" s="194">
        <f t="shared" si="69"/>
        <v>2.8167711063075593</v>
      </c>
      <c r="AW221" s="187">
        <f t="shared" si="66"/>
        <v>13.088540725961963</v>
      </c>
      <c r="AX221" s="200">
        <f t="shared" si="67"/>
        <v>21.410994153381257</v>
      </c>
      <c r="AY221" s="201">
        <v>0.53</v>
      </c>
      <c r="AZ221" s="197">
        <v>12.950000000000001</v>
      </c>
      <c r="BA221" s="197">
        <v>-16.400000000000002</v>
      </c>
      <c r="BB221" s="197">
        <v>-4.51</v>
      </c>
      <c r="BC221" s="197">
        <v>-6.97</v>
      </c>
      <c r="BD221" s="202"/>
      <c r="BE221" s="77">
        <v>2005</v>
      </c>
      <c r="BF221" s="77">
        <f t="shared" si="68"/>
        <v>2</v>
      </c>
      <c r="BG221" s="203">
        <v>2.9000000000000004</v>
      </c>
      <c r="BH221" t="s">
        <v>939</v>
      </c>
      <c r="BI221" t="s">
        <v>940</v>
      </c>
    </row>
    <row r="222" spans="1:64" ht="11.25" customHeight="1" x14ac:dyDescent="0.2">
      <c r="A222" s="205" t="s">
        <v>1759</v>
      </c>
      <c r="B222" s="153" t="s">
        <v>1760</v>
      </c>
      <c r="C222" s="154" t="s">
        <v>90</v>
      </c>
      <c r="D222" s="154" t="s">
        <v>969</v>
      </c>
      <c r="E222" s="155">
        <v>5</v>
      </c>
      <c r="F222" s="298">
        <v>695</v>
      </c>
      <c r="G222" s="298" t="s">
        <v>88</v>
      </c>
      <c r="H222" s="298" t="s">
        <v>88</v>
      </c>
      <c r="I222" s="156">
        <v>71.569999999999993</v>
      </c>
      <c r="J222" s="157">
        <f t="shared" si="54"/>
        <v>2.235573564342602</v>
      </c>
      <c r="K222" s="158">
        <v>0.4</v>
      </c>
      <c r="L222" s="126">
        <v>4</v>
      </c>
      <c r="M222" s="82">
        <f t="shared" si="55"/>
        <v>1.6</v>
      </c>
      <c r="N222" s="159" t="s">
        <v>89</v>
      </c>
      <c r="O222" s="160">
        <v>0.33</v>
      </c>
      <c r="P222" s="161">
        <v>44596</v>
      </c>
      <c r="Q222" s="161">
        <v>44614</v>
      </c>
      <c r="R222" s="82">
        <f t="shared" si="56"/>
        <v>21.212121212121211</v>
      </c>
      <c r="S222" s="162">
        <f>IF(INDEX([1]Historical!$D$7:$D$1229,MATCH(B222,[1]Historical!$B$7:$B$1253,0))=0,"n/a",(INDEX([1]Historical!$C$7:$C$1231,MATCH(B222,[1]Historical!$B$7:$B$1253,0))/INDEX([1]Historical!$D$7:$D$1229,MATCH(B222,[1]Historical!$B$7:$B$1253,0))-1)*100)</f>
        <v>19.999999999999996</v>
      </c>
      <c r="T222" s="162">
        <f>IF(INDEX([1]Historical!$F$7:$F$1222,MATCH(B222,[1]Historical!$B$7:$B$1253,0))=0,"n/a",((INDEX([1]Historical!$C$7:$C$1231,MATCH(B222,[1]Historical!$B$7:$B$1253,0))/INDEX([1]Historical!$F$7:$F$1222,MATCH(B222,[1]Historical!$B$7:$B$1253,0)))^(1/3)-1)*100)</f>
        <v>15.352008277817442</v>
      </c>
      <c r="U222" s="162">
        <f>IF(INDEX([1]Historical!$H$7:$H$1222,MATCH(B222,[1]Historical!$B$7:$B$1253,0))=0,"n/a",((INDEX([1]Historical!$C$7:$C$1231,MATCH(B222,[1]Historical!$B$7:$B$1253,0))/INDEX([1]Historical!$H$7:$H$1222,MATCH(B222,[1]Historical!$B$7:$B$1253,0)))^(1/5)-1)*100)</f>
        <v>10.534229649286942</v>
      </c>
      <c r="V222" s="162">
        <f>IF(INDEX([1]Historical!$N$7:$N$1222,MATCH(B222,[1]Historical!$B$7:$B$1253,0))=0,"n/a",((INDEX([1]Historical!$C$7:$C$1231,MATCH(B222,[1]Historical!$B$7:$B$1253,0))/INDEX([1]Historical!$N$7:$N$1222,MATCH(B222,[1]Historical!$B$7:$B$1253,0)))^(1/10)-1)*100)</f>
        <v>23.493868371626792</v>
      </c>
      <c r="W222" s="163">
        <f t="shared" si="57"/>
        <v>0.44838208347199987</v>
      </c>
      <c r="X222" s="164">
        <f t="shared" si="58"/>
        <v>0.68404088631733395</v>
      </c>
      <c r="Y222" s="180"/>
      <c r="Z222" s="157">
        <f t="shared" si="59"/>
        <v>22.630834512022631</v>
      </c>
      <c r="AA222" s="166">
        <f t="shared" si="60"/>
        <v>10.123055162659123</v>
      </c>
      <c r="AB222" s="126">
        <v>12</v>
      </c>
      <c r="AC222" s="167">
        <v>7.07</v>
      </c>
      <c r="AD222" s="167">
        <v>1.27</v>
      </c>
      <c r="AE222" s="167">
        <v>4.97</v>
      </c>
      <c r="AF222" s="167">
        <v>1.81</v>
      </c>
      <c r="AG222" s="167">
        <v>15.9</v>
      </c>
      <c r="AH222" s="167">
        <v>53.6</v>
      </c>
      <c r="AI222" s="167">
        <v>13.020000000000001</v>
      </c>
      <c r="AJ222" s="167">
        <v>15.4</v>
      </c>
      <c r="AK222" s="167">
        <v>8</v>
      </c>
      <c r="AL222" s="168">
        <v>9850</v>
      </c>
      <c r="AM222" s="169">
        <v>0.1</v>
      </c>
      <c r="AN222" s="167">
        <v>0.03</v>
      </c>
      <c r="AO222" s="170">
        <f t="shared" si="61"/>
        <v>2.6467480509704213</v>
      </c>
      <c r="AP222" s="171">
        <f t="shared" si="62"/>
        <v>12.769803213629544</v>
      </c>
      <c r="AQ222" s="172">
        <f t="shared" si="63"/>
        <v>-9.7590143759179409</v>
      </c>
      <c r="AR222" s="157">
        <f>INDEX([1]Historical!$C$7:$C$1231,MATCH(B222,[1]Historical!$B$7:$B$1253,0))*IF(AH222="n/a",1.03,IF(AH222&lt;0,1.01,IF(AH222&gt;10,1.1,(1+AH222/100))))</f>
        <v>1.4520000000000002</v>
      </c>
      <c r="AS222" s="166">
        <f t="shared" si="64"/>
        <v>1.5972000000000004</v>
      </c>
      <c r="AT222" s="166">
        <f t="shared" si="69"/>
        <v>1.7249760000000005</v>
      </c>
      <c r="AU222" s="166">
        <f t="shared" si="69"/>
        <v>1.8629740800000008</v>
      </c>
      <c r="AV222" s="166">
        <f t="shared" si="69"/>
        <v>2.0120120064000009</v>
      </c>
      <c r="AW222" s="157">
        <f t="shared" si="66"/>
        <v>8.6491620864000041</v>
      </c>
      <c r="AX222" s="173">
        <f t="shared" si="67"/>
        <v>12.084898821293844</v>
      </c>
      <c r="AY222" s="174">
        <v>1.44</v>
      </c>
      <c r="AZ222" s="169">
        <v>16.09</v>
      </c>
      <c r="BA222" s="169">
        <v>-23.47</v>
      </c>
      <c r="BB222" s="169">
        <v>0.22999999999999998</v>
      </c>
      <c r="BC222" s="169">
        <v>-4.32</v>
      </c>
      <c r="BE222" s="77">
        <v>2018</v>
      </c>
      <c r="BF222" s="77">
        <f t="shared" si="68"/>
        <v>1</v>
      </c>
      <c r="BG222" s="175">
        <v>1.5</v>
      </c>
      <c r="BH222" t="s">
        <v>939</v>
      </c>
      <c r="BI222" t="s">
        <v>940</v>
      </c>
      <c r="BJ222" s="112"/>
      <c r="BK222" s="112"/>
      <c r="BL222" s="112"/>
    </row>
    <row r="223" spans="1:64" ht="11.25" customHeight="1" x14ac:dyDescent="0.2">
      <c r="A223" s="112" t="s">
        <v>1378</v>
      </c>
      <c r="B223" s="153" t="s">
        <v>287</v>
      </c>
      <c r="C223" s="154" t="s">
        <v>94</v>
      </c>
      <c r="D223" s="154" t="s">
        <v>1019</v>
      </c>
      <c r="E223" s="155">
        <v>28</v>
      </c>
      <c r="F223" s="298">
        <v>125</v>
      </c>
      <c r="G223" s="298" t="s">
        <v>88</v>
      </c>
      <c r="H223" s="298" t="s">
        <v>88</v>
      </c>
      <c r="I223" s="167">
        <v>97.85</v>
      </c>
      <c r="J223" s="157">
        <f t="shared" si="54"/>
        <v>1.369443025038324</v>
      </c>
      <c r="K223" s="209">
        <v>0.67</v>
      </c>
      <c r="L223" s="126">
        <v>2</v>
      </c>
      <c r="M223" s="82">
        <f t="shared" si="55"/>
        <v>1.34</v>
      </c>
      <c r="N223" s="159" t="s">
        <v>288</v>
      </c>
      <c r="O223" s="210">
        <v>0.57999999999999996</v>
      </c>
      <c r="P223" s="161">
        <v>44712</v>
      </c>
      <c r="Q223" s="161">
        <v>44727</v>
      </c>
      <c r="R223" s="82">
        <f t="shared" si="56"/>
        <v>15.517241379310359</v>
      </c>
      <c r="S223" s="162">
        <f>IF(INDEX([1]Historical!$D$7:$D$1229,MATCH(B223,[1]Historical!$B$7:$B$1253,0))=0,"n/a",(INDEX([1]Historical!$C$7:$C$1231,MATCH(B223,[1]Historical!$B$7:$B$1253,0))/INDEX([1]Historical!$D$7:$D$1229,MATCH(B223,[1]Historical!$B$7:$B$1253,0))-1)*100)</f>
        <v>11.538461538461519</v>
      </c>
      <c r="T223" s="162">
        <f>IF(INDEX([1]Historical!$F$7:$F$1222,MATCH(B223,[1]Historical!$B$7:$B$1253,0))=0,"n/a",((INDEX([1]Historical!$C$7:$C$1231,MATCH(B223,[1]Historical!$B$7:$B$1253,0))/INDEX([1]Historical!$F$7:$F$1222,MATCH(B223,[1]Historical!$B$7:$B$1253,0)))^(1/3)-1)*100)</f>
        <v>8.8274600686327975</v>
      </c>
      <c r="U223" s="162">
        <f>IF(INDEX([1]Historical!$H$7:$H$1222,MATCH(B223,[1]Historical!$B$7:$B$1253,0))=0,"n/a",((INDEX([1]Historical!$C$7:$C$1231,MATCH(B223,[1]Historical!$B$7:$B$1253,0))/INDEX([1]Historical!$H$7:$H$1222,MATCH(B223,[1]Historical!$B$7:$B$1253,0)))^(1/5)-1)*100)</f>
        <v>7.7143587792743107</v>
      </c>
      <c r="V223" s="162">
        <f>IF(INDEX([1]Historical!$N$7:$N$1222,MATCH(B223,[1]Historical!$B$7:$B$1253,0))=0,"n/a",((INDEX([1]Historical!$C$7:$C$1231,MATCH(B223,[1]Historical!$B$7:$B$1253,0))/INDEX([1]Historical!$N$7:$N$1222,MATCH(B223,[1]Historical!$B$7:$B$1253,0)))^(1/10)-1)*100)</f>
        <v>8.7799358808551951</v>
      </c>
      <c r="W223" s="163">
        <f t="shared" si="57"/>
        <v>0.87863497911136301</v>
      </c>
      <c r="X223" s="164">
        <f t="shared" si="58"/>
        <v>0.27067925541313376</v>
      </c>
      <c r="Y223" s="178"/>
      <c r="Z223" s="157">
        <f t="shared" si="59"/>
        <v>14.773980154355018</v>
      </c>
      <c r="AA223" s="166">
        <f t="shared" si="60"/>
        <v>10.788313120176404</v>
      </c>
      <c r="AB223" s="126">
        <v>12</v>
      </c>
      <c r="AC223" s="167">
        <v>9.07</v>
      </c>
      <c r="AD223" s="167" t="s">
        <v>95</v>
      </c>
      <c r="AE223" s="167">
        <v>0.83</v>
      </c>
      <c r="AF223" s="167">
        <v>4.58</v>
      </c>
      <c r="AG223" s="167">
        <v>43</v>
      </c>
      <c r="AH223" s="167">
        <v>102.89999999999999</v>
      </c>
      <c r="AI223" s="167">
        <v>-29.13</v>
      </c>
      <c r="AJ223" s="167">
        <v>28.499999999999996</v>
      </c>
      <c r="AK223" s="167" t="s">
        <v>95</v>
      </c>
      <c r="AL223" s="168">
        <v>15770</v>
      </c>
      <c r="AM223" s="169">
        <v>0.3</v>
      </c>
      <c r="AN223" s="167">
        <v>0</v>
      </c>
      <c r="AO223" s="170">
        <f t="shared" si="61"/>
        <v>-1.704511315863769</v>
      </c>
      <c r="AP223" s="171">
        <f t="shared" si="62"/>
        <v>9.0838018043126354</v>
      </c>
      <c r="AQ223" s="172">
        <f t="shared" si="63"/>
        <v>48.189779360278308</v>
      </c>
      <c r="AR223" s="157">
        <f>INDEX([1]Historical!$C$7:$C$1231,MATCH(B223,[1]Historical!$B$7:$B$1253,0))*IF(AH223="n/a",1.03,IF(AH223&lt;0,1.01,IF(AH223&gt;10,1.1,(1+AH223/100))))</f>
        <v>1.276</v>
      </c>
      <c r="AS223" s="166">
        <f t="shared" si="64"/>
        <v>1.2887600000000001</v>
      </c>
      <c r="AT223" s="166">
        <f t="shared" si="69"/>
        <v>1.3274228000000001</v>
      </c>
      <c r="AU223" s="166">
        <f t="shared" si="69"/>
        <v>1.3672454840000001</v>
      </c>
      <c r="AV223" s="166">
        <f t="shared" si="69"/>
        <v>1.4082628485200002</v>
      </c>
      <c r="AW223" s="157">
        <f t="shared" si="66"/>
        <v>6.6676911325199999</v>
      </c>
      <c r="AX223" s="173">
        <f t="shared" si="67"/>
        <v>6.8141963541338795</v>
      </c>
      <c r="AY223" s="174">
        <v>0.92</v>
      </c>
      <c r="AZ223" s="169">
        <v>13.669999999999998</v>
      </c>
      <c r="BA223" s="169">
        <v>-28.99</v>
      </c>
      <c r="BB223" s="169">
        <v>2.15</v>
      </c>
      <c r="BC223" s="169">
        <v>-4.12</v>
      </c>
      <c r="BE223" s="77">
        <v>1995</v>
      </c>
      <c r="BF223" s="77">
        <f t="shared" si="68"/>
        <v>3</v>
      </c>
      <c r="BG223" s="175">
        <v>20.5</v>
      </c>
      <c r="BH223" t="s">
        <v>939</v>
      </c>
      <c r="BI223" t="s">
        <v>940</v>
      </c>
    </row>
    <row r="224" spans="1:64" ht="11.25" customHeight="1" x14ac:dyDescent="0.2">
      <c r="A224" s="176" t="s">
        <v>1379</v>
      </c>
      <c r="B224" s="153" t="s">
        <v>804</v>
      </c>
      <c r="C224" s="154" t="s">
        <v>94</v>
      </c>
      <c r="D224" s="154" t="s">
        <v>1031</v>
      </c>
      <c r="E224" s="155">
        <v>10</v>
      </c>
      <c r="F224" s="298">
        <v>478</v>
      </c>
      <c r="G224" s="298" t="s">
        <v>88</v>
      </c>
      <c r="H224" s="298" t="s">
        <v>88</v>
      </c>
      <c r="I224" s="156">
        <v>95.26</v>
      </c>
      <c r="J224" s="157">
        <f t="shared" si="54"/>
        <v>1.0077682133109385</v>
      </c>
      <c r="K224" s="228">
        <v>0.24</v>
      </c>
      <c r="L224" s="126">
        <v>4</v>
      </c>
      <c r="M224" s="82">
        <f t="shared" si="55"/>
        <v>0.96</v>
      </c>
      <c r="N224" s="159" t="s">
        <v>319</v>
      </c>
      <c r="O224" s="226">
        <v>0.2</v>
      </c>
      <c r="P224" s="161">
        <v>44630</v>
      </c>
      <c r="Q224" s="161">
        <v>44645</v>
      </c>
      <c r="R224" s="82">
        <f t="shared" si="56"/>
        <v>19.999999999999989</v>
      </c>
      <c r="S224" s="162">
        <f>IF(INDEX([1]Historical!$D$7:$D$1229,MATCH(B224,[1]Historical!$B$7:$B$1253,0))=0,"n/a",(INDEX([1]Historical!$C$7:$C$1231,MATCH(B224,[1]Historical!$B$7:$B$1253,0))/INDEX([1]Historical!$D$7:$D$1229,MATCH(B224,[1]Historical!$B$7:$B$1253,0))-1)*100)</f>
        <v>5.2631578947368363</v>
      </c>
      <c r="T224" s="162">
        <f>IF(INDEX([1]Historical!$F$7:$F$1222,MATCH(B224,[1]Historical!$B$7:$B$1253,0))=0,"n/a",((INDEX([1]Historical!$C$7:$C$1231,MATCH(B224,[1]Historical!$B$7:$B$1253,0))/INDEX([1]Historical!$F$7:$F$1222,MATCH(B224,[1]Historical!$B$7:$B$1253,0)))^(1/3)-1)*100)</f>
        <v>15.441567326431937</v>
      </c>
      <c r="U224" s="162">
        <f>IF(INDEX([1]Historical!$H$7:$H$1222,MATCH(B224,[1]Historical!$B$7:$B$1253,0))=0,"n/a",((INDEX([1]Historical!$C$7:$C$1231,MATCH(B224,[1]Historical!$B$7:$B$1253,0))/INDEX([1]Historical!$H$7:$H$1222,MATCH(B224,[1]Historical!$B$7:$B$1253,0)))^(1/5)-1)*100)</f>
        <v>17.316067631184097</v>
      </c>
      <c r="V224" s="162" t="str">
        <f>IF(INDEX([1]Historical!$N$7:$N$1222,MATCH(B224,[1]Historical!$B$7:$B$1253,0))=0,"n/a",((INDEX([1]Historical!$C$7:$C$1231,MATCH(B224,[1]Historical!$B$7:$B$1253,0))/INDEX([1]Historical!$N$7:$N$1222,MATCH(B224,[1]Historical!$B$7:$B$1253,0)))^(1/10)-1)*100)</f>
        <v>n/a</v>
      </c>
      <c r="W224" s="163" t="str">
        <f t="shared" si="57"/>
        <v>n/a</v>
      </c>
      <c r="X224" s="164">
        <f t="shared" si="58"/>
        <v>1.0307183113800058</v>
      </c>
      <c r="Y224" s="218" t="s">
        <v>901</v>
      </c>
      <c r="Z224" s="157">
        <f t="shared" si="59"/>
        <v>50.526315789473685</v>
      </c>
      <c r="AA224" s="166">
        <f t="shared" si="60"/>
        <v>50.136842105263163</v>
      </c>
      <c r="AB224" s="126">
        <v>12</v>
      </c>
      <c r="AC224" s="167">
        <v>1.9</v>
      </c>
      <c r="AD224" s="167">
        <v>3.3</v>
      </c>
      <c r="AE224" s="167">
        <v>9.2899999999999991</v>
      </c>
      <c r="AF224" s="167">
        <v>14.48</v>
      </c>
      <c r="AG224" s="167">
        <v>25.900000000000002</v>
      </c>
      <c r="AH224" s="167">
        <v>22.6</v>
      </c>
      <c r="AI224" s="167">
        <v>8.24</v>
      </c>
      <c r="AJ224" s="167">
        <v>16.8</v>
      </c>
      <c r="AK224" s="167">
        <v>15</v>
      </c>
      <c r="AL224" s="168">
        <v>4640</v>
      </c>
      <c r="AM224" s="169">
        <v>0.5</v>
      </c>
      <c r="AN224" s="167">
        <v>0</v>
      </c>
      <c r="AO224" s="170">
        <f t="shared" si="61"/>
        <v>-31.813006260768127</v>
      </c>
      <c r="AP224" s="171">
        <f t="shared" si="62"/>
        <v>18.323835844495036</v>
      </c>
      <c r="AQ224" s="172">
        <f t="shared" si="63"/>
        <v>468.03030970938335</v>
      </c>
      <c r="AR224" s="157">
        <f>INDEX([1]Historical!$C$7:$C$1231,MATCH(B224,[1]Historical!$B$7:$B$1253,0))*IF(AH224="n/a",1.03,IF(AH224&lt;0,1.01,IF(AH224&gt;10,1.1,(1+AH224/100))))</f>
        <v>0.88000000000000012</v>
      </c>
      <c r="AS224" s="166">
        <f t="shared" si="64"/>
        <v>0.95251200000000014</v>
      </c>
      <c r="AT224" s="166">
        <f t="shared" si="69"/>
        <v>1.0477632000000003</v>
      </c>
      <c r="AU224" s="166">
        <f t="shared" si="69"/>
        <v>1.1525395200000004</v>
      </c>
      <c r="AV224" s="166">
        <f t="shared" si="69"/>
        <v>1.2677934720000006</v>
      </c>
      <c r="AW224" s="157">
        <f t="shared" si="66"/>
        <v>5.3006081920000021</v>
      </c>
      <c r="AX224" s="173">
        <f t="shared" si="67"/>
        <v>5.5643587990762144</v>
      </c>
      <c r="AY224" s="174">
        <v>0.6</v>
      </c>
      <c r="AZ224" s="169">
        <v>17.649999999999999</v>
      </c>
      <c r="BA224" s="169">
        <v>-25.35</v>
      </c>
      <c r="BB224" s="169">
        <v>3.61</v>
      </c>
      <c r="BC224" s="169">
        <v>1.25</v>
      </c>
      <c r="BE224" s="77">
        <v>2013</v>
      </c>
      <c r="BF224" s="77">
        <f t="shared" si="68"/>
        <v>1</v>
      </c>
      <c r="BG224" s="175">
        <v>16</v>
      </c>
      <c r="BH224" t="s">
        <v>939</v>
      </c>
      <c r="BI224" t="s">
        <v>940</v>
      </c>
    </row>
    <row r="225" spans="1:64" ht="11.25" customHeight="1" x14ac:dyDescent="0.2">
      <c r="A225" s="112" t="s">
        <v>289</v>
      </c>
      <c r="B225" s="153" t="s">
        <v>290</v>
      </c>
      <c r="C225" s="154" t="s">
        <v>947</v>
      </c>
      <c r="D225" s="154" t="s">
        <v>948</v>
      </c>
      <c r="E225" s="155">
        <v>13</v>
      </c>
      <c r="F225" s="298">
        <v>287</v>
      </c>
      <c r="G225" s="298" t="s">
        <v>88</v>
      </c>
      <c r="H225" s="298" t="s">
        <v>88</v>
      </c>
      <c r="I225" s="156">
        <v>177.44</v>
      </c>
      <c r="J225" s="157">
        <f t="shared" si="54"/>
        <v>3.3814247069431924</v>
      </c>
      <c r="K225" s="158">
        <v>1.5</v>
      </c>
      <c r="L225" s="126">
        <v>4</v>
      </c>
      <c r="M225" s="82">
        <f t="shared" si="55"/>
        <v>6</v>
      </c>
      <c r="N225" s="159" t="s">
        <v>119</v>
      </c>
      <c r="O225" s="160">
        <v>1.25</v>
      </c>
      <c r="P225" s="161">
        <v>44634</v>
      </c>
      <c r="Q225" s="161">
        <v>44651</v>
      </c>
      <c r="R225" s="82">
        <f t="shared" si="56"/>
        <v>20</v>
      </c>
      <c r="S225" s="162">
        <f>IF(INDEX([1]Historical!$D$7:$D$1229,MATCH(B225,[1]Historical!$B$7:$B$1253,0))=0,"n/a",(INDEX([1]Historical!$C$7:$C$1231,MATCH(B225,[1]Historical!$B$7:$B$1253,0))/INDEX([1]Historical!$D$7:$D$1229,MATCH(B225,[1]Historical!$B$7:$B$1253,0))-1)*100)</f>
        <v>25</v>
      </c>
      <c r="T225" s="162">
        <f>IF(INDEX([1]Historical!$F$7:$F$1222,MATCH(B225,[1]Historical!$B$7:$B$1253,0))=0,"n/a",((INDEX([1]Historical!$C$7:$C$1231,MATCH(B225,[1]Historical!$B$7:$B$1253,0))/INDEX([1]Historical!$F$7:$F$1222,MATCH(B225,[1]Historical!$B$7:$B$1253,0)))^(1/3)-1)*100)</f>
        <v>10.227784577092326</v>
      </c>
      <c r="U225" s="162">
        <f>IF(INDEX([1]Historical!$H$7:$H$1222,MATCH(B225,[1]Historical!$B$7:$B$1253,0))=0,"n/a",((INDEX([1]Historical!$C$7:$C$1231,MATCH(B225,[1]Historical!$B$7:$B$1253,0))/INDEX([1]Historical!$H$7:$H$1222,MATCH(B225,[1]Historical!$B$7:$B$1253,0)))^(1/5)-1)*100)</f>
        <v>8.9604727061539435</v>
      </c>
      <c r="V225" s="162">
        <f>IF(INDEX([1]Historical!$N$7:$N$1222,MATCH(B225,[1]Historical!$B$7:$B$1253,0))=0,"n/a",((INDEX([1]Historical!$C$7:$C$1231,MATCH(B225,[1]Historical!$B$7:$B$1253,0))/INDEX([1]Historical!$N$7:$N$1222,MATCH(B225,[1]Historical!$B$7:$B$1253,0)))^(1/10)-1)*100)</f>
        <v>23.169293035496572</v>
      </c>
      <c r="W225" s="163">
        <f t="shared" si="57"/>
        <v>0.38673915049656582</v>
      </c>
      <c r="X225" s="164">
        <f t="shared" si="58"/>
        <v>0.54972225191128488</v>
      </c>
      <c r="Y225" s="180"/>
      <c r="Z225" s="157">
        <f t="shared" si="59"/>
        <v>90.225563909774436</v>
      </c>
      <c r="AA225" s="166">
        <f t="shared" si="60"/>
        <v>26.682706766917292</v>
      </c>
      <c r="AB225" s="126">
        <v>12</v>
      </c>
      <c r="AC225" s="167">
        <v>6.65</v>
      </c>
      <c r="AD225" s="167">
        <v>4.4800000000000004</v>
      </c>
      <c r="AE225" s="167">
        <v>13.09</v>
      </c>
      <c r="AF225" s="167">
        <v>7.49</v>
      </c>
      <c r="AG225" s="167">
        <v>28.499999999999996</v>
      </c>
      <c r="AH225" s="167">
        <v>66.8</v>
      </c>
      <c r="AI225" s="167">
        <v>6.98</v>
      </c>
      <c r="AJ225" s="167">
        <v>16.3</v>
      </c>
      <c r="AK225" s="167">
        <v>6</v>
      </c>
      <c r="AL225" s="168">
        <v>23020</v>
      </c>
      <c r="AM225" s="169">
        <v>0.6</v>
      </c>
      <c r="AN225" s="167">
        <v>1.99</v>
      </c>
      <c r="AO225" s="170">
        <f t="shared" si="61"/>
        <v>-14.340809353820156</v>
      </c>
      <c r="AP225" s="171">
        <f t="shared" si="62"/>
        <v>12.341897413097136</v>
      </c>
      <c r="AQ225" s="172">
        <f t="shared" si="63"/>
        <v>198.03316272165307</v>
      </c>
      <c r="AR225" s="157">
        <f>INDEX([1]Historical!$C$7:$C$1231,MATCH(B225,[1]Historical!$B$7:$B$1253,0))*IF(AH225="n/a",1.03,IF(AH225&lt;0,1.01,IF(AH225&gt;10,1.1,(1+AH225/100))))</f>
        <v>4.95</v>
      </c>
      <c r="AS225" s="166">
        <f t="shared" si="64"/>
        <v>5.295510000000001</v>
      </c>
      <c r="AT225" s="166">
        <f t="shared" si="69"/>
        <v>5.613240600000001</v>
      </c>
      <c r="AU225" s="166">
        <f t="shared" si="69"/>
        <v>5.9500350360000009</v>
      </c>
      <c r="AV225" s="166">
        <f t="shared" si="69"/>
        <v>6.307037138160001</v>
      </c>
      <c r="AW225" s="157">
        <f t="shared" si="66"/>
        <v>28.115822774160005</v>
      </c>
      <c r="AX225" s="173">
        <f t="shared" si="67"/>
        <v>15.845256297430122</v>
      </c>
      <c r="AY225" s="174">
        <v>0.54</v>
      </c>
      <c r="AZ225" s="169">
        <v>13.239999999999998</v>
      </c>
      <c r="BA225" s="169">
        <v>-22.46</v>
      </c>
      <c r="BB225" s="169">
        <v>-3.1</v>
      </c>
      <c r="BC225" s="169">
        <v>-5.6000000000000005</v>
      </c>
      <c r="BE225" s="77">
        <v>2010</v>
      </c>
      <c r="BF225" s="77">
        <f t="shared" si="68"/>
        <v>1</v>
      </c>
      <c r="BG225" s="175">
        <v>8.5</v>
      </c>
      <c r="BH225" t="s">
        <v>939</v>
      </c>
      <c r="BI225" t="s">
        <v>945</v>
      </c>
    </row>
    <row r="226" spans="1:64" ht="11.25" customHeight="1" x14ac:dyDescent="0.2">
      <c r="A226" s="112" t="s">
        <v>1380</v>
      </c>
      <c r="B226" s="153" t="s">
        <v>300</v>
      </c>
      <c r="C226" s="154" t="s">
        <v>90</v>
      </c>
      <c r="D226" s="154" t="s">
        <v>110</v>
      </c>
      <c r="E226" s="155">
        <v>13</v>
      </c>
      <c r="F226" s="298">
        <v>300</v>
      </c>
      <c r="G226" s="298" t="s">
        <v>30</v>
      </c>
      <c r="H226" s="298" t="s">
        <v>30</v>
      </c>
      <c r="I226" s="156">
        <v>50.4</v>
      </c>
      <c r="J226" s="157">
        <f t="shared" si="54"/>
        <v>4.1269841269841274</v>
      </c>
      <c r="K226" s="158">
        <v>0.52</v>
      </c>
      <c r="L226" s="126">
        <v>4</v>
      </c>
      <c r="M226" s="82">
        <f t="shared" si="55"/>
        <v>2.08</v>
      </c>
      <c r="N226" s="159" t="s">
        <v>167</v>
      </c>
      <c r="O226" s="160">
        <v>0.51</v>
      </c>
      <c r="P226" s="161">
        <v>44811</v>
      </c>
      <c r="Q226" s="161">
        <v>44819</v>
      </c>
      <c r="R226" s="82">
        <f t="shared" si="56"/>
        <v>1.9607843137254919</v>
      </c>
      <c r="S226" s="162">
        <f>IF(INDEX([1]Historical!$D$7:$D$1229,MATCH(B226,[1]Historical!$B$7:$B$1253,0))=0,"n/a",(INDEX([1]Historical!$C$7:$C$1231,MATCH(B226,[1]Historical!$B$7:$B$1253,0))/INDEX([1]Historical!$D$7:$D$1229,MATCH(B226,[1]Historical!$B$7:$B$1253,0))-1)*100)</f>
        <v>8.9887640449438209</v>
      </c>
      <c r="T226" s="162">
        <f>IF(INDEX([1]Historical!$F$7:$F$1222,MATCH(B226,[1]Historical!$B$7:$B$1253,0))=0,"n/a",((INDEX([1]Historical!$C$7:$C$1231,MATCH(B226,[1]Historical!$B$7:$B$1253,0))/INDEX([1]Historical!$F$7:$F$1222,MATCH(B226,[1]Historical!$B$7:$B$1253,0)))^(1/3)-1)*100)</f>
        <v>6.6335617752943499</v>
      </c>
      <c r="U226" s="162">
        <f>IF(INDEX([1]Historical!$H$7:$H$1222,MATCH(B226,[1]Historical!$B$7:$B$1253,0))=0,"n/a",((INDEX([1]Historical!$C$7:$C$1231,MATCH(B226,[1]Historical!$B$7:$B$1253,0))/INDEX([1]Historical!$H$7:$H$1222,MATCH(B226,[1]Historical!$B$7:$B$1253,0)))^(1/5)-1)*100)</f>
        <v>10.083973415839221</v>
      </c>
      <c r="V226" s="162">
        <f>IF(INDEX([1]Historical!$N$7:$N$1222,MATCH(B226,[1]Historical!$B$7:$B$1253,0))=0,"n/a",((INDEX([1]Historical!$C$7:$C$1231,MATCH(B226,[1]Historical!$B$7:$B$1253,0))/INDEX([1]Historical!$N$7:$N$1222,MATCH(B226,[1]Historical!$B$7:$B$1253,0)))^(1/10)-1)*100)</f>
        <v>23.242088335657975</v>
      </c>
      <c r="W226" s="163">
        <f t="shared" si="57"/>
        <v>0.43386692582044811</v>
      </c>
      <c r="X226" s="164">
        <f t="shared" si="58"/>
        <v>0.34416291521635572</v>
      </c>
      <c r="Y226" s="180"/>
      <c r="Z226" s="157">
        <f t="shared" si="59"/>
        <v>49.056603773584904</v>
      </c>
      <c r="AA226" s="166">
        <f t="shared" si="60"/>
        <v>11.886792452830187</v>
      </c>
      <c r="AB226" s="126">
        <v>12</v>
      </c>
      <c r="AC226" s="167">
        <v>4.24</v>
      </c>
      <c r="AD226" s="167" t="s">
        <v>95</v>
      </c>
      <c r="AE226" s="167">
        <v>0.62</v>
      </c>
      <c r="AF226" s="167">
        <v>1.1100000000000001</v>
      </c>
      <c r="AG226" s="167">
        <v>20.399999999999999</v>
      </c>
      <c r="AH226" s="167">
        <v>80.800000000000011</v>
      </c>
      <c r="AI226" s="167">
        <v>-6.2</v>
      </c>
      <c r="AJ226" s="167">
        <v>29.299999999999997</v>
      </c>
      <c r="AK226" s="167">
        <v>-9.85</v>
      </c>
      <c r="AL226" s="168">
        <v>5150</v>
      </c>
      <c r="AM226" s="169">
        <v>0.5</v>
      </c>
      <c r="AN226" s="167">
        <v>0.42</v>
      </c>
      <c r="AO226" s="170">
        <f t="shared" si="61"/>
        <v>2.3241650899931603</v>
      </c>
      <c r="AP226" s="171">
        <f t="shared" si="62"/>
        <v>14.210957542823348</v>
      </c>
      <c r="AQ226" s="172">
        <f t="shared" si="63"/>
        <v>-23.422255560794781</v>
      </c>
      <c r="AR226" s="157">
        <f>INDEX([1]Historical!$C$7:$C$1231,MATCH(B226,[1]Historical!$B$7:$B$1253,0))*IF(AH226="n/a",1.03,IF(AH226&lt;0,1.01,IF(AH226&gt;10,1.1,(1+AH226/100))))</f>
        <v>2.1339999999999999</v>
      </c>
      <c r="AS226" s="166">
        <f t="shared" si="64"/>
        <v>2.1553399999999998</v>
      </c>
      <c r="AT226" s="166">
        <f t="shared" si="69"/>
        <v>2.1768934</v>
      </c>
      <c r="AU226" s="166">
        <f t="shared" si="69"/>
        <v>2.1986623340000002</v>
      </c>
      <c r="AV226" s="166">
        <f t="shared" si="69"/>
        <v>2.2206489573400003</v>
      </c>
      <c r="AW226" s="157">
        <f t="shared" si="66"/>
        <v>10.88554469134</v>
      </c>
      <c r="AX226" s="173">
        <f t="shared" si="67"/>
        <v>21.598302959007938</v>
      </c>
      <c r="AY226" s="174">
        <v>1.23</v>
      </c>
      <c r="AZ226" s="169">
        <v>15.76</v>
      </c>
      <c r="BA226" s="169">
        <v>-38.190000000000005</v>
      </c>
      <c r="BB226" s="169">
        <v>1</v>
      </c>
      <c r="BC226" s="169">
        <v>-14.540000000000001</v>
      </c>
      <c r="BE226" s="77">
        <v>2010</v>
      </c>
      <c r="BF226" s="77">
        <f t="shared" si="68"/>
        <v>1</v>
      </c>
      <c r="BG226" s="175">
        <v>6.7</v>
      </c>
      <c r="BH226" t="s">
        <v>939</v>
      </c>
      <c r="BI226" t="s">
        <v>940</v>
      </c>
    </row>
    <row r="227" spans="1:64" ht="11.25" customHeight="1" x14ac:dyDescent="0.2">
      <c r="A227" s="205" t="s">
        <v>1761</v>
      </c>
      <c r="B227" s="153" t="s">
        <v>1762</v>
      </c>
      <c r="C227" s="154" t="s">
        <v>109</v>
      </c>
      <c r="D227" s="154" t="s">
        <v>1028</v>
      </c>
      <c r="E227" s="155">
        <v>5</v>
      </c>
      <c r="F227" s="298">
        <v>716</v>
      </c>
      <c r="G227" s="298" t="s">
        <v>88</v>
      </c>
      <c r="H227" s="298" t="s">
        <v>88</v>
      </c>
      <c r="I227" s="156">
        <v>157.11000000000001</v>
      </c>
      <c r="J227" s="157">
        <f t="shared" si="54"/>
        <v>1.9094901661256443</v>
      </c>
      <c r="K227" s="158">
        <v>0.75</v>
      </c>
      <c r="L227" s="126">
        <v>4</v>
      </c>
      <c r="M227" s="82">
        <f t="shared" si="55"/>
        <v>3</v>
      </c>
      <c r="N227" s="159" t="s">
        <v>231</v>
      </c>
      <c r="O227" s="160">
        <v>0.7</v>
      </c>
      <c r="P227" s="161">
        <v>44788</v>
      </c>
      <c r="Q227" s="161">
        <v>44796</v>
      </c>
      <c r="R227" s="82">
        <f t="shared" si="56"/>
        <v>7.1428571428571495</v>
      </c>
      <c r="S227" s="162">
        <f>IF(INDEX([1]Historical!$D$7:$D$1229,MATCH(B227,[1]Historical!$B$7:$B$1253,0))=0,"n/a",(INDEX([1]Historical!$C$7:$C$1231,MATCH(B227,[1]Historical!$B$7:$B$1253,0))/INDEX([1]Historical!$D$7:$D$1229,MATCH(B227,[1]Historical!$B$7:$B$1253,0))-1)*100)</f>
        <v>16.666666666666675</v>
      </c>
      <c r="T227" s="162">
        <f>IF(INDEX([1]Historical!$F$7:$F$1222,MATCH(B227,[1]Historical!$B$7:$B$1253,0))=0,"n/a",((INDEX([1]Historical!$C$7:$C$1231,MATCH(B227,[1]Historical!$B$7:$B$1253,0))/INDEX([1]Historical!$F$7:$F$1222,MATCH(B227,[1]Historical!$B$7:$B$1253,0)))^(1/3)-1)*100)</f>
        <v>67.109931165486159</v>
      </c>
      <c r="U227" s="162" t="str">
        <f>IF(INDEX([1]Historical!$H$7:$H$1222,MATCH(B227,[1]Historical!$B$7:$B$1253,0))=0,"n/a",((INDEX([1]Historical!$C$7:$C$1231,MATCH(B227,[1]Historical!$B$7:$B$1253,0))/INDEX([1]Historical!$H$7:$H$1222,MATCH(B227,[1]Historical!$B$7:$B$1253,0)))^(1/5)-1)*100)</f>
        <v>n/a</v>
      </c>
      <c r="V227" s="162" t="str">
        <f>IF(INDEX([1]Historical!$N$7:$N$1222,MATCH(B227,[1]Historical!$B$7:$B$1253,0))=0,"n/a",((INDEX([1]Historical!$C$7:$C$1231,MATCH(B227,[1]Historical!$B$7:$B$1253,0))/INDEX([1]Historical!$N$7:$N$1222,MATCH(B227,[1]Historical!$B$7:$B$1253,0)))^(1/10)-1)*100)</f>
        <v>n/a</v>
      </c>
      <c r="W227" s="163" t="str">
        <f t="shared" si="57"/>
        <v>n/a</v>
      </c>
      <c r="X227" s="164" t="str">
        <f t="shared" si="58"/>
        <v>n/a</v>
      </c>
      <c r="Y227" s="180"/>
      <c r="Z227" s="157">
        <f t="shared" si="59"/>
        <v>14.005602240896359</v>
      </c>
      <c r="AA227" s="166">
        <f t="shared" si="60"/>
        <v>7.3347338935574227</v>
      </c>
      <c r="AB227" s="126">
        <v>12</v>
      </c>
      <c r="AC227" s="167">
        <v>21.42</v>
      </c>
      <c r="AD227" s="167">
        <v>0.35</v>
      </c>
      <c r="AE227" s="167">
        <v>2.99</v>
      </c>
      <c r="AF227" s="167">
        <v>2.04</v>
      </c>
      <c r="AG227" s="167">
        <v>30.9</v>
      </c>
      <c r="AH227" s="167">
        <v>141.4</v>
      </c>
      <c r="AI227" s="167">
        <v>-4.42</v>
      </c>
      <c r="AJ227" s="167">
        <v>50</v>
      </c>
      <c r="AK227" s="167">
        <v>20.61</v>
      </c>
      <c r="AL227" s="168">
        <v>27270</v>
      </c>
      <c r="AM227" s="169">
        <v>0.2</v>
      </c>
      <c r="AN227" s="167">
        <v>0.41</v>
      </c>
      <c r="AO227" s="170" t="str">
        <f t="shared" si="61"/>
        <v>n/a</v>
      </c>
      <c r="AP227" s="171" t="str">
        <f t="shared" si="62"/>
        <v>n/a</v>
      </c>
      <c r="AQ227" s="172">
        <f t="shared" si="63"/>
        <v>-18.451494617260266</v>
      </c>
      <c r="AR227" s="157">
        <f>INDEX([1]Historical!$C$7:$C$1231,MATCH(B227,[1]Historical!$B$7:$B$1253,0))*IF(AH227="n/a",1.03,IF(AH227&lt;0,1.01,IF(AH227&gt;10,1.1,(1+AH227/100))))</f>
        <v>1.9250000000000003</v>
      </c>
      <c r="AS227" s="166">
        <f t="shared" si="64"/>
        <v>1.9442500000000003</v>
      </c>
      <c r="AT227" s="166">
        <f t="shared" si="69"/>
        <v>2.1386750000000005</v>
      </c>
      <c r="AU227" s="166">
        <f t="shared" si="69"/>
        <v>2.3525425000000006</v>
      </c>
      <c r="AV227" s="166">
        <f t="shared" si="69"/>
        <v>2.5877967500000008</v>
      </c>
      <c r="AW227" s="157">
        <f t="shared" si="66"/>
        <v>10.948264250000003</v>
      </c>
      <c r="AX227" s="173">
        <f t="shared" si="67"/>
        <v>6.9685343071733197</v>
      </c>
      <c r="AY227" s="174">
        <v>2.04</v>
      </c>
      <c r="AZ227" s="169">
        <v>71.350000000000009</v>
      </c>
      <c r="BA227" s="169">
        <v>-1.46</v>
      </c>
      <c r="BB227" s="169">
        <v>15.6</v>
      </c>
      <c r="BC227" s="169">
        <v>21.099999999999998</v>
      </c>
      <c r="BE227" s="77">
        <v>2018</v>
      </c>
      <c r="BF227" s="77">
        <f t="shared" si="68"/>
        <v>1</v>
      </c>
      <c r="BG227" s="175">
        <v>16.600000000000001</v>
      </c>
      <c r="BH227" t="s">
        <v>939</v>
      </c>
      <c r="BI227" t="s">
        <v>940</v>
      </c>
      <c r="BJ227" s="112"/>
      <c r="BK227" s="112"/>
      <c r="BL227" s="112"/>
    </row>
    <row r="228" spans="1:64" ht="11.25" customHeight="1" x14ac:dyDescent="0.2">
      <c r="A228" s="112" t="s">
        <v>297</v>
      </c>
      <c r="B228" s="153" t="s">
        <v>298</v>
      </c>
      <c r="C228" s="154" t="s">
        <v>94</v>
      </c>
      <c r="D228" s="154" t="s">
        <v>962</v>
      </c>
      <c r="E228" s="155">
        <v>23</v>
      </c>
      <c r="F228" s="298">
        <v>155</v>
      </c>
      <c r="G228" s="298" t="s">
        <v>88</v>
      </c>
      <c r="H228" s="298" t="s">
        <v>88</v>
      </c>
      <c r="I228" s="156">
        <v>48.33</v>
      </c>
      <c r="J228" s="157">
        <f t="shared" si="54"/>
        <v>2.5656941858059179</v>
      </c>
      <c r="K228" s="158">
        <v>0.31</v>
      </c>
      <c r="L228" s="126">
        <v>4</v>
      </c>
      <c r="M228" s="82">
        <f t="shared" si="55"/>
        <v>1.24</v>
      </c>
      <c r="N228" s="159" t="s">
        <v>342</v>
      </c>
      <c r="O228" s="160">
        <v>0.28000000000000003</v>
      </c>
      <c r="P228" s="161">
        <v>44593</v>
      </c>
      <c r="Q228" s="161">
        <v>44622</v>
      </c>
      <c r="R228" s="82">
        <f t="shared" si="56"/>
        <v>10.714285714285703</v>
      </c>
      <c r="S228" s="162">
        <f>IF(INDEX([1]Historical!$D$7:$D$1229,MATCH(B228,[1]Historical!$B$7:$B$1253,0))=0,"n/a",(INDEX([1]Historical!$C$7:$C$1231,MATCH(B228,[1]Historical!$B$7:$B$1253,0))/INDEX([1]Historical!$D$7:$D$1229,MATCH(B228,[1]Historical!$B$7:$B$1253,0))-1)*100)</f>
        <v>12.000000000000011</v>
      </c>
      <c r="T228" s="162">
        <f>IF(INDEX([1]Historical!$F$7:$F$1222,MATCH(B228,[1]Historical!$B$7:$B$1253,0))=0,"n/a",((INDEX([1]Historical!$C$7:$C$1231,MATCH(B228,[1]Historical!$B$7:$B$1253,0))/INDEX([1]Historical!$F$7:$F$1222,MATCH(B228,[1]Historical!$B$7:$B$1253,0)))^(1/3)-1)*100)</f>
        <v>13.30326698854094</v>
      </c>
      <c r="U228" s="162">
        <f>IF(INDEX([1]Historical!$H$7:$H$1222,MATCH(B228,[1]Historical!$B$7:$B$1253,0))=0,"n/a",((INDEX([1]Historical!$C$7:$C$1231,MATCH(B228,[1]Historical!$B$7:$B$1253,0))/INDEX([1]Historical!$H$7:$H$1222,MATCH(B228,[1]Historical!$B$7:$B$1253,0)))^(1/5)-1)*100)</f>
        <v>13.295681060117071</v>
      </c>
      <c r="V228" s="162">
        <f>IF(INDEX([1]Historical!$N$7:$N$1222,MATCH(B228,[1]Historical!$B$7:$B$1253,0))=0,"n/a",((INDEX([1]Historical!$C$7:$C$1231,MATCH(B228,[1]Historical!$B$7:$B$1253,0))/INDEX([1]Historical!$N$7:$N$1222,MATCH(B228,[1]Historical!$B$7:$B$1253,0)))^(1/10)-1)*100)</f>
        <v>15.613585876251502</v>
      </c>
      <c r="W228" s="163">
        <f t="shared" si="57"/>
        <v>0.85154564527934618</v>
      </c>
      <c r="X228" s="164">
        <f t="shared" si="58"/>
        <v>1.007248565160384</v>
      </c>
      <c r="Y228" s="212"/>
      <c r="Z228" s="157">
        <f t="shared" si="59"/>
        <v>66.666666666666657</v>
      </c>
      <c r="AA228" s="166">
        <f t="shared" si="60"/>
        <v>25.983870967741932</v>
      </c>
      <c r="AB228" s="126">
        <v>12</v>
      </c>
      <c r="AC228" s="167">
        <v>1.86</v>
      </c>
      <c r="AD228" s="167">
        <v>4.1399999999999997</v>
      </c>
      <c r="AE228" s="167">
        <v>3.95</v>
      </c>
      <c r="AF228" s="167">
        <v>8.82</v>
      </c>
      <c r="AG228" s="167">
        <v>34.300000000000004</v>
      </c>
      <c r="AH228" s="167">
        <v>7.3999999999999995</v>
      </c>
      <c r="AI228" s="167">
        <v>2.4500000000000002</v>
      </c>
      <c r="AJ228" s="167">
        <v>13.200000000000001</v>
      </c>
      <c r="AK228" s="167">
        <v>6.3299999999999992</v>
      </c>
      <c r="AL228" s="168">
        <v>26950</v>
      </c>
      <c r="AM228" s="169">
        <v>0.1</v>
      </c>
      <c r="AN228" s="167">
        <v>0.18</v>
      </c>
      <c r="AO228" s="170">
        <f t="shared" si="61"/>
        <v>-10.122495721818943</v>
      </c>
      <c r="AP228" s="171">
        <f t="shared" si="62"/>
        <v>15.861375245922989</v>
      </c>
      <c r="AQ228" s="172">
        <f t="shared" si="63"/>
        <v>219.15008098627894</v>
      </c>
      <c r="AR228" s="157">
        <f>INDEX([1]Historical!$C$7:$C$1231,MATCH(B228,[1]Historical!$B$7:$B$1253,0))*IF(AH228="n/a",1.03,IF(AH228&lt;0,1.01,IF(AH228&gt;10,1.1,(1+AH228/100))))</f>
        <v>1.2028800000000002</v>
      </c>
      <c r="AS228" s="166">
        <f t="shared" si="64"/>
        <v>1.2323505600000002</v>
      </c>
      <c r="AT228" s="166">
        <f t="shared" si="69"/>
        <v>1.3103583504480001</v>
      </c>
      <c r="AU228" s="166">
        <f t="shared" si="69"/>
        <v>1.3933040340313583</v>
      </c>
      <c r="AV228" s="166">
        <f t="shared" si="69"/>
        <v>1.4815001793855431</v>
      </c>
      <c r="AW228" s="157">
        <f t="shared" si="66"/>
        <v>6.6203931238649023</v>
      </c>
      <c r="AX228" s="173">
        <f t="shared" si="67"/>
        <v>13.698309794878755</v>
      </c>
      <c r="AY228" s="174">
        <v>1.1599999999999999</v>
      </c>
      <c r="AZ228" s="169">
        <v>10.52</v>
      </c>
      <c r="BA228" s="169">
        <v>-25.36</v>
      </c>
      <c r="BB228" s="169">
        <v>-0.3</v>
      </c>
      <c r="BC228" s="169">
        <v>-7.76</v>
      </c>
      <c r="BE228" s="77">
        <v>2000</v>
      </c>
      <c r="BF228" s="77">
        <f t="shared" si="68"/>
        <v>3</v>
      </c>
      <c r="BG228" s="175">
        <v>23.9</v>
      </c>
      <c r="BH228" t="s">
        <v>939</v>
      </c>
      <c r="BI228" t="s">
        <v>940</v>
      </c>
    </row>
    <row r="229" spans="1:64" ht="11.25" customHeight="1" x14ac:dyDescent="0.2">
      <c r="A229" s="176" t="s">
        <v>1381</v>
      </c>
      <c r="B229" s="153" t="s">
        <v>759</v>
      </c>
      <c r="C229" s="154" t="s">
        <v>94</v>
      </c>
      <c r="D229" s="154" t="s">
        <v>760</v>
      </c>
      <c r="E229" s="155">
        <v>10</v>
      </c>
      <c r="F229" s="298">
        <v>470</v>
      </c>
      <c r="G229" s="298" t="s">
        <v>88</v>
      </c>
      <c r="H229" s="298" t="s">
        <v>88</v>
      </c>
      <c r="I229" s="156">
        <v>60.32</v>
      </c>
      <c r="J229" s="157">
        <f t="shared" si="54"/>
        <v>1.8567639257294433</v>
      </c>
      <c r="K229" s="158">
        <v>0.28000000000000003</v>
      </c>
      <c r="L229" s="126">
        <v>4</v>
      </c>
      <c r="M229" s="82">
        <f t="shared" si="55"/>
        <v>1.1200000000000001</v>
      </c>
      <c r="N229" s="159" t="s">
        <v>161</v>
      </c>
      <c r="O229" s="160">
        <v>0.26</v>
      </c>
      <c r="P229" s="161">
        <v>44616</v>
      </c>
      <c r="Q229" s="161">
        <v>44636</v>
      </c>
      <c r="R229" s="82">
        <f t="shared" si="56"/>
        <v>7.6923076923076987</v>
      </c>
      <c r="S229" s="162">
        <f>IF(INDEX([1]Historical!$D$7:$D$1229,MATCH(B229,[1]Historical!$B$7:$B$1253,0))=0,"n/a",(INDEX([1]Historical!$C$7:$C$1231,MATCH(B229,[1]Historical!$B$7:$B$1253,0))/INDEX([1]Historical!$D$7:$D$1229,MATCH(B229,[1]Historical!$B$7:$B$1253,0))-1)*100)</f>
        <v>8.3333333333333481</v>
      </c>
      <c r="T229" s="162">
        <f>IF(INDEX([1]Historical!$F$7:$F$1222,MATCH(B229,[1]Historical!$B$7:$B$1253,0))=0,"n/a",((INDEX([1]Historical!$C$7:$C$1231,MATCH(B229,[1]Historical!$B$7:$B$1253,0))/INDEX([1]Historical!$F$7:$F$1222,MATCH(B229,[1]Historical!$B$7:$B$1253,0)))^(1/3)-1)*100)</f>
        <v>9.1392883061105934</v>
      </c>
      <c r="U229" s="162">
        <f>IF(INDEX([1]Historical!$H$7:$H$1222,MATCH(B229,[1]Historical!$B$7:$B$1253,0))=0,"n/a",((INDEX([1]Historical!$C$7:$C$1231,MATCH(B229,[1]Historical!$B$7:$B$1253,0))/INDEX([1]Historical!$H$7:$H$1222,MATCH(B229,[1]Historical!$B$7:$B$1253,0)))^(1/5)-1)*100)</f>
        <v>10.197228772148016</v>
      </c>
      <c r="V229" s="162" t="str">
        <f>IF(INDEX([1]Historical!$N$7:$N$1222,MATCH(B229,[1]Historical!$B$7:$B$1253,0))=0,"n/a",((INDEX([1]Historical!$C$7:$C$1231,MATCH(B229,[1]Historical!$B$7:$B$1253,0))/INDEX([1]Historical!$N$7:$N$1222,MATCH(B229,[1]Historical!$B$7:$B$1253,0)))^(1/10)-1)*100)</f>
        <v>n/a</v>
      </c>
      <c r="W229" s="163" t="str">
        <f t="shared" si="57"/>
        <v>n/a</v>
      </c>
      <c r="X229" s="164">
        <f t="shared" si="58"/>
        <v>0.62945856618197626</v>
      </c>
      <c r="Y229" s="165"/>
      <c r="Z229" s="157">
        <f t="shared" si="59"/>
        <v>19.823008849557521</v>
      </c>
      <c r="AA229" s="166">
        <f t="shared" si="60"/>
        <v>10.676106194690265</v>
      </c>
      <c r="AB229" s="126">
        <v>12</v>
      </c>
      <c r="AC229" s="167">
        <v>5.65</v>
      </c>
      <c r="AD229" s="167">
        <v>9.06</v>
      </c>
      <c r="AE229" s="167">
        <v>0.95</v>
      </c>
      <c r="AF229" s="167">
        <v>2.62</v>
      </c>
      <c r="AG229" s="167">
        <v>25.2</v>
      </c>
      <c r="AH229" s="167">
        <v>40.400000000000006</v>
      </c>
      <c r="AI229" s="167">
        <v>-6.7100000000000009</v>
      </c>
      <c r="AJ229" s="167">
        <v>16.2</v>
      </c>
      <c r="AK229" s="167">
        <v>1.2</v>
      </c>
      <c r="AL229" s="168">
        <v>7660</v>
      </c>
      <c r="AM229" s="169">
        <v>0.1</v>
      </c>
      <c r="AN229" s="167">
        <v>1.1200000000000001</v>
      </c>
      <c r="AO229" s="170">
        <f t="shared" si="61"/>
        <v>1.3778865031871934</v>
      </c>
      <c r="AP229" s="171">
        <f t="shared" si="62"/>
        <v>12.053992697877458</v>
      </c>
      <c r="AQ229" s="172">
        <f t="shared" si="63"/>
        <v>11.497679557495722</v>
      </c>
      <c r="AR229" s="157">
        <f>INDEX([1]Historical!$C$7:$C$1231,MATCH(B229,[1]Historical!$B$7:$B$1253,0))*IF(AH229="n/a",1.03,IF(AH229&lt;0,1.01,IF(AH229&gt;10,1.1,(1+AH229/100))))</f>
        <v>1.1440000000000001</v>
      </c>
      <c r="AS229" s="166">
        <f t="shared" si="64"/>
        <v>1.1554400000000002</v>
      </c>
      <c r="AT229" s="166">
        <f t="shared" si="69"/>
        <v>1.1693052800000003</v>
      </c>
      <c r="AU229" s="166">
        <f t="shared" si="69"/>
        <v>1.1833369433600003</v>
      </c>
      <c r="AV229" s="166">
        <f t="shared" si="69"/>
        <v>1.1975369866803203</v>
      </c>
      <c r="AW229" s="157">
        <f t="shared" si="66"/>
        <v>5.8496192100403217</v>
      </c>
      <c r="AX229" s="173">
        <f t="shared" si="67"/>
        <v>9.6976445789793129</v>
      </c>
      <c r="AY229" s="174">
        <v>1.56</v>
      </c>
      <c r="AZ229" s="169">
        <v>13.919999999999998</v>
      </c>
      <c r="BA229" s="169">
        <v>-44.78</v>
      </c>
      <c r="BB229" s="169">
        <v>1.83</v>
      </c>
      <c r="BC229" s="169">
        <v>-15.1</v>
      </c>
      <c r="BE229" s="77">
        <v>2013</v>
      </c>
      <c r="BF229" s="77">
        <f t="shared" si="68"/>
        <v>1</v>
      </c>
      <c r="BG229" s="175">
        <v>9.1</v>
      </c>
      <c r="BH229" t="s">
        <v>939</v>
      </c>
      <c r="BI229" t="s">
        <v>940</v>
      </c>
    </row>
    <row r="230" spans="1:64" ht="11.25" customHeight="1" x14ac:dyDescent="0.2">
      <c r="A230" s="176" t="s">
        <v>1382</v>
      </c>
      <c r="B230" s="153" t="s">
        <v>758</v>
      </c>
      <c r="C230" s="154" t="s">
        <v>90</v>
      </c>
      <c r="D230" s="154" t="s">
        <v>969</v>
      </c>
      <c r="E230" s="155">
        <v>10</v>
      </c>
      <c r="F230" s="298">
        <v>463</v>
      </c>
      <c r="G230" s="298" t="s">
        <v>88</v>
      </c>
      <c r="H230" s="298" t="s">
        <v>88</v>
      </c>
      <c r="I230" s="156">
        <v>38.15</v>
      </c>
      <c r="J230" s="157">
        <f t="shared" si="54"/>
        <v>2.0707732634338138</v>
      </c>
      <c r="K230" s="158">
        <v>0.19750000000000001</v>
      </c>
      <c r="L230" s="126">
        <v>4</v>
      </c>
      <c r="M230" s="82">
        <f t="shared" si="55"/>
        <v>0.79</v>
      </c>
      <c r="N230" s="159" t="s">
        <v>89</v>
      </c>
      <c r="O230" s="160">
        <v>0.18</v>
      </c>
      <c r="P230" s="161">
        <v>44596</v>
      </c>
      <c r="Q230" s="161">
        <v>44609</v>
      </c>
      <c r="R230" s="82">
        <f t="shared" si="56"/>
        <v>9.7222222222222303</v>
      </c>
      <c r="S230" s="162">
        <f>IF(INDEX([1]Historical!$D$7:$D$1229,MATCH(B230,[1]Historical!$B$7:$B$1253,0))=0,"n/a",(INDEX([1]Historical!$C$7:$C$1231,MATCH(B230,[1]Historical!$B$7:$B$1253,0))/INDEX([1]Historical!$D$7:$D$1229,MATCH(B230,[1]Historical!$B$7:$B$1253,0))-1)*100)</f>
        <v>9.0909090909090828</v>
      </c>
      <c r="T230" s="162">
        <f>IF(INDEX([1]Historical!$F$7:$F$1222,MATCH(B230,[1]Historical!$B$7:$B$1253,0))=0,"n/a",((INDEX([1]Historical!$C$7:$C$1231,MATCH(B230,[1]Historical!$B$7:$B$1253,0))/INDEX([1]Historical!$F$7:$F$1222,MATCH(B230,[1]Historical!$B$7:$B$1253,0)))^(1/3)-1)*100)</f>
        <v>8.7380373002892142</v>
      </c>
      <c r="U230" s="162">
        <f>IF(INDEX([1]Historical!$H$7:$H$1222,MATCH(B230,[1]Historical!$B$7:$B$1253,0))=0,"n/a",((INDEX([1]Historical!$C$7:$C$1231,MATCH(B230,[1]Historical!$B$7:$B$1253,0))/INDEX([1]Historical!$H$7:$H$1222,MATCH(B230,[1]Historical!$B$7:$B$1253,0)))^(1/5)-1)*100)</f>
        <v>8.4471771197698544</v>
      </c>
      <c r="V230" s="162">
        <f>IF(INDEX([1]Historical!$N$7:$N$1222,MATCH(B230,[1]Historical!$B$7:$B$1253,0))=0,"n/a",((INDEX([1]Historical!$C$7:$C$1231,MATCH(B230,[1]Historical!$B$7:$B$1253,0))/INDEX([1]Historical!$N$7:$N$1222,MATCH(B230,[1]Historical!$B$7:$B$1253,0)))^(1/10)-1)*100)</f>
        <v>17.793261291868735</v>
      </c>
      <c r="W230" s="163">
        <f t="shared" si="57"/>
        <v>0.47474023908310126</v>
      </c>
      <c r="X230" s="164">
        <f t="shared" si="58"/>
        <v>0.43318857024460794</v>
      </c>
      <c r="Y230" s="212"/>
      <c r="Z230" s="157">
        <f t="shared" si="59"/>
        <v>17.913832199546487</v>
      </c>
      <c r="AA230" s="166">
        <f t="shared" si="60"/>
        <v>8.6507936507936503</v>
      </c>
      <c r="AB230" s="126">
        <v>12</v>
      </c>
      <c r="AC230" s="167">
        <v>4.41</v>
      </c>
      <c r="AD230" s="167">
        <v>1.04</v>
      </c>
      <c r="AE230" s="167">
        <v>3.02</v>
      </c>
      <c r="AF230" s="167">
        <v>1.27</v>
      </c>
      <c r="AG230" s="167">
        <v>14.499999999999998</v>
      </c>
      <c r="AH230" s="167">
        <v>111.4</v>
      </c>
      <c r="AI230" s="167">
        <v>-4.96</v>
      </c>
      <c r="AJ230" s="167">
        <v>19.5</v>
      </c>
      <c r="AK230" s="167">
        <v>8</v>
      </c>
      <c r="AL230" s="168">
        <v>299.06</v>
      </c>
      <c r="AM230" s="169">
        <v>5.4</v>
      </c>
      <c r="AN230" s="167">
        <v>0.18</v>
      </c>
      <c r="AO230" s="170">
        <f t="shared" si="61"/>
        <v>1.8671567324100184</v>
      </c>
      <c r="AP230" s="171">
        <f t="shared" si="62"/>
        <v>10.517950383203669</v>
      </c>
      <c r="AQ230" s="172">
        <f t="shared" si="63"/>
        <v>-30.122303871508837</v>
      </c>
      <c r="AR230" s="157">
        <f>INDEX([1]Historical!$C$7:$C$1231,MATCH(B230,[1]Historical!$B$7:$B$1253,0))*IF(AH230="n/a",1.03,IF(AH230&lt;0,1.01,IF(AH230&gt;10,1.1,(1+AH230/100))))</f>
        <v>0.79200000000000004</v>
      </c>
      <c r="AS230" s="166">
        <f t="shared" si="64"/>
        <v>0.79992000000000008</v>
      </c>
      <c r="AT230" s="166">
        <f t="shared" si="69"/>
        <v>0.86391360000000017</v>
      </c>
      <c r="AU230" s="166">
        <f t="shared" si="69"/>
        <v>0.93302668800000021</v>
      </c>
      <c r="AV230" s="166">
        <f t="shared" si="69"/>
        <v>1.0076688230400004</v>
      </c>
      <c r="AW230" s="157">
        <f t="shared" si="66"/>
        <v>4.3965291110400004</v>
      </c>
      <c r="AX230" s="173">
        <f t="shared" si="67"/>
        <v>11.524322702595022</v>
      </c>
      <c r="AY230" s="174">
        <v>0.74</v>
      </c>
      <c r="AZ230" s="169">
        <v>36.059999999999995</v>
      </c>
      <c r="BA230" s="169">
        <v>3.3300000000000005</v>
      </c>
      <c r="BB230" s="169">
        <v>12.690000000000001</v>
      </c>
      <c r="BC230" s="169">
        <v>14.979999999999999</v>
      </c>
      <c r="BE230" s="77">
        <v>2013</v>
      </c>
      <c r="BF230" s="77">
        <f t="shared" si="68"/>
        <v>1</v>
      </c>
      <c r="BG230" s="175">
        <v>1.3</v>
      </c>
      <c r="BH230" t="s">
        <v>939</v>
      </c>
      <c r="BI230" t="s">
        <v>940</v>
      </c>
    </row>
    <row r="231" spans="1:64" ht="11.25" customHeight="1" x14ac:dyDescent="0.2">
      <c r="A231" s="205" t="s">
        <v>1800</v>
      </c>
      <c r="B231" s="153" t="s">
        <v>1801</v>
      </c>
      <c r="C231" s="154" t="s">
        <v>90</v>
      </c>
      <c r="D231" s="154" t="s">
        <v>969</v>
      </c>
      <c r="E231" s="155">
        <v>5</v>
      </c>
      <c r="F231" s="298">
        <v>714</v>
      </c>
      <c r="G231" s="298" t="s">
        <v>88</v>
      </c>
      <c r="H231" s="298" t="s">
        <v>88</v>
      </c>
      <c r="I231" s="156">
        <v>32.74</v>
      </c>
      <c r="J231" s="157">
        <f t="shared" si="54"/>
        <v>2.4434941967012831</v>
      </c>
      <c r="K231" s="158">
        <v>0.2</v>
      </c>
      <c r="L231" s="126">
        <v>4</v>
      </c>
      <c r="M231" s="82">
        <f t="shared" si="55"/>
        <v>0.8</v>
      </c>
      <c r="N231" s="159" t="s">
        <v>199</v>
      </c>
      <c r="O231" s="160">
        <v>0.19</v>
      </c>
      <c r="P231" s="161">
        <v>44872</v>
      </c>
      <c r="Q231" s="161">
        <v>44890</v>
      </c>
      <c r="R231" s="82">
        <f t="shared" si="56"/>
        <v>5.2631578947368469</v>
      </c>
      <c r="S231" s="162">
        <f>IF(INDEX([1]Historical!$D$7:$D$1229,MATCH(B231,[1]Historical!$B$7:$B$1253,0))=0,"n/a",(INDEX([1]Historical!$C$7:$C$1231,MATCH(B231,[1]Historical!$B$7:$B$1253,0))/INDEX([1]Historical!$D$7:$D$1229,MATCH(B231,[1]Historical!$B$7:$B$1253,0))-1)*100)</f>
        <v>38.095238095238095</v>
      </c>
      <c r="T231" s="162">
        <f>IF(INDEX([1]Historical!$F$7:$F$1222,MATCH(B231,[1]Historical!$B$7:$B$1253,0))=0,"n/a",((INDEX([1]Historical!$C$7:$C$1231,MATCH(B231,[1]Historical!$B$7:$B$1253,0))/INDEX([1]Historical!$F$7:$F$1222,MATCH(B231,[1]Historical!$B$7:$B$1253,0)))^(1/3)-1)*100)</f>
        <v>42.604314714240886</v>
      </c>
      <c r="U231" s="162">
        <f>IF(INDEX([1]Historical!$H$7:$H$1222,MATCH(B231,[1]Historical!$B$7:$B$1253,0))=0,"n/a",((INDEX([1]Historical!$C$7:$C$1231,MATCH(B231,[1]Historical!$B$7:$B$1253,0))/INDEX([1]Historical!$H$7:$H$1222,MATCH(B231,[1]Historical!$B$7:$B$1253,0)))^(1/5)-1)*100)</f>
        <v>31.059149982403731</v>
      </c>
      <c r="V231" s="162">
        <f>IF(INDEX([1]Historical!$N$7:$N$1222,MATCH(B231,[1]Historical!$B$7:$B$1253,0))=0,"n/a",((INDEX([1]Historical!$C$7:$C$1231,MATCH(B231,[1]Historical!$B$7:$B$1253,0))/INDEX([1]Historical!$N$7:$N$1222,MATCH(B231,[1]Historical!$B$7:$B$1253,0)))^(1/10)-1)*100)</f>
        <v>14.481068296205081</v>
      </c>
      <c r="W231" s="163">
        <f t="shared" si="57"/>
        <v>2.1448106829620515</v>
      </c>
      <c r="X231" s="164">
        <f t="shared" si="58"/>
        <v>2.202776594496719</v>
      </c>
      <c r="Y231" s="180"/>
      <c r="Z231" s="157">
        <f t="shared" si="59"/>
        <v>25.974025974025977</v>
      </c>
      <c r="AA231" s="166">
        <f t="shared" si="60"/>
        <v>10.629870129870131</v>
      </c>
      <c r="AB231" s="126">
        <v>12</v>
      </c>
      <c r="AC231" s="167">
        <v>3.08</v>
      </c>
      <c r="AD231" s="167" t="s">
        <v>95</v>
      </c>
      <c r="AE231" s="167">
        <v>4.3</v>
      </c>
      <c r="AF231" s="167">
        <v>1.19</v>
      </c>
      <c r="AG231" s="167">
        <v>10.299999999999999</v>
      </c>
      <c r="AH231" s="167">
        <v>20.200000000000003</v>
      </c>
      <c r="AI231" s="167">
        <v>16.07</v>
      </c>
      <c r="AJ231" s="167">
        <v>14.099999999999998</v>
      </c>
      <c r="AK231" s="167" t="s">
        <v>95</v>
      </c>
      <c r="AL231" s="168">
        <v>760.56</v>
      </c>
      <c r="AM231" s="169">
        <v>0.70000000000000007</v>
      </c>
      <c r="AN231" s="167">
        <v>0.26</v>
      </c>
      <c r="AO231" s="170">
        <f t="shared" si="61"/>
        <v>22.872774049234881</v>
      </c>
      <c r="AP231" s="171">
        <f t="shared" si="62"/>
        <v>33.502644179105012</v>
      </c>
      <c r="AQ231" s="172">
        <f t="shared" si="63"/>
        <v>-25.01986795143528</v>
      </c>
      <c r="AR231" s="157">
        <f>INDEX([1]Historical!$C$7:$C$1231,MATCH(B231,[1]Historical!$B$7:$B$1253,0))*IF(AH231="n/a",1.03,IF(AH231&lt;0,1.01,IF(AH231&gt;10,1.1,(1+AH231/100))))</f>
        <v>0.63800000000000012</v>
      </c>
      <c r="AS231" s="166">
        <f t="shared" si="64"/>
        <v>0.7018000000000002</v>
      </c>
      <c r="AT231" s="166">
        <f t="shared" ref="AT231:AV246" si="70">IF($AK231="n/a",1.03*AS231,IF($AK231&lt;0,1.01*AS231,IF($AK231&gt;10,1.1*AS231,(1+$AK231/100)*AS231)))</f>
        <v>0.72285400000000022</v>
      </c>
      <c r="AU231" s="166">
        <f t="shared" si="70"/>
        <v>0.74453962000000029</v>
      </c>
      <c r="AV231" s="166">
        <f t="shared" si="70"/>
        <v>0.76687580860000026</v>
      </c>
      <c r="AW231" s="157">
        <f t="shared" si="66"/>
        <v>3.5740694286000014</v>
      </c>
      <c r="AX231" s="173">
        <f t="shared" si="67"/>
        <v>10.916522384239466</v>
      </c>
      <c r="AY231" s="174">
        <v>0.91</v>
      </c>
      <c r="AZ231" s="169">
        <v>21.48</v>
      </c>
      <c r="BA231" s="169">
        <v>-23.5</v>
      </c>
      <c r="BB231" s="169">
        <v>6.370000000000001</v>
      </c>
      <c r="BC231" s="169">
        <v>2.39</v>
      </c>
      <c r="BE231" s="77">
        <v>2018</v>
      </c>
      <c r="BF231" s="77">
        <f t="shared" si="68"/>
        <v>1</v>
      </c>
      <c r="BG231" s="175">
        <v>1.0999999999999999</v>
      </c>
      <c r="BH231" t="s">
        <v>939</v>
      </c>
      <c r="BI231" t="s">
        <v>940</v>
      </c>
      <c r="BJ231" s="112"/>
      <c r="BK231" s="112"/>
      <c r="BL231" s="112"/>
    </row>
    <row r="232" spans="1:64" ht="11.25" customHeight="1" x14ac:dyDescent="0.2">
      <c r="A232" s="205" t="s">
        <v>1763</v>
      </c>
      <c r="B232" s="153" t="s">
        <v>1764</v>
      </c>
      <c r="C232" s="154" t="s">
        <v>90</v>
      </c>
      <c r="D232" s="154" t="s">
        <v>969</v>
      </c>
      <c r="E232" s="155">
        <v>5</v>
      </c>
      <c r="F232" s="298">
        <v>705</v>
      </c>
      <c r="G232" s="298" t="s">
        <v>88</v>
      </c>
      <c r="H232" s="298" t="s">
        <v>88</v>
      </c>
      <c r="I232" s="156">
        <v>44.57</v>
      </c>
      <c r="J232" s="157">
        <f t="shared" si="54"/>
        <v>1.9744222571236258</v>
      </c>
      <c r="K232" s="158">
        <v>0.22</v>
      </c>
      <c r="L232" s="126">
        <v>4</v>
      </c>
      <c r="M232" s="82">
        <f t="shared" si="55"/>
        <v>0.88</v>
      </c>
      <c r="N232" s="159" t="s">
        <v>662</v>
      </c>
      <c r="O232" s="160">
        <v>0.2</v>
      </c>
      <c r="P232" s="161">
        <v>44650</v>
      </c>
      <c r="Q232" s="161">
        <v>44676</v>
      </c>
      <c r="R232" s="82">
        <f t="shared" si="56"/>
        <v>9.9999999999999947</v>
      </c>
      <c r="S232" s="162">
        <f>IF(INDEX([1]Historical!$D$7:$D$1229,MATCH(B232,[1]Historical!$B$7:$B$1253,0))=0,"n/a",(INDEX([1]Historical!$C$7:$C$1231,MATCH(B232,[1]Historical!$B$7:$B$1253,0))/INDEX([1]Historical!$D$7:$D$1229,MATCH(B232,[1]Historical!$B$7:$B$1253,0))-1)*100)</f>
        <v>8.3333333333333481</v>
      </c>
      <c r="T232" s="162">
        <f>IF(INDEX([1]Historical!$F$7:$F$1222,MATCH(B232,[1]Historical!$B$7:$B$1253,0))=0,"n/a",((INDEX([1]Historical!$C$7:$C$1231,MATCH(B232,[1]Historical!$B$7:$B$1253,0))/INDEX([1]Historical!$F$7:$F$1222,MATCH(B232,[1]Historical!$B$7:$B$1253,0)))^(1/3)-1)*100)</f>
        <v>27.087743505121043</v>
      </c>
      <c r="U232" s="162">
        <f>IF(INDEX([1]Historical!$H$7:$H$1222,MATCH(B232,[1]Historical!$B$7:$B$1253,0))=0,"n/a",((INDEX([1]Historical!$C$7:$C$1231,MATCH(B232,[1]Historical!$B$7:$B$1253,0))/INDEX([1]Historical!$H$7:$H$1222,MATCH(B232,[1]Historical!$B$7:$B$1253,0)))^(1/5)-1)*100)</f>
        <v>19.505783867609349</v>
      </c>
      <c r="V232" s="162">
        <f>IF(INDEX([1]Historical!$N$7:$N$1222,MATCH(B232,[1]Historical!$B$7:$B$1253,0))=0,"n/a",((INDEX([1]Historical!$C$7:$C$1231,MATCH(B232,[1]Historical!$B$7:$B$1253,0))/INDEX([1]Historical!$N$7:$N$1222,MATCH(B232,[1]Historical!$B$7:$B$1253,0)))^(1/10)-1)*100)</f>
        <v>9.3187009928353159</v>
      </c>
      <c r="W232" s="163">
        <f t="shared" si="57"/>
        <v>2.0931870099283549</v>
      </c>
      <c r="X232" s="164">
        <f t="shared" si="58"/>
        <v>1.0159262431046536</v>
      </c>
      <c r="Y232" s="180"/>
      <c r="Z232" s="157">
        <f t="shared" si="59"/>
        <v>27.160493827160494</v>
      </c>
      <c r="AA232" s="166">
        <f t="shared" si="60"/>
        <v>13.756172839506172</v>
      </c>
      <c r="AB232" s="126">
        <v>12</v>
      </c>
      <c r="AC232" s="167">
        <v>3.24</v>
      </c>
      <c r="AD232" s="167">
        <v>1.69</v>
      </c>
      <c r="AE232" s="167">
        <v>5.55</v>
      </c>
      <c r="AF232" s="167">
        <v>1.48</v>
      </c>
      <c r="AG232" s="167">
        <v>9.3000000000000007</v>
      </c>
      <c r="AH232" s="167">
        <v>13.3</v>
      </c>
      <c r="AI232" s="167">
        <v>5.45</v>
      </c>
      <c r="AJ232" s="167">
        <v>19.2</v>
      </c>
      <c r="AK232" s="167">
        <v>8.1</v>
      </c>
      <c r="AL232" s="168">
        <v>1540</v>
      </c>
      <c r="AM232" s="169">
        <v>1.7000000000000002</v>
      </c>
      <c r="AN232" s="167">
        <v>0.06</v>
      </c>
      <c r="AO232" s="170">
        <f t="shared" si="61"/>
        <v>7.7240332852268008</v>
      </c>
      <c r="AP232" s="171">
        <f t="shared" si="62"/>
        <v>21.480206124732973</v>
      </c>
      <c r="AQ232" s="172">
        <f t="shared" si="63"/>
        <v>-4.8763709633752867</v>
      </c>
      <c r="AR232" s="157">
        <f>INDEX([1]Historical!$C$7:$C$1231,MATCH(B232,[1]Historical!$B$7:$B$1253,0))*IF(AH232="n/a",1.03,IF(AH232&lt;0,1.01,IF(AH232&gt;10,1.1,(1+AH232/100))))</f>
        <v>0.8580000000000001</v>
      </c>
      <c r="AS232" s="166">
        <f t="shared" si="64"/>
        <v>0.90476100000000015</v>
      </c>
      <c r="AT232" s="166">
        <f t="shared" si="70"/>
        <v>0.97804664100000016</v>
      </c>
      <c r="AU232" s="166">
        <f t="shared" si="70"/>
        <v>1.0572684189210002</v>
      </c>
      <c r="AV232" s="166">
        <f t="shared" si="70"/>
        <v>1.1429071608536012</v>
      </c>
      <c r="AW232" s="157">
        <f t="shared" si="66"/>
        <v>4.9409832207746014</v>
      </c>
      <c r="AX232" s="173">
        <f t="shared" si="67"/>
        <v>11.085894594513352</v>
      </c>
      <c r="AY232" s="174">
        <v>1.1100000000000001</v>
      </c>
      <c r="AZ232" s="169">
        <v>35.47</v>
      </c>
      <c r="BA232" s="169">
        <v>-12.47</v>
      </c>
      <c r="BB232" s="169">
        <v>15.9</v>
      </c>
      <c r="BC232" s="169">
        <v>13.420000000000002</v>
      </c>
      <c r="BE232" s="77">
        <v>2018</v>
      </c>
      <c r="BF232" s="77">
        <f t="shared" si="68"/>
        <v>1</v>
      </c>
      <c r="BG232" s="175">
        <v>1</v>
      </c>
      <c r="BH232" t="s">
        <v>939</v>
      </c>
      <c r="BI232" t="s">
        <v>940</v>
      </c>
      <c r="BJ232" s="112"/>
      <c r="BK232" s="112"/>
      <c r="BL232" s="112"/>
    </row>
    <row r="233" spans="1:64" ht="11.25" customHeight="1" x14ac:dyDescent="0.2">
      <c r="A233" s="205" t="s">
        <v>1817</v>
      </c>
      <c r="B233" s="153" t="s">
        <v>1818</v>
      </c>
      <c r="C233" s="154" t="s">
        <v>90</v>
      </c>
      <c r="D233" s="154" t="s">
        <v>969</v>
      </c>
      <c r="E233" s="155">
        <v>5</v>
      </c>
      <c r="F233" s="298">
        <v>710</v>
      </c>
      <c r="G233" s="298" t="s">
        <v>88</v>
      </c>
      <c r="H233" s="298" t="s">
        <v>88</v>
      </c>
      <c r="I233" s="156">
        <v>15.79</v>
      </c>
      <c r="J233" s="157">
        <f t="shared" si="54"/>
        <v>3.039898670044332</v>
      </c>
      <c r="K233" s="158">
        <v>0.12</v>
      </c>
      <c r="L233" s="126">
        <v>4</v>
      </c>
      <c r="M233" s="82">
        <f t="shared" si="55"/>
        <v>0.48</v>
      </c>
      <c r="N233" s="159" t="s">
        <v>151</v>
      </c>
      <c r="O233" s="160">
        <v>0.1</v>
      </c>
      <c r="P233" s="161">
        <v>44705</v>
      </c>
      <c r="Q233" s="161">
        <v>44722</v>
      </c>
      <c r="R233" s="82">
        <f t="shared" si="56"/>
        <v>19.999999999999989</v>
      </c>
      <c r="S233" s="162">
        <f>IF(INDEX([1]Historical!$D$7:$D$1229,MATCH(B233,[1]Historical!$B$7:$B$1253,0))=0,"n/a",(INDEX([1]Historical!$C$7:$C$1231,MATCH(B233,[1]Historical!$B$7:$B$1253,0))/INDEX([1]Historical!$D$7:$D$1229,MATCH(B233,[1]Historical!$B$7:$B$1253,0))-1)*100)</f>
        <v>55.000000000000028</v>
      </c>
      <c r="T233" s="162">
        <f>IF(INDEX([1]Historical!$F$7:$F$1222,MATCH(B233,[1]Historical!$B$7:$B$1253,0))=0,"n/a",((INDEX([1]Historical!$C$7:$C$1231,MATCH(B233,[1]Historical!$B$7:$B$1253,0))/INDEX([1]Historical!$F$7:$F$1222,MATCH(B233,[1]Historical!$B$7:$B$1253,0)))^(1/3)-1)*100)</f>
        <v>117.81116923625245</v>
      </c>
      <c r="U233" s="162" t="str">
        <f>IF(INDEX([1]Historical!$H$7:$H$1222,MATCH(B233,[1]Historical!$B$7:$B$1253,0))=0,"n/a",((INDEX([1]Historical!$C$7:$C$1231,MATCH(B233,[1]Historical!$B$7:$B$1253,0))/INDEX([1]Historical!$H$7:$H$1222,MATCH(B233,[1]Historical!$B$7:$B$1253,0)))^(1/5)-1)*100)</f>
        <v>n/a</v>
      </c>
      <c r="V233" s="162" t="str">
        <f>IF(INDEX([1]Historical!$N$7:$N$1222,MATCH(B233,[1]Historical!$B$7:$B$1253,0))=0,"n/a",((INDEX([1]Historical!$C$7:$C$1231,MATCH(B233,[1]Historical!$B$7:$B$1253,0))/INDEX([1]Historical!$N$7:$N$1222,MATCH(B233,[1]Historical!$B$7:$B$1253,0)))^(1/10)-1)*100)</f>
        <v>n/a</v>
      </c>
      <c r="W233" s="163" t="str">
        <f t="shared" si="57"/>
        <v>n/a</v>
      </c>
      <c r="X233" s="164" t="str">
        <f t="shared" si="58"/>
        <v>n/a</v>
      </c>
      <c r="Y233" s="180"/>
      <c r="Z233" s="157">
        <f t="shared" si="59"/>
        <v>31.168831168831169</v>
      </c>
      <c r="AA233" s="166">
        <f t="shared" si="60"/>
        <v>10.253246753246753</v>
      </c>
      <c r="AB233" s="126">
        <v>12</v>
      </c>
      <c r="AC233" s="167">
        <v>1.54</v>
      </c>
      <c r="AD233" s="167">
        <v>0.7</v>
      </c>
      <c r="AE233" s="167">
        <v>3.43</v>
      </c>
      <c r="AF233" s="167">
        <v>1.95</v>
      </c>
      <c r="AG233" s="167">
        <v>15.8</v>
      </c>
      <c r="AH233" s="167">
        <v>186.9</v>
      </c>
      <c r="AI233" s="167">
        <v>7.3400000000000007</v>
      </c>
      <c r="AJ233" s="167">
        <v>24.9</v>
      </c>
      <c r="AK233" s="167">
        <v>14.399999999999999</v>
      </c>
      <c r="AL233" s="168">
        <v>2840</v>
      </c>
      <c r="AM233" s="169">
        <v>1.4000000000000001</v>
      </c>
      <c r="AN233" s="167">
        <v>0.12</v>
      </c>
      <c r="AO233" s="170" t="str">
        <f t="shared" si="61"/>
        <v>n/a</v>
      </c>
      <c r="AP233" s="171" t="str">
        <f t="shared" si="62"/>
        <v>n/a</v>
      </c>
      <c r="AQ233" s="172">
        <f t="shared" si="63"/>
        <v>-5.7336370376623318</v>
      </c>
      <c r="AR233" s="157">
        <f>INDEX([1]Historical!$C$7:$C$1231,MATCH(B233,[1]Historical!$B$7:$B$1253,0))*IF(AH233="n/a",1.03,IF(AH233&lt;0,1.01,IF(AH233&gt;10,1.1,(1+AH233/100))))</f>
        <v>0.34100000000000008</v>
      </c>
      <c r="AS233" s="166">
        <f t="shared" si="64"/>
        <v>0.36602940000000006</v>
      </c>
      <c r="AT233" s="166">
        <f t="shared" si="70"/>
        <v>0.40263234000000009</v>
      </c>
      <c r="AU233" s="166">
        <f t="shared" si="70"/>
        <v>0.44289557400000013</v>
      </c>
      <c r="AV233" s="166">
        <f t="shared" si="70"/>
        <v>0.48718513140000019</v>
      </c>
      <c r="AW233" s="157">
        <f t="shared" si="66"/>
        <v>2.0397424454000008</v>
      </c>
      <c r="AX233" s="173">
        <f t="shared" si="67"/>
        <v>12.91793822292591</v>
      </c>
      <c r="AY233" s="174">
        <v>1.1599999999999999</v>
      </c>
      <c r="AZ233" s="169">
        <v>32.24</v>
      </c>
      <c r="BA233" s="169">
        <v>-4.99</v>
      </c>
      <c r="BB233" s="169">
        <v>7.53</v>
      </c>
      <c r="BC233" s="169">
        <v>11.19</v>
      </c>
      <c r="BE233" s="77">
        <v>2018</v>
      </c>
      <c r="BF233" s="77">
        <f t="shared" si="68"/>
        <v>1</v>
      </c>
      <c r="BG233" s="175">
        <v>1.5</v>
      </c>
      <c r="BH233" t="s">
        <v>939</v>
      </c>
      <c r="BI233" t="s">
        <v>940</v>
      </c>
      <c r="BJ233" s="112"/>
      <c r="BK233" s="112"/>
      <c r="BL233" s="112"/>
    </row>
    <row r="234" spans="1:64" ht="11.25" customHeight="1" x14ac:dyDescent="0.2">
      <c r="A234" s="204" t="s">
        <v>1383</v>
      </c>
      <c r="B234" s="153" t="s">
        <v>756</v>
      </c>
      <c r="C234" s="154" t="s">
        <v>90</v>
      </c>
      <c r="D234" s="154" t="s">
        <v>969</v>
      </c>
      <c r="E234" s="155">
        <v>10</v>
      </c>
      <c r="F234" s="298">
        <v>446</v>
      </c>
      <c r="G234" s="298" t="s">
        <v>88</v>
      </c>
      <c r="H234" s="298" t="s">
        <v>88</v>
      </c>
      <c r="I234" s="156">
        <v>19.13</v>
      </c>
      <c r="J234" s="157">
        <f t="shared" si="54"/>
        <v>3.1364349189754317</v>
      </c>
      <c r="K234" s="158">
        <v>0.15</v>
      </c>
      <c r="L234" s="126">
        <v>4</v>
      </c>
      <c r="M234" s="82">
        <f t="shared" si="55"/>
        <v>0.6</v>
      </c>
      <c r="N234" s="159" t="s">
        <v>112</v>
      </c>
      <c r="O234" s="160">
        <v>0.13</v>
      </c>
      <c r="P234" s="182">
        <v>44469</v>
      </c>
      <c r="Q234" s="182">
        <v>44484</v>
      </c>
      <c r="R234" s="82">
        <f t="shared" si="56"/>
        <v>15.384615384615378</v>
      </c>
      <c r="S234" s="162">
        <f>IF(INDEX([1]Historical!$D$7:$D$1229,MATCH(B234,[1]Historical!$B$7:$B$1253,0))=0,"n/a",(INDEX([1]Historical!$C$7:$C$1231,MATCH(B234,[1]Historical!$B$7:$B$1253,0))/INDEX([1]Historical!$D$7:$D$1229,MATCH(B234,[1]Historical!$B$7:$B$1253,0))-1)*100)</f>
        <v>10.416666666666675</v>
      </c>
      <c r="T234" s="162">
        <f>IF(INDEX([1]Historical!$F$7:$F$1222,MATCH(B234,[1]Historical!$B$7:$B$1253,0))=0,"n/a",((INDEX([1]Historical!$C$7:$C$1231,MATCH(B234,[1]Historical!$B$7:$B$1253,0))/INDEX([1]Historical!$F$7:$F$1222,MATCH(B234,[1]Historical!$B$7:$B$1253,0)))^(1/3)-1)*100)</f>
        <v>8.9341387842532871</v>
      </c>
      <c r="U234" s="162">
        <f>IF(INDEX([1]Historical!$H$7:$H$1222,MATCH(B234,[1]Historical!$B$7:$B$1253,0))=0,"n/a",((INDEX([1]Historical!$C$7:$C$1231,MATCH(B234,[1]Historical!$B$7:$B$1253,0))/INDEX([1]Historical!$H$7:$H$1222,MATCH(B234,[1]Historical!$B$7:$B$1253,0)))^(1/5)-1)*100)</f>
        <v>10.617841113805838</v>
      </c>
      <c r="V234" s="162" t="str">
        <f>IF(INDEX([1]Historical!$N$7:$N$1222,MATCH(B234,[1]Historical!$B$7:$B$1253,0))=0,"n/a",((INDEX([1]Historical!$C$7:$C$1231,MATCH(B234,[1]Historical!$B$7:$B$1253,0))/INDEX([1]Historical!$N$7:$N$1222,MATCH(B234,[1]Historical!$B$7:$B$1253,0)))^(1/10)-1)*100)</f>
        <v>n/a</v>
      </c>
      <c r="W234" s="163" t="str">
        <f t="shared" si="57"/>
        <v>n/a</v>
      </c>
      <c r="X234" s="164" t="str">
        <f t="shared" si="58"/>
        <v>n/a</v>
      </c>
      <c r="Y234" s="180"/>
      <c r="Z234" s="157" t="str">
        <f t="shared" si="59"/>
        <v>n/a</v>
      </c>
      <c r="AA234" s="166" t="str">
        <f t="shared" si="60"/>
        <v>n/a</v>
      </c>
      <c r="AB234" s="126">
        <v>12</v>
      </c>
      <c r="AC234" s="167" t="s">
        <v>95</v>
      </c>
      <c r="AD234" s="167" t="s">
        <v>95</v>
      </c>
      <c r="AE234" s="167" t="s">
        <v>95</v>
      </c>
      <c r="AF234" s="167" t="s">
        <v>95</v>
      </c>
      <c r="AG234" s="167" t="s">
        <v>95</v>
      </c>
      <c r="AH234" s="167" t="s">
        <v>95</v>
      </c>
      <c r="AI234" s="167" t="s">
        <v>95</v>
      </c>
      <c r="AJ234" s="167" t="s">
        <v>95</v>
      </c>
      <c r="AK234" s="167" t="s">
        <v>95</v>
      </c>
      <c r="AL234" s="168" t="s">
        <v>95</v>
      </c>
      <c r="AM234" s="169" t="s">
        <v>95</v>
      </c>
      <c r="AN234" s="167" t="s">
        <v>95</v>
      </c>
      <c r="AO234" s="170" t="str">
        <f t="shared" si="61"/>
        <v>n/a</v>
      </c>
      <c r="AP234" s="171">
        <f t="shared" si="62"/>
        <v>13.75427603278127</v>
      </c>
      <c r="AQ234" s="172" t="str">
        <f t="shared" si="63"/>
        <v>n/a</v>
      </c>
      <c r="AR234" s="157">
        <f>INDEX([1]Historical!$C$7:$C$1231,MATCH(B234,[1]Historical!$B$7:$B$1253,0))*IF(AH234="n/a",1.03,IF(AH234&lt;0,1.01,IF(AH234&gt;10,1.1,(1+AH234/100))))</f>
        <v>0.54590000000000005</v>
      </c>
      <c r="AS234" s="166">
        <f t="shared" si="64"/>
        <v>0.56227700000000003</v>
      </c>
      <c r="AT234" s="166">
        <f t="shared" si="70"/>
        <v>0.57914531000000002</v>
      </c>
      <c r="AU234" s="166">
        <f t="shared" si="70"/>
        <v>0.5965196693</v>
      </c>
      <c r="AV234" s="166">
        <f t="shared" si="70"/>
        <v>0.61441525937899999</v>
      </c>
      <c r="AW234" s="157">
        <f t="shared" si="66"/>
        <v>2.8982572386790002</v>
      </c>
      <c r="AX234" s="173">
        <f t="shared" si="67"/>
        <v>15.150325345943546</v>
      </c>
      <c r="AY234" s="174" t="s">
        <v>95</v>
      </c>
      <c r="AZ234" s="169" t="s">
        <v>95</v>
      </c>
      <c r="BA234" s="169" t="s">
        <v>95</v>
      </c>
      <c r="BB234" s="169" t="s">
        <v>95</v>
      </c>
      <c r="BC234" s="169" t="s">
        <v>95</v>
      </c>
      <c r="BD234" s="100" t="s">
        <v>932</v>
      </c>
      <c r="BE234" s="77">
        <v>2013</v>
      </c>
      <c r="BF234" s="77">
        <f t="shared" si="68"/>
        <v>1</v>
      </c>
      <c r="BG234" s="175" t="s">
        <v>95</v>
      </c>
      <c r="BH234" t="s">
        <v>939</v>
      </c>
      <c r="BI234" t="s">
        <v>940</v>
      </c>
    </row>
    <row r="235" spans="1:64" ht="11.25" customHeight="1" x14ac:dyDescent="0.2">
      <c r="A235" s="205" t="s">
        <v>1055</v>
      </c>
      <c r="B235" s="153" t="s">
        <v>1056</v>
      </c>
      <c r="C235" s="154" t="s">
        <v>90</v>
      </c>
      <c r="D235" s="154" t="s">
        <v>969</v>
      </c>
      <c r="E235" s="155">
        <v>5</v>
      </c>
      <c r="F235" s="298">
        <v>687</v>
      </c>
      <c r="G235" s="298" t="s">
        <v>88</v>
      </c>
      <c r="H235" s="298" t="s">
        <v>88</v>
      </c>
      <c r="I235" s="156">
        <v>24.51</v>
      </c>
      <c r="J235" s="157">
        <f t="shared" si="54"/>
        <v>4.2431660546715628</v>
      </c>
      <c r="K235" s="158">
        <v>0.26</v>
      </c>
      <c r="L235" s="126">
        <v>4</v>
      </c>
      <c r="M235" s="82">
        <f t="shared" si="55"/>
        <v>1.04</v>
      </c>
      <c r="N235" s="159" t="s">
        <v>119</v>
      </c>
      <c r="O235" s="160">
        <v>0.24</v>
      </c>
      <c r="P235" s="182">
        <v>44270</v>
      </c>
      <c r="Q235" s="182">
        <v>44285</v>
      </c>
      <c r="R235" s="82">
        <f t="shared" si="56"/>
        <v>8.333333333333341</v>
      </c>
      <c r="S235" s="162">
        <f>IF(INDEX([1]Historical!$D$7:$D$1229,MATCH(B235,[1]Historical!$B$7:$B$1253,0))=0,"n/a",(INDEX([1]Historical!$C$7:$C$1231,MATCH(B235,[1]Historical!$B$7:$B$1253,0))/INDEX([1]Historical!$D$7:$D$1229,MATCH(B235,[1]Historical!$B$7:$B$1253,0))-1)*100)</f>
        <v>8.3333333333333481</v>
      </c>
      <c r="T235" s="162">
        <f>IF(INDEX([1]Historical!$F$7:$F$1222,MATCH(B235,[1]Historical!$B$7:$B$1253,0))=0,"n/a",((INDEX([1]Historical!$C$7:$C$1231,MATCH(B235,[1]Historical!$B$7:$B$1253,0))/INDEX([1]Historical!$F$7:$F$1222,MATCH(B235,[1]Historical!$B$7:$B$1253,0)))^(1/3)-1)*100)</f>
        <v>4.1714007510293971</v>
      </c>
      <c r="U235" s="162">
        <f>IF(INDEX([1]Historical!$H$7:$H$1222,MATCH(B235,[1]Historical!$B$7:$B$1253,0))=0,"n/a",((INDEX([1]Historical!$C$7:$C$1231,MATCH(B235,[1]Historical!$B$7:$B$1253,0))/INDEX([1]Historical!$H$7:$H$1222,MATCH(B235,[1]Historical!$B$7:$B$1253,0)))^(1/5)-1)*100)</f>
        <v>4.3640227150435917</v>
      </c>
      <c r="V235" s="162">
        <f>IF(INDEX([1]Historical!$N$7:$N$1222,MATCH(B235,[1]Historical!$B$7:$B$1253,0))=0,"n/a",((INDEX([1]Historical!$C$7:$C$1231,MATCH(B235,[1]Historical!$B$7:$B$1253,0))/INDEX([1]Historical!$N$7:$N$1222,MATCH(B235,[1]Historical!$B$7:$B$1253,0)))^(1/10)-1)*100)</f>
        <v>3.1862844783501654</v>
      </c>
      <c r="W235" s="163">
        <f t="shared" si="57"/>
        <v>1.3696274594110476</v>
      </c>
      <c r="X235" s="164">
        <f t="shared" si="58"/>
        <v>0.40785259019098991</v>
      </c>
      <c r="Y235" s="180"/>
      <c r="Z235" s="157">
        <f t="shared" si="59"/>
        <v>31.707317073170731</v>
      </c>
      <c r="AA235" s="166">
        <f t="shared" si="60"/>
        <v>7.4725609756097571</v>
      </c>
      <c r="AB235" s="126">
        <v>12</v>
      </c>
      <c r="AC235" s="167">
        <v>3.28</v>
      </c>
      <c r="AD235" s="167" t="s">
        <v>95</v>
      </c>
      <c r="AE235" s="167">
        <v>2.72</v>
      </c>
      <c r="AF235" s="167">
        <v>0.95</v>
      </c>
      <c r="AG235" s="167">
        <v>10.7</v>
      </c>
      <c r="AH235" s="167">
        <v>12.9</v>
      </c>
      <c r="AI235" s="167" t="s">
        <v>95</v>
      </c>
      <c r="AJ235" s="167">
        <v>10.7</v>
      </c>
      <c r="AK235" s="167" t="s">
        <v>95</v>
      </c>
      <c r="AL235" s="168">
        <v>81.8</v>
      </c>
      <c r="AM235" s="169">
        <v>2.1</v>
      </c>
      <c r="AN235" s="167">
        <v>0</v>
      </c>
      <c r="AO235" s="170">
        <f t="shared" si="61"/>
        <v>1.1346277941053975</v>
      </c>
      <c r="AP235" s="171">
        <f t="shared" si="62"/>
        <v>8.6071887697151546</v>
      </c>
      <c r="AQ235" s="172">
        <f t="shared" si="63"/>
        <v>-43.829889613665451</v>
      </c>
      <c r="AR235" s="157">
        <f>INDEX([1]Historical!$C$7:$C$1231,MATCH(B235,[1]Historical!$B$7:$B$1253,0))*IF(AH235="n/a",1.03,IF(AH235&lt;0,1.01,IF(AH235&gt;10,1.1,(1+AH235/100))))</f>
        <v>1.1440000000000001</v>
      </c>
      <c r="AS235" s="166">
        <f t="shared" si="64"/>
        <v>1.1783200000000003</v>
      </c>
      <c r="AT235" s="166">
        <f t="shared" si="70"/>
        <v>1.2136696000000002</v>
      </c>
      <c r="AU235" s="166">
        <f t="shared" si="70"/>
        <v>1.2500796880000002</v>
      </c>
      <c r="AV235" s="166">
        <f t="shared" si="70"/>
        <v>1.2875820786400003</v>
      </c>
      <c r="AW235" s="157">
        <f t="shared" si="66"/>
        <v>6.0736513666400018</v>
      </c>
      <c r="AX235" s="173">
        <f t="shared" si="67"/>
        <v>24.78029933349654</v>
      </c>
      <c r="AY235" s="174">
        <v>0.24</v>
      </c>
      <c r="AZ235" s="169">
        <v>4.5600000000000005</v>
      </c>
      <c r="BA235" s="169">
        <v>-44.04</v>
      </c>
      <c r="BB235" s="169">
        <v>-7.21</v>
      </c>
      <c r="BC235" s="169">
        <v>-26.889999999999997</v>
      </c>
      <c r="BE235" s="77">
        <v>2017</v>
      </c>
      <c r="BF235" s="77">
        <f t="shared" si="68"/>
        <v>1</v>
      </c>
      <c r="BG235" s="175">
        <v>0.89999999999999991</v>
      </c>
      <c r="BH235" t="s">
        <v>939</v>
      </c>
      <c r="BI235" t="s">
        <v>940</v>
      </c>
      <c r="BJ235" s="112"/>
      <c r="BK235" s="112"/>
      <c r="BL235" s="112"/>
    </row>
    <row r="236" spans="1:64" ht="11.25" customHeight="1" x14ac:dyDescent="0.2">
      <c r="A236" s="176" t="s">
        <v>1384</v>
      </c>
      <c r="B236" s="153" t="s">
        <v>718</v>
      </c>
      <c r="C236" s="154" t="s">
        <v>90</v>
      </c>
      <c r="D236" s="154" t="s">
        <v>969</v>
      </c>
      <c r="E236" s="155">
        <v>11</v>
      </c>
      <c r="F236" s="298">
        <v>431</v>
      </c>
      <c r="G236" s="298" t="s">
        <v>30</v>
      </c>
      <c r="H236" s="298" t="s">
        <v>30</v>
      </c>
      <c r="I236" s="156">
        <v>37.24</v>
      </c>
      <c r="J236" s="157">
        <f t="shared" si="54"/>
        <v>3.1149301825993554</v>
      </c>
      <c r="K236" s="158">
        <v>0.28999999999999998</v>
      </c>
      <c r="L236" s="126">
        <v>4</v>
      </c>
      <c r="M236" s="82">
        <f t="shared" si="55"/>
        <v>1.1599999999999999</v>
      </c>
      <c r="N236" s="159" t="s">
        <v>98</v>
      </c>
      <c r="O236" s="160">
        <v>0.27</v>
      </c>
      <c r="P236" s="161">
        <v>44777</v>
      </c>
      <c r="Q236" s="161">
        <v>44792</v>
      </c>
      <c r="R236" s="82">
        <f t="shared" si="56"/>
        <v>7.4074074074073932</v>
      </c>
      <c r="S236" s="162">
        <f>IF(INDEX([1]Historical!$D$7:$D$1229,MATCH(B236,[1]Historical!$B$7:$B$1253,0))=0,"n/a",(INDEX([1]Historical!$C$7:$C$1231,MATCH(B236,[1]Historical!$B$7:$B$1253,0))/INDEX([1]Historical!$D$7:$D$1229,MATCH(B236,[1]Historical!$B$7:$B$1253,0))-1)*100)</f>
        <v>4.0000000000000036</v>
      </c>
      <c r="T236" s="162">
        <f>IF(INDEX([1]Historical!$F$7:$F$1222,MATCH(B236,[1]Historical!$B$7:$B$1253,0))=0,"n/a",((INDEX([1]Historical!$C$7:$C$1231,MATCH(B236,[1]Historical!$B$7:$B$1253,0))/INDEX([1]Historical!$F$7:$F$1222,MATCH(B236,[1]Historical!$B$7:$B$1253,0)))^(1/3)-1)*100)</f>
        <v>10.064241629820891</v>
      </c>
      <c r="U236" s="162">
        <f>IF(INDEX([1]Historical!$H$7:$H$1222,MATCH(B236,[1]Historical!$B$7:$B$1253,0))=0,"n/a",((INDEX([1]Historical!$C$7:$C$1231,MATCH(B236,[1]Historical!$B$7:$B$1253,0))/INDEX([1]Historical!$H$7:$H$1222,MATCH(B236,[1]Historical!$B$7:$B$1253,0)))^(1/5)-1)*100)</f>
        <v>11.628841548417412</v>
      </c>
      <c r="V236" s="162">
        <f>IF(INDEX([1]Historical!$N$7:$N$1222,MATCH(B236,[1]Historical!$B$7:$B$1253,0))=0,"n/a",((INDEX([1]Historical!$C$7:$C$1231,MATCH(B236,[1]Historical!$B$7:$B$1253,0))/INDEX([1]Historical!$N$7:$N$1222,MATCH(B236,[1]Historical!$B$7:$B$1253,0)))^(1/10)-1)*100)</f>
        <v>10.026509310601806</v>
      </c>
      <c r="W236" s="163">
        <f t="shared" si="57"/>
        <v>1.1598095796032759</v>
      </c>
      <c r="X236" s="164">
        <f t="shared" si="58"/>
        <v>0.76505536502746141</v>
      </c>
      <c r="Y236" s="180"/>
      <c r="Z236" s="157">
        <f t="shared" si="59"/>
        <v>43.445692883895134</v>
      </c>
      <c r="AA236" s="166">
        <f t="shared" si="60"/>
        <v>13.947565543071162</v>
      </c>
      <c r="AB236" s="126">
        <v>12</v>
      </c>
      <c r="AC236" s="167">
        <v>2.67</v>
      </c>
      <c r="AD236" s="167">
        <v>2.77</v>
      </c>
      <c r="AE236" s="167">
        <v>5.51</v>
      </c>
      <c r="AF236" s="167">
        <v>1.47</v>
      </c>
      <c r="AG236" s="167">
        <v>10.9</v>
      </c>
      <c r="AH236" s="167">
        <v>45.800000000000004</v>
      </c>
      <c r="AI236" s="167">
        <v>2.6</v>
      </c>
      <c r="AJ236" s="167">
        <v>15.2</v>
      </c>
      <c r="AK236" s="167">
        <v>5</v>
      </c>
      <c r="AL236" s="168">
        <v>601.83000000000004</v>
      </c>
      <c r="AM236" s="169">
        <v>2.9000000000000004</v>
      </c>
      <c r="AN236" s="167">
        <v>0</v>
      </c>
      <c r="AO236" s="170">
        <f t="shared" si="61"/>
        <v>0.79620618794560549</v>
      </c>
      <c r="AP236" s="171">
        <f t="shared" si="62"/>
        <v>14.743771731016768</v>
      </c>
      <c r="AQ236" s="172">
        <f t="shared" si="63"/>
        <v>-4.5410586265496882</v>
      </c>
      <c r="AR236" s="157">
        <f>INDEX([1]Historical!$C$7:$C$1231,MATCH(B236,[1]Historical!$B$7:$B$1253,0))*IF(AH236="n/a",1.03,IF(AH236&lt;0,1.01,IF(AH236&gt;10,1.1,(1+AH236/100))))</f>
        <v>1.1440000000000001</v>
      </c>
      <c r="AS236" s="166">
        <f t="shared" si="64"/>
        <v>1.1737440000000001</v>
      </c>
      <c r="AT236" s="166">
        <f t="shared" si="70"/>
        <v>1.2324312000000002</v>
      </c>
      <c r="AU236" s="166">
        <f t="shared" si="70"/>
        <v>1.2940527600000002</v>
      </c>
      <c r="AV236" s="166">
        <f t="shared" si="70"/>
        <v>1.3587553980000002</v>
      </c>
      <c r="AW236" s="157">
        <f t="shared" si="66"/>
        <v>6.2029833580000009</v>
      </c>
      <c r="AX236" s="173">
        <f t="shared" si="67"/>
        <v>16.656775934479057</v>
      </c>
      <c r="AY236" s="174">
        <v>0.5</v>
      </c>
      <c r="AZ236" s="169">
        <v>40.479999999999997</v>
      </c>
      <c r="BA236" s="169">
        <v>0</v>
      </c>
      <c r="BB236" s="169">
        <v>12.620000000000001</v>
      </c>
      <c r="BC236" s="169">
        <v>22.81</v>
      </c>
      <c r="BE236" s="77">
        <v>2012</v>
      </c>
      <c r="BF236" s="77">
        <f t="shared" si="68"/>
        <v>1</v>
      </c>
      <c r="BG236" s="175">
        <v>1.4000000000000001</v>
      </c>
      <c r="BH236" t="s">
        <v>939</v>
      </c>
      <c r="BI236" t="s">
        <v>940</v>
      </c>
    </row>
    <row r="237" spans="1:64" ht="11.25" customHeight="1" x14ac:dyDescent="0.2">
      <c r="A237" s="205" t="s">
        <v>1057</v>
      </c>
      <c r="B237" s="153" t="s">
        <v>1058</v>
      </c>
      <c r="C237" s="154" t="s">
        <v>90</v>
      </c>
      <c r="D237" s="154" t="s">
        <v>969</v>
      </c>
      <c r="E237" s="155">
        <v>6</v>
      </c>
      <c r="F237" s="298">
        <v>674</v>
      </c>
      <c r="G237" s="298" t="s">
        <v>88</v>
      </c>
      <c r="H237" s="298" t="s">
        <v>88</v>
      </c>
      <c r="I237" s="156">
        <v>14.34</v>
      </c>
      <c r="J237" s="157">
        <f t="shared" si="54"/>
        <v>3.3472803347280333</v>
      </c>
      <c r="K237" s="158">
        <v>0.12</v>
      </c>
      <c r="L237" s="126">
        <v>4</v>
      </c>
      <c r="M237" s="82">
        <f t="shared" si="55"/>
        <v>0.48</v>
      </c>
      <c r="N237" s="159" t="s">
        <v>214</v>
      </c>
      <c r="O237" s="160">
        <v>0.115</v>
      </c>
      <c r="P237" s="161">
        <v>44686</v>
      </c>
      <c r="Q237" s="161">
        <v>44701</v>
      </c>
      <c r="R237" s="82">
        <f t="shared" si="56"/>
        <v>4.3478260869565135</v>
      </c>
      <c r="S237" s="162">
        <f>IF(INDEX([1]Historical!$D$7:$D$1229,MATCH(B237,[1]Historical!$B$7:$B$1253,0))=0,"n/a",(INDEX([1]Historical!$C$7:$C$1231,MATCH(B237,[1]Historical!$B$7:$B$1253,0))/INDEX([1]Historical!$D$7:$D$1229,MATCH(B237,[1]Historical!$B$7:$B$1253,0))-1)*100)</f>
        <v>3.4090909090909172</v>
      </c>
      <c r="T237" s="162">
        <f>IF(INDEX([1]Historical!$F$7:$F$1222,MATCH(B237,[1]Historical!$B$7:$B$1253,0))=0,"n/a",((INDEX([1]Historical!$C$7:$C$1231,MATCH(B237,[1]Historical!$B$7:$B$1253,0))/INDEX([1]Historical!$F$7:$F$1222,MATCH(B237,[1]Historical!$B$7:$B$1253,0)))^(1/3)-1)*100)</f>
        <v>9.1392883061105721</v>
      </c>
      <c r="U237" s="162">
        <f>IF(INDEX([1]Historical!$H$7:$H$1222,MATCH(B237,[1]Historical!$B$7:$B$1253,0))=0,"n/a",((INDEX([1]Historical!$C$7:$C$1231,MATCH(B237,[1]Historical!$B$7:$B$1253,0))/INDEX([1]Historical!$H$7:$H$1222,MATCH(B237,[1]Historical!$B$7:$B$1253,0)))^(1/5)-1)*100)</f>
        <v>10.197228772148016</v>
      </c>
      <c r="V237" s="162">
        <f>IF(INDEX([1]Historical!$N$7:$N$1222,MATCH(B237,[1]Historical!$B$7:$B$1253,0))=0,"n/a",((INDEX([1]Historical!$C$7:$C$1231,MATCH(B237,[1]Historical!$B$7:$B$1253,0))/INDEX([1]Historical!$N$7:$N$1222,MATCH(B237,[1]Historical!$B$7:$B$1253,0)))^(1/10)-1)*100)</f>
        <v>14.257052165294869</v>
      </c>
      <c r="W237" s="163">
        <f t="shared" si="57"/>
        <v>0.71524103678112017</v>
      </c>
      <c r="X237" s="164">
        <f t="shared" si="58"/>
        <v>0.61429088988843461</v>
      </c>
      <c r="Y237" s="180"/>
      <c r="Z237" s="157">
        <f t="shared" si="59"/>
        <v>35.55555555555555</v>
      </c>
      <c r="AA237" s="166">
        <f t="shared" si="60"/>
        <v>10.622222222222222</v>
      </c>
      <c r="AB237" s="126">
        <v>12</v>
      </c>
      <c r="AC237" s="167">
        <v>1.35</v>
      </c>
      <c r="AD237" s="167">
        <v>1.33</v>
      </c>
      <c r="AE237" s="167">
        <v>4.25</v>
      </c>
      <c r="AF237" s="167">
        <v>1.29</v>
      </c>
      <c r="AG237" s="167">
        <v>11.600000000000001</v>
      </c>
      <c r="AH237" s="167">
        <v>92</v>
      </c>
      <c r="AI237" s="167">
        <v>18.88</v>
      </c>
      <c r="AJ237" s="167">
        <v>16.600000000000001</v>
      </c>
      <c r="AK237" s="167">
        <v>8</v>
      </c>
      <c r="AL237" s="168">
        <v>1310</v>
      </c>
      <c r="AM237" s="169">
        <v>1.69</v>
      </c>
      <c r="AN237" s="167">
        <v>0.25</v>
      </c>
      <c r="AO237" s="170">
        <f t="shared" si="61"/>
        <v>2.9222868846538272</v>
      </c>
      <c r="AP237" s="171">
        <f t="shared" si="62"/>
        <v>13.544509106876049</v>
      </c>
      <c r="AQ237" s="172">
        <f t="shared" si="63"/>
        <v>-21.961073341094227</v>
      </c>
      <c r="AR237" s="157">
        <f>INDEX([1]Historical!$C$7:$C$1231,MATCH(B237,[1]Historical!$B$7:$B$1253,0))*IF(AH237="n/a",1.03,IF(AH237&lt;0,1.01,IF(AH237&gt;10,1.1,(1+AH237/100))))</f>
        <v>0.50050000000000006</v>
      </c>
      <c r="AS237" s="166">
        <f t="shared" si="64"/>
        <v>0.55055000000000009</v>
      </c>
      <c r="AT237" s="166">
        <f t="shared" si="70"/>
        <v>0.59459400000000018</v>
      </c>
      <c r="AU237" s="166">
        <f t="shared" si="70"/>
        <v>0.64216152000000026</v>
      </c>
      <c r="AV237" s="166">
        <f t="shared" si="70"/>
        <v>0.69353444160000033</v>
      </c>
      <c r="AW237" s="157">
        <f t="shared" si="66"/>
        <v>2.9813399616000007</v>
      </c>
      <c r="AX237" s="173">
        <f t="shared" si="67"/>
        <v>20.790376301255233</v>
      </c>
      <c r="AY237" s="174">
        <v>0.99</v>
      </c>
      <c r="AZ237" s="169">
        <v>12.379999999999999</v>
      </c>
      <c r="BA237" s="169">
        <v>-18.66</v>
      </c>
      <c r="BB237" s="169">
        <v>4.96</v>
      </c>
      <c r="BC237" s="169">
        <v>-1.1199999999999999</v>
      </c>
      <c r="BE237" s="77">
        <v>2017</v>
      </c>
      <c r="BF237" s="77">
        <f t="shared" si="68"/>
        <v>1</v>
      </c>
      <c r="BG237" s="175">
        <v>1.3</v>
      </c>
      <c r="BH237" t="s">
        <v>939</v>
      </c>
      <c r="BI237" t="s">
        <v>940</v>
      </c>
      <c r="BJ237" s="112"/>
      <c r="BK237" s="112"/>
      <c r="BL237" s="112"/>
    </row>
    <row r="238" spans="1:64" ht="11.25" customHeight="1" x14ac:dyDescent="0.2">
      <c r="A238" s="205" t="s">
        <v>1385</v>
      </c>
      <c r="B238" s="153" t="s">
        <v>1059</v>
      </c>
      <c r="C238" s="154" t="s">
        <v>90</v>
      </c>
      <c r="D238" s="154" t="s">
        <v>966</v>
      </c>
      <c r="E238" s="155">
        <v>7</v>
      </c>
      <c r="F238" s="298">
        <v>635</v>
      </c>
      <c r="G238" s="298" t="s">
        <v>88</v>
      </c>
      <c r="H238" s="298" t="s">
        <v>88</v>
      </c>
      <c r="I238" s="156">
        <v>98.45</v>
      </c>
      <c r="J238" s="157">
        <f t="shared" si="54"/>
        <v>1.3407821229050279</v>
      </c>
      <c r="K238" s="158">
        <v>0.33</v>
      </c>
      <c r="L238" s="126">
        <v>4</v>
      </c>
      <c r="M238" s="82">
        <f t="shared" si="55"/>
        <v>1.32</v>
      </c>
      <c r="N238" s="159" t="s">
        <v>677</v>
      </c>
      <c r="O238" s="160">
        <v>0.3</v>
      </c>
      <c r="P238" s="161">
        <v>44784</v>
      </c>
      <c r="Q238" s="161">
        <v>44799</v>
      </c>
      <c r="R238" s="82">
        <f t="shared" si="56"/>
        <v>10.000000000000009</v>
      </c>
      <c r="S238" s="162">
        <f>IF(INDEX([1]Historical!$D$7:$D$1229,MATCH(B238,[1]Historical!$B$7:$B$1253,0))=0,"n/a",(INDEX([1]Historical!$C$7:$C$1231,MATCH(B238,[1]Historical!$B$7:$B$1253,0))/INDEX([1]Historical!$D$7:$D$1229,MATCH(B238,[1]Historical!$B$7:$B$1253,0))-1)*100)</f>
        <v>8.333333333333325</v>
      </c>
      <c r="T238" s="162">
        <f>IF(INDEX([1]Historical!$F$7:$F$1222,MATCH(B238,[1]Historical!$B$7:$B$1253,0))=0,"n/a",((INDEX([1]Historical!$C$7:$C$1231,MATCH(B238,[1]Historical!$B$7:$B$1253,0))/INDEX([1]Historical!$F$7:$F$1222,MATCH(B238,[1]Historical!$B$7:$B$1253,0)))^(1/3)-1)*100)</f>
        <v>8.7380373002892142</v>
      </c>
      <c r="U238" s="162">
        <f>IF(INDEX([1]Historical!$H$7:$H$1222,MATCH(B238,[1]Historical!$B$7:$B$1253,0))=0,"n/a",((INDEX([1]Historical!$C$7:$C$1231,MATCH(B238,[1]Historical!$B$7:$B$1253,0))/INDEX([1]Historical!$H$7:$H$1222,MATCH(B238,[1]Historical!$B$7:$B$1253,0)))^(1/5)-1)*100)</f>
        <v>15.671797064219305</v>
      </c>
      <c r="V238" s="162" t="str">
        <f>IF(INDEX([1]Historical!$N$7:$N$1222,MATCH(B238,[1]Historical!$B$7:$B$1253,0))=0,"n/a",((INDEX([1]Historical!$C$7:$C$1231,MATCH(B238,[1]Historical!$B$7:$B$1253,0))/INDEX([1]Historical!$N$7:$N$1222,MATCH(B238,[1]Historical!$B$7:$B$1253,0)))^(1/10)-1)*100)</f>
        <v>n/a</v>
      </c>
      <c r="W238" s="163" t="str">
        <f t="shared" si="57"/>
        <v>n/a</v>
      </c>
      <c r="X238" s="164">
        <f t="shared" si="58"/>
        <v>1.2951898400181245</v>
      </c>
      <c r="Y238" s="180"/>
      <c r="Z238" s="157">
        <f t="shared" si="59"/>
        <v>33.673469387755105</v>
      </c>
      <c r="AA238" s="166">
        <f t="shared" si="60"/>
        <v>25.114795918367349</v>
      </c>
      <c r="AB238" s="126">
        <v>12</v>
      </c>
      <c r="AC238" s="167">
        <v>3.92</v>
      </c>
      <c r="AD238" s="167">
        <v>1.52</v>
      </c>
      <c r="AE238" s="167">
        <v>2</v>
      </c>
      <c r="AF238" s="167">
        <v>2.48</v>
      </c>
      <c r="AG238" s="167">
        <v>7.1</v>
      </c>
      <c r="AH238" s="167">
        <v>18.8</v>
      </c>
      <c r="AI238" s="167">
        <v>21.32</v>
      </c>
      <c r="AJ238" s="167">
        <v>12.1</v>
      </c>
      <c r="AK238" s="167">
        <v>15.920000000000002</v>
      </c>
      <c r="AL238" s="168">
        <v>4410</v>
      </c>
      <c r="AM238" s="169">
        <v>19.34</v>
      </c>
      <c r="AN238" s="167">
        <v>0.72</v>
      </c>
      <c r="AO238" s="170">
        <f t="shared" si="61"/>
        <v>-8.1022167312430149</v>
      </c>
      <c r="AP238" s="171">
        <f t="shared" si="62"/>
        <v>17.012579187124334</v>
      </c>
      <c r="AQ238" s="172">
        <f t="shared" si="63"/>
        <v>66.379344174090477</v>
      </c>
      <c r="AR238" s="157">
        <f>INDEX([1]Historical!$C$7:$C$1231,MATCH(B238,[1]Historical!$B$7:$B$1253,0))*IF(AH238="n/a",1.03,IF(AH238&lt;0,1.01,IF(AH238&gt;10,1.1,(1+AH238/100))))</f>
        <v>1.2869999999999999</v>
      </c>
      <c r="AS238" s="166">
        <f t="shared" si="64"/>
        <v>1.4157</v>
      </c>
      <c r="AT238" s="166">
        <f t="shared" si="70"/>
        <v>1.5572700000000002</v>
      </c>
      <c r="AU238" s="166">
        <f t="shared" si="70"/>
        <v>1.7129970000000003</v>
      </c>
      <c r="AV238" s="166">
        <f t="shared" si="70"/>
        <v>1.8842967000000006</v>
      </c>
      <c r="AW238" s="157">
        <f t="shared" si="66"/>
        <v>7.8572637000000007</v>
      </c>
      <c r="AX238" s="173">
        <f t="shared" si="67"/>
        <v>7.9809687150838</v>
      </c>
      <c r="AY238" s="174">
        <v>0.75</v>
      </c>
      <c r="AZ238" s="169">
        <v>68.87</v>
      </c>
      <c r="BA238" s="169">
        <v>2.4699999999999998</v>
      </c>
      <c r="BB238" s="169">
        <v>23.830000000000002</v>
      </c>
      <c r="BC238" s="169">
        <v>34.21</v>
      </c>
      <c r="BE238" s="77">
        <v>2016</v>
      </c>
      <c r="BF238" s="77">
        <f t="shared" si="68"/>
        <v>1</v>
      </c>
      <c r="BG238" s="175">
        <v>3.4000000000000004</v>
      </c>
      <c r="BH238" t="s">
        <v>939</v>
      </c>
      <c r="BI238" t="s">
        <v>940</v>
      </c>
      <c r="BJ238" s="112"/>
      <c r="BK238" s="112"/>
      <c r="BL238" s="112"/>
    </row>
    <row r="239" spans="1:64" ht="11.25" customHeight="1" x14ac:dyDescent="0.2">
      <c r="A239" s="205" t="s">
        <v>1060</v>
      </c>
      <c r="B239" s="153" t="s">
        <v>1061</v>
      </c>
      <c r="C239" s="154" t="s">
        <v>947</v>
      </c>
      <c r="D239" s="154" t="s">
        <v>948</v>
      </c>
      <c r="E239" s="155">
        <v>7</v>
      </c>
      <c r="F239" s="298">
        <v>616</v>
      </c>
      <c r="G239" s="298" t="s">
        <v>88</v>
      </c>
      <c r="H239" s="298" t="s">
        <v>88</v>
      </c>
      <c r="I239" s="156">
        <v>25.62</v>
      </c>
      <c r="J239" s="157">
        <f t="shared" si="54"/>
        <v>5.1912568306010929</v>
      </c>
      <c r="K239" s="158">
        <v>0.33250000000000002</v>
      </c>
      <c r="L239" s="126">
        <v>4</v>
      </c>
      <c r="M239" s="82">
        <f t="shared" si="55"/>
        <v>1.33</v>
      </c>
      <c r="N239" s="159" t="s">
        <v>119</v>
      </c>
      <c r="O239" s="160">
        <v>0.3175</v>
      </c>
      <c r="P239" s="161">
        <v>44560</v>
      </c>
      <c r="Q239" s="161">
        <v>44575</v>
      </c>
      <c r="R239" s="82">
        <f t="shared" si="56"/>
        <v>4.7244094488189017</v>
      </c>
      <c r="S239" s="162">
        <f>IF(INDEX([1]Historical!$D$7:$D$1229,MATCH(B239,[1]Historical!$B$7:$B$1253,0))=0,"n/a",(INDEX([1]Historical!$C$7:$C$1231,MATCH(B239,[1]Historical!$B$7:$B$1253,0))/INDEX([1]Historical!$D$7:$D$1229,MATCH(B239,[1]Historical!$B$7:$B$1253,0))-1)*100)</f>
        <v>4.0983606557376984</v>
      </c>
      <c r="T239" s="162">
        <f>IF(INDEX([1]Historical!$F$7:$F$1222,MATCH(B239,[1]Historical!$B$7:$B$1253,0))=0,"n/a",((INDEX([1]Historical!$C$7:$C$1231,MATCH(B239,[1]Historical!$B$7:$B$1253,0))/INDEX([1]Historical!$F$7:$F$1222,MATCH(B239,[1]Historical!$B$7:$B$1253,0)))^(1/3)-1)*100)</f>
        <v>4.9068093647468114</v>
      </c>
      <c r="U239" s="162">
        <f>IF(INDEX([1]Historical!$H$7:$H$1222,MATCH(B239,[1]Historical!$B$7:$B$1253,0))=0,"n/a",((INDEX([1]Historical!$C$7:$C$1231,MATCH(B239,[1]Historical!$B$7:$B$1253,0))/INDEX([1]Historical!$H$7:$H$1222,MATCH(B239,[1]Historical!$B$7:$B$1253,0)))^(1/5)-1)*100)</f>
        <v>6.4873355422527368</v>
      </c>
      <c r="V239" s="162" t="str">
        <f>IF(INDEX([1]Historical!$N$7:$N$1222,MATCH(B239,[1]Historical!$B$7:$B$1253,0))=0,"n/a",((INDEX([1]Historical!$C$7:$C$1231,MATCH(B239,[1]Historical!$B$7:$B$1253,0))/INDEX([1]Historical!$N$7:$N$1222,MATCH(B239,[1]Historical!$B$7:$B$1253,0)))^(1/10)-1)*100)</f>
        <v>n/a</v>
      </c>
      <c r="W239" s="163" t="str">
        <f t="shared" si="57"/>
        <v>n/a</v>
      </c>
      <c r="X239" s="164" t="str">
        <f t="shared" si="58"/>
        <v>n/a</v>
      </c>
      <c r="Y239" s="180"/>
      <c r="Z239" s="157">
        <f t="shared" si="59"/>
        <v>109.91735537190084</v>
      </c>
      <c r="AA239" s="166">
        <f t="shared" si="60"/>
        <v>21.173553719008265</v>
      </c>
      <c r="AB239" s="126">
        <v>12</v>
      </c>
      <c r="AC239" s="167">
        <v>1.21</v>
      </c>
      <c r="AD239" s="167" t="s">
        <v>95</v>
      </c>
      <c r="AE239" s="167">
        <v>9.51</v>
      </c>
      <c r="AF239" s="167">
        <v>2.06</v>
      </c>
      <c r="AG239" s="167">
        <v>10</v>
      </c>
      <c r="AH239" s="167">
        <v>3.1</v>
      </c>
      <c r="AI239" s="167">
        <v>-1.5</v>
      </c>
      <c r="AJ239" s="167">
        <v>-15.8</v>
      </c>
      <c r="AK239" s="167" t="s">
        <v>95</v>
      </c>
      <c r="AL239" s="168">
        <v>2029.9999999999998</v>
      </c>
      <c r="AM239" s="169">
        <v>1.3</v>
      </c>
      <c r="AN239" s="167">
        <v>0.98</v>
      </c>
      <c r="AO239" s="170">
        <f t="shared" si="61"/>
        <v>-9.4949613461544349</v>
      </c>
      <c r="AP239" s="171">
        <f t="shared" si="62"/>
        <v>11.67859237285383</v>
      </c>
      <c r="AQ239" s="172">
        <f t="shared" si="63"/>
        <v>39.232053559128445</v>
      </c>
      <c r="AR239" s="157">
        <f>INDEX([1]Historical!$C$7:$C$1231,MATCH(B239,[1]Historical!$B$7:$B$1253,0))*IF(AH239="n/a",1.03,IF(AH239&lt;0,1.01,IF(AH239&gt;10,1.1,(1+AH239/100))))</f>
        <v>1.3093699999999999</v>
      </c>
      <c r="AS239" s="166">
        <f t="shared" si="64"/>
        <v>1.3224636999999999</v>
      </c>
      <c r="AT239" s="166">
        <f t="shared" si="70"/>
        <v>1.3621376109999999</v>
      </c>
      <c r="AU239" s="166">
        <f t="shared" si="70"/>
        <v>1.4030017393299998</v>
      </c>
      <c r="AV239" s="166">
        <f t="shared" si="70"/>
        <v>1.4450917915099</v>
      </c>
      <c r="AW239" s="157">
        <f t="shared" si="66"/>
        <v>6.8420648418398988</v>
      </c>
      <c r="AX239" s="173">
        <f t="shared" si="67"/>
        <v>26.705951763621776</v>
      </c>
      <c r="AY239" s="174">
        <v>0.88</v>
      </c>
      <c r="AZ239" s="169">
        <v>12.989999999999998</v>
      </c>
      <c r="BA239" s="169">
        <v>-14.97</v>
      </c>
      <c r="BB239" s="169">
        <v>0.41000000000000003</v>
      </c>
      <c r="BC239" s="169">
        <v>-4.42</v>
      </c>
      <c r="BE239" s="77">
        <v>2016</v>
      </c>
      <c r="BF239" s="77">
        <f t="shared" si="68"/>
        <v>1</v>
      </c>
      <c r="BG239" s="175">
        <v>4.9000000000000004</v>
      </c>
      <c r="BH239" t="s">
        <v>939</v>
      </c>
      <c r="BI239" t="s">
        <v>945</v>
      </c>
      <c r="BJ239" s="112"/>
      <c r="BK239" s="112"/>
      <c r="BL239" s="112"/>
    </row>
    <row r="240" spans="1:64" ht="11.25" customHeight="1" x14ac:dyDescent="0.2">
      <c r="A240" s="205" t="s">
        <v>1062</v>
      </c>
      <c r="B240" s="153" t="s">
        <v>1063</v>
      </c>
      <c r="C240" s="154" t="s">
        <v>90</v>
      </c>
      <c r="D240" s="154" t="s">
        <v>969</v>
      </c>
      <c r="E240" s="155">
        <v>8</v>
      </c>
      <c r="F240" s="298">
        <v>611</v>
      </c>
      <c r="G240" s="298" t="s">
        <v>88</v>
      </c>
      <c r="H240" s="298" t="s">
        <v>88</v>
      </c>
      <c r="I240" s="156">
        <v>46.7</v>
      </c>
      <c r="J240" s="157">
        <f t="shared" si="54"/>
        <v>3.0835117773019269</v>
      </c>
      <c r="K240" s="158">
        <v>0.36</v>
      </c>
      <c r="L240" s="126">
        <v>4</v>
      </c>
      <c r="M240" s="82">
        <f t="shared" si="55"/>
        <v>1.44</v>
      </c>
      <c r="N240" s="159" t="s">
        <v>151</v>
      </c>
      <c r="O240" s="160">
        <v>0.33</v>
      </c>
      <c r="P240" s="161">
        <v>44882</v>
      </c>
      <c r="Q240" s="161">
        <v>44904</v>
      </c>
      <c r="R240" s="82">
        <f t="shared" si="56"/>
        <v>9.0909090909090811</v>
      </c>
      <c r="S240" s="162">
        <f>IF(INDEX([1]Historical!$D$7:$D$1229,MATCH(B240,[1]Historical!$B$7:$B$1253,0))=0,"n/a",(INDEX([1]Historical!$C$7:$C$1231,MATCH(B240,[1]Historical!$B$7:$B$1253,0))/INDEX([1]Historical!$D$7:$D$1229,MATCH(B240,[1]Historical!$B$7:$B$1253,0))-1)*100)</f>
        <v>7.8947368421052655</v>
      </c>
      <c r="T240" s="162">
        <f>IF(INDEX([1]Historical!$F$7:$F$1222,MATCH(B240,[1]Historical!$B$7:$B$1253,0))=0,"n/a",((INDEX([1]Historical!$C$7:$C$1231,MATCH(B240,[1]Historical!$B$7:$B$1253,0))/INDEX([1]Historical!$F$7:$F$1222,MATCH(B240,[1]Historical!$B$7:$B$1253,0)))^(1/3)-1)*100)</f>
        <v>7.8680957339111846</v>
      </c>
      <c r="U240" s="162">
        <f>IF(INDEX([1]Historical!$H$7:$H$1222,MATCH(B240,[1]Historical!$B$7:$B$1253,0))=0,"n/a",((INDEX([1]Historical!$C$7:$C$1231,MATCH(B240,[1]Historical!$B$7:$B$1253,0))/INDEX([1]Historical!$H$7:$H$1222,MATCH(B240,[1]Historical!$B$7:$B$1253,0)))^(1/5)-1)*100)</f>
        <v>10.107855395181197</v>
      </c>
      <c r="V240" s="162">
        <f>IF(INDEX([1]Historical!$N$7:$N$1222,MATCH(B240,[1]Historical!$B$7:$B$1253,0))=0,"n/a",((INDEX([1]Historical!$C$7:$C$1231,MATCH(B240,[1]Historical!$B$7:$B$1253,0))/INDEX([1]Historical!$N$7:$N$1222,MATCH(B240,[1]Historical!$B$7:$B$1253,0)))^(1/10)-1)*100)</f>
        <v>6.3162468992593812</v>
      </c>
      <c r="W240" s="163">
        <f t="shared" si="57"/>
        <v>1.6002945350927313</v>
      </c>
      <c r="X240" s="164" t="str">
        <f t="shared" si="58"/>
        <v>n/a</v>
      </c>
      <c r="Y240" s="178"/>
      <c r="Z240" s="157">
        <f t="shared" si="59"/>
        <v>26.568265682656829</v>
      </c>
      <c r="AA240" s="166">
        <f t="shared" si="60"/>
        <v>8.6162361623616235</v>
      </c>
      <c r="AB240" s="126">
        <v>12</v>
      </c>
      <c r="AC240" s="167">
        <v>5.42</v>
      </c>
      <c r="AD240" s="167" t="s">
        <v>95</v>
      </c>
      <c r="AE240" s="167">
        <v>2.98</v>
      </c>
      <c r="AF240" s="167">
        <v>1.8</v>
      </c>
      <c r="AG240" s="167">
        <v>17.419999999999998</v>
      </c>
      <c r="AH240" s="167" t="s">
        <v>95</v>
      </c>
      <c r="AI240" s="167" t="s">
        <v>95</v>
      </c>
      <c r="AJ240" s="167" t="s">
        <v>95</v>
      </c>
      <c r="AK240" s="167" t="s">
        <v>95</v>
      </c>
      <c r="AL240" s="168">
        <v>263.02999999999997</v>
      </c>
      <c r="AM240" s="169">
        <v>17.71</v>
      </c>
      <c r="AN240" s="167" t="s">
        <v>95</v>
      </c>
      <c r="AO240" s="170">
        <f t="shared" si="61"/>
        <v>4.5751310101215008</v>
      </c>
      <c r="AP240" s="171">
        <f t="shared" si="62"/>
        <v>13.191367172483124</v>
      </c>
      <c r="AQ240" s="172">
        <f t="shared" si="63"/>
        <v>-16.975973779337227</v>
      </c>
      <c r="AR240" s="157">
        <f>INDEX([1]Historical!$C$7:$C$1231,MATCH(B240,[1]Historical!$B$7:$B$1253,0))*IF(AH240="n/a",1.03,IF(AH240&lt;0,1.01,IF(AH240&gt;10,1.1,(1+AH240/100))))</f>
        <v>1.2668999999999999</v>
      </c>
      <c r="AS240" s="166">
        <f t="shared" si="64"/>
        <v>1.304907</v>
      </c>
      <c r="AT240" s="166">
        <f t="shared" si="70"/>
        <v>1.3440542100000001</v>
      </c>
      <c r="AU240" s="166">
        <f t="shared" si="70"/>
        <v>1.3843758363000003</v>
      </c>
      <c r="AV240" s="166">
        <f t="shared" si="70"/>
        <v>1.4259071113890003</v>
      </c>
      <c r="AW240" s="157">
        <f t="shared" si="66"/>
        <v>6.7261441576890011</v>
      </c>
      <c r="AX240" s="173">
        <f t="shared" si="67"/>
        <v>14.402878281989295</v>
      </c>
      <c r="AY240" s="174">
        <v>0.35</v>
      </c>
      <c r="AZ240" s="169">
        <v>36.549707602339176</v>
      </c>
      <c r="BA240" s="169">
        <v>-21.709974853310975</v>
      </c>
      <c r="BB240" s="169">
        <v>11.883085769046486</v>
      </c>
      <c r="BC240" s="169">
        <v>9.5215759849906156</v>
      </c>
      <c r="BE240" s="77">
        <v>2015</v>
      </c>
      <c r="BF240" s="77">
        <f t="shared" si="68"/>
        <v>1</v>
      </c>
      <c r="BG240" s="175">
        <v>1.26</v>
      </c>
      <c r="BH240" t="s">
        <v>939</v>
      </c>
      <c r="BI240" t="s">
        <v>940</v>
      </c>
      <c r="BJ240" s="112"/>
      <c r="BK240" s="112"/>
      <c r="BL240" s="112"/>
    </row>
    <row r="241" spans="1:64" s="252" customFormat="1" ht="11.25" customHeight="1" x14ac:dyDescent="0.2">
      <c r="A241" s="208" t="s">
        <v>1386</v>
      </c>
      <c r="B241" s="184" t="s">
        <v>292</v>
      </c>
      <c r="C241" s="154" t="s">
        <v>90</v>
      </c>
      <c r="D241" s="154" t="s">
        <v>972</v>
      </c>
      <c r="E241" s="185">
        <v>24</v>
      </c>
      <c r="F241" s="298">
        <v>151</v>
      </c>
      <c r="G241" s="297" t="s">
        <v>88</v>
      </c>
      <c r="H241" s="297" t="s">
        <v>88</v>
      </c>
      <c r="I241" s="186">
        <v>425.49</v>
      </c>
      <c r="J241" s="187">
        <f t="shared" si="54"/>
        <v>0.83668241321770198</v>
      </c>
      <c r="K241" s="231">
        <v>0.89</v>
      </c>
      <c r="L241" s="189">
        <v>4</v>
      </c>
      <c r="M241" s="190">
        <f t="shared" si="55"/>
        <v>3.56</v>
      </c>
      <c r="N241" s="191" t="s">
        <v>231</v>
      </c>
      <c r="O241" s="232">
        <v>0.82</v>
      </c>
      <c r="P241" s="193">
        <v>44708</v>
      </c>
      <c r="Q241" s="193">
        <v>44728</v>
      </c>
      <c r="R241" s="190">
        <f t="shared" si="56"/>
        <v>8.5365853658536661</v>
      </c>
      <c r="S241" s="162">
        <f>IF(INDEX([1]Historical!$D$7:$D$1229,MATCH(B241,[1]Historical!$B$7:$B$1253,0))=0,"n/a",(INDEX([1]Historical!$C$7:$C$1231,MATCH(B241,[1]Historical!$B$7:$B$1253,0))/INDEX([1]Historical!$D$7:$D$1229,MATCH(B241,[1]Historical!$B$7:$B$1253,0))-1)*100)</f>
        <v>6.6006600660066139</v>
      </c>
      <c r="T241" s="162">
        <f>IF(INDEX([1]Historical!$F$7:$F$1222,MATCH(B241,[1]Historical!$B$7:$B$1253,0))=0,"n/a",((INDEX([1]Historical!$C$7:$C$1231,MATCH(B241,[1]Historical!$B$7:$B$1253,0))/INDEX([1]Historical!$F$7:$F$1222,MATCH(B241,[1]Historical!$B$7:$B$1253,0)))^(1/3)-1)*100)</f>
        <v>9.2069506224545794</v>
      </c>
      <c r="U241" s="162">
        <f>IF(INDEX([1]Historical!$H$7:$H$1222,MATCH(B241,[1]Historical!$B$7:$B$1253,0))=0,"n/a",((INDEX([1]Historical!$C$7:$C$1231,MATCH(B241,[1]Historical!$B$7:$B$1253,0))/INDEX([1]Historical!$H$7:$H$1222,MATCH(B241,[1]Historical!$B$7:$B$1253,0)))^(1/5)-1)*100)</f>
        <v>10.733788482471196</v>
      </c>
      <c r="V241" s="162">
        <f>IF(INDEX([1]Historical!$N$7:$N$1222,MATCH(B241,[1]Historical!$B$7:$B$1253,0))=0,"n/a",((INDEX([1]Historical!$C$7:$C$1231,MATCH(B241,[1]Historical!$B$7:$B$1253,0))/INDEX([1]Historical!$N$7:$N$1222,MATCH(B241,[1]Historical!$B$7:$B$1253,0)))^(1/10)-1)*100)</f>
        <v>11.999715195688143</v>
      </c>
      <c r="W241" s="163">
        <f t="shared" si="57"/>
        <v>0.89450360341286828</v>
      </c>
      <c r="X241" s="164">
        <f t="shared" si="58"/>
        <v>1.1298724718390734</v>
      </c>
      <c r="Y241" s="184"/>
      <c r="Z241" s="187">
        <f t="shared" si="59"/>
        <v>34.799608993157378</v>
      </c>
      <c r="AA241" s="194">
        <f t="shared" si="60"/>
        <v>41.592375366568916</v>
      </c>
      <c r="AB241" s="189">
        <v>8</v>
      </c>
      <c r="AC241" s="195">
        <v>10.23</v>
      </c>
      <c r="AD241" s="195">
        <v>3.54</v>
      </c>
      <c r="AE241" s="195">
        <v>8.74</v>
      </c>
      <c r="AF241" s="195">
        <v>12.38</v>
      </c>
      <c r="AG241" s="195">
        <v>32.300000000000004</v>
      </c>
      <c r="AH241" s="195">
        <v>-1.0999999999999999</v>
      </c>
      <c r="AI241" s="195">
        <v>10.77</v>
      </c>
      <c r="AJ241" s="195">
        <v>9.5</v>
      </c>
      <c r="AK241" s="195">
        <v>11.899999999999999</v>
      </c>
      <c r="AL241" s="196">
        <v>16120.000000000002</v>
      </c>
      <c r="AM241" s="197">
        <v>0.11</v>
      </c>
      <c r="AN241" s="195">
        <v>1.49</v>
      </c>
      <c r="AO241" s="198">
        <f t="shared" si="61"/>
        <v>-30.021904470880017</v>
      </c>
      <c r="AP241" s="199">
        <f t="shared" si="62"/>
        <v>11.570470895688898</v>
      </c>
      <c r="AQ241" s="172">
        <f t="shared" si="63"/>
        <v>378.38320624468372</v>
      </c>
      <c r="AR241" s="157">
        <f>INDEX([1]Historical!$C$7:$C$1231,MATCH(B241,[1]Historical!$B$7:$B$1253,0))*IF(AH241="n/a",1.03,IF(AH241&lt;0,1.01,IF(AH241&gt;10,1.1,(1+AH241/100))))</f>
        <v>3.2623000000000002</v>
      </c>
      <c r="AS241" s="194">
        <f t="shared" si="64"/>
        <v>3.5885300000000004</v>
      </c>
      <c r="AT241" s="194">
        <f t="shared" si="70"/>
        <v>3.9473830000000008</v>
      </c>
      <c r="AU241" s="194">
        <f t="shared" si="70"/>
        <v>4.3421213000000014</v>
      </c>
      <c r="AV241" s="194">
        <f t="shared" si="70"/>
        <v>4.776333430000002</v>
      </c>
      <c r="AW241" s="187">
        <f t="shared" si="66"/>
        <v>19.916667730000004</v>
      </c>
      <c r="AX241" s="200">
        <f t="shared" si="67"/>
        <v>4.680877983031329</v>
      </c>
      <c r="AY241" s="201">
        <v>0.78</v>
      </c>
      <c r="AZ241" s="197">
        <v>23</v>
      </c>
      <c r="BA241" s="197">
        <v>-14.11</v>
      </c>
      <c r="BB241" s="197">
        <v>0.32</v>
      </c>
      <c r="BC241" s="197">
        <v>3.5999999999999996</v>
      </c>
      <c r="BD241" s="202"/>
      <c r="BE241" s="77">
        <v>1999</v>
      </c>
      <c r="BF241" s="77">
        <f t="shared" si="68"/>
        <v>3</v>
      </c>
      <c r="BG241" s="203">
        <v>12.5</v>
      </c>
      <c r="BH241" t="s">
        <v>939</v>
      </c>
      <c r="BI241" t="s">
        <v>940</v>
      </c>
    </row>
    <row r="242" spans="1:64" ht="11.25" customHeight="1" x14ac:dyDescent="0.2">
      <c r="A242" s="176" t="s">
        <v>1387</v>
      </c>
      <c r="B242" s="153" t="s">
        <v>306</v>
      </c>
      <c r="C242" s="154" t="s">
        <v>94</v>
      </c>
      <c r="D242" s="154" t="s">
        <v>101</v>
      </c>
      <c r="E242" s="155">
        <v>30</v>
      </c>
      <c r="F242" s="298">
        <v>98</v>
      </c>
      <c r="G242" s="298" t="s">
        <v>88</v>
      </c>
      <c r="H242" s="298" t="s">
        <v>88</v>
      </c>
      <c r="I242" s="167">
        <v>81.94</v>
      </c>
      <c r="J242" s="157">
        <f t="shared" si="54"/>
        <v>0.95191603612399323</v>
      </c>
      <c r="K242" s="209">
        <v>0.19500000000000001</v>
      </c>
      <c r="L242" s="126">
        <v>4</v>
      </c>
      <c r="M242" s="82">
        <f t="shared" si="55"/>
        <v>0.78</v>
      </c>
      <c r="N242" s="159" t="s">
        <v>381</v>
      </c>
      <c r="O242" s="210">
        <v>0.17499999999999999</v>
      </c>
      <c r="P242" s="161">
        <v>44594</v>
      </c>
      <c r="Q242" s="161">
        <v>44609</v>
      </c>
      <c r="R242" s="82">
        <f t="shared" si="56"/>
        <v>11.428571428571439</v>
      </c>
      <c r="S242" s="162">
        <f>IF(INDEX([1]Historical!$D$7:$D$1229,MATCH(B242,[1]Historical!$B$7:$B$1253,0))=0,"n/a",(INDEX([1]Historical!$C$7:$C$1231,MATCH(B242,[1]Historical!$B$7:$B$1253,0))/INDEX([1]Historical!$D$7:$D$1229,MATCH(B242,[1]Historical!$B$7:$B$1253,0))-1)*100)</f>
        <v>12.903225806451601</v>
      </c>
      <c r="T242" s="162">
        <f>IF(INDEX([1]Historical!$F$7:$F$1222,MATCH(B242,[1]Historical!$B$7:$B$1253,0))=0,"n/a",((INDEX([1]Historical!$C$7:$C$1231,MATCH(B242,[1]Historical!$B$7:$B$1253,0))/INDEX([1]Historical!$F$7:$F$1222,MATCH(B242,[1]Historical!$B$7:$B$1253,0)))^(1/3)-1)*100)</f>
        <v>14.403367506678077</v>
      </c>
      <c r="U242" s="162">
        <f>IF(INDEX([1]Historical!$H$7:$H$1222,MATCH(B242,[1]Historical!$B$7:$B$1253,0))=0,"n/a",((INDEX([1]Historical!$C$7:$C$1231,MATCH(B242,[1]Historical!$B$7:$B$1253,0))/INDEX([1]Historical!$H$7:$H$1222,MATCH(B242,[1]Historical!$B$7:$B$1253,0)))^(1/5)-1)*100)</f>
        <v>11.983021513918857</v>
      </c>
      <c r="V242" s="162">
        <f>IF(INDEX([1]Historical!$N$7:$N$1222,MATCH(B242,[1]Historical!$B$7:$B$1253,0))=0,"n/a",((INDEX([1]Historical!$C$7:$C$1231,MATCH(B242,[1]Historical!$B$7:$B$1253,0))/INDEX([1]Historical!$N$7:$N$1222,MATCH(B242,[1]Historical!$B$7:$B$1253,0)))^(1/10)-1)*100)</f>
        <v>10.097491854803042</v>
      </c>
      <c r="W242" s="163">
        <f t="shared" si="57"/>
        <v>1.1867324763643092</v>
      </c>
      <c r="X242" s="164">
        <f t="shared" si="58"/>
        <v>0.88110452308226883</v>
      </c>
      <c r="Y242" s="165"/>
      <c r="Z242" s="157">
        <f t="shared" si="59"/>
        <v>19.5</v>
      </c>
      <c r="AA242" s="166">
        <f t="shared" si="60"/>
        <v>20.484999999999999</v>
      </c>
      <c r="AB242" s="126">
        <v>12</v>
      </c>
      <c r="AC242" s="167">
        <v>4</v>
      </c>
      <c r="AD242" s="167">
        <v>1.51</v>
      </c>
      <c r="AE242" s="167">
        <v>1.89</v>
      </c>
      <c r="AF242" s="167">
        <v>3.81</v>
      </c>
      <c r="AG242" s="167">
        <v>16.2</v>
      </c>
      <c r="AH242" s="167">
        <v>52.300000000000004</v>
      </c>
      <c r="AI242" s="167">
        <v>1.7500000000000002</v>
      </c>
      <c r="AJ242" s="167">
        <v>13.600000000000001</v>
      </c>
      <c r="AK242" s="167">
        <v>13.4</v>
      </c>
      <c r="AL242" s="168">
        <v>3750</v>
      </c>
      <c r="AM242" s="169">
        <v>0.5</v>
      </c>
      <c r="AN242" s="167">
        <v>0.32</v>
      </c>
      <c r="AO242" s="170">
        <f t="shared" si="61"/>
        <v>-7.5500624499571494</v>
      </c>
      <c r="AP242" s="171">
        <f t="shared" si="62"/>
        <v>12.93493755004285</v>
      </c>
      <c r="AQ242" s="172">
        <f t="shared" si="63"/>
        <v>86.246968655420901</v>
      </c>
      <c r="AR242" s="157">
        <f>INDEX([1]Historical!$C$7:$C$1231,MATCH(B242,[1]Historical!$B$7:$B$1253,0))*IF(AH242="n/a",1.03,IF(AH242&lt;0,1.01,IF(AH242&gt;10,1.1,(1+AH242/100))))</f>
        <v>0.77</v>
      </c>
      <c r="AS242" s="166">
        <f t="shared" si="64"/>
        <v>0.78347500000000003</v>
      </c>
      <c r="AT242" s="166">
        <f t="shared" si="70"/>
        <v>0.86182250000000016</v>
      </c>
      <c r="AU242" s="166">
        <f t="shared" si="70"/>
        <v>0.94800475000000028</v>
      </c>
      <c r="AV242" s="166">
        <f t="shared" si="70"/>
        <v>1.0428052250000004</v>
      </c>
      <c r="AW242" s="157">
        <f t="shared" si="66"/>
        <v>4.4061074750000007</v>
      </c>
      <c r="AX242" s="173">
        <f t="shared" si="67"/>
        <v>5.3772363619721757</v>
      </c>
      <c r="AY242" s="174">
        <v>1</v>
      </c>
      <c r="AZ242" s="169">
        <v>20.02</v>
      </c>
      <c r="BA242" s="169">
        <v>-15.479999999999999</v>
      </c>
      <c r="BB242" s="169">
        <v>-4.4400000000000004</v>
      </c>
      <c r="BC242" s="169">
        <v>0.38999999999999996</v>
      </c>
      <c r="BE242" s="77">
        <v>1993</v>
      </c>
      <c r="BF242" s="77">
        <f t="shared" si="68"/>
        <v>3</v>
      </c>
      <c r="BG242" s="175">
        <v>9.5</v>
      </c>
      <c r="BH242" t="s">
        <v>939</v>
      </c>
      <c r="BI242" t="s">
        <v>940</v>
      </c>
    </row>
    <row r="243" spans="1:64" ht="11.25" customHeight="1" x14ac:dyDescent="0.2">
      <c r="A243" s="112" t="s">
        <v>1388</v>
      </c>
      <c r="B243" s="153" t="s">
        <v>619</v>
      </c>
      <c r="C243" s="154" t="s">
        <v>90</v>
      </c>
      <c r="D243" s="154" t="s">
        <v>969</v>
      </c>
      <c r="E243" s="155">
        <v>12</v>
      </c>
      <c r="F243" s="298">
        <v>370</v>
      </c>
      <c r="G243" s="298" t="s">
        <v>88</v>
      </c>
      <c r="H243" s="298" t="s">
        <v>88</v>
      </c>
      <c r="I243" s="156">
        <v>38.49</v>
      </c>
      <c r="J243" s="157">
        <f t="shared" si="54"/>
        <v>1.7666926474408939</v>
      </c>
      <c r="K243" s="158">
        <v>0.17</v>
      </c>
      <c r="L243" s="126">
        <v>4</v>
      </c>
      <c r="M243" s="82">
        <f t="shared" si="55"/>
        <v>0.68</v>
      </c>
      <c r="N243" s="159" t="s">
        <v>183</v>
      </c>
      <c r="O243" s="226">
        <v>0.15</v>
      </c>
      <c r="P243" s="161">
        <v>44727</v>
      </c>
      <c r="Q243" s="161">
        <v>44743</v>
      </c>
      <c r="R243" s="82">
        <f t="shared" si="56"/>
        <v>13.333333333333346</v>
      </c>
      <c r="S243" s="162">
        <f>IF(INDEX([1]Historical!$D$7:$D$1229,MATCH(B243,[1]Historical!$B$7:$B$1253,0))=0,"n/a",(INDEX([1]Historical!$C$7:$C$1231,MATCH(B243,[1]Historical!$B$7:$B$1253,0))/INDEX([1]Historical!$D$7:$D$1229,MATCH(B243,[1]Historical!$B$7:$B$1253,0))-1)*100)</f>
        <v>12.000000000000011</v>
      </c>
      <c r="T243" s="162">
        <f>IF(INDEX([1]Historical!$F$7:$F$1222,MATCH(B243,[1]Historical!$B$7:$B$1253,0))=0,"n/a",((INDEX([1]Historical!$C$7:$C$1231,MATCH(B243,[1]Historical!$B$7:$B$1253,0))/INDEX([1]Historical!$F$7:$F$1222,MATCH(B243,[1]Historical!$B$7:$B$1253,0)))^(1/3)-1)*100)</f>
        <v>11.868894208139679</v>
      </c>
      <c r="U243" s="162">
        <f>IF(INDEX([1]Historical!$H$7:$H$1222,MATCH(B243,[1]Historical!$B$7:$B$1253,0))=0,"n/a",((INDEX([1]Historical!$C$7:$C$1231,MATCH(B243,[1]Historical!$B$7:$B$1253,0))/INDEX([1]Historical!$H$7:$H$1222,MATCH(B243,[1]Historical!$B$7:$B$1253,0)))^(1/5)-1)*100)</f>
        <v>10.494795379650323</v>
      </c>
      <c r="V243" s="162">
        <f>IF(INDEX([1]Historical!$N$7:$N$1222,MATCH(B243,[1]Historical!$B$7:$B$1253,0))=0,"n/a",((INDEX([1]Historical!$C$7:$C$1231,MATCH(B243,[1]Historical!$B$7:$B$1253,0))/INDEX([1]Historical!$N$7:$N$1222,MATCH(B243,[1]Historical!$B$7:$B$1253,0)))^(1/10)-1)*100)</f>
        <v>9.1492645982798706</v>
      </c>
      <c r="W243" s="163">
        <f t="shared" si="57"/>
        <v>1.1470643642357248</v>
      </c>
      <c r="X243" s="164">
        <f t="shared" si="58"/>
        <v>0.70434868319800836</v>
      </c>
      <c r="Y243" s="237" t="s">
        <v>862</v>
      </c>
      <c r="Z243" s="157">
        <f t="shared" si="59"/>
        <v>42.236024844720497</v>
      </c>
      <c r="AA243" s="166">
        <f t="shared" si="60"/>
        <v>23.906832298136646</v>
      </c>
      <c r="AB243" s="126">
        <v>12</v>
      </c>
      <c r="AC243" s="167">
        <v>1.61</v>
      </c>
      <c r="AD243" s="167">
        <v>2.36</v>
      </c>
      <c r="AE243" s="167">
        <v>12.95</v>
      </c>
      <c r="AF243" s="167">
        <v>4.09</v>
      </c>
      <c r="AG243" s="167">
        <v>14.399999999999999</v>
      </c>
      <c r="AH243" s="167">
        <v>12.2</v>
      </c>
      <c r="AI243" s="167">
        <v>5.0200000000000005</v>
      </c>
      <c r="AJ243" s="167">
        <v>14.899999999999999</v>
      </c>
      <c r="AK243" s="167">
        <v>10</v>
      </c>
      <c r="AL243" s="168">
        <v>5280</v>
      </c>
      <c r="AM243" s="169">
        <v>1.0999999999999999</v>
      </c>
      <c r="AN243" s="167">
        <v>0</v>
      </c>
      <c r="AO243" s="170">
        <f t="shared" si="61"/>
        <v>-11.645344271045428</v>
      </c>
      <c r="AP243" s="171">
        <f t="shared" si="62"/>
        <v>12.261488027091218</v>
      </c>
      <c r="AQ243" s="172">
        <f t="shared" si="63"/>
        <v>108.46416595811577</v>
      </c>
      <c r="AR243" s="157">
        <f>INDEX([1]Historical!$C$7:$C$1231,MATCH(B243,[1]Historical!$B$7:$B$1253,0))*IF(AH243="n/a",1.03,IF(AH243&lt;0,1.01,IF(AH243&gt;10,1.1,(1+AH243/100))))</f>
        <v>0.6160000000000001</v>
      </c>
      <c r="AS243" s="166">
        <f t="shared" si="64"/>
        <v>0.64692320000000014</v>
      </c>
      <c r="AT243" s="166">
        <f t="shared" si="70"/>
        <v>0.71161552000000017</v>
      </c>
      <c r="AU243" s="166">
        <f t="shared" si="70"/>
        <v>0.78277707200000024</v>
      </c>
      <c r="AV243" s="166">
        <f t="shared" si="70"/>
        <v>0.86105477920000029</v>
      </c>
      <c r="AW243" s="157">
        <f t="shared" si="66"/>
        <v>3.6183705712000012</v>
      </c>
      <c r="AX243" s="173">
        <f t="shared" si="67"/>
        <v>9.4008068880228652</v>
      </c>
      <c r="AY243" s="174">
        <v>0.78</v>
      </c>
      <c r="AZ243" s="169">
        <v>5.45</v>
      </c>
      <c r="BA243" s="169">
        <v>-30.020000000000003</v>
      </c>
      <c r="BB243" s="169">
        <v>-9.5399999999999991</v>
      </c>
      <c r="BC243" s="169">
        <v>-11.219999999999999</v>
      </c>
      <c r="BE243" s="77">
        <v>2011</v>
      </c>
      <c r="BF243" s="77">
        <f t="shared" si="68"/>
        <v>1</v>
      </c>
      <c r="BG243" s="175">
        <v>1.7000000000000002</v>
      </c>
      <c r="BH243" t="s">
        <v>939</v>
      </c>
      <c r="BI243" t="s">
        <v>940</v>
      </c>
    </row>
    <row r="244" spans="1:64" ht="11.25" customHeight="1" x14ac:dyDescent="0.2">
      <c r="A244" s="205" t="s">
        <v>1389</v>
      </c>
      <c r="B244" s="153" t="s">
        <v>805</v>
      </c>
      <c r="C244" s="154" t="s">
        <v>90</v>
      </c>
      <c r="D244" s="154" t="s">
        <v>969</v>
      </c>
      <c r="E244" s="155">
        <v>32</v>
      </c>
      <c r="F244" s="298">
        <v>90</v>
      </c>
      <c r="G244" s="298" t="s">
        <v>88</v>
      </c>
      <c r="H244" s="298" t="s">
        <v>88</v>
      </c>
      <c r="I244" s="156">
        <v>68.98</v>
      </c>
      <c r="J244" s="157">
        <f t="shared" si="54"/>
        <v>2.6094520150768337</v>
      </c>
      <c r="K244" s="158">
        <v>0.45</v>
      </c>
      <c r="L244" s="126">
        <v>4</v>
      </c>
      <c r="M244" s="82">
        <f t="shared" si="55"/>
        <v>1.8</v>
      </c>
      <c r="N244" s="159" t="s">
        <v>634</v>
      </c>
      <c r="O244" s="160">
        <v>0.42</v>
      </c>
      <c r="P244" s="161">
        <v>44833</v>
      </c>
      <c r="Q244" s="161">
        <v>44848</v>
      </c>
      <c r="R244" s="82">
        <f t="shared" si="56"/>
        <v>7.1428571428571495</v>
      </c>
      <c r="S244" s="162">
        <f>IF(INDEX([1]Historical!$D$7:$D$1229,MATCH(B244,[1]Historical!$B$7:$B$1253,0))=0,"n/a",(INDEX([1]Historical!$C$7:$C$1231,MATCH(B244,[1]Historical!$B$7:$B$1253,0))/INDEX([1]Historical!$D$7:$D$1229,MATCH(B244,[1]Historical!$B$7:$B$1253,0))-1)*100)</f>
        <v>6.25</v>
      </c>
      <c r="T244" s="162">
        <f>IF(INDEX([1]Historical!$F$7:$F$1222,MATCH(B244,[1]Historical!$B$7:$B$1253,0))=0,"n/a",((INDEX([1]Historical!$C$7:$C$1231,MATCH(B244,[1]Historical!$B$7:$B$1253,0))/INDEX([1]Historical!$F$7:$F$1222,MATCH(B244,[1]Historical!$B$7:$B$1253,0)))^(1/3)-1)*100)</f>
        <v>14.122848941808041</v>
      </c>
      <c r="U244" s="162">
        <f>IF(INDEX([1]Historical!$H$7:$H$1222,MATCH(B244,[1]Historical!$B$7:$B$1253,0))=0,"n/a",((INDEX([1]Historical!$C$7:$C$1231,MATCH(B244,[1]Historical!$B$7:$B$1253,0))/INDEX([1]Historical!$H$7:$H$1222,MATCH(B244,[1]Historical!$B$7:$B$1253,0)))^(1/5)-1)*100)</f>
        <v>16.637894619954462</v>
      </c>
      <c r="V244" s="162">
        <f>IF(INDEX([1]Historical!$N$7:$N$1222,MATCH(B244,[1]Historical!$B$7:$B$1253,0))=0,"n/a",((INDEX([1]Historical!$C$7:$C$1231,MATCH(B244,[1]Historical!$B$7:$B$1253,0))/INDEX([1]Historical!$N$7:$N$1222,MATCH(B244,[1]Historical!$B$7:$B$1253,0)))^(1/10)-1)*100)</f>
        <v>15.389304249040325</v>
      </c>
      <c r="W244" s="163">
        <f t="shared" si="57"/>
        <v>1.0811336465059491</v>
      </c>
      <c r="X244" s="164" t="str">
        <f t="shared" si="58"/>
        <v>n/a</v>
      </c>
      <c r="Y244" s="218"/>
      <c r="Z244" s="157" t="str">
        <f t="shared" si="59"/>
        <v>n/a</v>
      </c>
      <c r="AA244" s="166" t="str">
        <f t="shared" si="60"/>
        <v>n/a</v>
      </c>
      <c r="AB244" s="126">
        <v>12</v>
      </c>
      <c r="AC244" s="167" t="s">
        <v>95</v>
      </c>
      <c r="AD244" s="167" t="s">
        <v>95</v>
      </c>
      <c r="AE244" s="167" t="s">
        <v>95</v>
      </c>
      <c r="AF244" s="167" t="s">
        <v>95</v>
      </c>
      <c r="AG244" s="167" t="s">
        <v>95</v>
      </c>
      <c r="AH244" s="167" t="s">
        <v>95</v>
      </c>
      <c r="AI244" s="167" t="s">
        <v>95</v>
      </c>
      <c r="AJ244" s="167" t="s">
        <v>95</v>
      </c>
      <c r="AK244" s="167" t="s">
        <v>95</v>
      </c>
      <c r="AL244" s="168" t="s">
        <v>95</v>
      </c>
      <c r="AM244" s="169" t="s">
        <v>95</v>
      </c>
      <c r="AN244" s="167" t="s">
        <v>95</v>
      </c>
      <c r="AO244" s="170" t="str">
        <f t="shared" si="61"/>
        <v>n/a</v>
      </c>
      <c r="AP244" s="171">
        <f t="shared" si="62"/>
        <v>19.247346635031295</v>
      </c>
      <c r="AQ244" s="172" t="str">
        <f t="shared" si="63"/>
        <v>n/a</v>
      </c>
      <c r="AR244" s="157">
        <f>INDEX([1]Historical!$C$7:$C$1231,MATCH(B244,[1]Historical!$B$7:$B$1253,0))*IF(AH244="n/a",1.03,IF(AH244&lt;0,1.01,IF(AH244&gt;10,1.1,(1+AH244/100))))</f>
        <v>1.4008</v>
      </c>
      <c r="AS244" s="166">
        <f t="shared" si="64"/>
        <v>1.4428240000000001</v>
      </c>
      <c r="AT244" s="166">
        <f t="shared" si="70"/>
        <v>1.48610872</v>
      </c>
      <c r="AU244" s="166">
        <f t="shared" si="70"/>
        <v>1.5306919816000002</v>
      </c>
      <c r="AV244" s="166">
        <f t="shared" si="70"/>
        <v>1.5766127410480002</v>
      </c>
      <c r="AW244" s="157">
        <f t="shared" si="66"/>
        <v>7.4370374426480002</v>
      </c>
      <c r="AX244" s="173">
        <f t="shared" si="67"/>
        <v>10.781440189399826</v>
      </c>
      <c r="AY244" s="174" t="s">
        <v>95</v>
      </c>
      <c r="AZ244" s="169" t="s">
        <v>95</v>
      </c>
      <c r="BA244" s="169" t="s">
        <v>95</v>
      </c>
      <c r="BB244" s="169" t="s">
        <v>95</v>
      </c>
      <c r="BC244" s="169" t="s">
        <v>95</v>
      </c>
      <c r="BD244" s="100" t="s">
        <v>932</v>
      </c>
      <c r="BE244" s="77">
        <v>2008</v>
      </c>
      <c r="BF244" s="77">
        <f t="shared" si="68"/>
        <v>2</v>
      </c>
      <c r="BG244" s="175" t="s">
        <v>95</v>
      </c>
      <c r="BH244" t="s">
        <v>939</v>
      </c>
      <c r="BI244" t="s">
        <v>940</v>
      </c>
    </row>
    <row r="245" spans="1:64" ht="11.25" customHeight="1" x14ac:dyDescent="0.2">
      <c r="A245" s="205" t="s">
        <v>1064</v>
      </c>
      <c r="B245" s="153" t="s">
        <v>1065</v>
      </c>
      <c r="C245" s="154" t="s">
        <v>90</v>
      </c>
      <c r="D245" s="154" t="s">
        <v>969</v>
      </c>
      <c r="E245" s="155">
        <v>6</v>
      </c>
      <c r="F245" s="298">
        <v>665</v>
      </c>
      <c r="G245" s="298" t="s">
        <v>88</v>
      </c>
      <c r="H245" s="298" t="s">
        <v>88</v>
      </c>
      <c r="I245" s="156">
        <v>14.86</v>
      </c>
      <c r="J245" s="157">
        <f t="shared" si="54"/>
        <v>3.2301480484522207</v>
      </c>
      <c r="K245" s="158">
        <v>0.12</v>
      </c>
      <c r="L245" s="126">
        <v>4</v>
      </c>
      <c r="M245" s="82">
        <f t="shared" si="55"/>
        <v>0.48</v>
      </c>
      <c r="N245" s="159" t="s">
        <v>231</v>
      </c>
      <c r="O245" s="160">
        <v>0.11</v>
      </c>
      <c r="P245" s="161">
        <v>44630</v>
      </c>
      <c r="Q245" s="161">
        <v>44645</v>
      </c>
      <c r="R245" s="82">
        <f t="shared" si="56"/>
        <v>9.0909090909090864</v>
      </c>
      <c r="S245" s="162">
        <f>IF(INDEX([1]Historical!$D$7:$D$1229,MATCH(B245,[1]Historical!$B$7:$B$1253,0))=0,"n/a",(INDEX([1]Historical!$C$7:$C$1231,MATCH(B245,[1]Historical!$B$7:$B$1253,0))/INDEX([1]Historical!$D$7:$D$1229,MATCH(B245,[1]Historical!$B$7:$B$1253,0))-1)*100)</f>
        <v>9.9999999999999858</v>
      </c>
      <c r="T245" s="162">
        <f>IF(INDEX([1]Historical!$F$7:$F$1222,MATCH(B245,[1]Historical!$B$7:$B$1253,0))=0,"n/a",((INDEX([1]Historical!$C$7:$C$1231,MATCH(B245,[1]Historical!$B$7:$B$1253,0))/INDEX([1]Historical!$F$7:$F$1222,MATCH(B245,[1]Historical!$B$7:$B$1253,0)))^(1/3)-1)*100)</f>
        <v>12.382061455639448</v>
      </c>
      <c r="U245" s="162">
        <f>IF(INDEX([1]Historical!$H$7:$H$1222,MATCH(B245,[1]Historical!$B$7:$B$1253,0))=0,"n/a",((INDEX([1]Historical!$C$7:$C$1231,MATCH(B245,[1]Historical!$B$7:$B$1253,0))/INDEX([1]Historical!$H$7:$H$1222,MATCH(B245,[1]Historical!$B$7:$B$1253,0)))^(1/5)-1)*100)</f>
        <v>12.888132073019754</v>
      </c>
      <c r="V245" s="162" t="str">
        <f>IF(INDEX([1]Historical!$N$7:$N$1222,MATCH(B245,[1]Historical!$B$7:$B$1253,0))=0,"n/a",((INDEX([1]Historical!$C$7:$C$1231,MATCH(B245,[1]Historical!$B$7:$B$1253,0))/INDEX([1]Historical!$N$7:$N$1222,MATCH(B245,[1]Historical!$B$7:$B$1253,0)))^(1/10)-1)*100)</f>
        <v>n/a</v>
      </c>
      <c r="W245" s="163" t="str">
        <f t="shared" si="57"/>
        <v>n/a</v>
      </c>
      <c r="X245" s="164">
        <f t="shared" si="58"/>
        <v>1.0922145824593013</v>
      </c>
      <c r="Y245" s="180"/>
      <c r="Z245" s="157">
        <f t="shared" si="59"/>
        <v>37.209302325581397</v>
      </c>
      <c r="AA245" s="166">
        <f t="shared" si="60"/>
        <v>11.519379844961239</v>
      </c>
      <c r="AB245" s="126">
        <v>12</v>
      </c>
      <c r="AC245" s="167">
        <v>1.29</v>
      </c>
      <c r="AD245" s="167">
        <v>1.66</v>
      </c>
      <c r="AE245" s="167">
        <v>2.59</v>
      </c>
      <c r="AF245" s="167">
        <v>0.86</v>
      </c>
      <c r="AG245" s="167">
        <v>8.2000000000000011</v>
      </c>
      <c r="AH245" s="167">
        <v>47.3</v>
      </c>
      <c r="AI245" s="167">
        <v>-9.0300000000000011</v>
      </c>
      <c r="AJ245" s="167">
        <v>11.799999999999999</v>
      </c>
      <c r="AK245" s="167">
        <v>7.0000000000000009</v>
      </c>
      <c r="AL245" s="168">
        <v>138</v>
      </c>
      <c r="AM245" s="169">
        <v>2.5</v>
      </c>
      <c r="AN245" s="167">
        <v>0</v>
      </c>
      <c r="AO245" s="170">
        <f t="shared" si="61"/>
        <v>4.5989002765107365</v>
      </c>
      <c r="AP245" s="171">
        <f t="shared" si="62"/>
        <v>16.118280121471976</v>
      </c>
      <c r="AQ245" s="172">
        <f t="shared" si="63"/>
        <v>-33.645173777916035</v>
      </c>
      <c r="AR245" s="157">
        <f>INDEX([1]Historical!$C$7:$C$1231,MATCH(B245,[1]Historical!$B$7:$B$1253,0))*IF(AH245="n/a",1.03,IF(AH245&lt;0,1.01,IF(AH245&gt;10,1.1,(1+AH245/100))))</f>
        <v>0.48400000000000004</v>
      </c>
      <c r="AS245" s="166">
        <f t="shared" si="64"/>
        <v>0.48884000000000005</v>
      </c>
      <c r="AT245" s="166">
        <f t="shared" si="70"/>
        <v>0.52305880000000005</v>
      </c>
      <c r="AU245" s="166">
        <f t="shared" si="70"/>
        <v>0.55967291600000013</v>
      </c>
      <c r="AV245" s="166">
        <f t="shared" si="70"/>
        <v>0.59885002012000021</v>
      </c>
      <c r="AW245" s="157">
        <f t="shared" si="66"/>
        <v>2.6544217361200007</v>
      </c>
      <c r="AX245" s="173">
        <f t="shared" si="67"/>
        <v>17.862864980619118</v>
      </c>
      <c r="AY245" s="174">
        <v>0.43</v>
      </c>
      <c r="AZ245" s="169">
        <v>1.6400000000000001</v>
      </c>
      <c r="BA245" s="169">
        <v>-17.21</v>
      </c>
      <c r="BB245" s="169">
        <v>-1.21</v>
      </c>
      <c r="BC245" s="169">
        <v>-7.6499999999999995</v>
      </c>
      <c r="BE245" s="77">
        <v>2017</v>
      </c>
      <c r="BF245" s="77">
        <f t="shared" si="68"/>
        <v>1</v>
      </c>
      <c r="BG245" s="175">
        <v>0.89999999999999991</v>
      </c>
      <c r="BH245" t="s">
        <v>939</v>
      </c>
      <c r="BI245" t="s">
        <v>940</v>
      </c>
      <c r="BJ245" s="112"/>
      <c r="BK245" s="112"/>
      <c r="BL245" s="112"/>
    </row>
    <row r="246" spans="1:64" ht="11.25" customHeight="1" x14ac:dyDescent="0.2">
      <c r="A246" s="205" t="s">
        <v>1765</v>
      </c>
      <c r="B246" s="153" t="s">
        <v>1766</v>
      </c>
      <c r="C246" s="154" t="s">
        <v>90</v>
      </c>
      <c r="D246" s="154" t="s">
        <v>969</v>
      </c>
      <c r="E246" s="155">
        <v>7</v>
      </c>
      <c r="F246" s="298">
        <v>615</v>
      </c>
      <c r="G246" s="298" t="s">
        <v>88</v>
      </c>
      <c r="H246" s="298" t="s">
        <v>88</v>
      </c>
      <c r="I246" s="156">
        <v>23.07</v>
      </c>
      <c r="J246" s="157">
        <f t="shared" si="54"/>
        <v>2.7741655830082359</v>
      </c>
      <c r="K246" s="158">
        <v>0.16</v>
      </c>
      <c r="L246" s="126">
        <v>4</v>
      </c>
      <c r="M246" s="82">
        <f t="shared" si="55"/>
        <v>0.64</v>
      </c>
      <c r="N246" s="159" t="s">
        <v>119</v>
      </c>
      <c r="O246" s="160">
        <v>0.14549999999999999</v>
      </c>
      <c r="P246" s="161">
        <v>44552</v>
      </c>
      <c r="Q246" s="161">
        <v>44561</v>
      </c>
      <c r="R246" s="82">
        <f t="shared" si="56"/>
        <v>9.9656357388316241</v>
      </c>
      <c r="S246" s="162">
        <f>IF(INDEX([1]Historical!$D$7:$D$1229,MATCH(B246,[1]Historical!$B$7:$B$1253,0))=0,"n/a",(INDEX([1]Historical!$C$7:$C$1231,MATCH(B246,[1]Historical!$B$7:$B$1253,0))/INDEX([1]Historical!$D$7:$D$1229,MATCH(B246,[1]Historical!$B$7:$B$1253,0))-1)*100)</f>
        <v>2.5000000000000133</v>
      </c>
      <c r="T246" s="162">
        <f>IF(INDEX([1]Historical!$F$7:$F$1222,MATCH(B246,[1]Historical!$B$7:$B$1253,0))=0,"n/a",((INDEX([1]Historical!$C$7:$C$1231,MATCH(B246,[1]Historical!$B$7:$B$1253,0))/INDEX([1]Historical!$F$7:$F$1222,MATCH(B246,[1]Historical!$B$7:$B$1253,0)))^(1/3)-1)*100)</f>
        <v>4.0811742977667542</v>
      </c>
      <c r="U246" s="162">
        <f>IF(INDEX([1]Historical!$H$7:$H$1222,MATCH(B246,[1]Historical!$B$7:$B$1253,0))=0,"n/a",((INDEX([1]Historical!$C$7:$C$1231,MATCH(B246,[1]Historical!$B$7:$B$1253,0))/INDEX([1]Historical!$H$7:$H$1222,MATCH(B246,[1]Historical!$B$7:$B$1253,0)))^(1/5)-1)*100)</f>
        <v>4.4003241603481458</v>
      </c>
      <c r="V246" s="162">
        <f>IF(INDEX([1]Historical!$N$7:$N$1222,MATCH(B246,[1]Historical!$B$7:$B$1253,0))=0,"n/a",((INDEX([1]Historical!$C$7:$C$1231,MATCH(B246,[1]Historical!$B$7:$B$1253,0))/INDEX([1]Historical!$N$7:$N$1222,MATCH(B246,[1]Historical!$B$7:$B$1253,0)))^(1/10)-1)*100)</f>
        <v>3.1549783115105257</v>
      </c>
      <c r="W246" s="163">
        <f t="shared" si="57"/>
        <v>1.3947240601604578</v>
      </c>
      <c r="X246" s="164">
        <f t="shared" si="58"/>
        <v>0.37609608208103806</v>
      </c>
      <c r="Y246" s="180"/>
      <c r="Z246" s="157">
        <f t="shared" si="59"/>
        <v>23.443223443223442</v>
      </c>
      <c r="AA246" s="166">
        <f t="shared" si="60"/>
        <v>8.4505494505494507</v>
      </c>
      <c r="AB246" s="126">
        <v>12</v>
      </c>
      <c r="AC246" s="167">
        <v>2.73</v>
      </c>
      <c r="AD246" s="167" t="s">
        <v>95</v>
      </c>
      <c r="AE246" s="167">
        <v>1.95</v>
      </c>
      <c r="AF246" s="167">
        <v>1.33</v>
      </c>
      <c r="AG246" s="167">
        <v>14.7</v>
      </c>
      <c r="AH246" s="167">
        <v>27.500000000000004</v>
      </c>
      <c r="AI246" s="167">
        <v>-3.15</v>
      </c>
      <c r="AJ246" s="167">
        <v>11.700000000000001</v>
      </c>
      <c r="AK246" s="167" t="s">
        <v>95</v>
      </c>
      <c r="AL246" s="168">
        <v>239.04</v>
      </c>
      <c r="AM246" s="169">
        <v>20.100000000000001</v>
      </c>
      <c r="AN246" s="167">
        <v>0.2</v>
      </c>
      <c r="AO246" s="170">
        <f t="shared" si="61"/>
        <v>-1.2760597071930686</v>
      </c>
      <c r="AP246" s="171">
        <f t="shared" si="62"/>
        <v>7.1744897433563821</v>
      </c>
      <c r="AQ246" s="172">
        <f t="shared" si="63"/>
        <v>-29.323174411878995</v>
      </c>
      <c r="AR246" s="157">
        <f>INDEX([1]Historical!$C$7:$C$1231,MATCH(B246,[1]Historical!$B$7:$B$1253,0))*IF(AH246="n/a",1.03,IF(AH246&lt;0,1.01,IF(AH246&gt;10,1.1,(1+AH246/100))))</f>
        <v>0.65599999999999992</v>
      </c>
      <c r="AS246" s="166">
        <f t="shared" si="64"/>
        <v>0.66255999999999993</v>
      </c>
      <c r="AT246" s="166">
        <f t="shared" si="70"/>
        <v>0.68243679999999995</v>
      </c>
      <c r="AU246" s="166">
        <f t="shared" si="70"/>
        <v>0.70290990399999997</v>
      </c>
      <c r="AV246" s="166">
        <f t="shared" si="70"/>
        <v>0.72399720111999999</v>
      </c>
      <c r="AW246" s="157">
        <f t="shared" si="66"/>
        <v>3.4279039051199995</v>
      </c>
      <c r="AX246" s="173">
        <f t="shared" si="67"/>
        <v>14.85870786788036</v>
      </c>
      <c r="AY246" s="174">
        <v>0.47</v>
      </c>
      <c r="AZ246" s="169">
        <v>22.59</v>
      </c>
      <c r="BA246" s="169">
        <v>-22.189999999999998</v>
      </c>
      <c r="BB246" s="169">
        <v>3.2300000000000004</v>
      </c>
      <c r="BC246" s="169">
        <v>-2.42</v>
      </c>
      <c r="BE246" s="77">
        <v>2015</v>
      </c>
      <c r="BF246" s="77">
        <f t="shared" si="68"/>
        <v>1</v>
      </c>
      <c r="BG246" s="175">
        <v>1</v>
      </c>
      <c r="BH246" t="s">
        <v>939</v>
      </c>
      <c r="BI246" t="s">
        <v>940</v>
      </c>
      <c r="BJ246" s="112"/>
      <c r="BK246" s="112"/>
      <c r="BL246" s="112"/>
    </row>
    <row r="247" spans="1:64" s="252" customFormat="1" ht="11.25" customHeight="1" x14ac:dyDescent="0.2">
      <c r="A247" s="208" t="s">
        <v>1390</v>
      </c>
      <c r="B247" s="184" t="s">
        <v>302</v>
      </c>
      <c r="C247" s="154" t="s">
        <v>90</v>
      </c>
      <c r="D247" s="154" t="s">
        <v>969</v>
      </c>
      <c r="E247" s="185">
        <v>13</v>
      </c>
      <c r="F247" s="298">
        <v>305</v>
      </c>
      <c r="G247" s="297" t="s">
        <v>88</v>
      </c>
      <c r="H247" s="297" t="s">
        <v>88</v>
      </c>
      <c r="I247" s="186">
        <v>45.61</v>
      </c>
      <c r="J247" s="187">
        <f t="shared" si="54"/>
        <v>4.1219030914273178</v>
      </c>
      <c r="K247" s="188">
        <v>0.47</v>
      </c>
      <c r="L247" s="189">
        <v>4</v>
      </c>
      <c r="M247" s="190">
        <f t="shared" si="55"/>
        <v>1.88</v>
      </c>
      <c r="N247" s="191" t="s">
        <v>334</v>
      </c>
      <c r="O247" s="192">
        <v>0.41</v>
      </c>
      <c r="P247" s="193">
        <v>44872</v>
      </c>
      <c r="Q247" s="193">
        <v>44883</v>
      </c>
      <c r="R247" s="190">
        <f t="shared" si="56"/>
        <v>14.634146341463413</v>
      </c>
      <c r="S247" s="162">
        <f>IF(INDEX([1]Historical!$D$7:$D$1229,MATCH(B247,[1]Historical!$B$7:$B$1253,0))=0,"n/a",(INDEX([1]Historical!$C$7:$C$1231,MATCH(B247,[1]Historical!$B$7:$B$1253,0))/INDEX([1]Historical!$D$7:$D$1229,MATCH(B247,[1]Historical!$B$7:$B$1253,0))-1)*100)</f>
        <v>17.142857142857149</v>
      </c>
      <c r="T247" s="162">
        <f>IF(INDEX([1]Historical!$F$7:$F$1222,MATCH(B247,[1]Historical!$B$7:$B$1253,0))=0,"n/a",((INDEX([1]Historical!$C$7:$C$1231,MATCH(B247,[1]Historical!$B$7:$B$1253,0))/INDEX([1]Historical!$F$7:$F$1222,MATCH(B247,[1]Historical!$B$7:$B$1253,0)))^(1/3)-1)*100)</f>
        <v>13.555613628301177</v>
      </c>
      <c r="U247" s="162">
        <f>IF(INDEX([1]Historical!$H$7:$H$1222,MATCH(B247,[1]Historical!$B$7:$B$1253,0))=0,"n/a",((INDEX([1]Historical!$C$7:$C$1231,MATCH(B247,[1]Historical!$B$7:$B$1253,0))/INDEX([1]Historical!$H$7:$H$1222,MATCH(B247,[1]Historical!$B$7:$B$1253,0)))^(1/5)-1)*100)</f>
        <v>13.258872838875678</v>
      </c>
      <c r="V247" s="162">
        <f>IF(INDEX([1]Historical!$N$7:$N$1222,MATCH(B247,[1]Historical!$B$7:$B$1253,0))=0,"n/a",((INDEX([1]Historical!$C$7:$C$1231,MATCH(B247,[1]Historical!$B$7:$B$1253,0))/INDEX([1]Historical!$N$7:$N$1222,MATCH(B247,[1]Historical!$B$7:$B$1253,0)))^(1/10)-1)*100)</f>
        <v>13.805469143339376</v>
      </c>
      <c r="W247" s="163">
        <f t="shared" si="57"/>
        <v>0.96040726332524451</v>
      </c>
      <c r="X247" s="164">
        <f t="shared" si="58"/>
        <v>1.6783383340348959</v>
      </c>
      <c r="Y247" s="229"/>
      <c r="Z247" s="187">
        <f t="shared" si="59"/>
        <v>101.0752688172043</v>
      </c>
      <c r="AA247" s="194">
        <f t="shared" si="60"/>
        <v>24.521505376344084</v>
      </c>
      <c r="AB247" s="189">
        <v>12</v>
      </c>
      <c r="AC247" s="195">
        <v>1.86</v>
      </c>
      <c r="AD247" s="195">
        <v>3.03</v>
      </c>
      <c r="AE247" s="195">
        <v>5.74</v>
      </c>
      <c r="AF247" s="195">
        <v>1.5</v>
      </c>
      <c r="AG247" s="195">
        <v>4</v>
      </c>
      <c r="AH247" s="195">
        <v>23</v>
      </c>
      <c r="AI247" s="195">
        <v>99.3</v>
      </c>
      <c r="AJ247" s="195">
        <v>7.9</v>
      </c>
      <c r="AK247" s="195">
        <v>8</v>
      </c>
      <c r="AL247" s="196">
        <v>4720</v>
      </c>
      <c r="AM247" s="197">
        <v>0.3</v>
      </c>
      <c r="AN247" s="195">
        <v>0.09</v>
      </c>
      <c r="AO247" s="198">
        <f t="shared" si="61"/>
        <v>-7.1407294460410888</v>
      </c>
      <c r="AP247" s="199">
        <f t="shared" si="62"/>
        <v>17.380775930302995</v>
      </c>
      <c r="AQ247" s="172">
        <f t="shared" si="63"/>
        <v>27.858008160991044</v>
      </c>
      <c r="AR247" s="157">
        <f>INDEX([1]Historical!$C$7:$C$1231,MATCH(B247,[1]Historical!$B$7:$B$1253,0))*IF(AH247="n/a",1.03,IF(AH247&lt;0,1.01,IF(AH247&gt;10,1.1,(1+AH247/100))))</f>
        <v>1.804</v>
      </c>
      <c r="AS247" s="194">
        <f t="shared" si="64"/>
        <v>1.9844000000000002</v>
      </c>
      <c r="AT247" s="194">
        <f t="shared" ref="AT247:AV262" si="71">IF($AK247="n/a",1.03*AS247,IF($AK247&lt;0,1.01*AS247,IF($AK247&gt;10,1.1*AS247,(1+$AK247/100)*AS247)))</f>
        <v>2.1431520000000002</v>
      </c>
      <c r="AU247" s="194">
        <f t="shared" si="71"/>
        <v>2.3146041600000005</v>
      </c>
      <c r="AV247" s="194">
        <f t="shared" si="71"/>
        <v>2.4997724928000005</v>
      </c>
      <c r="AW247" s="187">
        <f t="shared" si="66"/>
        <v>10.7459286528</v>
      </c>
      <c r="AX247" s="200">
        <f t="shared" si="67"/>
        <v>23.560466241613682</v>
      </c>
      <c r="AY247" s="201">
        <v>0.89</v>
      </c>
      <c r="AZ247" s="197">
        <v>40.770000000000003</v>
      </c>
      <c r="BA247" s="197">
        <v>0.62</v>
      </c>
      <c r="BB247" s="197">
        <v>9.7000000000000011</v>
      </c>
      <c r="BC247" s="197">
        <v>17.919999999999998</v>
      </c>
      <c r="BD247" s="202"/>
      <c r="BE247" s="77">
        <v>2010</v>
      </c>
      <c r="BF247" s="77">
        <f t="shared" si="68"/>
        <v>1</v>
      </c>
      <c r="BG247" s="203">
        <v>0.4</v>
      </c>
      <c r="BH247" t="s">
        <v>939</v>
      </c>
      <c r="BI247" t="s">
        <v>940</v>
      </c>
    </row>
    <row r="248" spans="1:64" ht="11.25" customHeight="1" x14ac:dyDescent="0.2">
      <c r="A248" s="238" t="s">
        <v>1391</v>
      </c>
      <c r="B248" s="153" t="s">
        <v>904</v>
      </c>
      <c r="C248" s="154" t="s">
        <v>90</v>
      </c>
      <c r="D248" s="154" t="s">
        <v>969</v>
      </c>
      <c r="E248" s="155">
        <v>12</v>
      </c>
      <c r="F248" s="298">
        <v>352</v>
      </c>
      <c r="G248" s="298" t="s">
        <v>88</v>
      </c>
      <c r="H248" s="298" t="s">
        <v>88</v>
      </c>
      <c r="I248" s="116">
        <v>23.83</v>
      </c>
      <c r="J248" s="157">
        <f t="shared" si="54"/>
        <v>4.8678136802349981</v>
      </c>
      <c r="K248" s="112">
        <v>0.28999999999999998</v>
      </c>
      <c r="L248" s="298">
        <v>4</v>
      </c>
      <c r="M248" s="82">
        <f t="shared" si="55"/>
        <v>1.1599999999999999</v>
      </c>
      <c r="N248" s="298" t="s">
        <v>905</v>
      </c>
      <c r="O248" s="239">
        <v>0.27</v>
      </c>
      <c r="P248" s="161">
        <v>44637</v>
      </c>
      <c r="Q248" s="161">
        <v>44655</v>
      </c>
      <c r="R248" s="82">
        <f t="shared" si="56"/>
        <v>7.4074074074073932</v>
      </c>
      <c r="S248" s="162">
        <f>IF(INDEX([1]Historical!$D$7:$D$1229,MATCH(B248,[1]Historical!$B$7:$B$1253,0))=0,"n/a",(INDEX([1]Historical!$C$7:$C$1231,MATCH(B248,[1]Historical!$B$7:$B$1253,0))/INDEX([1]Historical!$D$7:$D$1229,MATCH(B248,[1]Historical!$B$7:$B$1253,0))-1)*100)</f>
        <v>3.8834951456310662</v>
      </c>
      <c r="T248" s="162">
        <f>IF(INDEX([1]Historical!$F$7:$F$1222,MATCH(B248,[1]Historical!$B$7:$B$1253,0))=0,"n/a",((INDEX([1]Historical!$C$7:$C$1231,MATCH(B248,[1]Historical!$B$7:$B$1253,0))/INDEX([1]Historical!$F$7:$F$1222,MATCH(B248,[1]Historical!$B$7:$B$1253,0)))^(1/3)-1)*100)</f>
        <v>4.4123750499876158</v>
      </c>
      <c r="U248" s="162">
        <f>IF(INDEX([1]Historical!$H$7:$H$1222,MATCH(B248,[1]Historical!$B$7:$B$1253,0))=0,"n/a",((INDEX([1]Historical!$C$7:$C$1231,MATCH(B248,[1]Historical!$B$7:$B$1253,0))/INDEX([1]Historical!$H$7:$H$1222,MATCH(B248,[1]Historical!$B$7:$B$1253,0)))^(1/5)-1)*100)</f>
        <v>5.7255009883433017</v>
      </c>
      <c r="V248" s="162">
        <f>IF(INDEX([1]Historical!$N$7:$N$1222,MATCH(B248,[1]Historical!$B$7:$B$1253,0))=0,"n/a",((INDEX([1]Historical!$C$7:$C$1231,MATCH(B248,[1]Historical!$B$7:$B$1253,0))/INDEX([1]Historical!$N$7:$N$1222,MATCH(B248,[1]Historical!$B$7:$B$1253,0)))^(1/10)-1)*100)</f>
        <v>8.5746884816594537</v>
      </c>
      <c r="W248" s="163">
        <f t="shared" si="57"/>
        <v>0.66772116568312334</v>
      </c>
      <c r="X248" s="164">
        <f t="shared" si="58"/>
        <v>0.31986039041024034</v>
      </c>
      <c r="Y248" s="240"/>
      <c r="Z248" s="157">
        <f t="shared" si="59"/>
        <v>27.684964200477324</v>
      </c>
      <c r="AA248" s="166">
        <f t="shared" si="60"/>
        <v>5.6873508353221949</v>
      </c>
      <c r="AB248" s="126">
        <v>12</v>
      </c>
      <c r="AC248" s="175">
        <v>4.1900000000000004</v>
      </c>
      <c r="AD248" s="175">
        <v>0.76</v>
      </c>
      <c r="AE248" s="167">
        <v>2.36</v>
      </c>
      <c r="AF248" s="167">
        <v>0.96</v>
      </c>
      <c r="AG248" s="167">
        <v>15.6</v>
      </c>
      <c r="AH248" s="167">
        <v>108.4</v>
      </c>
      <c r="AI248" s="167">
        <v>-3.94</v>
      </c>
      <c r="AJ248" s="241">
        <v>17.899999999999999</v>
      </c>
      <c r="AK248" s="241">
        <v>8</v>
      </c>
      <c r="AL248" s="175">
        <v>407.01</v>
      </c>
      <c r="AM248" s="175">
        <v>1.4000000000000001</v>
      </c>
      <c r="AN248" s="175">
        <v>0.18</v>
      </c>
      <c r="AO248" s="170">
        <f t="shared" si="61"/>
        <v>4.9059638332561049</v>
      </c>
      <c r="AP248" s="171">
        <f t="shared" si="62"/>
        <v>10.5933146685783</v>
      </c>
      <c r="AQ248" s="172">
        <f t="shared" si="63"/>
        <v>-50.73943744666731</v>
      </c>
      <c r="AR248" s="157">
        <f>INDEX([1]Historical!$C$7:$C$1231,MATCH(B248,[1]Historical!$B$7:$B$1253,0))*IF(AH248="n/a",1.03,IF(AH248&lt;0,1.01,IF(AH248&gt;10,1.1,(1+AH248/100))))</f>
        <v>1.1770000000000003</v>
      </c>
      <c r="AS248" s="166">
        <f t="shared" si="64"/>
        <v>1.1887700000000003</v>
      </c>
      <c r="AT248" s="166">
        <f t="shared" si="71"/>
        <v>1.2838716000000003</v>
      </c>
      <c r="AU248" s="166">
        <f t="shared" si="71"/>
        <v>1.3865813280000006</v>
      </c>
      <c r="AV248" s="166">
        <f t="shared" si="71"/>
        <v>1.4975078342400008</v>
      </c>
      <c r="AW248" s="157">
        <f t="shared" si="66"/>
        <v>6.5337307622400012</v>
      </c>
      <c r="AX248" s="173">
        <f t="shared" si="67"/>
        <v>27.418089644313898</v>
      </c>
      <c r="AY248" s="225">
        <v>0.97</v>
      </c>
      <c r="AZ248" s="167">
        <v>0.59</v>
      </c>
      <c r="BA248" s="167">
        <v>-30.79</v>
      </c>
      <c r="BB248" s="167">
        <v>-6.16</v>
      </c>
      <c r="BC248" s="167">
        <v>-15.14</v>
      </c>
      <c r="BE248" s="77">
        <v>2011</v>
      </c>
      <c r="BF248" s="77">
        <f t="shared" si="68"/>
        <v>1</v>
      </c>
      <c r="BG248" s="175">
        <v>1.3</v>
      </c>
      <c r="BH248" t="s">
        <v>939</v>
      </c>
      <c r="BI248" t="s">
        <v>940</v>
      </c>
    </row>
    <row r="249" spans="1:64" ht="11.25" customHeight="1" x14ac:dyDescent="0.2">
      <c r="A249" s="238" t="s">
        <v>902</v>
      </c>
      <c r="B249" s="153" t="s">
        <v>903</v>
      </c>
      <c r="C249" s="154" t="s">
        <v>90</v>
      </c>
      <c r="D249" s="154" t="s">
        <v>969</v>
      </c>
      <c r="E249" s="155">
        <v>12</v>
      </c>
      <c r="F249" s="298">
        <v>380</v>
      </c>
      <c r="G249" s="298" t="s">
        <v>88</v>
      </c>
      <c r="H249" s="298" t="s">
        <v>88</v>
      </c>
      <c r="I249" s="116">
        <v>35.69</v>
      </c>
      <c r="J249" s="157">
        <f t="shared" si="54"/>
        <v>3.6985149901933321</v>
      </c>
      <c r="K249" s="112">
        <v>0.33</v>
      </c>
      <c r="L249" s="298">
        <v>4</v>
      </c>
      <c r="M249" s="82">
        <f t="shared" si="55"/>
        <v>1.32</v>
      </c>
      <c r="N249" s="298" t="s">
        <v>164</v>
      </c>
      <c r="O249" s="239">
        <v>0.3</v>
      </c>
      <c r="P249" s="161">
        <v>44833</v>
      </c>
      <c r="Q249" s="161">
        <v>44851</v>
      </c>
      <c r="R249" s="82">
        <f t="shared" si="56"/>
        <v>10.000000000000009</v>
      </c>
      <c r="S249" s="162">
        <f>IF(INDEX([1]Historical!$D$7:$D$1229,MATCH(B249,[1]Historical!$B$7:$B$1253,0))=0,"n/a",(INDEX([1]Historical!$C$7:$C$1231,MATCH(B249,[1]Historical!$B$7:$B$1253,0))/INDEX([1]Historical!$D$7:$D$1229,MATCH(B249,[1]Historical!$B$7:$B$1253,0))-1)*100)</f>
        <v>5.7142857142857162</v>
      </c>
      <c r="T249" s="162">
        <f>IF(INDEX([1]Historical!$F$7:$F$1222,MATCH(B249,[1]Historical!$B$7:$B$1253,0))=0,"n/a",((INDEX([1]Historical!$C$7:$C$1231,MATCH(B249,[1]Historical!$B$7:$B$1253,0))/INDEX([1]Historical!$F$7:$F$1222,MATCH(B249,[1]Historical!$B$7:$B$1253,0)))^(1/3)-1)*100)</f>
        <v>17.743792988480944</v>
      </c>
      <c r="U249" s="162">
        <f>IF(INDEX([1]Historical!$H$7:$H$1222,MATCH(B249,[1]Historical!$B$7:$B$1253,0))=0,"n/a",((INDEX([1]Historical!$C$7:$C$1231,MATCH(B249,[1]Historical!$B$7:$B$1253,0))/INDEX([1]Historical!$H$7:$H$1222,MATCH(B249,[1]Historical!$B$7:$B$1253,0)))^(1/5)-1)*100)</f>
        <v>15.933626678433654</v>
      </c>
      <c r="V249" s="162">
        <f>IF(INDEX([1]Historical!$N$7:$N$1222,MATCH(B249,[1]Historical!$B$7:$B$1253,0))=0,"n/a",((INDEX([1]Historical!$C$7:$C$1231,MATCH(B249,[1]Historical!$B$7:$B$1253,0))/INDEX([1]Historical!$N$7:$N$1222,MATCH(B249,[1]Historical!$B$7:$B$1253,0)))^(1/10)-1)*100)</f>
        <v>14.766858720286557</v>
      </c>
      <c r="W249" s="163">
        <f t="shared" si="57"/>
        <v>1.0790126038481158</v>
      </c>
      <c r="X249" s="164">
        <f t="shared" si="58"/>
        <v>1.1065018526690038</v>
      </c>
      <c r="Y249" s="240"/>
      <c r="Z249" s="157">
        <f t="shared" si="59"/>
        <v>40.61538461538462</v>
      </c>
      <c r="AA249" s="166">
        <f t="shared" si="60"/>
        <v>10.981538461538461</v>
      </c>
      <c r="AB249" s="126">
        <v>12</v>
      </c>
      <c r="AC249" s="175">
        <v>3.25</v>
      </c>
      <c r="AD249" s="175">
        <v>2.2000000000000002</v>
      </c>
      <c r="AE249" s="167">
        <v>4.18</v>
      </c>
      <c r="AF249" s="167">
        <v>1.47</v>
      </c>
      <c r="AG249" s="167">
        <v>13.100000000000001</v>
      </c>
      <c r="AH249" s="167">
        <v>104.3</v>
      </c>
      <c r="AI249" s="167">
        <v>16.739999999999998</v>
      </c>
      <c r="AJ249" s="241">
        <v>14.399999999999999</v>
      </c>
      <c r="AK249" s="241">
        <v>5.04</v>
      </c>
      <c r="AL249" s="175">
        <v>24260</v>
      </c>
      <c r="AM249" s="175">
        <v>0.1</v>
      </c>
      <c r="AN249" s="175">
        <v>0.65</v>
      </c>
      <c r="AO249" s="170">
        <f t="shared" si="61"/>
        <v>8.6506032070885244</v>
      </c>
      <c r="AP249" s="171">
        <f t="shared" si="62"/>
        <v>19.632141668626986</v>
      </c>
      <c r="AQ249" s="172">
        <f t="shared" si="63"/>
        <v>-15.296959156089763</v>
      </c>
      <c r="AR249" s="157">
        <f>INDEX([1]Historical!$C$7:$C$1231,MATCH(B249,[1]Historical!$B$7:$B$1253,0))*IF(AH249="n/a",1.03,IF(AH249&lt;0,1.01,IF(AH249&gt;10,1.1,(1+AH249/100))))</f>
        <v>1.2210000000000003</v>
      </c>
      <c r="AS249" s="166">
        <f t="shared" si="64"/>
        <v>1.3431000000000004</v>
      </c>
      <c r="AT249" s="166">
        <f t="shared" si="71"/>
        <v>1.4107922400000004</v>
      </c>
      <c r="AU249" s="166">
        <f t="shared" si="71"/>
        <v>1.4818961688960004</v>
      </c>
      <c r="AV249" s="166">
        <f t="shared" si="71"/>
        <v>1.5565837358083587</v>
      </c>
      <c r="AW249" s="157">
        <f t="shared" si="66"/>
        <v>7.01337214470436</v>
      </c>
      <c r="AX249" s="173">
        <f t="shared" si="67"/>
        <v>19.650804552267751</v>
      </c>
      <c r="AY249" s="225">
        <v>1.24</v>
      </c>
      <c r="AZ249" s="167">
        <v>15.43</v>
      </c>
      <c r="BA249" s="167">
        <v>-29.520000000000003</v>
      </c>
      <c r="BB249" s="167">
        <v>4.42</v>
      </c>
      <c r="BC249" s="167">
        <v>-7.59</v>
      </c>
      <c r="BE249" s="77">
        <v>2011</v>
      </c>
      <c r="BF249" s="77">
        <f t="shared" si="68"/>
        <v>1</v>
      </c>
      <c r="BG249" s="175">
        <v>1.2</v>
      </c>
      <c r="BH249" t="s">
        <v>939</v>
      </c>
      <c r="BI249" t="s">
        <v>940</v>
      </c>
    </row>
    <row r="250" spans="1:64" ht="11.25" customHeight="1" x14ac:dyDescent="0.2">
      <c r="A250" s="176" t="s">
        <v>1392</v>
      </c>
      <c r="B250" s="153" t="s">
        <v>801</v>
      </c>
      <c r="C250" s="154" t="s">
        <v>94</v>
      </c>
      <c r="D250" s="154" t="s">
        <v>1066</v>
      </c>
      <c r="E250" s="155">
        <v>10</v>
      </c>
      <c r="F250" s="298">
        <v>492</v>
      </c>
      <c r="G250" s="298" t="s">
        <v>88</v>
      </c>
      <c r="H250" s="298" t="s">
        <v>88</v>
      </c>
      <c r="I250" s="156">
        <v>123.28</v>
      </c>
      <c r="J250" s="157">
        <f t="shared" si="54"/>
        <v>0.48669695003244645</v>
      </c>
      <c r="K250" s="158">
        <v>0.15</v>
      </c>
      <c r="L250" s="126">
        <v>4</v>
      </c>
      <c r="M250" s="82">
        <f t="shared" si="55"/>
        <v>0.6</v>
      </c>
      <c r="N250" s="159" t="s">
        <v>199</v>
      </c>
      <c r="O250" s="160">
        <v>0.14000000000000001</v>
      </c>
      <c r="P250" s="161">
        <v>44881</v>
      </c>
      <c r="Q250" s="161">
        <v>44893</v>
      </c>
      <c r="R250" s="82">
        <f t="shared" si="56"/>
        <v>7.1428571428571281</v>
      </c>
      <c r="S250" s="162">
        <f>IF(INDEX([1]Historical!$D$7:$D$1229,MATCH(B250,[1]Historical!$B$7:$B$1253,0))=0,"n/a",(INDEX([1]Historical!$C$7:$C$1231,MATCH(B250,[1]Historical!$B$7:$B$1253,0))/INDEX([1]Historical!$D$7:$D$1229,MATCH(B250,[1]Historical!$B$7:$B$1253,0))-1)*100)</f>
        <v>12.941176470588234</v>
      </c>
      <c r="T250" s="162">
        <f>IF(INDEX([1]Historical!$F$7:$F$1222,MATCH(B250,[1]Historical!$B$7:$B$1253,0))=0,"n/a",((INDEX([1]Historical!$C$7:$C$1231,MATCH(B250,[1]Historical!$B$7:$B$1253,0))/INDEX([1]Historical!$F$7:$F$1222,MATCH(B250,[1]Historical!$B$7:$B$1253,0)))^(1/3)-1)*100)</f>
        <v>13.30326698854094</v>
      </c>
      <c r="U250" s="162">
        <f>IF(INDEX([1]Historical!$H$7:$H$1222,MATCH(B250,[1]Historical!$B$7:$B$1253,0))=0,"n/a",((INDEX([1]Historical!$C$7:$C$1231,MATCH(B250,[1]Historical!$B$7:$B$1253,0))/INDEX([1]Historical!$H$7:$H$1222,MATCH(B250,[1]Historical!$B$7:$B$1253,0)))^(1/5)-1)*100)</f>
        <v>11.784530914564041</v>
      </c>
      <c r="V250" s="162">
        <f>IF(INDEX([1]Historical!$N$7:$N$1222,MATCH(B250,[1]Historical!$B$7:$B$1253,0))=0,"n/a",((INDEX([1]Historical!$C$7:$C$1231,MATCH(B250,[1]Historical!$B$7:$B$1253,0))/INDEX([1]Historical!$N$7:$N$1222,MATCH(B250,[1]Historical!$B$7:$B$1253,0)))^(1/10)-1)*100)</f>
        <v>9.1493425617896982</v>
      </c>
      <c r="W250" s="163">
        <f t="shared" si="57"/>
        <v>1.2880194216117398</v>
      </c>
      <c r="X250" s="164">
        <f t="shared" si="58"/>
        <v>0.65469616192022451</v>
      </c>
      <c r="Y250" s="178"/>
      <c r="Z250" s="157">
        <f t="shared" si="59"/>
        <v>9.5087163232963547</v>
      </c>
      <c r="AA250" s="166">
        <f t="shared" si="60"/>
        <v>19.537242472266247</v>
      </c>
      <c r="AB250" s="126">
        <v>12</v>
      </c>
      <c r="AC250" s="167">
        <v>6.31</v>
      </c>
      <c r="AD250" s="167">
        <v>1.92</v>
      </c>
      <c r="AE250" s="167">
        <v>1.0900000000000001</v>
      </c>
      <c r="AF250" s="167">
        <v>4.58</v>
      </c>
      <c r="AG250" s="167">
        <v>25.8</v>
      </c>
      <c r="AH250" s="167">
        <v>-3.8</v>
      </c>
      <c r="AI250" s="167">
        <v>22.67</v>
      </c>
      <c r="AJ250" s="167">
        <v>18</v>
      </c>
      <c r="AK250" s="167">
        <v>10</v>
      </c>
      <c r="AL250" s="168">
        <v>4240</v>
      </c>
      <c r="AM250" s="169">
        <v>2</v>
      </c>
      <c r="AN250" s="167">
        <v>0.4</v>
      </c>
      <c r="AO250" s="170">
        <f t="shared" si="61"/>
        <v>-7.26601460766976</v>
      </c>
      <c r="AP250" s="171">
        <f t="shared" si="62"/>
        <v>12.271227864596487</v>
      </c>
      <c r="AQ250" s="172">
        <f t="shared" si="63"/>
        <v>99.42202098729598</v>
      </c>
      <c r="AR250" s="157">
        <f>INDEX([1]Historical!$C$7:$C$1231,MATCH(B250,[1]Historical!$B$7:$B$1253,0))*IF(AH250="n/a",1.03,IF(AH250&lt;0,1.01,IF(AH250&gt;10,1.1,(1+AH250/100))))</f>
        <v>0.48480000000000001</v>
      </c>
      <c r="AS250" s="166">
        <f t="shared" si="64"/>
        <v>0.53328000000000009</v>
      </c>
      <c r="AT250" s="166">
        <f t="shared" si="71"/>
        <v>0.58660800000000013</v>
      </c>
      <c r="AU250" s="166">
        <f t="shared" si="71"/>
        <v>0.6452688000000002</v>
      </c>
      <c r="AV250" s="166">
        <f t="shared" si="71"/>
        <v>0.70979568000000026</v>
      </c>
      <c r="AW250" s="157">
        <f t="shared" si="66"/>
        <v>2.9597524800000006</v>
      </c>
      <c r="AX250" s="173">
        <f t="shared" si="67"/>
        <v>2.4008375081116164</v>
      </c>
      <c r="AY250" s="174">
        <v>1.21</v>
      </c>
      <c r="AZ250" s="169">
        <v>66.28</v>
      </c>
      <c r="BA250" s="169">
        <v>0.38</v>
      </c>
      <c r="BB250" s="169">
        <v>19.66</v>
      </c>
      <c r="BC250" s="169">
        <v>33.160000000000004</v>
      </c>
      <c r="BE250" s="77">
        <v>2013</v>
      </c>
      <c r="BF250" s="77">
        <f t="shared" si="68"/>
        <v>1</v>
      </c>
      <c r="BG250" s="175">
        <v>9.6</v>
      </c>
      <c r="BH250" t="s">
        <v>939</v>
      </c>
      <c r="BI250" t="s">
        <v>940</v>
      </c>
    </row>
    <row r="251" spans="1:64" ht="11.25" customHeight="1" x14ac:dyDescent="0.2">
      <c r="A251" s="112" t="s">
        <v>1393</v>
      </c>
      <c r="B251" s="153" t="s">
        <v>303</v>
      </c>
      <c r="C251" s="154" t="s">
        <v>90</v>
      </c>
      <c r="D251" s="154" t="s">
        <v>969</v>
      </c>
      <c r="E251" s="155">
        <v>27</v>
      </c>
      <c r="F251" s="298">
        <v>134</v>
      </c>
      <c r="G251" s="298" t="s">
        <v>30</v>
      </c>
      <c r="H251" s="298" t="s">
        <v>30</v>
      </c>
      <c r="I251" s="167">
        <v>17.579999999999998</v>
      </c>
      <c r="J251" s="157">
        <f t="shared" si="54"/>
        <v>4.7781569965870307</v>
      </c>
      <c r="K251" s="209">
        <v>0.21</v>
      </c>
      <c r="L251" s="126">
        <v>4</v>
      </c>
      <c r="M251" s="82">
        <f t="shared" si="55"/>
        <v>0.84</v>
      </c>
      <c r="N251" s="159" t="s">
        <v>296</v>
      </c>
      <c r="O251" s="210">
        <v>0.2</v>
      </c>
      <c r="P251" s="161">
        <v>44845</v>
      </c>
      <c r="Q251" s="161">
        <v>44855</v>
      </c>
      <c r="R251" s="82">
        <f t="shared" si="56"/>
        <v>4.9999999999999902</v>
      </c>
      <c r="S251" s="162">
        <f>IF(INDEX([1]Historical!$D$7:$D$1229,MATCH(B251,[1]Historical!$B$7:$B$1253,0))=0,"n/a",(INDEX([1]Historical!$C$7:$C$1231,MATCH(B251,[1]Historical!$B$7:$B$1253,0))/INDEX([1]Historical!$D$7:$D$1229,MATCH(B251,[1]Historical!$B$7:$B$1253,0))-1)*100)</f>
        <v>5.4794520547945202</v>
      </c>
      <c r="T251" s="162">
        <f>IF(INDEX([1]Historical!$F$7:$F$1222,MATCH(B251,[1]Historical!$B$7:$B$1253,0))=0,"n/a",((INDEX([1]Historical!$C$7:$C$1231,MATCH(B251,[1]Historical!$B$7:$B$1253,0))/INDEX([1]Historical!$F$7:$F$1222,MATCH(B251,[1]Historical!$B$7:$B$1253,0)))^(1/3)-1)*100)</f>
        <v>7.4895748713678545</v>
      </c>
      <c r="U251" s="162">
        <f>IF(INDEX([1]Historical!$H$7:$H$1222,MATCH(B251,[1]Historical!$B$7:$B$1253,0))=0,"n/a",((INDEX([1]Historical!$C$7:$C$1231,MATCH(B251,[1]Historical!$B$7:$B$1253,0))/INDEX([1]Historical!$H$7:$H$1222,MATCH(B251,[1]Historical!$B$7:$B$1253,0)))^(1/5)-1)*100)</f>
        <v>7.3542872926286584</v>
      </c>
      <c r="V251" s="162">
        <f>IF(INDEX([1]Historical!$N$7:$N$1222,MATCH(B251,[1]Historical!$B$7:$B$1253,0))=0,"n/a",((INDEX([1]Historical!$C$7:$C$1231,MATCH(B251,[1]Historical!$B$7:$B$1253,0))/INDEX([1]Historical!$N$7:$N$1222,MATCH(B251,[1]Historical!$B$7:$B$1253,0)))^(1/10)-1)*100)</f>
        <v>6.887845604167131</v>
      </c>
      <c r="W251" s="163">
        <f t="shared" si="57"/>
        <v>1.0677195331119691</v>
      </c>
      <c r="X251" s="164">
        <f t="shared" si="58"/>
        <v>1.1673471893061362</v>
      </c>
      <c r="Y251" s="165"/>
      <c r="Z251" s="157">
        <f t="shared" si="59"/>
        <v>42.424242424242422</v>
      </c>
      <c r="AA251" s="166">
        <f t="shared" si="60"/>
        <v>8.8787878787878771</v>
      </c>
      <c r="AB251" s="126">
        <v>12</v>
      </c>
      <c r="AC251" s="167">
        <v>1.98</v>
      </c>
      <c r="AD251" s="167">
        <v>1.28</v>
      </c>
      <c r="AE251" s="167">
        <v>3.18</v>
      </c>
      <c r="AF251" s="167">
        <v>1.08</v>
      </c>
      <c r="AG251" s="167">
        <v>11</v>
      </c>
      <c r="AH251" s="167">
        <v>5.2</v>
      </c>
      <c r="AI251" s="167">
        <v>-7.7200000000000006</v>
      </c>
      <c r="AJ251" s="167">
        <v>6.3</v>
      </c>
      <c r="AK251" s="167">
        <v>7.0000000000000009</v>
      </c>
      <c r="AL251" s="168">
        <v>411.32</v>
      </c>
      <c r="AM251" s="169">
        <v>0.1</v>
      </c>
      <c r="AN251" s="167">
        <v>0.74</v>
      </c>
      <c r="AO251" s="170">
        <f t="shared" si="61"/>
        <v>3.2536564104278121</v>
      </c>
      <c r="AP251" s="171">
        <f t="shared" si="62"/>
        <v>12.132444289215689</v>
      </c>
      <c r="AQ251" s="172">
        <f t="shared" si="63"/>
        <v>-34.717397556330653</v>
      </c>
      <c r="AR251" s="157">
        <f>INDEX([1]Historical!$C$7:$C$1231,MATCH(B251,[1]Historical!$B$7:$B$1253,0))*IF(AH251="n/a",1.03,IF(AH251&lt;0,1.01,IF(AH251&gt;10,1.1,(1+AH251/100))))</f>
        <v>0.81004000000000009</v>
      </c>
      <c r="AS251" s="166">
        <f t="shared" si="64"/>
        <v>0.8181404000000001</v>
      </c>
      <c r="AT251" s="166">
        <f t="shared" si="71"/>
        <v>0.87541022800000012</v>
      </c>
      <c r="AU251" s="166">
        <f t="shared" si="71"/>
        <v>0.93668894396000024</v>
      </c>
      <c r="AV251" s="166">
        <f t="shared" si="71"/>
        <v>1.0022571700372003</v>
      </c>
      <c r="AW251" s="157">
        <f t="shared" si="66"/>
        <v>4.4425367419972011</v>
      </c>
      <c r="AX251" s="173">
        <f t="shared" si="67"/>
        <v>25.270402400439146</v>
      </c>
      <c r="AY251" s="174">
        <v>0.51</v>
      </c>
      <c r="AZ251" s="169">
        <v>6.4799999999999995</v>
      </c>
      <c r="BA251" s="169">
        <v>-23.400000000000002</v>
      </c>
      <c r="BB251" s="169">
        <v>-3.29</v>
      </c>
      <c r="BC251" s="169">
        <v>-8.42</v>
      </c>
      <c r="BE251" s="77">
        <v>1997</v>
      </c>
      <c r="BF251" s="77">
        <f t="shared" si="68"/>
        <v>3</v>
      </c>
      <c r="BG251" s="175">
        <v>1.0999999999999999</v>
      </c>
      <c r="BH251" t="s">
        <v>939</v>
      </c>
      <c r="BI251" t="s">
        <v>940</v>
      </c>
    </row>
    <row r="252" spans="1:64" ht="11.25" customHeight="1" x14ac:dyDescent="0.2">
      <c r="A252" s="176" t="s">
        <v>1394</v>
      </c>
      <c r="B252" s="153" t="s">
        <v>305</v>
      </c>
      <c r="C252" s="154" t="s">
        <v>127</v>
      </c>
      <c r="D252" s="154" t="s">
        <v>951</v>
      </c>
      <c r="E252" s="155">
        <v>21</v>
      </c>
      <c r="F252" s="298">
        <v>166</v>
      </c>
      <c r="G252" s="298" t="s">
        <v>30</v>
      </c>
      <c r="H252" s="298" t="s">
        <v>104</v>
      </c>
      <c r="I252" s="156">
        <v>28.71</v>
      </c>
      <c r="J252" s="157">
        <f t="shared" si="54"/>
        <v>3.0651340996168579</v>
      </c>
      <c r="K252" s="158">
        <v>0.22</v>
      </c>
      <c r="L252" s="126">
        <v>4</v>
      </c>
      <c r="M252" s="82">
        <f t="shared" si="55"/>
        <v>0.88</v>
      </c>
      <c r="N252" s="159" t="s">
        <v>319</v>
      </c>
      <c r="O252" s="160">
        <v>0.21</v>
      </c>
      <c r="P252" s="161">
        <v>44720</v>
      </c>
      <c r="Q252" s="161">
        <v>44735</v>
      </c>
      <c r="R252" s="82">
        <f t="shared" si="56"/>
        <v>4.7619047619047663</v>
      </c>
      <c r="S252" s="162">
        <f>IF(INDEX([1]Historical!$D$7:$D$1229,MATCH(B252,[1]Historical!$B$7:$B$1253,0))=0,"n/a",(INDEX([1]Historical!$C$7:$C$1231,MATCH(B252,[1]Historical!$B$7:$B$1253,0))/INDEX([1]Historical!$D$7:$D$1229,MATCH(B252,[1]Historical!$B$7:$B$1253,0))-1)*100)</f>
        <v>5.0632911392404889</v>
      </c>
      <c r="T252" s="162">
        <f>IF(INDEX([1]Historical!$F$7:$F$1222,MATCH(B252,[1]Historical!$B$7:$B$1253,0))=0,"n/a",((INDEX([1]Historical!$C$7:$C$1231,MATCH(B252,[1]Historical!$B$7:$B$1253,0))/INDEX([1]Historical!$F$7:$F$1222,MATCH(B252,[1]Historical!$B$7:$B$1253,0)))^(1/3)-1)*100)</f>
        <v>5.343218065147215</v>
      </c>
      <c r="U252" s="162">
        <f>IF(INDEX([1]Historical!$H$7:$H$1222,MATCH(B252,[1]Historical!$B$7:$B$1253,0))=0,"n/a",((INDEX([1]Historical!$C$7:$C$1231,MATCH(B252,[1]Historical!$B$7:$B$1253,0))/INDEX([1]Historical!$H$7:$H$1222,MATCH(B252,[1]Historical!$B$7:$B$1253,0)))^(1/5)-1)*100)</f>
        <v>5.8375102906382148</v>
      </c>
      <c r="V252" s="162">
        <f>IF(INDEX([1]Historical!$N$7:$N$1222,MATCH(B252,[1]Historical!$B$7:$B$1253,0))=0,"n/a",((INDEX([1]Historical!$C$7:$C$1231,MATCH(B252,[1]Historical!$B$7:$B$1253,0))/INDEX([1]Historical!$N$7:$N$1222,MATCH(B252,[1]Historical!$B$7:$B$1253,0)))^(1/10)-1)*100)</f>
        <v>7.8761662515203001</v>
      </c>
      <c r="W252" s="163">
        <f t="shared" si="57"/>
        <v>0.74116138540262877</v>
      </c>
      <c r="X252" s="164">
        <f t="shared" si="58"/>
        <v>1.3267068842359582</v>
      </c>
      <c r="Y252" s="178"/>
      <c r="Z252" s="157">
        <f t="shared" si="59"/>
        <v>86.274509803921575</v>
      </c>
      <c r="AA252" s="166">
        <f t="shared" si="60"/>
        <v>28.147058823529413</v>
      </c>
      <c r="AB252" s="126">
        <v>12</v>
      </c>
      <c r="AC252" s="167">
        <v>1.02</v>
      </c>
      <c r="AD252" s="167">
        <v>8.7200000000000006</v>
      </c>
      <c r="AE252" s="167">
        <v>1.3</v>
      </c>
      <c r="AF252" s="167">
        <v>4.18</v>
      </c>
      <c r="AG252" s="179">
        <v>15.2</v>
      </c>
      <c r="AH252" s="167">
        <v>34.9</v>
      </c>
      <c r="AI252" s="167">
        <v>5.96</v>
      </c>
      <c r="AJ252" s="167">
        <v>4.3999999999999995</v>
      </c>
      <c r="AK252" s="167">
        <v>3.2099999999999995</v>
      </c>
      <c r="AL252" s="168">
        <v>5960</v>
      </c>
      <c r="AM252" s="169">
        <v>2.6</v>
      </c>
      <c r="AN252" s="167">
        <v>0.63</v>
      </c>
      <c r="AO252" s="170">
        <f t="shared" si="61"/>
        <v>-19.24441443327434</v>
      </c>
      <c r="AP252" s="171">
        <f t="shared" si="62"/>
        <v>8.9026443902550731</v>
      </c>
      <c r="AQ252" s="172">
        <f t="shared" si="63"/>
        <v>128.67221167460826</v>
      </c>
      <c r="AR252" s="157">
        <f>INDEX([1]Historical!$C$7:$C$1231,MATCH(B252,[1]Historical!$B$7:$B$1253,0))*IF(AH252="n/a",1.03,IF(AH252&lt;0,1.01,IF(AH252&gt;10,1.1,(1+AH252/100))))</f>
        <v>0.91300000000000003</v>
      </c>
      <c r="AS252" s="166">
        <f t="shared" si="64"/>
        <v>0.96741480000000013</v>
      </c>
      <c r="AT252" s="166">
        <f t="shared" si="71"/>
        <v>0.99846881508000018</v>
      </c>
      <c r="AU252" s="166">
        <f t="shared" si="71"/>
        <v>1.0305196640440681</v>
      </c>
      <c r="AV252" s="166">
        <f t="shared" si="71"/>
        <v>1.0635993452598826</v>
      </c>
      <c r="AW252" s="157">
        <f t="shared" si="66"/>
        <v>4.9730026243839509</v>
      </c>
      <c r="AX252" s="173">
        <f t="shared" si="67"/>
        <v>17.321499910776559</v>
      </c>
      <c r="AY252" s="174">
        <v>0.36</v>
      </c>
      <c r="AZ252" s="169">
        <v>18.88</v>
      </c>
      <c r="BA252" s="169">
        <v>-3.4299999999999997</v>
      </c>
      <c r="BB252" s="169">
        <v>8.58</v>
      </c>
      <c r="BC252" s="169">
        <v>7.28</v>
      </c>
      <c r="BE252" s="77">
        <v>2002</v>
      </c>
      <c r="BF252" s="77">
        <f t="shared" si="68"/>
        <v>2</v>
      </c>
      <c r="BG252" s="175">
        <v>6.6000000000000005</v>
      </c>
      <c r="BH252" t="s">
        <v>939</v>
      </c>
      <c r="BI252" t="s">
        <v>940</v>
      </c>
    </row>
    <row r="253" spans="1:64" ht="11.25" customHeight="1" x14ac:dyDescent="0.2">
      <c r="A253" s="176" t="s">
        <v>1395</v>
      </c>
      <c r="B253" s="153" t="s">
        <v>295</v>
      </c>
      <c r="C253" s="154" t="s">
        <v>90</v>
      </c>
      <c r="D253" s="154" t="s">
        <v>969</v>
      </c>
      <c r="E253" s="155">
        <v>18</v>
      </c>
      <c r="F253" s="298">
        <v>225</v>
      </c>
      <c r="G253" s="298" t="s">
        <v>88</v>
      </c>
      <c r="H253" s="298" t="s">
        <v>88</v>
      </c>
      <c r="I253" s="156">
        <v>29.26</v>
      </c>
      <c r="J253" s="157">
        <f t="shared" si="54"/>
        <v>2.8708133971291865</v>
      </c>
      <c r="K253" s="158">
        <v>0.21</v>
      </c>
      <c r="L253" s="126">
        <v>4</v>
      </c>
      <c r="M253" s="82">
        <f t="shared" si="55"/>
        <v>0.84</v>
      </c>
      <c r="N253" s="159" t="s">
        <v>296</v>
      </c>
      <c r="O253" s="160">
        <v>0.19</v>
      </c>
      <c r="P253" s="161">
        <v>44827</v>
      </c>
      <c r="Q253" s="161">
        <v>44854</v>
      </c>
      <c r="R253" s="82">
        <f t="shared" si="56"/>
        <v>10.52631578947368</v>
      </c>
      <c r="S253" s="162">
        <f>IF(INDEX([1]Historical!$D$7:$D$1229,MATCH(B253,[1]Historical!$B$7:$B$1253,0))=0,"n/a",(INDEX([1]Historical!$C$7:$C$1231,MATCH(B253,[1]Historical!$B$7:$B$1253,0))/INDEX([1]Historical!$D$7:$D$1229,MATCH(B253,[1]Historical!$B$7:$B$1253,0))-1)*100)</f>
        <v>6.153846153846132</v>
      </c>
      <c r="T253" s="162">
        <f>IF(INDEX([1]Historical!$F$7:$F$1222,MATCH(B253,[1]Historical!$B$7:$B$1253,0))=0,"n/a",((INDEX([1]Historical!$C$7:$C$1231,MATCH(B253,[1]Historical!$B$7:$B$1253,0))/INDEX([1]Historical!$F$7:$F$1222,MATCH(B253,[1]Historical!$B$7:$B$1253,0)))^(1/3)-1)*100)</f>
        <v>8.5138345254405436</v>
      </c>
      <c r="U253" s="162">
        <f>IF(INDEX([1]Historical!$H$7:$H$1222,MATCH(B253,[1]Historical!$B$7:$B$1253,0))=0,"n/a",((INDEX([1]Historical!$C$7:$C$1231,MATCH(B253,[1]Historical!$B$7:$B$1253,0))/INDEX([1]Historical!$H$7:$H$1222,MATCH(B253,[1]Historical!$B$7:$B$1253,0)))^(1/5)-1)*100)</f>
        <v>8.9249364912943783</v>
      </c>
      <c r="V253" s="162">
        <f>IF(INDEX([1]Historical!$N$7:$N$1222,MATCH(B253,[1]Historical!$B$7:$B$1253,0))=0,"n/a",((INDEX([1]Historical!$C$7:$C$1231,MATCH(B253,[1]Historical!$B$7:$B$1253,0))/INDEX([1]Historical!$N$7:$N$1222,MATCH(B253,[1]Historical!$B$7:$B$1253,0)))^(1/10)-1)*100)</f>
        <v>6.1467128322939546</v>
      </c>
      <c r="W253" s="163">
        <f t="shared" si="57"/>
        <v>1.4519852699810591</v>
      </c>
      <c r="X253" s="164">
        <f t="shared" si="58"/>
        <v>0.9107078052341202</v>
      </c>
      <c r="Y253" s="178"/>
      <c r="Z253" s="157">
        <f t="shared" si="59"/>
        <v>33.333333333333329</v>
      </c>
      <c r="AA253" s="166">
        <f t="shared" si="60"/>
        <v>11.611111111111112</v>
      </c>
      <c r="AB253" s="126">
        <v>12</v>
      </c>
      <c r="AC253" s="167">
        <v>2.52</v>
      </c>
      <c r="AD253" s="167" t="s">
        <v>95</v>
      </c>
      <c r="AE253" s="167">
        <v>4.1399999999999997</v>
      </c>
      <c r="AF253" s="167">
        <v>1.36</v>
      </c>
      <c r="AG253" s="167">
        <v>11.600000000000001</v>
      </c>
      <c r="AH253" s="167">
        <v>11.700000000000001</v>
      </c>
      <c r="AI253" s="167">
        <v>6.5</v>
      </c>
      <c r="AJ253" s="167">
        <v>9.8000000000000007</v>
      </c>
      <c r="AK253" s="167" t="s">
        <v>95</v>
      </c>
      <c r="AL253" s="168">
        <v>389.53</v>
      </c>
      <c r="AM253" s="169">
        <v>4.5999999999999996</v>
      </c>
      <c r="AN253" s="167">
        <v>0.16</v>
      </c>
      <c r="AO253" s="170">
        <f t="shared" si="61"/>
        <v>0.18463877731245226</v>
      </c>
      <c r="AP253" s="171">
        <f t="shared" si="62"/>
        <v>11.795749888423565</v>
      </c>
      <c r="AQ253" s="172">
        <f t="shared" si="63"/>
        <v>-16.224874784108678</v>
      </c>
      <c r="AR253" s="157">
        <f>INDEX([1]Historical!$C$7:$C$1231,MATCH(B253,[1]Historical!$B$7:$B$1253,0))*IF(AH253="n/a",1.03,IF(AH253&lt;0,1.01,IF(AH253&gt;10,1.1,(1+AH253/100))))</f>
        <v>0.75900000000000001</v>
      </c>
      <c r="AS253" s="166">
        <f t="shared" si="64"/>
        <v>0.80833499999999991</v>
      </c>
      <c r="AT253" s="166">
        <f t="shared" si="71"/>
        <v>0.83258504999999994</v>
      </c>
      <c r="AU253" s="166">
        <f t="shared" si="71"/>
        <v>0.85756260149999997</v>
      </c>
      <c r="AV253" s="166">
        <f t="shared" si="71"/>
        <v>0.88328947954500003</v>
      </c>
      <c r="AW253" s="157">
        <f t="shared" si="66"/>
        <v>4.1407721310449999</v>
      </c>
      <c r="AX253" s="173">
        <f t="shared" si="67"/>
        <v>14.15164774793233</v>
      </c>
      <c r="AY253" s="174">
        <v>0.39</v>
      </c>
      <c r="AZ253" s="169">
        <v>17.130000000000003</v>
      </c>
      <c r="BA253" s="169">
        <v>-30.53</v>
      </c>
      <c r="BB253" s="169">
        <v>4.7699999999999996</v>
      </c>
      <c r="BC253" s="169">
        <v>-11</v>
      </c>
      <c r="BE253" s="77">
        <v>2005</v>
      </c>
      <c r="BF253" s="77">
        <f t="shared" si="68"/>
        <v>2</v>
      </c>
      <c r="BG253" s="175">
        <v>1.2</v>
      </c>
      <c r="BH253" t="s">
        <v>939</v>
      </c>
      <c r="BI253" t="s">
        <v>940</v>
      </c>
    </row>
    <row r="254" spans="1:64" ht="11.25" customHeight="1" x14ac:dyDescent="0.2">
      <c r="A254" s="176" t="s">
        <v>1396</v>
      </c>
      <c r="B254" s="153" t="s">
        <v>667</v>
      </c>
      <c r="C254" s="154" t="s">
        <v>90</v>
      </c>
      <c r="D254" s="154" t="s">
        <v>969</v>
      </c>
      <c r="E254" s="155">
        <v>12</v>
      </c>
      <c r="F254" s="298">
        <v>377</v>
      </c>
      <c r="G254" s="298" t="s">
        <v>88</v>
      </c>
      <c r="H254" s="298" t="s">
        <v>88</v>
      </c>
      <c r="I254" s="156">
        <v>35.81</v>
      </c>
      <c r="J254" s="157">
        <f t="shared" si="54"/>
        <v>2.5691147724099412</v>
      </c>
      <c r="K254" s="158">
        <v>0.23</v>
      </c>
      <c r="L254" s="126">
        <v>4</v>
      </c>
      <c r="M254" s="82">
        <f t="shared" si="55"/>
        <v>0.92</v>
      </c>
      <c r="N254" s="159" t="s">
        <v>251</v>
      </c>
      <c r="O254" s="160">
        <v>0.22</v>
      </c>
      <c r="P254" s="161">
        <v>44790</v>
      </c>
      <c r="Q254" s="161">
        <v>44805</v>
      </c>
      <c r="R254" s="82">
        <f t="shared" si="56"/>
        <v>4.5454545454545494</v>
      </c>
      <c r="S254" s="162">
        <f>IF(INDEX([1]Historical!$D$7:$D$1229,MATCH(B254,[1]Historical!$B$7:$B$1253,0))=0,"n/a",(INDEX([1]Historical!$C$7:$C$1231,MATCH(B254,[1]Historical!$B$7:$B$1253,0))/INDEX([1]Historical!$D$7:$D$1229,MATCH(B254,[1]Historical!$B$7:$B$1253,0))-1)*100)</f>
        <v>4.9382716049382713</v>
      </c>
      <c r="T254" s="162">
        <f>IF(INDEX([1]Historical!$F$7:$F$1222,MATCH(B254,[1]Historical!$B$7:$B$1253,0))=0,"n/a",((INDEX([1]Historical!$C$7:$C$1231,MATCH(B254,[1]Historical!$B$7:$B$1253,0))/INDEX([1]Historical!$F$7:$F$1222,MATCH(B254,[1]Historical!$B$7:$B$1253,0)))^(1/3)-1)*100)</f>
        <v>5.688761756416616</v>
      </c>
      <c r="U254" s="162">
        <f>IF(INDEX([1]Historical!$H$7:$H$1222,MATCH(B254,[1]Historical!$B$7:$B$1253,0))=0,"n/a",((INDEX([1]Historical!$C$7:$C$1231,MATCH(B254,[1]Historical!$B$7:$B$1253,0))/INDEX([1]Historical!$H$7:$H$1222,MATCH(B254,[1]Historical!$B$7:$B$1253,0)))^(1/5)-1)*100)</f>
        <v>6.5136941314388963</v>
      </c>
      <c r="V254" s="162">
        <f>IF(INDEX([1]Historical!$N$7:$N$1222,MATCH(B254,[1]Historical!$B$7:$B$1253,0))=0,"n/a",((INDEX([1]Historical!$C$7:$C$1231,MATCH(B254,[1]Historical!$B$7:$B$1253,0))/INDEX([1]Historical!$N$7:$N$1222,MATCH(B254,[1]Historical!$B$7:$B$1253,0)))^(1/10)-1)*100)</f>
        <v>7.8290784167006633</v>
      </c>
      <c r="W254" s="163">
        <f t="shared" si="57"/>
        <v>0.83198734062289581</v>
      </c>
      <c r="X254" s="164">
        <f t="shared" si="58"/>
        <v>0.93052773306269931</v>
      </c>
      <c r="Y254" s="178"/>
      <c r="Z254" s="157">
        <f t="shared" si="59"/>
        <v>26.136363636363637</v>
      </c>
      <c r="AA254" s="166">
        <f t="shared" si="60"/>
        <v>10.173295454545455</v>
      </c>
      <c r="AB254" s="126">
        <v>12</v>
      </c>
      <c r="AC254" s="167">
        <v>3.52</v>
      </c>
      <c r="AD254" s="167">
        <v>1.1299999999999999</v>
      </c>
      <c r="AE254" s="167">
        <v>3.56</v>
      </c>
      <c r="AF254" s="167">
        <v>1.17</v>
      </c>
      <c r="AG254" s="167">
        <v>10</v>
      </c>
      <c r="AH254" s="167">
        <v>6.3</v>
      </c>
      <c r="AI254" s="167">
        <v>11.67</v>
      </c>
      <c r="AJ254" s="167">
        <v>7.0000000000000009</v>
      </c>
      <c r="AK254" s="167">
        <v>9</v>
      </c>
      <c r="AL254" s="168">
        <v>718.32</v>
      </c>
      <c r="AM254" s="169">
        <v>1.2</v>
      </c>
      <c r="AN254" s="167">
        <v>0.2</v>
      </c>
      <c r="AO254" s="170">
        <f t="shared" si="61"/>
        <v>-1.0904865506966175</v>
      </c>
      <c r="AP254" s="171">
        <f t="shared" si="62"/>
        <v>9.0828089038488375</v>
      </c>
      <c r="AQ254" s="172">
        <f t="shared" si="63"/>
        <v>-27.266832625248362</v>
      </c>
      <c r="AR254" s="157">
        <f>INDEX([1]Historical!$C$7:$C$1231,MATCH(B254,[1]Historical!$B$7:$B$1253,0))*IF(AH254="n/a",1.03,IF(AH254&lt;0,1.01,IF(AH254&gt;10,1.1,(1+AH254/100))))</f>
        <v>0.90354999999999996</v>
      </c>
      <c r="AS254" s="166">
        <f t="shared" si="64"/>
        <v>0.99390500000000004</v>
      </c>
      <c r="AT254" s="166">
        <f t="shared" si="71"/>
        <v>1.0833564500000001</v>
      </c>
      <c r="AU254" s="166">
        <f t="shared" si="71"/>
        <v>1.1808585305000003</v>
      </c>
      <c r="AV254" s="166">
        <f t="shared" si="71"/>
        <v>1.2871357982450005</v>
      </c>
      <c r="AW254" s="157">
        <f t="shared" si="66"/>
        <v>5.448805778745001</v>
      </c>
      <c r="AX254" s="173">
        <f t="shared" si="67"/>
        <v>15.215877628441779</v>
      </c>
      <c r="AY254" s="174">
        <v>0.86</v>
      </c>
      <c r="AZ254" s="169">
        <v>13.29</v>
      </c>
      <c r="BA254" s="169">
        <v>-21.88</v>
      </c>
      <c r="BB254" s="169">
        <v>3.4299999999999997</v>
      </c>
      <c r="BC254" s="169">
        <v>-4.3999999999999995</v>
      </c>
      <c r="BE254" s="77">
        <v>2012</v>
      </c>
      <c r="BF254" s="77">
        <f t="shared" si="68"/>
        <v>1</v>
      </c>
      <c r="BG254" s="175">
        <v>1</v>
      </c>
      <c r="BH254" t="s">
        <v>939</v>
      </c>
      <c r="BI254" t="s">
        <v>940</v>
      </c>
    </row>
    <row r="255" spans="1:64" s="252" customFormat="1" ht="11.25" customHeight="1" x14ac:dyDescent="0.2">
      <c r="A255" s="183" t="s">
        <v>293</v>
      </c>
      <c r="B255" s="184" t="s">
        <v>294</v>
      </c>
      <c r="C255" s="154" t="s">
        <v>90</v>
      </c>
      <c r="D255" s="154" t="s">
        <v>969</v>
      </c>
      <c r="E255" s="185">
        <v>59</v>
      </c>
      <c r="F255" s="298">
        <v>15</v>
      </c>
      <c r="G255" s="297" t="s">
        <v>88</v>
      </c>
      <c r="H255" s="297" t="s">
        <v>88</v>
      </c>
      <c r="I255" s="195">
        <v>969.96</v>
      </c>
      <c r="J255" s="187">
        <f t="shared" si="54"/>
        <v>1.6186234483896242</v>
      </c>
      <c r="K255" s="231">
        <v>7.85</v>
      </c>
      <c r="L255" s="189">
        <v>2</v>
      </c>
      <c r="M255" s="190">
        <f t="shared" si="55"/>
        <v>15.7</v>
      </c>
      <c r="N255" s="191" t="s">
        <v>176</v>
      </c>
      <c r="O255" s="232">
        <v>7.8</v>
      </c>
      <c r="P255" s="193">
        <v>44721</v>
      </c>
      <c r="Q255" s="193">
        <v>44743</v>
      </c>
      <c r="R255" s="190">
        <f t="shared" si="56"/>
        <v>0.64102564102563875</v>
      </c>
      <c r="S255" s="162">
        <f>IF(INDEX([1]Historical!$D$7:$D$1229,MATCH(B255,[1]Historical!$B$7:$B$1253,0))=0,"n/a",(INDEX([1]Historical!$C$7:$C$1231,MATCH(B255,[1]Historical!$B$7:$B$1253,0))/INDEX([1]Historical!$D$7:$D$1229,MATCH(B255,[1]Historical!$B$7:$B$1253,0))-1)*100)</f>
        <v>4.1666666666666741</v>
      </c>
      <c r="T255" s="162">
        <f>IF(INDEX([1]Historical!$F$7:$F$1222,MATCH(B255,[1]Historical!$B$7:$B$1253,0))=0,"n/a",((INDEX([1]Historical!$C$7:$C$1231,MATCH(B255,[1]Historical!$B$7:$B$1253,0))/INDEX([1]Historical!$F$7:$F$1222,MATCH(B255,[1]Historical!$B$7:$B$1253,0)))^(1/3)-1)*100)</f>
        <v>2.5712117681764513</v>
      </c>
      <c r="U255" s="162">
        <f>IF(INDEX([1]Historical!$H$7:$H$1222,MATCH(B255,[1]Historical!$B$7:$B$1253,0))=0,"n/a",((INDEX([1]Historical!$C$7:$C$1231,MATCH(B255,[1]Historical!$B$7:$B$1253,0))/INDEX([1]Historical!$H$7:$H$1222,MATCH(B255,[1]Historical!$B$7:$B$1253,0)))^(1/5)-1)*100)</f>
        <v>2.8243918267097934</v>
      </c>
      <c r="V255" s="162">
        <f>IF(INDEX([1]Historical!$N$7:$N$1222,MATCH(B255,[1]Historical!$B$7:$B$1253,0))=0,"n/a",((INDEX([1]Historical!$C$7:$C$1231,MATCH(B255,[1]Historical!$B$7:$B$1253,0))/INDEX([1]Historical!$N$7:$N$1222,MATCH(B255,[1]Historical!$B$7:$B$1253,0)))^(1/10)-1)*100)</f>
        <v>2.5596507760801579</v>
      </c>
      <c r="W255" s="163">
        <f t="shared" si="57"/>
        <v>1.1034285821736429</v>
      </c>
      <c r="X255" s="164" t="str">
        <f t="shared" si="58"/>
        <v>n/a</v>
      </c>
      <c r="Y255" s="221"/>
      <c r="Z255" s="187" t="str">
        <f t="shared" si="59"/>
        <v>n/a</v>
      </c>
      <c r="AA255" s="194" t="str">
        <f t="shared" si="60"/>
        <v>n/a</v>
      </c>
      <c r="AB255" s="189">
        <v>12</v>
      </c>
      <c r="AC255" s="195" t="s">
        <v>95</v>
      </c>
      <c r="AD255" s="195" t="s">
        <v>95</v>
      </c>
      <c r="AE255" s="195" t="s">
        <v>95</v>
      </c>
      <c r="AF255" s="195" t="s">
        <v>95</v>
      </c>
      <c r="AG255" s="195" t="s">
        <v>95</v>
      </c>
      <c r="AH255" s="195" t="s">
        <v>95</v>
      </c>
      <c r="AI255" s="195" t="s">
        <v>95</v>
      </c>
      <c r="AJ255" s="195" t="s">
        <v>95</v>
      </c>
      <c r="AK255" s="195" t="s">
        <v>95</v>
      </c>
      <c r="AL255" s="196" t="s">
        <v>95</v>
      </c>
      <c r="AM255" s="197" t="s">
        <v>95</v>
      </c>
      <c r="AN255" s="195" t="s">
        <v>95</v>
      </c>
      <c r="AO255" s="198" t="str">
        <f t="shared" si="61"/>
        <v>n/a</v>
      </c>
      <c r="AP255" s="199">
        <f t="shared" si="62"/>
        <v>4.4430152750994178</v>
      </c>
      <c r="AQ255" s="172" t="str">
        <f t="shared" si="63"/>
        <v>n/a</v>
      </c>
      <c r="AR255" s="157">
        <f>INDEX([1]Historical!$C$7:$C$1231,MATCH(B255,[1]Historical!$B$7:$B$1253,0))*IF(AH255="n/a",1.03,IF(AH255&lt;0,1.01,IF(AH255&gt;10,1.1,(1+AH255/100))))</f>
        <v>15.450000000000001</v>
      </c>
      <c r="AS255" s="194">
        <f t="shared" si="64"/>
        <v>15.913500000000001</v>
      </c>
      <c r="AT255" s="194">
        <f t="shared" si="71"/>
        <v>16.390905</v>
      </c>
      <c r="AU255" s="194">
        <f t="shared" si="71"/>
        <v>16.882632149999999</v>
      </c>
      <c r="AV255" s="194">
        <f t="shared" si="71"/>
        <v>17.3891111145</v>
      </c>
      <c r="AW255" s="187">
        <f t="shared" si="66"/>
        <v>82.026148264499994</v>
      </c>
      <c r="AX255" s="200">
        <f t="shared" si="67"/>
        <v>8.4566526727390823</v>
      </c>
      <c r="AY255" s="201" t="s">
        <v>95</v>
      </c>
      <c r="AZ255" s="197" t="s">
        <v>95</v>
      </c>
      <c r="BA255" s="197" t="s">
        <v>95</v>
      </c>
      <c r="BB255" s="197" t="s">
        <v>95</v>
      </c>
      <c r="BC255" s="197" t="s">
        <v>95</v>
      </c>
      <c r="BD255" s="202" t="s">
        <v>932</v>
      </c>
      <c r="BE255" s="77">
        <v>1964</v>
      </c>
      <c r="BF255" s="77">
        <f t="shared" si="68"/>
        <v>7</v>
      </c>
      <c r="BG255" s="203" t="s">
        <v>95</v>
      </c>
      <c r="BH255" t="s">
        <v>939</v>
      </c>
      <c r="BI255" t="s">
        <v>940</v>
      </c>
    </row>
    <row r="256" spans="1:64" ht="11.25" customHeight="1" x14ac:dyDescent="0.2">
      <c r="A256" s="205" t="s">
        <v>1067</v>
      </c>
      <c r="B256" s="153" t="s">
        <v>1068</v>
      </c>
      <c r="C256" s="154" t="s">
        <v>90</v>
      </c>
      <c r="D256" s="154" t="s">
        <v>969</v>
      </c>
      <c r="E256" s="155">
        <v>7</v>
      </c>
      <c r="F256" s="298">
        <v>626</v>
      </c>
      <c r="G256" s="298" t="s">
        <v>88</v>
      </c>
      <c r="H256" s="298" t="s">
        <v>88</v>
      </c>
      <c r="I256" s="156">
        <v>13.74</v>
      </c>
      <c r="J256" s="157">
        <f t="shared" si="54"/>
        <v>4.6579330422125187</v>
      </c>
      <c r="K256" s="158">
        <v>0.16</v>
      </c>
      <c r="L256" s="126">
        <v>4</v>
      </c>
      <c r="M256" s="82">
        <f t="shared" si="55"/>
        <v>0.64</v>
      </c>
      <c r="N256" s="159" t="s">
        <v>119</v>
      </c>
      <c r="O256" s="160">
        <v>0.14000000000000001</v>
      </c>
      <c r="P256" s="161">
        <v>44630</v>
      </c>
      <c r="Q256" s="161">
        <v>44651</v>
      </c>
      <c r="R256" s="82">
        <f t="shared" si="56"/>
        <v>14.285714285714276</v>
      </c>
      <c r="S256" s="162">
        <f>IF(INDEX([1]Historical!$D$7:$D$1229,MATCH(B256,[1]Historical!$B$7:$B$1253,0))=0,"n/a",(INDEX([1]Historical!$C$7:$C$1231,MATCH(B256,[1]Historical!$B$7:$B$1253,0))/INDEX([1]Historical!$D$7:$D$1229,MATCH(B256,[1]Historical!$B$7:$B$1253,0))-1)*100)</f>
        <v>6.8181818181818121</v>
      </c>
      <c r="T256" s="162">
        <f>IF(INDEX([1]Historical!$F$7:$F$1222,MATCH(B256,[1]Historical!$B$7:$B$1253,0))=0,"n/a",((INDEX([1]Historical!$C$7:$C$1231,MATCH(B256,[1]Historical!$B$7:$B$1253,0))/INDEX([1]Historical!$F$7:$F$1222,MATCH(B256,[1]Historical!$B$7:$B$1253,0)))^(1/3)-1)*100)</f>
        <v>16.142775708728507</v>
      </c>
      <c r="U256" s="162">
        <f>IF(INDEX([1]Historical!$H$7:$H$1222,MATCH(B256,[1]Historical!$B$7:$B$1253,0))=0,"n/a",((INDEX([1]Historical!$C$7:$C$1231,MATCH(B256,[1]Historical!$B$7:$B$1253,0))/INDEX([1]Historical!$H$7:$H$1222,MATCH(B256,[1]Historical!$B$7:$B$1253,0)))^(1/5)-1)*100)</f>
        <v>24.049659079353457</v>
      </c>
      <c r="V256" s="162">
        <f>IF(INDEX([1]Historical!$N$7:$N$1222,MATCH(B256,[1]Historical!$B$7:$B$1253,0))=0,"n/a",((INDEX([1]Historical!$C$7:$C$1231,MATCH(B256,[1]Historical!$B$7:$B$1253,0))/INDEX([1]Historical!$N$7:$N$1222,MATCH(B256,[1]Historical!$B$7:$B$1253,0)))^(1/10)-1)*100)</f>
        <v>14.628249734011224</v>
      </c>
      <c r="W256" s="163">
        <f t="shared" si="57"/>
        <v>1.6440558177945996</v>
      </c>
      <c r="X256" s="164">
        <f t="shared" si="58"/>
        <v>1.2929924236211534</v>
      </c>
      <c r="Y256" s="178"/>
      <c r="Z256" s="157">
        <f t="shared" si="59"/>
        <v>40.764331210191081</v>
      </c>
      <c r="AA256" s="166">
        <f t="shared" si="60"/>
        <v>8.7515923566878975</v>
      </c>
      <c r="AB256" s="126">
        <v>12</v>
      </c>
      <c r="AC256" s="167">
        <v>1.57</v>
      </c>
      <c r="AD256" s="167">
        <v>0.49</v>
      </c>
      <c r="AE256" s="167">
        <v>3.37</v>
      </c>
      <c r="AF256" s="167">
        <v>1.45</v>
      </c>
      <c r="AG256" s="167">
        <v>13.600000000000001</v>
      </c>
      <c r="AH256" s="167">
        <v>20.100000000000001</v>
      </c>
      <c r="AI256" s="167">
        <v>8.86</v>
      </c>
      <c r="AJ256" s="167">
        <v>18.600000000000001</v>
      </c>
      <c r="AK256" s="167">
        <v>18</v>
      </c>
      <c r="AL256" s="168">
        <v>456.64</v>
      </c>
      <c r="AM256" s="169">
        <v>1.0999999999999999</v>
      </c>
      <c r="AN256" s="167">
        <v>0.27</v>
      </c>
      <c r="AO256" s="170">
        <f t="shared" si="61"/>
        <v>19.955999764878079</v>
      </c>
      <c r="AP256" s="171">
        <f t="shared" si="62"/>
        <v>28.707592121565977</v>
      </c>
      <c r="AQ256" s="172">
        <f t="shared" si="63"/>
        <v>-24.900631997932376</v>
      </c>
      <c r="AR256" s="157">
        <f>INDEX([1]Historical!$C$7:$C$1231,MATCH(B256,[1]Historical!$B$7:$B$1253,0))*IF(AH256="n/a",1.03,IF(AH256&lt;0,1.01,IF(AH256&gt;10,1.1,(1+AH256/100))))</f>
        <v>0.51700000000000002</v>
      </c>
      <c r="AS256" s="166">
        <f t="shared" si="64"/>
        <v>0.56280620000000003</v>
      </c>
      <c r="AT256" s="166">
        <f t="shared" si="71"/>
        <v>0.61908682000000004</v>
      </c>
      <c r="AU256" s="166">
        <f t="shared" si="71"/>
        <v>0.68099550200000014</v>
      </c>
      <c r="AV256" s="166">
        <f t="shared" si="71"/>
        <v>0.74909505220000017</v>
      </c>
      <c r="AW256" s="157">
        <f t="shared" si="66"/>
        <v>3.1289835742000003</v>
      </c>
      <c r="AX256" s="173">
        <f t="shared" si="67"/>
        <v>22.772806216885009</v>
      </c>
      <c r="AY256" s="174">
        <v>0.83</v>
      </c>
      <c r="AZ256" s="169">
        <v>10.72</v>
      </c>
      <c r="BA256" s="169">
        <v>-31.3</v>
      </c>
      <c r="BB256" s="169">
        <v>0.06</v>
      </c>
      <c r="BC256" s="169">
        <v>-11.31</v>
      </c>
      <c r="BE256" s="77">
        <v>2016</v>
      </c>
      <c r="BF256" s="77">
        <f t="shared" si="68"/>
        <v>1</v>
      </c>
      <c r="BG256" s="175">
        <v>1.3</v>
      </c>
      <c r="BH256" t="s">
        <v>939</v>
      </c>
      <c r="BI256" t="s">
        <v>940</v>
      </c>
      <c r="BJ256" s="112"/>
      <c r="BK256" s="112"/>
      <c r="BL256" s="112"/>
    </row>
    <row r="257" spans="1:64" ht="11.25" customHeight="1" x14ac:dyDescent="0.2">
      <c r="A257" s="205" t="s">
        <v>1397</v>
      </c>
      <c r="B257" s="153" t="s">
        <v>1069</v>
      </c>
      <c r="C257" s="154" t="s">
        <v>137</v>
      </c>
      <c r="D257" s="154" t="s">
        <v>942</v>
      </c>
      <c r="E257" s="155">
        <v>6</v>
      </c>
      <c r="F257" s="298">
        <v>644</v>
      </c>
      <c r="G257" s="298" t="s">
        <v>88</v>
      </c>
      <c r="H257" s="298" t="s">
        <v>88</v>
      </c>
      <c r="I257" s="156">
        <v>13.87</v>
      </c>
      <c r="J257" s="157">
        <f t="shared" si="54"/>
        <v>5.906993511175199</v>
      </c>
      <c r="K257" s="158">
        <v>0.81930000000000003</v>
      </c>
      <c r="L257" s="126">
        <v>1</v>
      </c>
      <c r="M257" s="82">
        <f t="shared" si="55"/>
        <v>0.81930000000000003</v>
      </c>
      <c r="N257" s="159" t="s">
        <v>304</v>
      </c>
      <c r="O257" s="160">
        <v>0.71689999999999998</v>
      </c>
      <c r="P257" s="182">
        <v>44340</v>
      </c>
      <c r="Q257" s="182">
        <v>44354</v>
      </c>
      <c r="R257" s="82">
        <f t="shared" si="56"/>
        <v>14.283721579020792</v>
      </c>
      <c r="S257" s="162">
        <f>IF(INDEX([1]Historical!$D$7:$D$1229,MATCH(B257,[1]Historical!$B$7:$B$1253,0))=0,"n/a",(INDEX([1]Historical!$C$7:$C$1231,MATCH(B257,[1]Historical!$B$7:$B$1253,0))/INDEX([1]Historical!$D$7:$D$1229,MATCH(B257,[1]Historical!$B$7:$B$1253,0))-1)*100)</f>
        <v>14.286909943086723</v>
      </c>
      <c r="T257" s="162">
        <f>IF(INDEX([1]Historical!$F$7:$F$1222,MATCH(B257,[1]Historical!$B$7:$B$1253,0))=0,"n/a",((INDEX([1]Historical!$C$7:$C$1231,MATCH(B257,[1]Historical!$B$7:$B$1253,0))/INDEX([1]Historical!$F$7:$F$1222,MATCH(B257,[1]Historical!$B$7:$B$1253,0)))^(1/3)-1)*100)</f>
        <v>9.7273022960561164</v>
      </c>
      <c r="U257" s="162">
        <f>IF(INDEX([1]Historical!$H$7:$H$1222,MATCH(B257,[1]Historical!$B$7:$B$1253,0))=0,"n/a",((INDEX([1]Historical!$C$7:$C$1231,MATCH(B257,[1]Historical!$B$7:$B$1253,0))/INDEX([1]Historical!$H$7:$H$1222,MATCH(B257,[1]Historical!$B$7:$B$1253,0)))^(1/5)-1)*100)</f>
        <v>12.635756075595129</v>
      </c>
      <c r="V257" s="162">
        <f>IF(INDEX([1]Historical!$N$7:$N$1222,MATCH(B257,[1]Historical!$B$7:$B$1253,0))=0,"n/a",((INDEX([1]Historical!$C$7:$C$1231,MATCH(B257,[1]Historical!$B$7:$B$1253,0))/INDEX([1]Historical!$N$7:$N$1222,MATCH(B257,[1]Historical!$B$7:$B$1253,0)))^(1/10)-1)*100)</f>
        <v>5.8553729445805613</v>
      </c>
      <c r="W257" s="163">
        <f t="shared" si="57"/>
        <v>2.1579763057262049</v>
      </c>
      <c r="X257" s="164" t="str">
        <f t="shared" si="58"/>
        <v>n/a</v>
      </c>
      <c r="Y257" s="180"/>
      <c r="Z257" s="157">
        <f t="shared" si="59"/>
        <v>58.942446043165475</v>
      </c>
      <c r="AA257" s="166">
        <f t="shared" si="60"/>
        <v>9.9784172661870514</v>
      </c>
      <c r="AB257" s="126">
        <v>12</v>
      </c>
      <c r="AC257" s="167">
        <v>1.39</v>
      </c>
      <c r="AD257" s="167">
        <v>9.0299999999999994</v>
      </c>
      <c r="AE257" s="167">
        <v>0.42</v>
      </c>
      <c r="AF257" s="167">
        <v>0.55000000000000004</v>
      </c>
      <c r="AG257" s="167" t="s">
        <v>95</v>
      </c>
      <c r="AH257" s="167">
        <v>8.2000000000000011</v>
      </c>
      <c r="AI257" s="167">
        <v>25.4</v>
      </c>
      <c r="AJ257" s="167">
        <v>-6.21</v>
      </c>
      <c r="AK257" s="167">
        <v>1.05</v>
      </c>
      <c r="AL257" s="168">
        <v>7680</v>
      </c>
      <c r="AM257" s="169" t="s">
        <v>95</v>
      </c>
      <c r="AN257" s="167" t="s">
        <v>95</v>
      </c>
      <c r="AO257" s="170">
        <f t="shared" si="61"/>
        <v>8.5643323205832758</v>
      </c>
      <c r="AP257" s="171">
        <f t="shared" si="62"/>
        <v>18.542749586770327</v>
      </c>
      <c r="AQ257" s="172">
        <f t="shared" si="63"/>
        <v>-50.612059517854505</v>
      </c>
      <c r="AR257" s="157">
        <f>INDEX([1]Historical!$C$7:$C$1231,MATCH(B257,[1]Historical!$B$7:$B$1253,0))*IF(AH257="n/a",1.03,IF(AH257&lt;0,1.01,IF(AH257&gt;10,1.1,(1+AH257/100))))</f>
        <v>0.88648260000000012</v>
      </c>
      <c r="AS257" s="166">
        <f t="shared" si="64"/>
        <v>0.97513086000000027</v>
      </c>
      <c r="AT257" s="166">
        <f t="shared" si="71"/>
        <v>0.98536973403000028</v>
      </c>
      <c r="AU257" s="166">
        <f t="shared" si="71"/>
        <v>0.99571611623731526</v>
      </c>
      <c r="AV257" s="166">
        <f t="shared" si="71"/>
        <v>1.0061711354578071</v>
      </c>
      <c r="AW257" s="157">
        <f t="shared" si="66"/>
        <v>4.8488704457251233</v>
      </c>
      <c r="AX257" s="173">
        <f t="shared" si="67"/>
        <v>34.95941200955388</v>
      </c>
      <c r="AY257" s="174" t="s">
        <v>95</v>
      </c>
      <c r="AZ257" s="169">
        <v>8.49</v>
      </c>
      <c r="BA257" s="169">
        <v>-61.160000000000004</v>
      </c>
      <c r="BB257" s="169">
        <v>-9.2799999999999994</v>
      </c>
      <c r="BC257" s="169">
        <v>-45.78</v>
      </c>
      <c r="BE257" s="77">
        <v>2016</v>
      </c>
      <c r="BF257" s="77">
        <f t="shared" si="68"/>
        <v>1</v>
      </c>
      <c r="BG257" s="175" t="s">
        <v>95</v>
      </c>
      <c r="BH257" t="s">
        <v>1070</v>
      </c>
      <c r="BI257" t="s">
        <v>940</v>
      </c>
      <c r="BJ257" s="112"/>
      <c r="BK257" s="112"/>
      <c r="BL257" s="112"/>
    </row>
    <row r="258" spans="1:64" ht="11.25" customHeight="1" x14ac:dyDescent="0.2">
      <c r="A258" s="205" t="s">
        <v>1071</v>
      </c>
      <c r="B258" s="153" t="s">
        <v>1072</v>
      </c>
      <c r="C258" s="154" t="s">
        <v>90</v>
      </c>
      <c r="D258" s="154" t="s">
        <v>969</v>
      </c>
      <c r="E258" s="155">
        <v>7</v>
      </c>
      <c r="F258" s="298">
        <v>636</v>
      </c>
      <c r="G258" s="298" t="s">
        <v>88</v>
      </c>
      <c r="H258" s="298" t="s">
        <v>88</v>
      </c>
      <c r="I258" s="156">
        <v>7.6</v>
      </c>
      <c r="J258" s="157">
        <f t="shared" si="54"/>
        <v>4.7368421052631584</v>
      </c>
      <c r="K258" s="158">
        <v>0.09</v>
      </c>
      <c r="L258" s="126">
        <v>4</v>
      </c>
      <c r="M258" s="82">
        <f t="shared" si="55"/>
        <v>0.36</v>
      </c>
      <c r="N258" s="159" t="s">
        <v>167</v>
      </c>
      <c r="O258" s="160">
        <v>7.4999999999999997E-2</v>
      </c>
      <c r="P258" s="161">
        <v>44804</v>
      </c>
      <c r="Q258" s="161">
        <v>44819</v>
      </c>
      <c r="R258" s="82">
        <f t="shared" si="56"/>
        <v>20</v>
      </c>
      <c r="S258" s="162">
        <f>IF(INDEX([1]Historical!$D$7:$D$1229,MATCH(B258,[1]Historical!$B$7:$B$1253,0))=0,"n/a",(INDEX([1]Historical!$C$7:$C$1231,MATCH(B258,[1]Historical!$B$7:$B$1253,0))/INDEX([1]Historical!$D$7:$D$1229,MATCH(B258,[1]Historical!$B$7:$B$1253,0))-1)*100)</f>
        <v>22.72727272727273</v>
      </c>
      <c r="T258" s="162">
        <f>IF(INDEX([1]Historical!$F$7:$F$1222,MATCH(B258,[1]Historical!$B$7:$B$1253,0))=0,"n/a",((INDEX([1]Historical!$C$7:$C$1231,MATCH(B258,[1]Historical!$B$7:$B$1253,0))/INDEX([1]Historical!$F$7:$F$1222,MATCH(B258,[1]Historical!$B$7:$B$1253,0)))^(1/3)-1)*100)</f>
        <v>16.673335619846096</v>
      </c>
      <c r="U258" s="162">
        <f>IF(INDEX([1]Historical!$H$7:$H$1222,MATCH(B258,[1]Historical!$B$7:$B$1253,0))=0,"n/a",((INDEX([1]Historical!$C$7:$C$1231,MATCH(B258,[1]Historical!$B$7:$B$1253,0))/INDEX([1]Historical!$H$7:$H$1222,MATCH(B258,[1]Historical!$B$7:$B$1253,0)))^(1/5)-1)*100)</f>
        <v>24.573093961551741</v>
      </c>
      <c r="V258" s="162" t="str">
        <f>IF(INDEX([1]Historical!$N$7:$N$1222,MATCH(B258,[1]Historical!$B$7:$B$1253,0))=0,"n/a",((INDEX([1]Historical!$C$7:$C$1231,MATCH(B258,[1]Historical!$B$7:$B$1253,0))/INDEX([1]Historical!$N$7:$N$1222,MATCH(B258,[1]Historical!$B$7:$B$1253,0)))^(1/10)-1)*100)</f>
        <v>n/a</v>
      </c>
      <c r="W258" s="163" t="str">
        <f t="shared" si="57"/>
        <v>n/a</v>
      </c>
      <c r="X258" s="164">
        <f t="shared" si="58"/>
        <v>1.0777672790154271</v>
      </c>
      <c r="Y258" s="180"/>
      <c r="Z258" s="157">
        <f t="shared" si="59"/>
        <v>35.294117647058819</v>
      </c>
      <c r="AA258" s="166">
        <f t="shared" si="60"/>
        <v>7.450980392156862</v>
      </c>
      <c r="AB258" s="126">
        <v>12</v>
      </c>
      <c r="AC258" s="167">
        <v>1.02</v>
      </c>
      <c r="AD258" s="167" t="s">
        <v>95</v>
      </c>
      <c r="AE258" s="167">
        <v>2.78</v>
      </c>
      <c r="AF258" s="167">
        <v>1.2</v>
      </c>
      <c r="AG258" s="167">
        <v>13.5</v>
      </c>
      <c r="AH258" s="167">
        <v>39.800000000000004</v>
      </c>
      <c r="AI258" s="167" t="s">
        <v>95</v>
      </c>
      <c r="AJ258" s="167">
        <v>22.8</v>
      </c>
      <c r="AK258" s="167" t="s">
        <v>95</v>
      </c>
      <c r="AL258" s="168">
        <v>150.38999999999999</v>
      </c>
      <c r="AM258" s="169">
        <v>16.5</v>
      </c>
      <c r="AN258" s="167">
        <v>0.08</v>
      </c>
      <c r="AO258" s="170">
        <f t="shared" si="61"/>
        <v>21.858955674658038</v>
      </c>
      <c r="AP258" s="171">
        <f t="shared" si="62"/>
        <v>29.309936066814899</v>
      </c>
      <c r="AQ258" s="172">
        <f t="shared" si="63"/>
        <v>-36.961470439497667</v>
      </c>
      <c r="AR258" s="157">
        <f>INDEX([1]Historical!$C$7:$C$1231,MATCH(B258,[1]Historical!$B$7:$B$1253,0))*IF(AH258="n/a",1.03,IF(AH258&lt;0,1.01,IF(AH258&gt;10,1.1,(1+AH258/100))))</f>
        <v>0.29700000000000004</v>
      </c>
      <c r="AS258" s="166">
        <f t="shared" si="64"/>
        <v>0.30591000000000007</v>
      </c>
      <c r="AT258" s="166">
        <f t="shared" si="71"/>
        <v>0.31508730000000007</v>
      </c>
      <c r="AU258" s="166">
        <f t="shared" si="71"/>
        <v>0.32453991900000007</v>
      </c>
      <c r="AV258" s="166">
        <f t="shared" si="71"/>
        <v>0.33427611657000006</v>
      </c>
      <c r="AW258" s="157">
        <f t="shared" si="66"/>
        <v>1.5768133355700003</v>
      </c>
      <c r="AX258" s="173">
        <f t="shared" si="67"/>
        <v>20.747543889078951</v>
      </c>
      <c r="AY258" s="174">
        <v>0.34</v>
      </c>
      <c r="AZ258" s="169">
        <v>3.51</v>
      </c>
      <c r="BA258" s="169">
        <v>-25.119999999999997</v>
      </c>
      <c r="BB258" s="169">
        <v>-2.17</v>
      </c>
      <c r="BC258" s="169">
        <v>-9.4600000000000009</v>
      </c>
      <c r="BE258" s="77">
        <v>2016</v>
      </c>
      <c r="BF258" s="77">
        <f t="shared" si="68"/>
        <v>1</v>
      </c>
      <c r="BG258" s="175">
        <v>1.2</v>
      </c>
      <c r="BH258" t="s">
        <v>939</v>
      </c>
      <c r="BI258" t="s">
        <v>940</v>
      </c>
      <c r="BJ258" s="112"/>
      <c r="BK258" s="112"/>
      <c r="BL258" s="112"/>
    </row>
    <row r="259" spans="1:64" ht="11.25" customHeight="1" x14ac:dyDescent="0.2">
      <c r="A259" s="176" t="s">
        <v>1398</v>
      </c>
      <c r="B259" s="153" t="s">
        <v>757</v>
      </c>
      <c r="C259" s="154" t="s">
        <v>90</v>
      </c>
      <c r="D259" s="154" t="s">
        <v>110</v>
      </c>
      <c r="E259" s="155">
        <v>10</v>
      </c>
      <c r="F259" s="298">
        <v>455</v>
      </c>
      <c r="G259" s="298" t="s">
        <v>88</v>
      </c>
      <c r="H259" s="298" t="s">
        <v>88</v>
      </c>
      <c r="I259" s="156">
        <v>39.380000000000003</v>
      </c>
      <c r="J259" s="157">
        <f t="shared" si="54"/>
        <v>4.4692737430167595</v>
      </c>
      <c r="K259" s="158">
        <v>0.44</v>
      </c>
      <c r="L259" s="126">
        <v>4</v>
      </c>
      <c r="M259" s="82">
        <f t="shared" si="55"/>
        <v>1.76</v>
      </c>
      <c r="N259" s="159" t="s">
        <v>119</v>
      </c>
      <c r="O259" s="246">
        <v>0.4</v>
      </c>
      <c r="P259" s="161">
        <v>44546</v>
      </c>
      <c r="Q259" s="161">
        <v>44561</v>
      </c>
      <c r="R259" s="82">
        <f t="shared" si="56"/>
        <v>9.9999999999999947</v>
      </c>
      <c r="S259" s="162">
        <f>IF(INDEX([1]Historical!$D$7:$D$1229,MATCH(B259,[1]Historical!$B$7:$B$1253,0))=0,"n/a",(INDEX([1]Historical!$C$7:$C$1231,MATCH(B259,[1]Historical!$B$7:$B$1253,0))/INDEX([1]Historical!$D$7:$D$1229,MATCH(B259,[1]Historical!$B$7:$B$1253,0))-1)*100)</f>
        <v>15.555555555555545</v>
      </c>
      <c r="T259" s="162">
        <f>IF(INDEX([1]Historical!$F$7:$F$1222,MATCH(B259,[1]Historical!$B$7:$B$1253,0))=0,"n/a",((INDEX([1]Historical!$C$7:$C$1231,MATCH(B259,[1]Historical!$B$7:$B$1253,0))/INDEX([1]Historical!$F$7:$F$1222,MATCH(B259,[1]Historical!$B$7:$B$1253,0)))^(1/3)-1)*100)</f>
        <v>9.1392883061105934</v>
      </c>
      <c r="U259" s="162">
        <f>IF(INDEX([1]Historical!$H$7:$H$1222,MATCH(B259,[1]Historical!$B$7:$B$1253,0))=0,"n/a",((INDEX([1]Historical!$C$7:$C$1231,MATCH(B259,[1]Historical!$B$7:$B$1253,0))/INDEX([1]Historical!$H$7:$H$1222,MATCH(B259,[1]Historical!$B$7:$B$1253,0)))^(1/5)-1)*100)</f>
        <v>17.646116810051062</v>
      </c>
      <c r="V259" s="162">
        <f>IF(INDEX([1]Historical!$N$7:$N$1222,MATCH(B259,[1]Historical!$B$7:$B$1253,0))=0,"n/a",((INDEX([1]Historical!$C$7:$C$1231,MATCH(B259,[1]Historical!$B$7:$B$1253,0))/INDEX([1]Historical!$N$7:$N$1222,MATCH(B259,[1]Historical!$B$7:$B$1253,0)))^(1/10)-1)*100)</f>
        <v>17.519017627063292</v>
      </c>
      <c r="W259" s="163">
        <f t="shared" si="57"/>
        <v>1.0072549263716379</v>
      </c>
      <c r="X259" s="164">
        <f t="shared" si="58"/>
        <v>0.45953429192841311</v>
      </c>
      <c r="Y259" s="223" t="s">
        <v>526</v>
      </c>
      <c r="Z259" s="157">
        <f t="shared" si="59"/>
        <v>24.546722454672246</v>
      </c>
      <c r="AA259" s="166">
        <f t="shared" si="60"/>
        <v>5.4923291492329156</v>
      </c>
      <c r="AB259" s="126">
        <v>12</v>
      </c>
      <c r="AC259" s="167">
        <v>7.17</v>
      </c>
      <c r="AD259" s="167" t="s">
        <v>95</v>
      </c>
      <c r="AE259" s="167">
        <v>0.74</v>
      </c>
      <c r="AF259" s="167">
        <v>1.65</v>
      </c>
      <c r="AG259" s="167">
        <v>24.4</v>
      </c>
      <c r="AH259" s="167">
        <v>65.7</v>
      </c>
      <c r="AI259" s="167">
        <v>-9.4</v>
      </c>
      <c r="AJ259" s="167">
        <v>38.4</v>
      </c>
      <c r="AK259" s="167">
        <v>-6.69</v>
      </c>
      <c r="AL259" s="168">
        <v>10780</v>
      </c>
      <c r="AM259" s="169">
        <v>2.4</v>
      </c>
      <c r="AN259" s="167">
        <v>0.46</v>
      </c>
      <c r="AO259" s="170">
        <f t="shared" si="61"/>
        <v>16.623061403834907</v>
      </c>
      <c r="AP259" s="171">
        <f t="shared" si="62"/>
        <v>22.115390553067822</v>
      </c>
      <c r="AQ259" s="172">
        <f t="shared" si="63"/>
        <v>-36.535773519479463</v>
      </c>
      <c r="AR259" s="157">
        <f>INDEX([1]Historical!$C$7:$C$1231,MATCH(B259,[1]Historical!$B$7:$B$1253,0))*IF(AH259="n/a",1.03,IF(AH259&lt;0,1.01,IF(AH259&gt;10,1.1,(1+AH259/100))))</f>
        <v>1.7160000000000002</v>
      </c>
      <c r="AS259" s="166">
        <f t="shared" si="64"/>
        <v>1.7331600000000003</v>
      </c>
      <c r="AT259" s="166">
        <f t="shared" si="71"/>
        <v>1.7504916000000004</v>
      </c>
      <c r="AU259" s="166">
        <f t="shared" si="71"/>
        <v>1.7679965160000004</v>
      </c>
      <c r="AV259" s="166">
        <f t="shared" si="71"/>
        <v>1.7856764811600003</v>
      </c>
      <c r="AW259" s="157">
        <f t="shared" si="66"/>
        <v>8.7533245971600024</v>
      </c>
      <c r="AX259" s="173">
        <f t="shared" si="67"/>
        <v>22.2278430603352</v>
      </c>
      <c r="AY259" s="174">
        <v>1.34</v>
      </c>
      <c r="AZ259" s="169">
        <v>14.13</v>
      </c>
      <c r="BA259" s="169">
        <v>-30.23</v>
      </c>
      <c r="BB259" s="169">
        <v>1.52</v>
      </c>
      <c r="BC259" s="169">
        <v>-6.54</v>
      </c>
      <c r="BE259" s="77">
        <v>2012</v>
      </c>
      <c r="BF259" s="77">
        <f t="shared" si="68"/>
        <v>1</v>
      </c>
      <c r="BG259" s="175">
        <v>3.4000000000000004</v>
      </c>
      <c r="BH259" t="s">
        <v>939</v>
      </c>
      <c r="BI259" t="s">
        <v>940</v>
      </c>
    </row>
    <row r="260" spans="1:64" ht="11.25" customHeight="1" x14ac:dyDescent="0.2">
      <c r="A260" s="112" t="s">
        <v>1399</v>
      </c>
      <c r="B260" s="153" t="s">
        <v>906</v>
      </c>
      <c r="C260" s="154" t="s">
        <v>90</v>
      </c>
      <c r="D260" s="154" t="s">
        <v>969</v>
      </c>
      <c r="E260" s="155">
        <v>9</v>
      </c>
      <c r="F260" s="298">
        <v>548</v>
      </c>
      <c r="G260" s="298" t="s">
        <v>88</v>
      </c>
      <c r="H260" s="298" t="s">
        <v>88</v>
      </c>
      <c r="I260" s="116">
        <v>30.56</v>
      </c>
      <c r="J260" s="157">
        <f t="shared" si="54"/>
        <v>4.4502617801047126</v>
      </c>
      <c r="K260" s="209">
        <v>0.34</v>
      </c>
      <c r="L260" s="77">
        <v>4</v>
      </c>
      <c r="M260" s="82">
        <f t="shared" si="55"/>
        <v>1.36</v>
      </c>
      <c r="N260" s="77" t="s">
        <v>309</v>
      </c>
      <c r="O260" s="210">
        <v>0.32</v>
      </c>
      <c r="P260" s="161">
        <v>44750</v>
      </c>
      <c r="Q260" s="161">
        <v>44764</v>
      </c>
      <c r="R260" s="82">
        <f t="shared" si="56"/>
        <v>6.2500000000000053</v>
      </c>
      <c r="S260" s="162">
        <f>IF(INDEX([1]Historical!$D$7:$D$1229,MATCH(B260,[1]Historical!$B$7:$B$1253,0))=0,"n/a",(INDEX([1]Historical!$C$7:$C$1231,MATCH(B260,[1]Historical!$B$7:$B$1253,0))/INDEX([1]Historical!$D$7:$D$1229,MATCH(B260,[1]Historical!$B$7:$B$1253,0))-1)*100)</f>
        <v>3.2786885245901676</v>
      </c>
      <c r="T260" s="162">
        <f>IF(INDEX([1]Historical!$F$7:$F$1222,MATCH(B260,[1]Historical!$B$7:$B$1253,0))=0,"n/a",((INDEX([1]Historical!$C$7:$C$1231,MATCH(B260,[1]Historical!$B$7:$B$1253,0))/INDEX([1]Historical!$F$7:$F$1222,MATCH(B260,[1]Historical!$B$7:$B$1253,0)))^(1/3)-1)*100)</f>
        <v>5.9306311673701595</v>
      </c>
      <c r="U260" s="162">
        <f>IF(INDEX([1]Historical!$H$7:$H$1222,MATCH(B260,[1]Historical!$B$7:$B$1253,0))=0,"n/a",((INDEX([1]Historical!$C$7:$C$1231,MATCH(B260,[1]Historical!$B$7:$B$1253,0))/INDEX([1]Historical!$H$7:$H$1222,MATCH(B260,[1]Historical!$B$7:$B$1253,0)))^(1/5)-1)*100)</f>
        <v>7.0420362683703441</v>
      </c>
      <c r="V260" s="162">
        <f>IF(INDEX([1]Historical!$N$7:$N$1222,MATCH(B260,[1]Historical!$B$7:$B$1253,0))=0,"n/a",((INDEX([1]Historical!$C$7:$C$1231,MATCH(B260,[1]Historical!$B$7:$B$1253,0))/INDEX([1]Historical!$N$7:$N$1222,MATCH(B260,[1]Historical!$B$7:$B$1253,0)))^(1/10)-1)*100)</f>
        <v>4.9503219834913237</v>
      </c>
      <c r="W260" s="163">
        <f t="shared" si="57"/>
        <v>1.4225410572998309</v>
      </c>
      <c r="X260" s="164">
        <f t="shared" si="58"/>
        <v>0.47905008628369689</v>
      </c>
      <c r="Y260" s="153"/>
      <c r="Z260" s="157">
        <f t="shared" si="59"/>
        <v>38.202247191011239</v>
      </c>
      <c r="AA260" s="166">
        <f t="shared" si="60"/>
        <v>8.5842696629213471</v>
      </c>
      <c r="AB260" s="298">
        <v>12</v>
      </c>
      <c r="AC260" s="116">
        <v>3.56</v>
      </c>
      <c r="AD260" s="116" t="s">
        <v>95</v>
      </c>
      <c r="AE260" s="116">
        <v>3.85</v>
      </c>
      <c r="AF260" s="116">
        <v>1.48</v>
      </c>
      <c r="AG260" s="116">
        <v>15.7</v>
      </c>
      <c r="AH260" s="116">
        <v>33</v>
      </c>
      <c r="AI260" s="116" t="s">
        <v>95</v>
      </c>
      <c r="AJ260" s="116">
        <v>14.7</v>
      </c>
      <c r="AK260" s="116" t="s">
        <v>95</v>
      </c>
      <c r="AL260" s="116">
        <v>331.3</v>
      </c>
      <c r="AM260" s="116">
        <v>0.1</v>
      </c>
      <c r="AN260" s="116">
        <v>0</v>
      </c>
      <c r="AO260" s="170">
        <f t="shared" si="61"/>
        <v>2.9080283855537097</v>
      </c>
      <c r="AP260" s="171">
        <f t="shared" si="62"/>
        <v>11.492298048475057</v>
      </c>
      <c r="AQ260" s="172">
        <f t="shared" si="63"/>
        <v>-24.856525082202918</v>
      </c>
      <c r="AR260" s="157">
        <f>INDEX([1]Historical!$C$7:$C$1231,MATCH(B260,[1]Historical!$B$7:$B$1253,0))*IF(AH260="n/a",1.03,IF(AH260&lt;0,1.01,IF(AH260&gt;10,1.1,(1+AH260/100))))</f>
        <v>1.3860000000000001</v>
      </c>
      <c r="AS260" s="166">
        <f t="shared" si="64"/>
        <v>1.4275800000000001</v>
      </c>
      <c r="AT260" s="166">
        <f t="shared" si="71"/>
        <v>1.4704074</v>
      </c>
      <c r="AU260" s="166">
        <f t="shared" si="71"/>
        <v>1.5145196220000001</v>
      </c>
      <c r="AV260" s="166">
        <f t="shared" si="71"/>
        <v>1.5599552106600001</v>
      </c>
      <c r="AW260" s="157">
        <f t="shared" si="66"/>
        <v>7.35846223266</v>
      </c>
      <c r="AX260" s="173">
        <f t="shared" si="67"/>
        <v>24.078737672316755</v>
      </c>
      <c r="AY260" s="225">
        <v>0.5</v>
      </c>
      <c r="AZ260" s="175">
        <v>11.450000000000001</v>
      </c>
      <c r="BA260" s="175">
        <v>-16.96</v>
      </c>
      <c r="BB260" s="175">
        <v>5.9799999999999995</v>
      </c>
      <c r="BC260" s="175">
        <v>2.5700000000000003</v>
      </c>
      <c r="BE260" s="77">
        <v>2014</v>
      </c>
      <c r="BF260" s="77">
        <f t="shared" si="68"/>
        <v>1</v>
      </c>
      <c r="BG260" s="175">
        <v>1.4000000000000001</v>
      </c>
      <c r="BH260" t="s">
        <v>939</v>
      </c>
      <c r="BI260" t="s">
        <v>940</v>
      </c>
    </row>
    <row r="261" spans="1:64" ht="11.25" customHeight="1" x14ac:dyDescent="0.2">
      <c r="A261" s="176" t="s">
        <v>1400</v>
      </c>
      <c r="B261" s="153" t="s">
        <v>620</v>
      </c>
      <c r="C261" s="154" t="s">
        <v>96</v>
      </c>
      <c r="D261" s="154" t="s">
        <v>956</v>
      </c>
      <c r="E261" s="155">
        <v>15</v>
      </c>
      <c r="F261" s="298">
        <v>251</v>
      </c>
      <c r="G261" s="298" t="s">
        <v>88</v>
      </c>
      <c r="H261" s="298" t="s">
        <v>88</v>
      </c>
      <c r="I261" s="156">
        <v>123.58</v>
      </c>
      <c r="J261" s="157">
        <f t="shared" si="54"/>
        <v>1.0357663052273831</v>
      </c>
      <c r="K261" s="158">
        <v>0.32</v>
      </c>
      <c r="L261" s="126">
        <v>4</v>
      </c>
      <c r="M261" s="82">
        <f t="shared" si="55"/>
        <v>1.28</v>
      </c>
      <c r="N261" s="159" t="s">
        <v>628</v>
      </c>
      <c r="O261" s="160">
        <v>0.3</v>
      </c>
      <c r="P261" s="161">
        <v>44636</v>
      </c>
      <c r="Q261" s="161">
        <v>44651</v>
      </c>
      <c r="R261" s="82">
        <f t="shared" si="56"/>
        <v>6.6666666666666732</v>
      </c>
      <c r="S261" s="162">
        <f>IF(INDEX([1]Historical!$D$7:$D$1229,MATCH(B261,[1]Historical!$B$7:$B$1253,0))=0,"n/a",(INDEX([1]Historical!$C$7:$C$1231,MATCH(B261,[1]Historical!$B$7:$B$1253,0))/INDEX([1]Historical!$D$7:$D$1229,MATCH(B261,[1]Historical!$B$7:$B$1253,0))-1)*100)</f>
        <v>12.621359223300965</v>
      </c>
      <c r="T261" s="162">
        <f>IF(INDEX([1]Historical!$F$7:$F$1222,MATCH(B261,[1]Historical!$B$7:$B$1253,0))=0,"n/a",((INDEX([1]Historical!$C$7:$C$1231,MATCH(B261,[1]Historical!$B$7:$B$1253,0))/INDEX([1]Historical!$F$7:$F$1222,MATCH(B261,[1]Historical!$B$7:$B$1253,0)))^(1/3)-1)*100)</f>
        <v>6.8836955505124253</v>
      </c>
      <c r="U261" s="162">
        <f>IF(INDEX([1]Historical!$H$7:$H$1222,MATCH(B261,[1]Historical!$B$7:$B$1253,0))=0,"n/a",((INDEX([1]Historical!$C$7:$C$1231,MATCH(B261,[1]Historical!$B$7:$B$1253,0))/INDEX([1]Historical!$H$7:$H$1222,MATCH(B261,[1]Historical!$B$7:$B$1253,0)))^(1/5)-1)*100)</f>
        <v>5.9223841048812176</v>
      </c>
      <c r="V261" s="162">
        <f>IF(INDEX([1]Historical!$N$7:$N$1222,MATCH(B261,[1]Historical!$B$7:$B$1253,0))=0,"n/a",((INDEX([1]Historical!$C$7:$C$1231,MATCH(B261,[1]Historical!$B$7:$B$1253,0))/INDEX([1]Historical!$N$7:$N$1222,MATCH(B261,[1]Historical!$B$7:$B$1253,0)))^(1/10)-1)*100)</f>
        <v>11.481101689630769</v>
      </c>
      <c r="W261" s="163">
        <f t="shared" si="57"/>
        <v>0.51583761427965202</v>
      </c>
      <c r="X261" s="164">
        <f t="shared" si="58"/>
        <v>0.14515647315885338</v>
      </c>
      <c r="Y261" s="153" t="s">
        <v>621</v>
      </c>
      <c r="Z261" s="157">
        <f t="shared" si="59"/>
        <v>23.616236162361627</v>
      </c>
      <c r="AA261" s="166">
        <f t="shared" si="60"/>
        <v>22.800738007380073</v>
      </c>
      <c r="AB261" s="126">
        <v>12</v>
      </c>
      <c r="AC261" s="167">
        <v>5.42</v>
      </c>
      <c r="AD261" s="167">
        <v>3.63</v>
      </c>
      <c r="AE261" s="167">
        <v>17.87</v>
      </c>
      <c r="AF261" s="167">
        <v>2.83</v>
      </c>
      <c r="AG261" s="167">
        <v>12.6</v>
      </c>
      <c r="AH261" s="167">
        <v>124</v>
      </c>
      <c r="AI261" s="167">
        <v>-3</v>
      </c>
      <c r="AJ261" s="167">
        <v>40.799999999999997</v>
      </c>
      <c r="AK261" s="167">
        <v>6.35</v>
      </c>
      <c r="AL261" s="168">
        <v>32360</v>
      </c>
      <c r="AM261" s="169">
        <v>0.71000000000000008</v>
      </c>
      <c r="AN261" s="167">
        <v>0</v>
      </c>
      <c r="AO261" s="170">
        <f t="shared" si="61"/>
        <v>-15.842587597271471</v>
      </c>
      <c r="AP261" s="171">
        <f t="shared" si="62"/>
        <v>6.9581504101086011</v>
      </c>
      <c r="AQ261" s="172">
        <f t="shared" si="63"/>
        <v>69.346572397010235</v>
      </c>
      <c r="AR261" s="157">
        <f>INDEX([1]Historical!$C$7:$C$1231,MATCH(B261,[1]Historical!$B$7:$B$1253,0))*IF(AH261="n/a",1.03,IF(AH261&lt;0,1.01,IF(AH261&gt;10,1.1,(1+AH261/100))))</f>
        <v>1.276</v>
      </c>
      <c r="AS261" s="166">
        <f t="shared" si="64"/>
        <v>1.2887600000000001</v>
      </c>
      <c r="AT261" s="166">
        <f t="shared" si="71"/>
        <v>1.3705962599999999</v>
      </c>
      <c r="AU261" s="166">
        <f t="shared" si="71"/>
        <v>1.4576291225099998</v>
      </c>
      <c r="AV261" s="166">
        <f t="shared" si="71"/>
        <v>1.5501885717893846</v>
      </c>
      <c r="AW261" s="157">
        <f t="shared" si="66"/>
        <v>6.9431739542993842</v>
      </c>
      <c r="AX261" s="173">
        <f t="shared" si="67"/>
        <v>5.6183637759341192</v>
      </c>
      <c r="AY261" s="174">
        <v>0.55000000000000004</v>
      </c>
      <c r="AZ261" s="169">
        <v>12.65</v>
      </c>
      <c r="BA261" s="169">
        <v>-27.01</v>
      </c>
      <c r="BB261" s="169">
        <v>1.7500000000000002</v>
      </c>
      <c r="BC261" s="169">
        <v>-10.130000000000001</v>
      </c>
      <c r="BE261" s="77">
        <v>2008</v>
      </c>
      <c r="BF261" s="77">
        <f t="shared" si="68"/>
        <v>2</v>
      </c>
      <c r="BG261" s="175">
        <v>12.2</v>
      </c>
      <c r="BH261" t="s">
        <v>939</v>
      </c>
      <c r="BI261" t="s">
        <v>940</v>
      </c>
    </row>
    <row r="262" spans="1:64" ht="11.25" customHeight="1" x14ac:dyDescent="0.2">
      <c r="A262" s="176" t="s">
        <v>1401</v>
      </c>
      <c r="B262" s="153" t="s">
        <v>806</v>
      </c>
      <c r="C262" s="154" t="s">
        <v>947</v>
      </c>
      <c r="D262" s="154" t="s">
        <v>948</v>
      </c>
      <c r="E262" s="155">
        <v>10</v>
      </c>
      <c r="F262" s="298">
        <v>484</v>
      </c>
      <c r="G262" s="298" t="s">
        <v>30</v>
      </c>
      <c r="H262" s="298" t="s">
        <v>30</v>
      </c>
      <c r="I262" s="156">
        <v>47.63</v>
      </c>
      <c r="J262" s="157">
        <f t="shared" si="54"/>
        <v>2.4774301910560572</v>
      </c>
      <c r="K262" s="158">
        <v>0.29499999999999998</v>
      </c>
      <c r="L262" s="126">
        <v>4</v>
      </c>
      <c r="M262" s="82">
        <f t="shared" si="55"/>
        <v>1.18</v>
      </c>
      <c r="N262" s="159" t="s">
        <v>112</v>
      </c>
      <c r="O262" s="160">
        <v>0.27</v>
      </c>
      <c r="P262" s="161">
        <v>44650</v>
      </c>
      <c r="Q262" s="161">
        <v>44669</v>
      </c>
      <c r="R262" s="82">
        <f t="shared" si="56"/>
        <v>9.2592592592592471</v>
      </c>
      <c r="S262" s="162">
        <f>IF(INDEX([1]Historical!$D$7:$D$1229,MATCH(B262,[1]Historical!$B$7:$B$1253,0))=0,"n/a",(INDEX([1]Historical!$C$7:$C$1231,MATCH(B262,[1]Historical!$B$7:$B$1253,0))/INDEX([1]Historical!$D$7:$D$1229,MATCH(B262,[1]Historical!$B$7:$B$1253,0))-1)*100)</f>
        <v>8.163265306122458</v>
      </c>
      <c r="T262" s="162">
        <f>IF(INDEX([1]Historical!$F$7:$F$1222,MATCH(B262,[1]Historical!$B$7:$B$1253,0))=0,"n/a",((INDEX([1]Historical!$C$7:$C$1231,MATCH(B262,[1]Historical!$B$7:$B$1253,0))/INDEX([1]Historical!$F$7:$F$1222,MATCH(B262,[1]Historical!$B$7:$B$1253,0)))^(1/3)-1)*100)</f>
        <v>7.0526381427061358</v>
      </c>
      <c r="U262" s="162">
        <f>IF(INDEX([1]Historical!$H$7:$H$1222,MATCH(B262,[1]Historical!$B$7:$B$1253,0))=0,"n/a",((INDEX([1]Historical!$C$7:$C$1231,MATCH(B262,[1]Historical!$B$7:$B$1253,0))/INDEX([1]Historical!$H$7:$H$1222,MATCH(B262,[1]Historical!$B$7:$B$1253,0)))^(1/5)-1)*100)</f>
        <v>8.7463320644729272</v>
      </c>
      <c r="V262" s="162" t="str">
        <f>IF(INDEX([1]Historical!$N$7:$N$1222,MATCH(B262,[1]Historical!$B$7:$B$1253,0))=0,"n/a",((INDEX([1]Historical!$C$7:$C$1231,MATCH(B262,[1]Historical!$B$7:$B$1253,0))/INDEX([1]Historical!$N$7:$N$1222,MATCH(B262,[1]Historical!$B$7:$B$1253,0)))^(1/10)-1)*100)</f>
        <v>n/a</v>
      </c>
      <c r="W262" s="163" t="str">
        <f t="shared" si="57"/>
        <v>n/a</v>
      </c>
      <c r="X262" s="164">
        <f t="shared" si="58"/>
        <v>0.59096838273465724</v>
      </c>
      <c r="Y262" s="178"/>
      <c r="Z262" s="157">
        <f t="shared" si="59"/>
        <v>39.73063973063973</v>
      </c>
      <c r="AA262" s="166">
        <f t="shared" si="60"/>
        <v>16.037037037037038</v>
      </c>
      <c r="AB262" s="126">
        <v>12</v>
      </c>
      <c r="AC262" s="167">
        <v>2.97</v>
      </c>
      <c r="AD262" s="167">
        <v>1.61</v>
      </c>
      <c r="AE262" s="167">
        <v>12.05</v>
      </c>
      <c r="AF262" s="167">
        <v>2.61</v>
      </c>
      <c r="AG262" s="167">
        <v>17.100000000000001</v>
      </c>
      <c r="AH262" s="167">
        <v>36.299999999999997</v>
      </c>
      <c r="AI262" s="167">
        <v>-46.22</v>
      </c>
      <c r="AJ262" s="167">
        <v>14.799999999999999</v>
      </c>
      <c r="AK262" s="167">
        <v>10</v>
      </c>
      <c r="AL262" s="168">
        <v>6230</v>
      </c>
      <c r="AM262" s="169">
        <v>0.4</v>
      </c>
      <c r="AN262" s="167">
        <v>0.82</v>
      </c>
      <c r="AO262" s="170">
        <f t="shared" si="61"/>
        <v>-4.8132747815080528</v>
      </c>
      <c r="AP262" s="171">
        <f t="shared" si="62"/>
        <v>11.223762255528985</v>
      </c>
      <c r="AQ262" s="172">
        <f t="shared" si="63"/>
        <v>36.392679286547327</v>
      </c>
      <c r="AR262" s="157">
        <f>INDEX([1]Historical!$C$7:$C$1231,MATCH(B262,[1]Historical!$B$7:$B$1253,0))*IF(AH262="n/a",1.03,IF(AH262&lt;0,1.01,IF(AH262&gt;10,1.1,(1+AH262/100))))</f>
        <v>1.1660000000000001</v>
      </c>
      <c r="AS262" s="166">
        <f t="shared" si="64"/>
        <v>1.1776600000000002</v>
      </c>
      <c r="AT262" s="166">
        <f t="shared" si="71"/>
        <v>1.2954260000000002</v>
      </c>
      <c r="AU262" s="166">
        <f t="shared" si="71"/>
        <v>1.4249686000000004</v>
      </c>
      <c r="AV262" s="166">
        <f t="shared" si="71"/>
        <v>1.5674654600000004</v>
      </c>
      <c r="AW262" s="157">
        <f t="shared" si="66"/>
        <v>6.6315200600000015</v>
      </c>
      <c r="AX262" s="173">
        <f t="shared" si="67"/>
        <v>13.922989838337186</v>
      </c>
      <c r="AY262" s="174">
        <v>0.98</v>
      </c>
      <c r="AZ262" s="169">
        <v>11</v>
      </c>
      <c r="BA262" s="169">
        <v>-28.63</v>
      </c>
      <c r="BB262" s="169">
        <v>-1.41</v>
      </c>
      <c r="BC262" s="169">
        <v>-11.4</v>
      </c>
      <c r="BE262" s="77">
        <v>2013</v>
      </c>
      <c r="BF262" s="77">
        <f t="shared" si="68"/>
        <v>1</v>
      </c>
      <c r="BG262" s="175">
        <v>8.6999999999999993</v>
      </c>
      <c r="BH262" t="s">
        <v>939</v>
      </c>
      <c r="BI262" t="s">
        <v>945</v>
      </c>
    </row>
    <row r="263" spans="1:64" ht="11.25" customHeight="1" x14ac:dyDescent="0.2">
      <c r="A263" s="205" t="s">
        <v>1402</v>
      </c>
      <c r="B263" s="153" t="s">
        <v>1073</v>
      </c>
      <c r="C263" s="154" t="s">
        <v>90</v>
      </c>
      <c r="D263" s="154" t="s">
        <v>969</v>
      </c>
      <c r="E263" s="155">
        <v>7</v>
      </c>
      <c r="F263" s="298">
        <v>605</v>
      </c>
      <c r="G263" s="298" t="s">
        <v>88</v>
      </c>
      <c r="H263" s="298" t="s">
        <v>88</v>
      </c>
      <c r="I263" s="156">
        <v>32.51</v>
      </c>
      <c r="J263" s="157">
        <f t="shared" ref="J263:J326" si="72">(M263/I263)*100</f>
        <v>3.9372500768994159</v>
      </c>
      <c r="K263" s="158">
        <v>0.32</v>
      </c>
      <c r="L263" s="126">
        <v>4</v>
      </c>
      <c r="M263" s="82">
        <f t="shared" ref="M263:M326" si="73">K263*L263</f>
        <v>1.28</v>
      </c>
      <c r="N263" s="159" t="s">
        <v>334</v>
      </c>
      <c r="O263" s="160">
        <v>0.31</v>
      </c>
      <c r="P263" s="182">
        <v>44413</v>
      </c>
      <c r="Q263" s="182">
        <v>44433</v>
      </c>
      <c r="R263" s="82">
        <f t="shared" ref="R263:R326" si="74">(K263-O263)/O263*100</f>
        <v>3.2258064516129057</v>
      </c>
      <c r="S263" s="162">
        <f>IF(INDEX([1]Historical!$D$7:$D$1229,MATCH(B263,[1]Historical!$B$7:$B$1253,0))=0,"n/a",(INDEX([1]Historical!$C$7:$C$1231,MATCH(B263,[1]Historical!$B$7:$B$1253,0))/INDEX([1]Historical!$D$7:$D$1229,MATCH(B263,[1]Historical!$B$7:$B$1253,0))-1)*100)</f>
        <v>4.1666666666666741</v>
      </c>
      <c r="T263" s="162">
        <f>IF(INDEX([1]Historical!$F$7:$F$1222,MATCH(B263,[1]Historical!$B$7:$B$1253,0))=0,"n/a",((INDEX([1]Historical!$C$7:$C$1231,MATCH(B263,[1]Historical!$B$7:$B$1253,0))/INDEX([1]Historical!$F$7:$F$1222,MATCH(B263,[1]Historical!$B$7:$B$1253,0)))^(1/3)-1)*100)</f>
        <v>5.983983294832651</v>
      </c>
      <c r="U263" s="162">
        <f>IF(INDEX([1]Historical!$H$7:$H$1222,MATCH(B263,[1]Historical!$B$7:$B$1253,0))=0,"n/a",((INDEX([1]Historical!$C$7:$C$1231,MATCH(B263,[1]Historical!$B$7:$B$1253,0))/INDEX([1]Historical!$H$7:$H$1222,MATCH(B263,[1]Historical!$B$7:$B$1253,0)))^(1/5)-1)*100)</f>
        <v>8.7975791805680501</v>
      </c>
      <c r="V263" s="162">
        <f>IF(INDEX([1]Historical!$N$7:$N$1222,MATCH(B263,[1]Historical!$B$7:$B$1253,0))=0,"n/a",((INDEX([1]Historical!$C$7:$C$1231,MATCH(B263,[1]Historical!$B$7:$B$1253,0))/INDEX([1]Historical!$N$7:$N$1222,MATCH(B263,[1]Historical!$B$7:$B$1253,0)))^(1/10)-1)*100)</f>
        <v>1.4725620194454336</v>
      </c>
      <c r="W263" s="163">
        <f t="shared" ref="W263:W326" si="75">IF(OR(U263&lt;=0,U263="n/a",V263&lt;=0,V263="n/a"),"n/a",U263/V263)</f>
        <v>5.9743352499891413</v>
      </c>
      <c r="X263" s="164" t="str">
        <f t="shared" ref="X263:X326" si="76">IF(OR(AJ263&lt;=0,AJ263="n/a",U263&lt;=0,U263="n/a"),"n/a",U263/AJ263)</f>
        <v>n/a</v>
      </c>
      <c r="Y263" s="180"/>
      <c r="Z263" s="157">
        <f t="shared" ref="Z263:Z326" si="77">IF(OR(AC263&lt;0.01,AC263="n/a"),"n/a",M263/AC263*100)</f>
        <v>35.45706371191136</v>
      </c>
      <c r="AA263" s="166">
        <f t="shared" ref="AA263:AA326" si="78">IF(OR(AC263&lt;0.01,AC263="n/a"),"n/a",I263/AC263)</f>
        <v>9.0055401662049857</v>
      </c>
      <c r="AB263" s="126">
        <v>12</v>
      </c>
      <c r="AC263" s="167">
        <v>3.61</v>
      </c>
      <c r="AD263" s="167" t="s">
        <v>95</v>
      </c>
      <c r="AE263" s="167">
        <v>2.37</v>
      </c>
      <c r="AF263" s="167">
        <v>1.18</v>
      </c>
      <c r="AG263" s="167" t="s">
        <v>95</v>
      </c>
      <c r="AH263" s="167" t="s">
        <v>95</v>
      </c>
      <c r="AI263" s="167" t="s">
        <v>95</v>
      </c>
      <c r="AJ263" s="167" t="s">
        <v>95</v>
      </c>
      <c r="AK263" s="167" t="s">
        <v>95</v>
      </c>
      <c r="AL263" s="168">
        <v>144.01</v>
      </c>
      <c r="AM263" s="169">
        <v>4.45</v>
      </c>
      <c r="AN263" s="167" t="s">
        <v>95</v>
      </c>
      <c r="AO263" s="170">
        <f t="shared" ref="AO263:AO326" si="79">IF(U263="n/a","n/a",IF(AA263&lt;0,"n/a",IF(AA263="n/a","n/a",J263+U263-AA263)))</f>
        <v>3.7292890912624799</v>
      </c>
      <c r="AP263" s="171">
        <f t="shared" ref="AP263:AP326" si="80">IF(U263="n/a","n/a",J263+U263)</f>
        <v>12.734829257467466</v>
      </c>
      <c r="AQ263" s="172">
        <f t="shared" ref="AQ263:AQ326" si="81">IF(OR(AC263&lt;0.01,AC263="n/a",AF263="n/a"),"n/a",(I263/SQRT(22.5*AC263*(I263/AF263))-1)*100)</f>
        <v>-31.276601441812378</v>
      </c>
      <c r="AR263" s="157">
        <f>INDEX([1]Historical!$C$7:$C$1231,MATCH(B263,[1]Historical!$B$7:$B$1253,0))*IF(AH263="n/a",1.03,IF(AH263&lt;0,1.01,IF(AH263&gt;10,1.1,(1+AH263/100))))</f>
        <v>1.2875000000000001</v>
      </c>
      <c r="AS263" s="166">
        <f t="shared" ref="AS263:AS326" si="82">IF($AI263="n/a",1.03*AR263,IF($AI263&lt;0,1.01*AR263,IF($AI263&gt;10,1.1*AR263,(1+$AI263/100)*AR263)))</f>
        <v>1.3261250000000002</v>
      </c>
      <c r="AT263" s="166">
        <f t="shared" ref="AT263:AV278" si="83">IF($AK263="n/a",1.03*AS263,IF($AK263&lt;0,1.01*AS263,IF($AK263&gt;10,1.1*AS263,(1+$AK263/100)*AS263)))</f>
        <v>1.3659087500000002</v>
      </c>
      <c r="AU263" s="166">
        <f t="shared" si="83"/>
        <v>1.4068860125000002</v>
      </c>
      <c r="AV263" s="166">
        <f t="shared" si="83"/>
        <v>1.4490925928750003</v>
      </c>
      <c r="AW263" s="157">
        <f t="shared" ref="AW263:AW326" si="84">SUM(AR263:AV263)</f>
        <v>6.835512355375001</v>
      </c>
      <c r="AX263" s="173">
        <f t="shared" ref="AX263:AX326" si="85">AW263/I263*100</f>
        <v>21.025876208474319</v>
      </c>
      <c r="AY263" s="174">
        <v>0.66</v>
      </c>
      <c r="AZ263" s="169">
        <v>15.900178253119424</v>
      </c>
      <c r="BA263" s="169">
        <v>-7.1142857142857174</v>
      </c>
      <c r="BB263" s="169">
        <v>2.1684475172847106</v>
      </c>
      <c r="BC263" s="169">
        <v>1.1512134411947539</v>
      </c>
      <c r="BE263" s="77">
        <v>2015</v>
      </c>
      <c r="BF263" s="77">
        <f t="shared" ref="BF263:BF326" si="86">IF(BE263&gt;2020,0,IF(BE263&gt;2008,1,IF(BE263&gt;2001,2,IF(BE263&gt;1990,3,IF(BE263&gt;1980,4,IF(BE263&gt;1973,5,IF(BE263&gt;1970,6,IF(BE263&gt;1960,7,IF(BE263&gt;1958,8,IF(BE263&gt;1953,9,10))))))))))</f>
        <v>1</v>
      </c>
      <c r="BG263" s="175" t="s">
        <v>95</v>
      </c>
      <c r="BH263" t="s">
        <v>939</v>
      </c>
      <c r="BI263" t="s">
        <v>940</v>
      </c>
      <c r="BJ263" s="112"/>
      <c r="BK263" s="112"/>
      <c r="BL263" s="112"/>
    </row>
    <row r="264" spans="1:64" s="252" customFormat="1" ht="11.25" customHeight="1" x14ac:dyDescent="0.2">
      <c r="A264" s="183" t="s">
        <v>720</v>
      </c>
      <c r="B264" s="184" t="s">
        <v>721</v>
      </c>
      <c r="C264" s="154" t="s">
        <v>90</v>
      </c>
      <c r="D264" s="154" t="s">
        <v>969</v>
      </c>
      <c r="E264" s="185">
        <v>11</v>
      </c>
      <c r="F264" s="298">
        <v>422</v>
      </c>
      <c r="G264" s="297" t="s">
        <v>88</v>
      </c>
      <c r="H264" s="297" t="s">
        <v>88</v>
      </c>
      <c r="I264" s="186">
        <v>120.1</v>
      </c>
      <c r="J264" s="187">
        <f t="shared" si="72"/>
        <v>0.89925062447960036</v>
      </c>
      <c r="K264" s="188">
        <v>0.27</v>
      </c>
      <c r="L264" s="189">
        <v>4</v>
      </c>
      <c r="M264" s="190">
        <f t="shared" si="73"/>
        <v>1.08</v>
      </c>
      <c r="N264" s="191" t="s">
        <v>700</v>
      </c>
      <c r="O264" s="192">
        <v>0.22</v>
      </c>
      <c r="P264" s="193">
        <v>44678</v>
      </c>
      <c r="Q264" s="193">
        <v>44693</v>
      </c>
      <c r="R264" s="190">
        <f t="shared" si="74"/>
        <v>22.727272727272734</v>
      </c>
      <c r="S264" s="162">
        <f>IF(INDEX([1]Historical!$D$7:$D$1229,MATCH(B264,[1]Historical!$B$7:$B$1253,0))=0,"n/a",(INDEX([1]Historical!$C$7:$C$1231,MATCH(B264,[1]Historical!$B$7:$B$1253,0))/INDEX([1]Historical!$D$7:$D$1229,MATCH(B264,[1]Historical!$B$7:$B$1253,0))-1)*100)</f>
        <v>8.8607594936708889</v>
      </c>
      <c r="T264" s="162">
        <f>IF(INDEX([1]Historical!$F$7:$F$1222,MATCH(B264,[1]Historical!$B$7:$B$1253,0))=0,"n/a",((INDEX([1]Historical!$C$7:$C$1231,MATCH(B264,[1]Historical!$B$7:$B$1253,0))/INDEX([1]Historical!$F$7:$F$1222,MATCH(B264,[1]Historical!$B$7:$B$1253,0)))^(1/3)-1)*100)</f>
        <v>6.5974218029114517</v>
      </c>
      <c r="U264" s="162">
        <f>IF(INDEX([1]Historical!$H$7:$H$1222,MATCH(B264,[1]Historical!$B$7:$B$1253,0))=0,"n/a",((INDEX([1]Historical!$C$7:$C$1231,MATCH(B264,[1]Historical!$B$7:$B$1253,0))/INDEX([1]Historical!$H$7:$H$1222,MATCH(B264,[1]Historical!$B$7:$B$1253,0)))^(1/5)-1)*100)</f>
        <v>6.4220401752684619</v>
      </c>
      <c r="V264" s="162" t="str">
        <f>IF(INDEX([1]Historical!$N$7:$N$1222,MATCH(B264,[1]Historical!$B$7:$B$1253,0))=0,"n/a",((INDEX([1]Historical!$C$7:$C$1231,MATCH(B264,[1]Historical!$B$7:$B$1253,0))/INDEX([1]Historical!$N$7:$N$1222,MATCH(B264,[1]Historical!$B$7:$B$1253,0)))^(1/10)-1)*100)</f>
        <v>n/a</v>
      </c>
      <c r="W264" s="163" t="str">
        <f t="shared" si="75"/>
        <v>n/a</v>
      </c>
      <c r="X264" s="164">
        <f t="shared" si="76"/>
        <v>0.4490937185502421</v>
      </c>
      <c r="Y264" s="229"/>
      <c r="Z264" s="187">
        <f t="shared" si="77"/>
        <v>12.872467222884387</v>
      </c>
      <c r="AA264" s="194">
        <f t="shared" si="78"/>
        <v>14.314660309892728</v>
      </c>
      <c r="AB264" s="189">
        <v>12</v>
      </c>
      <c r="AC264" s="195">
        <v>8.39</v>
      </c>
      <c r="AD264" s="195">
        <v>1.88</v>
      </c>
      <c r="AE264" s="195">
        <v>4.1100000000000003</v>
      </c>
      <c r="AF264" s="195">
        <v>1.69</v>
      </c>
      <c r="AG264" s="195">
        <v>11.5</v>
      </c>
      <c r="AH264" s="195">
        <v>31.900000000000002</v>
      </c>
      <c r="AI264" s="195">
        <v>-5.12</v>
      </c>
      <c r="AJ264" s="195">
        <v>14.299999999999999</v>
      </c>
      <c r="AK264" s="195">
        <v>7.61</v>
      </c>
      <c r="AL264" s="196">
        <v>21320</v>
      </c>
      <c r="AM264" s="197">
        <v>0.3</v>
      </c>
      <c r="AN264" s="195">
        <v>0.1</v>
      </c>
      <c r="AO264" s="198">
        <f t="shared" si="79"/>
        <v>-6.9933695101446656</v>
      </c>
      <c r="AP264" s="199">
        <f t="shared" si="80"/>
        <v>7.3212907997480627</v>
      </c>
      <c r="AQ264" s="172">
        <f t="shared" si="81"/>
        <v>3.691370955068618</v>
      </c>
      <c r="AR264" s="157">
        <f>INDEX([1]Historical!$C$7:$C$1231,MATCH(B264,[1]Historical!$B$7:$B$1253,0))*IF(AH264="n/a",1.03,IF(AH264&lt;0,1.01,IF(AH264&gt;10,1.1,(1+AH264/100))))</f>
        <v>0.94600000000000006</v>
      </c>
      <c r="AS264" s="194">
        <f t="shared" si="82"/>
        <v>0.95546000000000009</v>
      </c>
      <c r="AT264" s="194">
        <f t="shared" si="83"/>
        <v>1.0281705060000002</v>
      </c>
      <c r="AU264" s="194">
        <f t="shared" si="83"/>
        <v>1.1064142815066003</v>
      </c>
      <c r="AV264" s="194">
        <f t="shared" si="83"/>
        <v>1.1906124083292526</v>
      </c>
      <c r="AW264" s="187">
        <f t="shared" si="84"/>
        <v>5.2266571958358536</v>
      </c>
      <c r="AX264" s="200">
        <f t="shared" si="85"/>
        <v>4.3519210623112858</v>
      </c>
      <c r="AY264" s="201">
        <v>1.08</v>
      </c>
      <c r="AZ264" s="197">
        <v>9.8000000000000007</v>
      </c>
      <c r="BA264" s="197">
        <v>-46.11</v>
      </c>
      <c r="BB264" s="197">
        <v>-13.350000000000001</v>
      </c>
      <c r="BC264" s="197">
        <v>-22.05</v>
      </c>
      <c r="BD264" s="202"/>
      <c r="BE264" s="77">
        <v>2012</v>
      </c>
      <c r="BF264" s="77">
        <f t="shared" si="86"/>
        <v>1</v>
      </c>
      <c r="BG264" s="203">
        <v>0.8</v>
      </c>
      <c r="BH264" t="s">
        <v>939</v>
      </c>
      <c r="BI264" t="s">
        <v>940</v>
      </c>
    </row>
    <row r="265" spans="1:64" ht="11.25" customHeight="1" x14ac:dyDescent="0.2">
      <c r="A265" s="176" t="s">
        <v>1403</v>
      </c>
      <c r="B265" s="153" t="s">
        <v>719</v>
      </c>
      <c r="C265" s="154" t="s">
        <v>90</v>
      </c>
      <c r="D265" s="154" t="s">
        <v>969</v>
      </c>
      <c r="E265" s="155">
        <v>11</v>
      </c>
      <c r="F265" s="298">
        <v>426</v>
      </c>
      <c r="G265" s="298" t="s">
        <v>88</v>
      </c>
      <c r="H265" s="298" t="s">
        <v>88</v>
      </c>
      <c r="I265" s="156">
        <v>44.9</v>
      </c>
      <c r="J265" s="157">
        <f t="shared" si="72"/>
        <v>2.8507795100222717</v>
      </c>
      <c r="K265" s="158">
        <v>0.32</v>
      </c>
      <c r="L265" s="126">
        <v>4</v>
      </c>
      <c r="M265" s="82">
        <f t="shared" si="73"/>
        <v>1.28</v>
      </c>
      <c r="N265" s="159" t="s">
        <v>186</v>
      </c>
      <c r="O265" s="160">
        <v>0.28999999999999998</v>
      </c>
      <c r="P265" s="161">
        <v>44714</v>
      </c>
      <c r="Q265" s="161">
        <v>44729</v>
      </c>
      <c r="R265" s="82">
        <f t="shared" si="74"/>
        <v>10.344827586206906</v>
      </c>
      <c r="S265" s="162">
        <f>IF(INDEX([1]Historical!$D$7:$D$1229,MATCH(B265,[1]Historical!$B$7:$B$1253,0))=0,"n/a",(INDEX([1]Historical!$C$7:$C$1231,MATCH(B265,[1]Historical!$B$7:$B$1253,0))/INDEX([1]Historical!$D$7:$D$1229,MATCH(B265,[1]Historical!$B$7:$B$1253,0))-1)*100)</f>
        <v>8.6538461538461462</v>
      </c>
      <c r="T265" s="162">
        <f>IF(INDEX([1]Historical!$F$7:$F$1222,MATCH(B265,[1]Historical!$B$7:$B$1253,0))=0,"n/a",((INDEX([1]Historical!$C$7:$C$1231,MATCH(B265,[1]Historical!$B$7:$B$1253,0))/INDEX([1]Historical!$F$7:$F$1222,MATCH(B265,[1]Historical!$B$7:$B$1253,0)))^(1/3)-1)*100)</f>
        <v>10.390843667722827</v>
      </c>
      <c r="U265" s="162">
        <f>IF(INDEX([1]Historical!$H$7:$H$1222,MATCH(B265,[1]Historical!$B$7:$B$1253,0))=0,"n/a",((INDEX([1]Historical!$C$7:$C$1231,MATCH(B265,[1]Historical!$B$7:$B$1253,0))/INDEX([1]Historical!$H$7:$H$1222,MATCH(B265,[1]Historical!$B$7:$B$1253,0)))^(1/5)-1)*100)</f>
        <v>15.914278608818</v>
      </c>
      <c r="V265" s="162">
        <f>IF(INDEX([1]Historical!$N$7:$N$1222,MATCH(B265,[1]Historical!$B$7:$B$1253,0))=0,"n/a",((INDEX([1]Historical!$C$7:$C$1231,MATCH(B265,[1]Historical!$B$7:$B$1253,0))/INDEX([1]Historical!$N$7:$N$1222,MATCH(B265,[1]Historical!$B$7:$B$1253,0)))^(1/10)-1)*100)</f>
        <v>39.669585799404274</v>
      </c>
      <c r="W265" s="163">
        <f t="shared" si="75"/>
        <v>0.40117077827056585</v>
      </c>
      <c r="X265" s="164">
        <f t="shared" si="76"/>
        <v>1.1367341863441427</v>
      </c>
      <c r="Y265" s="180"/>
      <c r="Z265" s="157">
        <f t="shared" si="77"/>
        <v>36.467236467236468</v>
      </c>
      <c r="AA265" s="166">
        <f t="shared" si="78"/>
        <v>12.792022792022792</v>
      </c>
      <c r="AB265" s="126">
        <v>12</v>
      </c>
      <c r="AC265" s="167">
        <v>3.51</v>
      </c>
      <c r="AD265" s="167">
        <v>1.81</v>
      </c>
      <c r="AE265" s="167">
        <v>4.99</v>
      </c>
      <c r="AF265" s="167">
        <v>1.35</v>
      </c>
      <c r="AG265" s="167">
        <v>10.9</v>
      </c>
      <c r="AH265" s="167">
        <v>40</v>
      </c>
      <c r="AI265" s="167">
        <v>24.95</v>
      </c>
      <c r="AJ265" s="167">
        <v>14.000000000000002</v>
      </c>
      <c r="AK265" s="167">
        <v>7.0000000000000009</v>
      </c>
      <c r="AL265" s="168">
        <v>2610</v>
      </c>
      <c r="AM265" s="169">
        <v>1.4000000000000001</v>
      </c>
      <c r="AN265" s="167">
        <v>0</v>
      </c>
      <c r="AO265" s="170">
        <f t="shared" si="79"/>
        <v>5.973035326817481</v>
      </c>
      <c r="AP265" s="171">
        <f t="shared" si="80"/>
        <v>18.765058118840273</v>
      </c>
      <c r="AQ265" s="172">
        <f t="shared" si="81"/>
        <v>-12.391703159953648</v>
      </c>
      <c r="AR265" s="157">
        <f>INDEX([1]Historical!$C$7:$C$1231,MATCH(B265,[1]Historical!$B$7:$B$1253,0))*IF(AH265="n/a",1.03,IF(AH265&lt;0,1.01,IF(AH265&gt;10,1.1,(1+AH265/100))))</f>
        <v>1.2429999999999999</v>
      </c>
      <c r="AS265" s="166">
        <f t="shared" si="82"/>
        <v>1.3673</v>
      </c>
      <c r="AT265" s="166">
        <f t="shared" si="83"/>
        <v>1.4630110000000001</v>
      </c>
      <c r="AU265" s="166">
        <f t="shared" si="83"/>
        <v>1.5654217700000002</v>
      </c>
      <c r="AV265" s="166">
        <f t="shared" si="83"/>
        <v>1.6750012939000003</v>
      </c>
      <c r="AW265" s="157">
        <f t="shared" si="84"/>
        <v>7.3137340639000001</v>
      </c>
      <c r="AX265" s="173">
        <f t="shared" si="85"/>
        <v>16.288940008685969</v>
      </c>
      <c r="AY265" s="174">
        <v>1.1100000000000001</v>
      </c>
      <c r="AZ265" s="169">
        <v>31.790000000000003</v>
      </c>
      <c r="BA265" s="169">
        <v>-2.65</v>
      </c>
      <c r="BB265" s="169">
        <v>9.25</v>
      </c>
      <c r="BC265" s="169">
        <v>10.08</v>
      </c>
      <c r="BE265" s="77">
        <v>2012</v>
      </c>
      <c r="BF265" s="77">
        <f t="shared" si="86"/>
        <v>1</v>
      </c>
      <c r="BG265" s="175">
        <v>1.3</v>
      </c>
      <c r="BH265" t="s">
        <v>939</v>
      </c>
      <c r="BI265" t="s">
        <v>940</v>
      </c>
    </row>
    <row r="266" spans="1:64" ht="11.25" customHeight="1" x14ac:dyDescent="0.2">
      <c r="A266" s="112" t="s">
        <v>1404</v>
      </c>
      <c r="B266" s="153" t="s">
        <v>299</v>
      </c>
      <c r="C266" s="154" t="s">
        <v>947</v>
      </c>
      <c r="D266" s="154" t="s">
        <v>948</v>
      </c>
      <c r="E266" s="155">
        <v>55</v>
      </c>
      <c r="F266" s="298">
        <v>22</v>
      </c>
      <c r="G266" s="298" t="s">
        <v>30</v>
      </c>
      <c r="H266" s="298" t="s">
        <v>30</v>
      </c>
      <c r="I266" s="167">
        <v>98.98</v>
      </c>
      <c r="J266" s="157">
        <f t="shared" si="72"/>
        <v>4.3645180844615075</v>
      </c>
      <c r="K266" s="158">
        <v>1.08</v>
      </c>
      <c r="L266" s="126">
        <v>4</v>
      </c>
      <c r="M266" s="82">
        <f t="shared" si="73"/>
        <v>4.32</v>
      </c>
      <c r="N266" s="159" t="s">
        <v>112</v>
      </c>
      <c r="O266" s="160">
        <v>1.07</v>
      </c>
      <c r="P266" s="161">
        <v>44825</v>
      </c>
      <c r="Q266" s="161">
        <v>44851</v>
      </c>
      <c r="R266" s="82">
        <f t="shared" si="74"/>
        <v>0.93457943925233722</v>
      </c>
      <c r="S266" s="162">
        <f>IF(INDEX([1]Historical!$D$7:$D$1229,MATCH(B266,[1]Historical!$B$7:$B$1253,0))=0,"n/a",(INDEX([1]Historical!$C$7:$C$1231,MATCH(B266,[1]Historical!$B$7:$B$1253,0))/INDEX([1]Historical!$D$7:$D$1229,MATCH(B266,[1]Historical!$B$7:$B$1253,0))-1)*100)</f>
        <v>0.95011876484560887</v>
      </c>
      <c r="T266" s="162">
        <f>IF(INDEX([1]Historical!$F$7:$F$1222,MATCH(B266,[1]Historical!$B$7:$B$1253,0))=0,"n/a",((INDEX([1]Historical!$C$7:$C$1231,MATCH(B266,[1]Historical!$B$7:$B$1253,0))/INDEX([1]Historical!$F$7:$F$1222,MATCH(B266,[1]Historical!$B$7:$B$1253,0)))^(1/3)-1)*100)</f>
        <v>1.87187328644427</v>
      </c>
      <c r="U266" s="162">
        <f>IF(INDEX([1]Historical!$H$7:$H$1222,MATCH(B266,[1]Historical!$B$7:$B$1253,0))=0,"n/a",((INDEX([1]Historical!$C$7:$C$1231,MATCH(B266,[1]Historical!$B$7:$B$1253,0))/INDEX([1]Historical!$H$7:$H$1222,MATCH(B266,[1]Historical!$B$7:$B$1253,0)))^(1/5)-1)*100)</f>
        <v>2.2635975268269881</v>
      </c>
      <c r="V266" s="162">
        <f>IF(INDEX([1]Historical!$N$7:$N$1222,MATCH(B266,[1]Historical!$B$7:$B$1253,0))=0,"n/a",((INDEX([1]Historical!$C$7:$C$1231,MATCH(B266,[1]Historical!$B$7:$B$1253,0))/INDEX([1]Historical!$N$7:$N$1222,MATCH(B266,[1]Historical!$B$7:$B$1253,0)))^(1/10)-1)*100)</f>
        <v>4.6411530629548281</v>
      </c>
      <c r="W266" s="163">
        <f t="shared" si="75"/>
        <v>0.48772309297333327</v>
      </c>
      <c r="X266" s="164">
        <f t="shared" si="76"/>
        <v>1.7412288667899909</v>
      </c>
      <c r="Y266" s="153"/>
      <c r="Z266" s="157">
        <f t="shared" si="77"/>
        <v>124.13793103448276</v>
      </c>
      <c r="AA266" s="166">
        <f t="shared" si="78"/>
        <v>28.442528735632184</v>
      </c>
      <c r="AB266" s="126">
        <v>12</v>
      </c>
      <c r="AC266" s="167">
        <v>3.48</v>
      </c>
      <c r="AD266" s="167" t="s">
        <v>95</v>
      </c>
      <c r="AE266" s="167">
        <v>7.66</v>
      </c>
      <c r="AF266" s="167">
        <v>2.97</v>
      </c>
      <c r="AG266" s="167">
        <v>11</v>
      </c>
      <c r="AH266" s="167">
        <v>100.69999999999999</v>
      </c>
      <c r="AI266" s="167">
        <v>2.1</v>
      </c>
      <c r="AJ266" s="167">
        <v>1.3</v>
      </c>
      <c r="AK266" s="167">
        <v>-2.79</v>
      </c>
      <c r="AL266" s="168">
        <v>7830</v>
      </c>
      <c r="AM266" s="169">
        <v>0.1</v>
      </c>
      <c r="AN266" s="167">
        <v>1.56</v>
      </c>
      <c r="AO266" s="170">
        <f t="shared" si="79"/>
        <v>-21.814413124343687</v>
      </c>
      <c r="AP266" s="171">
        <f t="shared" si="80"/>
        <v>6.6281156112884956</v>
      </c>
      <c r="AQ266" s="172">
        <f t="shared" si="81"/>
        <v>93.76309744384892</v>
      </c>
      <c r="AR266" s="157">
        <f>INDEX([1]Historical!$C$7:$C$1231,MATCH(B266,[1]Historical!$B$7:$B$1253,0))*IF(AH266="n/a",1.03,IF(AH266&lt;0,1.01,IF(AH266&gt;10,1.1,(1+AH266/100))))</f>
        <v>4.6750000000000007</v>
      </c>
      <c r="AS266" s="166">
        <f t="shared" si="82"/>
        <v>4.7731750000000002</v>
      </c>
      <c r="AT266" s="166">
        <f t="shared" si="83"/>
        <v>4.8209067499999998</v>
      </c>
      <c r="AU266" s="166">
        <f t="shared" si="83"/>
        <v>4.8691158175</v>
      </c>
      <c r="AV266" s="166">
        <f t="shared" si="83"/>
        <v>4.917806975675</v>
      </c>
      <c r="AW266" s="157">
        <f t="shared" si="84"/>
        <v>24.056004543175</v>
      </c>
      <c r="AX266" s="173">
        <f t="shared" si="85"/>
        <v>24.303904367725799</v>
      </c>
      <c r="AY266" s="174">
        <v>1.1499999999999999</v>
      </c>
      <c r="AZ266" s="169">
        <v>14.52</v>
      </c>
      <c r="BA266" s="169">
        <v>-29.56</v>
      </c>
      <c r="BB266" s="169">
        <v>2.29</v>
      </c>
      <c r="BC266" s="169">
        <v>-9.4600000000000009</v>
      </c>
      <c r="BE266" s="77">
        <v>1968</v>
      </c>
      <c r="BF266" s="77">
        <f t="shared" si="86"/>
        <v>7</v>
      </c>
      <c r="BG266" s="175">
        <v>3.5000000000000004</v>
      </c>
      <c r="BH266" t="s">
        <v>939</v>
      </c>
      <c r="BI266" t="s">
        <v>945</v>
      </c>
    </row>
    <row r="267" spans="1:64" ht="11.25" customHeight="1" x14ac:dyDescent="0.2">
      <c r="A267" s="176" t="s">
        <v>1405</v>
      </c>
      <c r="B267" s="153" t="s">
        <v>807</v>
      </c>
      <c r="C267" s="154" t="s">
        <v>90</v>
      </c>
      <c r="D267" s="154" t="s">
        <v>959</v>
      </c>
      <c r="E267" s="155">
        <v>10</v>
      </c>
      <c r="F267" s="298">
        <v>464</v>
      </c>
      <c r="G267" s="298" t="s">
        <v>88</v>
      </c>
      <c r="H267" s="298" t="s">
        <v>88</v>
      </c>
      <c r="I267" s="156">
        <v>28.99</v>
      </c>
      <c r="J267" s="157">
        <f t="shared" si="72"/>
        <v>2.7595722662987243</v>
      </c>
      <c r="K267" s="158">
        <v>0.2</v>
      </c>
      <c r="L267" s="126">
        <v>4</v>
      </c>
      <c r="M267" s="82">
        <f t="shared" si="73"/>
        <v>0.8</v>
      </c>
      <c r="N267" s="159" t="s">
        <v>108</v>
      </c>
      <c r="O267" s="160">
        <v>0.15</v>
      </c>
      <c r="P267" s="161">
        <v>44601</v>
      </c>
      <c r="Q267" s="161">
        <v>44616</v>
      </c>
      <c r="R267" s="82">
        <f t="shared" si="74"/>
        <v>33.33333333333335</v>
      </c>
      <c r="S267" s="162">
        <f>IF(INDEX([1]Historical!$D$7:$D$1229,MATCH(B267,[1]Historical!$B$7:$B$1253,0))=0,"n/a",(INDEX([1]Historical!$C$7:$C$1231,MATCH(B267,[1]Historical!$B$7:$B$1253,0))/INDEX([1]Historical!$D$7:$D$1229,MATCH(B267,[1]Historical!$B$7:$B$1253,0))-1)*100)</f>
        <v>32.14285714285716</v>
      </c>
      <c r="T267" s="162">
        <f>IF(INDEX([1]Historical!$F$7:$F$1222,MATCH(B267,[1]Historical!$B$7:$B$1253,0))=0,"n/a",((INDEX([1]Historical!$C$7:$C$1231,MATCH(B267,[1]Historical!$B$7:$B$1253,0))/INDEX([1]Historical!$F$7:$F$1222,MATCH(B267,[1]Historical!$B$7:$B$1253,0)))^(1/3)-1)*100)</f>
        <v>27.942756439783011</v>
      </c>
      <c r="U267" s="162">
        <f>IF(INDEX([1]Historical!$H$7:$H$1222,MATCH(B267,[1]Historical!$B$7:$B$1253,0))=0,"n/a",((INDEX([1]Historical!$C$7:$C$1231,MATCH(B267,[1]Historical!$B$7:$B$1253,0))/INDEX([1]Historical!$H$7:$H$1222,MATCH(B267,[1]Historical!$B$7:$B$1253,0)))^(1/5)-1)*100)</f>
        <v>24.573093961551741</v>
      </c>
      <c r="V267" s="162" t="str">
        <f>IF(INDEX([1]Historical!$N$7:$N$1222,MATCH(B267,[1]Historical!$B$7:$B$1253,0))=0,"n/a",((INDEX([1]Historical!$C$7:$C$1231,MATCH(B267,[1]Historical!$B$7:$B$1253,0))/INDEX([1]Historical!$N$7:$N$1222,MATCH(B267,[1]Historical!$B$7:$B$1253,0)))^(1/10)-1)*100)</f>
        <v>n/a</v>
      </c>
      <c r="W267" s="163" t="str">
        <f t="shared" si="75"/>
        <v>n/a</v>
      </c>
      <c r="X267" s="164">
        <f t="shared" si="76"/>
        <v>1.2473651757132864</v>
      </c>
      <c r="Y267" s="178"/>
      <c r="Z267" s="157">
        <f t="shared" si="77"/>
        <v>22.03856749311295</v>
      </c>
      <c r="AA267" s="166">
        <f t="shared" si="78"/>
        <v>7.9862258953168039</v>
      </c>
      <c r="AB267" s="126">
        <v>12</v>
      </c>
      <c r="AC267" s="167">
        <v>3.63</v>
      </c>
      <c r="AD267" s="167">
        <v>1.1100000000000001</v>
      </c>
      <c r="AE267" s="167">
        <v>1.87</v>
      </c>
      <c r="AF267" s="167">
        <v>0.98</v>
      </c>
      <c r="AG267" s="167" t="s">
        <v>95</v>
      </c>
      <c r="AH267" s="167">
        <v>-3.8</v>
      </c>
      <c r="AI267" s="167">
        <v>11.52</v>
      </c>
      <c r="AJ267" s="167">
        <v>19.7</v>
      </c>
      <c r="AK267" s="167">
        <v>7.0000000000000009</v>
      </c>
      <c r="AL267" s="168">
        <v>217.06</v>
      </c>
      <c r="AM267" s="169">
        <v>6.8000000000000007</v>
      </c>
      <c r="AN267" s="167">
        <v>0.22</v>
      </c>
      <c r="AO267" s="170">
        <f t="shared" si="79"/>
        <v>19.346440332533664</v>
      </c>
      <c r="AP267" s="171">
        <f t="shared" si="80"/>
        <v>27.332666227850467</v>
      </c>
      <c r="AQ267" s="172">
        <f t="shared" si="81"/>
        <v>-41.021656036924249</v>
      </c>
      <c r="AR267" s="157">
        <f>INDEX([1]Historical!$C$7:$C$1231,MATCH(B267,[1]Historical!$B$7:$B$1253,0))*IF(AH267="n/a",1.03,IF(AH267&lt;0,1.01,IF(AH267&gt;10,1.1,(1+AH267/100))))</f>
        <v>0.5605500000000001</v>
      </c>
      <c r="AS267" s="166">
        <f t="shared" si="82"/>
        <v>0.61660500000000018</v>
      </c>
      <c r="AT267" s="166">
        <f t="shared" si="83"/>
        <v>0.6597673500000002</v>
      </c>
      <c r="AU267" s="166">
        <f t="shared" si="83"/>
        <v>0.70595106450000022</v>
      </c>
      <c r="AV267" s="166">
        <f t="shared" si="83"/>
        <v>0.75536763901500026</v>
      </c>
      <c r="AW267" s="157">
        <f t="shared" si="84"/>
        <v>3.2982410535150009</v>
      </c>
      <c r="AX267" s="173">
        <f t="shared" si="85"/>
        <v>11.377168173559852</v>
      </c>
      <c r="AY267" s="174">
        <v>1.03</v>
      </c>
      <c r="AZ267" s="169">
        <v>8.17</v>
      </c>
      <c r="BA267" s="169">
        <v>-20.849999999999998</v>
      </c>
      <c r="BB267" s="169">
        <v>1.6</v>
      </c>
      <c r="BC267" s="169">
        <v>-3.2800000000000002</v>
      </c>
      <c r="BE267" s="77">
        <v>2013</v>
      </c>
      <c r="BF267" s="77">
        <f t="shared" si="86"/>
        <v>1</v>
      </c>
      <c r="BG267" s="175" t="s">
        <v>95</v>
      </c>
      <c r="BH267" t="s">
        <v>939</v>
      </c>
      <c r="BI267" t="s">
        <v>940</v>
      </c>
    </row>
    <row r="268" spans="1:64" ht="11.25" customHeight="1" x14ac:dyDescent="0.2">
      <c r="A268" s="176" t="s">
        <v>1406</v>
      </c>
      <c r="B268" s="153" t="s">
        <v>849</v>
      </c>
      <c r="C268" s="154" t="s">
        <v>90</v>
      </c>
      <c r="D268" s="154" t="s">
        <v>969</v>
      </c>
      <c r="E268" s="155">
        <v>9</v>
      </c>
      <c r="F268" s="298">
        <v>531</v>
      </c>
      <c r="G268" s="298" t="s">
        <v>88</v>
      </c>
      <c r="H268" s="298" t="s">
        <v>88</v>
      </c>
      <c r="I268" s="156">
        <v>22.65</v>
      </c>
      <c r="J268" s="157">
        <f t="shared" si="72"/>
        <v>2.295805739514349</v>
      </c>
      <c r="K268" s="158">
        <v>0.13</v>
      </c>
      <c r="L268" s="126">
        <v>4</v>
      </c>
      <c r="M268" s="82">
        <f t="shared" si="73"/>
        <v>0.52</v>
      </c>
      <c r="N268" s="159" t="s">
        <v>119</v>
      </c>
      <c r="O268" s="160">
        <v>0.12</v>
      </c>
      <c r="P268" s="161">
        <v>44636</v>
      </c>
      <c r="Q268" s="161">
        <v>44651</v>
      </c>
      <c r="R268" s="82">
        <f t="shared" si="74"/>
        <v>8.333333333333341</v>
      </c>
      <c r="S268" s="162">
        <f>IF(INDEX([1]Historical!$D$7:$D$1229,MATCH(B268,[1]Historical!$B$7:$B$1253,0))=0,"n/a",(INDEX([1]Historical!$C$7:$C$1231,MATCH(B268,[1]Historical!$B$7:$B$1253,0))/INDEX([1]Historical!$D$7:$D$1229,MATCH(B268,[1]Historical!$B$7:$B$1253,0))-1)*100)</f>
        <v>85.294117647058812</v>
      </c>
      <c r="T268" s="162">
        <f>IF(INDEX([1]Historical!$F$7:$F$1222,MATCH(B268,[1]Historical!$B$7:$B$1253,0))=0,"n/a",((INDEX([1]Historical!$C$7:$C$1231,MATCH(B268,[1]Historical!$B$7:$B$1253,0))/INDEX([1]Historical!$F$7:$F$1222,MATCH(B268,[1]Historical!$B$7:$B$1253,0)))^(1/3)-1)*100)</f>
        <v>28.057916498749425</v>
      </c>
      <c r="U268" s="162">
        <f>IF(INDEX([1]Historical!$H$7:$H$1222,MATCH(B268,[1]Historical!$B$7:$B$1253,0))=0,"n/a",((INDEX([1]Historical!$C$7:$C$1231,MATCH(B268,[1]Historical!$B$7:$B$1253,0))/INDEX([1]Historical!$H$7:$H$1222,MATCH(B268,[1]Historical!$B$7:$B$1253,0)))^(1/5)-1)*100)</f>
        <v>19.364020972713124</v>
      </c>
      <c r="V268" s="162" t="str">
        <f>IF(INDEX([1]Historical!$N$7:$N$1222,MATCH(B268,[1]Historical!$B$7:$B$1253,0))=0,"n/a",((INDEX([1]Historical!$C$7:$C$1231,MATCH(B268,[1]Historical!$B$7:$B$1253,0))/INDEX([1]Historical!$N$7:$N$1222,MATCH(B268,[1]Historical!$B$7:$B$1253,0)))^(1/10)-1)*100)</f>
        <v>n/a</v>
      </c>
      <c r="W268" s="163" t="str">
        <f t="shared" si="75"/>
        <v>n/a</v>
      </c>
      <c r="X268" s="164">
        <f t="shared" si="76"/>
        <v>0.6586401691399022</v>
      </c>
      <c r="Y268" s="212"/>
      <c r="Z268" s="157">
        <f t="shared" si="77"/>
        <v>19.847328244274809</v>
      </c>
      <c r="AA268" s="166">
        <f t="shared" si="78"/>
        <v>8.6450381679389299</v>
      </c>
      <c r="AB268" s="126">
        <v>12</v>
      </c>
      <c r="AC268" s="167">
        <v>2.62</v>
      </c>
      <c r="AD268" s="167" t="s">
        <v>95</v>
      </c>
      <c r="AE268" s="167">
        <v>2.48</v>
      </c>
      <c r="AF268" s="167">
        <v>0.96</v>
      </c>
      <c r="AG268" s="167">
        <v>11.5</v>
      </c>
      <c r="AH268" s="167">
        <v>-11.899999999999999</v>
      </c>
      <c r="AI268" s="167">
        <v>9.15</v>
      </c>
      <c r="AJ268" s="167">
        <v>29.4</v>
      </c>
      <c r="AK268" s="167" t="s">
        <v>95</v>
      </c>
      <c r="AL268" s="168">
        <v>164.09</v>
      </c>
      <c r="AM268" s="169">
        <v>3.8</v>
      </c>
      <c r="AN268" s="167">
        <v>0.3</v>
      </c>
      <c r="AO268" s="170">
        <f t="shared" si="79"/>
        <v>13.014788544288544</v>
      </c>
      <c r="AP268" s="171">
        <f t="shared" si="80"/>
        <v>21.659826712227474</v>
      </c>
      <c r="AQ268" s="172">
        <f t="shared" si="81"/>
        <v>-39.266569186974053</v>
      </c>
      <c r="AR268" s="157">
        <f>INDEX([1]Historical!$C$7:$C$1231,MATCH(B268,[1]Historical!$B$7:$B$1253,0))*IF(AH268="n/a",1.03,IF(AH268&lt;0,1.01,IF(AH268&gt;10,1.1,(1+AH268/100))))</f>
        <v>0.42419999999999997</v>
      </c>
      <c r="AS268" s="166">
        <f t="shared" si="82"/>
        <v>0.46301429999999993</v>
      </c>
      <c r="AT268" s="166">
        <f t="shared" si="83"/>
        <v>0.47690472899999997</v>
      </c>
      <c r="AU268" s="166">
        <f t="shared" si="83"/>
        <v>0.49121187086999996</v>
      </c>
      <c r="AV268" s="166">
        <f t="shared" si="83"/>
        <v>0.50594822699609998</v>
      </c>
      <c r="AW268" s="157">
        <f t="shared" si="84"/>
        <v>2.3612791268660995</v>
      </c>
      <c r="AX268" s="173">
        <f t="shared" si="85"/>
        <v>10.425073407797351</v>
      </c>
      <c r="AY268" s="174">
        <v>0.67</v>
      </c>
      <c r="AZ268" s="169">
        <v>0.62</v>
      </c>
      <c r="BA268" s="169">
        <v>-20.669999999999998</v>
      </c>
      <c r="BB268" s="169">
        <v>-1.76</v>
      </c>
      <c r="BC268" s="169">
        <v>-7.1999999999999993</v>
      </c>
      <c r="BE268" s="77">
        <v>2014</v>
      </c>
      <c r="BF268" s="77">
        <f t="shared" si="86"/>
        <v>1</v>
      </c>
      <c r="BG268" s="175">
        <v>1.0999999999999999</v>
      </c>
      <c r="BH268" t="s">
        <v>939</v>
      </c>
      <c r="BI268" t="s">
        <v>940</v>
      </c>
    </row>
    <row r="269" spans="1:64" ht="11.25" customHeight="1" x14ac:dyDescent="0.2">
      <c r="A269" s="205" t="s">
        <v>1407</v>
      </c>
      <c r="B269" s="153" t="s">
        <v>1074</v>
      </c>
      <c r="C269" s="154" t="s">
        <v>947</v>
      </c>
      <c r="D269" s="154" t="s">
        <v>999</v>
      </c>
      <c r="E269" s="155">
        <v>8</v>
      </c>
      <c r="F269" s="298">
        <v>587</v>
      </c>
      <c r="G269" s="298" t="s">
        <v>88</v>
      </c>
      <c r="H269" s="298" t="s">
        <v>88</v>
      </c>
      <c r="I269" s="156">
        <v>125.01</v>
      </c>
      <c r="J269" s="157">
        <f t="shared" si="72"/>
        <v>0.64794816414686829</v>
      </c>
      <c r="K269" s="158">
        <v>0.20250000000000001</v>
      </c>
      <c r="L269" s="126">
        <v>4</v>
      </c>
      <c r="M269" s="82">
        <f t="shared" si="73"/>
        <v>0.81</v>
      </c>
      <c r="N269" s="159" t="s">
        <v>1075</v>
      </c>
      <c r="O269" s="160">
        <v>0.1825</v>
      </c>
      <c r="P269" s="161">
        <v>44650</v>
      </c>
      <c r="Q269" s="161">
        <v>44658</v>
      </c>
      <c r="R269" s="82">
        <f t="shared" si="74"/>
        <v>10.958904109589051</v>
      </c>
      <c r="S269" s="162">
        <f>IF(INDEX([1]Historical!$D$7:$D$1229,MATCH(B269,[1]Historical!$B$7:$B$1253,0))=0,"n/a",(INDEX([1]Historical!$C$7:$C$1231,MATCH(B269,[1]Historical!$B$7:$B$1253,0))/INDEX([1]Historical!$D$7:$D$1229,MATCH(B269,[1]Historical!$B$7:$B$1253,0))-1)*100)</f>
        <v>10.465116279069765</v>
      </c>
      <c r="T269" s="162">
        <f>IF(INDEX([1]Historical!$F$7:$F$1222,MATCH(B269,[1]Historical!$B$7:$B$1253,0))=0,"n/a",((INDEX([1]Historical!$C$7:$C$1231,MATCH(B269,[1]Historical!$B$7:$B$1253,0))/INDEX([1]Historical!$F$7:$F$1222,MATCH(B269,[1]Historical!$B$7:$B$1253,0)))^(1/3)-1)*100)</f>
        <v>10.540341404846632</v>
      </c>
      <c r="U269" s="162">
        <f>IF(INDEX([1]Historical!$H$7:$H$1222,MATCH(B269,[1]Historical!$B$7:$B$1253,0))=0,"n/a",((INDEX([1]Historical!$C$7:$C$1231,MATCH(B269,[1]Historical!$B$7:$B$1253,0))/INDEX([1]Historical!$H$7:$H$1222,MATCH(B269,[1]Historical!$B$7:$B$1253,0)))^(1/5)-1)*100)</f>
        <v>10.627546987528479</v>
      </c>
      <c r="V269" s="162" t="str">
        <f>IF(INDEX([1]Historical!$N$7:$N$1222,MATCH(B269,[1]Historical!$B$7:$B$1253,0))=0,"n/a",((INDEX([1]Historical!$C$7:$C$1231,MATCH(B269,[1]Historical!$B$7:$B$1253,0))/INDEX([1]Historical!$N$7:$N$1222,MATCH(B269,[1]Historical!$B$7:$B$1253,0)))^(1/10)-1)*100)</f>
        <v>n/a</v>
      </c>
      <c r="W269" s="163" t="str">
        <f t="shared" si="75"/>
        <v>n/a</v>
      </c>
      <c r="X269" s="164">
        <f t="shared" si="76"/>
        <v>0.39507609619064976</v>
      </c>
      <c r="Y269" s="153" t="s">
        <v>621</v>
      </c>
      <c r="Z269" s="157">
        <f t="shared" si="77"/>
        <v>23.342939481268012</v>
      </c>
      <c r="AA269" s="166">
        <f t="shared" si="78"/>
        <v>36.02593659942363</v>
      </c>
      <c r="AB269" s="126">
        <v>12</v>
      </c>
      <c r="AC269" s="167">
        <v>3.47</v>
      </c>
      <c r="AD269" s="167">
        <v>2.4300000000000002</v>
      </c>
      <c r="AE269" s="167">
        <v>1.54</v>
      </c>
      <c r="AF269" s="167">
        <v>4.72</v>
      </c>
      <c r="AG269" s="167">
        <v>13.600000000000001</v>
      </c>
      <c r="AH269" s="167">
        <v>50.7</v>
      </c>
      <c r="AI269" s="167">
        <v>13.66</v>
      </c>
      <c r="AJ269" s="167">
        <v>26.900000000000002</v>
      </c>
      <c r="AK269" s="167">
        <v>15</v>
      </c>
      <c r="AL269" s="168">
        <v>7460</v>
      </c>
      <c r="AM269" s="169">
        <v>12.139999999999999</v>
      </c>
      <c r="AN269" s="167">
        <v>0.82</v>
      </c>
      <c r="AO269" s="170">
        <f t="shared" si="79"/>
        <v>-24.750441447748283</v>
      </c>
      <c r="AP269" s="171">
        <f t="shared" si="80"/>
        <v>11.275495151675347</v>
      </c>
      <c r="AQ269" s="172">
        <f t="shared" si="81"/>
        <v>174.90800137846483</v>
      </c>
      <c r="AR269" s="157">
        <f>INDEX([1]Historical!$C$7:$C$1231,MATCH(B269,[1]Historical!$B$7:$B$1253,0))*IF(AH269="n/a",1.03,IF(AH269&lt;0,1.01,IF(AH269&gt;10,1.1,(1+AH269/100))))</f>
        <v>0.78375000000000006</v>
      </c>
      <c r="AS269" s="166">
        <f t="shared" si="82"/>
        <v>0.86212500000000014</v>
      </c>
      <c r="AT269" s="166">
        <f t="shared" si="83"/>
        <v>0.94833750000000028</v>
      </c>
      <c r="AU269" s="166">
        <f t="shared" si="83"/>
        <v>1.0431712500000003</v>
      </c>
      <c r="AV269" s="166">
        <f t="shared" si="83"/>
        <v>1.1474883750000004</v>
      </c>
      <c r="AW269" s="157">
        <f t="shared" si="84"/>
        <v>4.7848721250000015</v>
      </c>
      <c r="AX269" s="173">
        <f t="shared" si="85"/>
        <v>3.8275914926805861</v>
      </c>
      <c r="AY269" s="174">
        <v>0.94</v>
      </c>
      <c r="AZ269" s="169">
        <v>11.18</v>
      </c>
      <c r="BA269" s="169">
        <v>-37.980000000000004</v>
      </c>
      <c r="BB269" s="169">
        <v>1.1299999999999999</v>
      </c>
      <c r="BC269" s="169">
        <v>-5.46</v>
      </c>
      <c r="BE269" s="77">
        <v>2015</v>
      </c>
      <c r="BF269" s="77">
        <f t="shared" si="86"/>
        <v>1</v>
      </c>
      <c r="BG269" s="175">
        <v>4.5</v>
      </c>
      <c r="BH269" t="s">
        <v>939</v>
      </c>
      <c r="BI269" t="s">
        <v>940</v>
      </c>
      <c r="BJ269" s="112"/>
      <c r="BK269" s="112"/>
      <c r="BL269" s="112"/>
    </row>
    <row r="270" spans="1:64" ht="11.25" customHeight="1" x14ac:dyDescent="0.2">
      <c r="A270" s="112" t="s">
        <v>316</v>
      </c>
      <c r="B270" s="153" t="s">
        <v>317</v>
      </c>
      <c r="C270" s="154" t="s">
        <v>96</v>
      </c>
      <c r="D270" s="154" t="s">
        <v>911</v>
      </c>
      <c r="E270" s="155">
        <v>53</v>
      </c>
      <c r="F270" s="298">
        <v>26</v>
      </c>
      <c r="G270" s="298" t="s">
        <v>104</v>
      </c>
      <c r="H270" s="298" t="s">
        <v>104</v>
      </c>
      <c r="I270" s="167">
        <v>69.709999999999994</v>
      </c>
      <c r="J270" s="157">
        <f t="shared" si="72"/>
        <v>1.0902309568211161</v>
      </c>
      <c r="K270" s="158">
        <v>0.19</v>
      </c>
      <c r="L270" s="126">
        <v>4</v>
      </c>
      <c r="M270" s="82">
        <f t="shared" si="73"/>
        <v>0.76</v>
      </c>
      <c r="N270" s="159" t="s">
        <v>700</v>
      </c>
      <c r="O270" s="160">
        <v>0.16750000000000001</v>
      </c>
      <c r="P270" s="161">
        <v>44671</v>
      </c>
      <c r="Q270" s="161">
        <v>44686</v>
      </c>
      <c r="R270" s="82">
        <f t="shared" si="74"/>
        <v>13.432835820895516</v>
      </c>
      <c r="S270" s="162">
        <f>IF(INDEX([1]Historical!$D$7:$D$1229,MATCH(B270,[1]Historical!$B$7:$B$1253,0))=0,"n/a",(INDEX([1]Historical!$C$7:$C$1231,MATCH(B270,[1]Historical!$B$7:$B$1253,0))/INDEX([1]Historical!$D$7:$D$1229,MATCH(B270,[1]Historical!$B$7:$B$1253,0))-1)*100)</f>
        <v>2.7027027027027195</v>
      </c>
      <c r="T270" s="162">
        <f>IF(INDEX([1]Historical!$F$7:$F$1222,MATCH(B270,[1]Historical!$B$7:$B$1253,0))=0,"n/a",((INDEX([1]Historical!$C$7:$C$1231,MATCH(B270,[1]Historical!$B$7:$B$1253,0))/INDEX([1]Historical!$F$7:$F$1222,MATCH(B270,[1]Historical!$B$7:$B$1253,0)))^(1/3)-1)*100)</f>
        <v>2.6397321062363366</v>
      </c>
      <c r="U270" s="162">
        <f>IF(INDEX([1]Historical!$H$7:$H$1222,MATCH(B270,[1]Historical!$B$7:$B$1253,0))=0,"n/a",((INDEX([1]Historical!$C$7:$C$1231,MATCH(B270,[1]Historical!$B$7:$B$1253,0))/INDEX([1]Historical!$H$7:$H$1222,MATCH(B270,[1]Historical!$B$7:$B$1253,0)))^(1/5)-1)*100)</f>
        <v>3.8703969123587312</v>
      </c>
      <c r="V270" s="162">
        <f>IF(INDEX([1]Historical!$N$7:$N$1222,MATCH(B270,[1]Historical!$B$7:$B$1253,0))=0,"n/a",((INDEX([1]Historical!$C$7:$C$1231,MATCH(B270,[1]Historical!$B$7:$B$1253,0))/INDEX([1]Historical!$N$7:$N$1222,MATCH(B270,[1]Historical!$B$7:$B$1253,0)))^(1/10)-1)*100)</f>
        <v>8.4675830297884946</v>
      </c>
      <c r="W270" s="163">
        <f t="shared" si="75"/>
        <v>0.4570840225295561</v>
      </c>
      <c r="X270" s="164">
        <f t="shared" si="76"/>
        <v>0.84139063312146334</v>
      </c>
      <c r="Y270" s="153"/>
      <c r="Z270" s="157">
        <f t="shared" si="77"/>
        <v>22.891566265060241</v>
      </c>
      <c r="AA270" s="166">
        <f t="shared" si="78"/>
        <v>20.996987951807228</v>
      </c>
      <c r="AB270" s="126">
        <v>11</v>
      </c>
      <c r="AC270" s="167">
        <v>3.32</v>
      </c>
      <c r="AD270" s="167">
        <v>1.42</v>
      </c>
      <c r="AE270" s="167">
        <v>0.99</v>
      </c>
      <c r="AF270" s="167">
        <v>2.37</v>
      </c>
      <c r="AG270" s="167">
        <v>11.4</v>
      </c>
      <c r="AH270" s="167">
        <v>26.1</v>
      </c>
      <c r="AI270" s="167">
        <v>10.34</v>
      </c>
      <c r="AJ270" s="167">
        <v>4.5999999999999996</v>
      </c>
      <c r="AK270" s="167">
        <v>14.760000000000002</v>
      </c>
      <c r="AL270" s="168">
        <v>3630</v>
      </c>
      <c r="AM270" s="169">
        <v>0.5</v>
      </c>
      <c r="AN270" s="167">
        <v>1.22</v>
      </c>
      <c r="AO270" s="170">
        <f t="shared" si="79"/>
        <v>-16.036360082627382</v>
      </c>
      <c r="AP270" s="171">
        <f t="shared" si="80"/>
        <v>4.9606278691798469</v>
      </c>
      <c r="AQ270" s="172">
        <f t="shared" si="81"/>
        <v>48.717273069529313</v>
      </c>
      <c r="AR270" s="157">
        <f>INDEX([1]Historical!$C$7:$C$1231,MATCH(B270,[1]Historical!$B$7:$B$1253,0))*IF(AH270="n/a",1.03,IF(AH270&lt;0,1.01,IF(AH270&gt;10,1.1,(1+AH270/100))))</f>
        <v>0.73150000000000015</v>
      </c>
      <c r="AS270" s="166">
        <f t="shared" si="82"/>
        <v>0.8046500000000002</v>
      </c>
      <c r="AT270" s="166">
        <f t="shared" si="83"/>
        <v>0.88511500000000032</v>
      </c>
      <c r="AU270" s="166">
        <f t="shared" si="83"/>
        <v>0.97362650000000039</v>
      </c>
      <c r="AV270" s="166">
        <f t="shared" si="83"/>
        <v>1.0709891500000006</v>
      </c>
      <c r="AW270" s="157">
        <f t="shared" si="84"/>
        <v>4.4658806500000017</v>
      </c>
      <c r="AX270" s="173">
        <f t="shared" si="85"/>
        <v>6.406370176445277</v>
      </c>
      <c r="AY270" s="174">
        <v>1.5</v>
      </c>
      <c r="AZ270" s="169">
        <v>21.529999999999998</v>
      </c>
      <c r="BA270" s="169">
        <v>-14.71</v>
      </c>
      <c r="BB270" s="169">
        <v>7.57</v>
      </c>
      <c r="BC270" s="169">
        <v>4.88</v>
      </c>
      <c r="BE270" s="77">
        <v>1970</v>
      </c>
      <c r="BF270" s="77">
        <f t="shared" si="86"/>
        <v>7</v>
      </c>
      <c r="BG270" s="175">
        <v>4</v>
      </c>
      <c r="BH270" t="s">
        <v>939</v>
      </c>
      <c r="BI270" t="s">
        <v>940</v>
      </c>
    </row>
    <row r="271" spans="1:64" s="252" customFormat="1" ht="11.25" customHeight="1" x14ac:dyDescent="0.2">
      <c r="A271" s="236" t="s">
        <v>1408</v>
      </c>
      <c r="B271" s="184" t="s">
        <v>1076</v>
      </c>
      <c r="C271" s="154" t="s">
        <v>90</v>
      </c>
      <c r="D271" s="154" t="s">
        <v>969</v>
      </c>
      <c r="E271" s="185">
        <v>8</v>
      </c>
      <c r="F271" s="298">
        <v>588</v>
      </c>
      <c r="G271" s="297" t="s">
        <v>88</v>
      </c>
      <c r="H271" s="297" t="s">
        <v>88</v>
      </c>
      <c r="I271" s="186">
        <v>18.23</v>
      </c>
      <c r="J271" s="187">
        <f t="shared" si="72"/>
        <v>3.2912781130005482</v>
      </c>
      <c r="K271" s="188">
        <v>0.15</v>
      </c>
      <c r="L271" s="189">
        <v>4</v>
      </c>
      <c r="M271" s="190">
        <f t="shared" si="73"/>
        <v>0.6</v>
      </c>
      <c r="N271" s="191" t="s">
        <v>164</v>
      </c>
      <c r="O271" s="192">
        <v>0.14000000000000001</v>
      </c>
      <c r="P271" s="193">
        <v>44651</v>
      </c>
      <c r="Q271" s="193">
        <v>44669</v>
      </c>
      <c r="R271" s="190">
        <f t="shared" si="74"/>
        <v>7.1428571428571281</v>
      </c>
      <c r="S271" s="162">
        <f>IF(INDEX([1]Historical!$D$7:$D$1229,MATCH(B271,[1]Historical!$B$7:$B$1253,0))=0,"n/a",(INDEX([1]Historical!$C$7:$C$1231,MATCH(B271,[1]Historical!$B$7:$B$1253,0))/INDEX([1]Historical!$D$7:$D$1229,MATCH(B271,[1]Historical!$B$7:$B$1253,0))-1)*100)</f>
        <v>5.7692307692307709</v>
      </c>
      <c r="T271" s="162">
        <f>IF(INDEX([1]Historical!$F$7:$F$1222,MATCH(B271,[1]Historical!$B$7:$B$1253,0))=0,"n/a",((INDEX([1]Historical!$C$7:$C$1231,MATCH(B271,[1]Historical!$B$7:$B$1253,0))/INDEX([1]Historical!$F$7:$F$1222,MATCH(B271,[1]Historical!$B$7:$B$1253,0)))^(1/3)-1)*100)</f>
        <v>5.3792113089372373</v>
      </c>
      <c r="U271" s="162">
        <f>IF(INDEX([1]Historical!$H$7:$H$1222,MATCH(B271,[1]Historical!$B$7:$B$1253,0))=0,"n/a",((INDEX([1]Historical!$C$7:$C$1231,MATCH(B271,[1]Historical!$B$7:$B$1253,0))/INDEX([1]Historical!$H$7:$H$1222,MATCH(B271,[1]Historical!$B$7:$B$1253,0)))^(1/5)-1)*100)</f>
        <v>7.1172997986781006</v>
      </c>
      <c r="V271" s="162">
        <f>IF(INDEX([1]Historical!$N$7:$N$1222,MATCH(B271,[1]Historical!$B$7:$B$1253,0))=0,"n/a",((INDEX([1]Historical!$C$7:$C$1231,MATCH(B271,[1]Historical!$B$7:$B$1253,0))/INDEX([1]Historical!$N$7:$N$1222,MATCH(B271,[1]Historical!$B$7:$B$1253,0)))^(1/10)-1)*100)</f>
        <v>12.458264445389444</v>
      </c>
      <c r="W271" s="163">
        <f t="shared" si="75"/>
        <v>0.57129143709195152</v>
      </c>
      <c r="X271" s="164">
        <f t="shared" si="76"/>
        <v>0.59809242005698326</v>
      </c>
      <c r="Y271" s="227"/>
      <c r="Z271" s="187">
        <f t="shared" si="77"/>
        <v>38.216560509554135</v>
      </c>
      <c r="AA271" s="194">
        <f t="shared" si="78"/>
        <v>11.611464968152866</v>
      </c>
      <c r="AB271" s="189">
        <v>12</v>
      </c>
      <c r="AC271" s="195">
        <v>1.57</v>
      </c>
      <c r="AD271" s="195">
        <v>1.45</v>
      </c>
      <c r="AE271" s="195">
        <v>3.85</v>
      </c>
      <c r="AF271" s="195">
        <v>1.28</v>
      </c>
      <c r="AG271" s="195">
        <v>10.6</v>
      </c>
      <c r="AH271" s="195">
        <v>50.6</v>
      </c>
      <c r="AI271" s="195">
        <v>11.87</v>
      </c>
      <c r="AJ271" s="195">
        <v>11.899999999999999</v>
      </c>
      <c r="AK271" s="195">
        <v>8</v>
      </c>
      <c r="AL271" s="196">
        <v>2980</v>
      </c>
      <c r="AM271" s="197">
        <v>0.8</v>
      </c>
      <c r="AN271" s="195">
        <v>0.24</v>
      </c>
      <c r="AO271" s="198">
        <f t="shared" si="79"/>
        <v>-1.2028870564742178</v>
      </c>
      <c r="AP271" s="199">
        <f t="shared" si="80"/>
        <v>10.408577911678648</v>
      </c>
      <c r="AQ271" s="172">
        <f t="shared" si="81"/>
        <v>-18.724952143325424</v>
      </c>
      <c r="AR271" s="157">
        <f>INDEX([1]Historical!$C$7:$C$1231,MATCH(B271,[1]Historical!$B$7:$B$1253,0))*IF(AH271="n/a",1.03,IF(AH271&lt;0,1.01,IF(AH271&gt;10,1.1,(1+AH271/100))))</f>
        <v>0.60500000000000009</v>
      </c>
      <c r="AS271" s="194">
        <f t="shared" si="82"/>
        <v>0.6655000000000002</v>
      </c>
      <c r="AT271" s="194">
        <f t="shared" si="83"/>
        <v>0.71874000000000027</v>
      </c>
      <c r="AU271" s="194">
        <f t="shared" si="83"/>
        <v>0.77623920000000035</v>
      </c>
      <c r="AV271" s="194">
        <f t="shared" si="83"/>
        <v>0.83833833600000041</v>
      </c>
      <c r="AW271" s="187">
        <f t="shared" si="84"/>
        <v>3.6038175360000015</v>
      </c>
      <c r="AX271" s="200">
        <f t="shared" si="85"/>
        <v>19.76860963247395</v>
      </c>
      <c r="AY271" s="201">
        <v>0.81</v>
      </c>
      <c r="AZ271" s="197">
        <v>32.92</v>
      </c>
      <c r="BA271" s="197">
        <v>-4.9000000000000004</v>
      </c>
      <c r="BB271" s="197">
        <v>9.370000000000001</v>
      </c>
      <c r="BC271" s="197">
        <v>10.6</v>
      </c>
      <c r="BD271" s="202"/>
      <c r="BE271" s="77">
        <v>2015</v>
      </c>
      <c r="BF271" s="77">
        <f t="shared" si="86"/>
        <v>1</v>
      </c>
      <c r="BG271" s="203">
        <v>1</v>
      </c>
      <c r="BH271" t="s">
        <v>939</v>
      </c>
      <c r="BI271" t="s">
        <v>940</v>
      </c>
      <c r="BJ271" s="208"/>
      <c r="BK271" s="208"/>
      <c r="BL271" s="208"/>
    </row>
    <row r="272" spans="1:64" ht="11.25" customHeight="1" x14ac:dyDescent="0.2">
      <c r="A272" s="205" t="s">
        <v>1409</v>
      </c>
      <c r="B272" s="153" t="s">
        <v>1077</v>
      </c>
      <c r="C272" s="154" t="s">
        <v>94</v>
      </c>
      <c r="D272" s="154" t="s">
        <v>1019</v>
      </c>
      <c r="E272" s="155">
        <v>7</v>
      </c>
      <c r="F272" s="298">
        <v>623</v>
      </c>
      <c r="G272" s="298" t="s">
        <v>88</v>
      </c>
      <c r="H272" s="298" t="s">
        <v>88</v>
      </c>
      <c r="I272" s="156">
        <v>105.87</v>
      </c>
      <c r="J272" s="157">
        <f t="shared" si="72"/>
        <v>0.90677245678662499</v>
      </c>
      <c r="K272" s="158">
        <v>0.24</v>
      </c>
      <c r="L272" s="126">
        <v>4</v>
      </c>
      <c r="M272" s="82">
        <f t="shared" si="73"/>
        <v>0.96</v>
      </c>
      <c r="N272" s="159" t="s">
        <v>151</v>
      </c>
      <c r="O272" s="160">
        <v>0.21</v>
      </c>
      <c r="P272" s="161">
        <v>44622</v>
      </c>
      <c r="Q272" s="161">
        <v>44638</v>
      </c>
      <c r="R272" s="82">
        <f t="shared" si="74"/>
        <v>14.285714285714285</v>
      </c>
      <c r="S272" s="162">
        <f>IF(INDEX([1]Historical!$D$7:$D$1229,MATCH(B272,[1]Historical!$B$7:$B$1253,0))=0,"n/a",(INDEX([1]Historical!$C$7:$C$1231,MATCH(B272,[1]Historical!$B$7:$B$1253,0))/INDEX([1]Historical!$D$7:$D$1229,MATCH(B272,[1]Historical!$B$7:$B$1253,0))-1)*100)</f>
        <v>11.999999999999989</v>
      </c>
      <c r="T272" s="162">
        <f>IF(INDEX([1]Historical!$F$7:$F$1222,MATCH(B272,[1]Historical!$B$7:$B$1253,0))=0,"n/a",((INDEX([1]Historical!$C$7:$C$1231,MATCH(B272,[1]Historical!$B$7:$B$1253,0))/INDEX([1]Historical!$F$7:$F$1222,MATCH(B272,[1]Historical!$B$7:$B$1253,0)))^(1/3)-1)*100)</f>
        <v>10.064241629820891</v>
      </c>
      <c r="U272" s="162">
        <f>IF(INDEX([1]Historical!$H$7:$H$1222,MATCH(B272,[1]Historical!$B$7:$B$1253,0))=0,"n/a",((INDEX([1]Historical!$C$7:$C$1231,MATCH(B272,[1]Historical!$B$7:$B$1253,0))/INDEX([1]Historical!$H$7:$H$1222,MATCH(B272,[1]Historical!$B$7:$B$1253,0)))^(1/5)-1)*100)</f>
        <v>10.494795379650302</v>
      </c>
      <c r="V272" s="162">
        <f>IF(INDEX([1]Historical!$N$7:$N$1222,MATCH(B272,[1]Historical!$B$7:$B$1253,0))=0,"n/a",((INDEX([1]Historical!$C$7:$C$1231,MATCH(B272,[1]Historical!$B$7:$B$1253,0))/INDEX([1]Historical!$N$7:$N$1222,MATCH(B272,[1]Historical!$B$7:$B$1253,0)))^(1/10)-1)*100)</f>
        <v>11.612317403390438</v>
      </c>
      <c r="W272" s="163">
        <f t="shared" si="75"/>
        <v>0.9037640821448909</v>
      </c>
      <c r="X272" s="164">
        <f t="shared" si="76"/>
        <v>0.28991147457597521</v>
      </c>
      <c r="Y272" s="180" t="s">
        <v>1750</v>
      </c>
      <c r="Z272" s="157">
        <f t="shared" si="77"/>
        <v>13.812949640287769</v>
      </c>
      <c r="AA272" s="166">
        <f t="shared" si="78"/>
        <v>15.233093525179857</v>
      </c>
      <c r="AB272" s="126">
        <v>12</v>
      </c>
      <c r="AC272" s="167">
        <v>6.95</v>
      </c>
      <c r="AD272" s="167">
        <v>1.1399999999999999</v>
      </c>
      <c r="AE272" s="167">
        <v>1.4</v>
      </c>
      <c r="AF272" s="167">
        <v>4.21</v>
      </c>
      <c r="AG272" s="167" t="s">
        <v>95</v>
      </c>
      <c r="AH272" s="167">
        <v>123.50000000000001</v>
      </c>
      <c r="AI272" s="167">
        <v>-6.29</v>
      </c>
      <c r="AJ272" s="167">
        <v>36.199999999999996</v>
      </c>
      <c r="AK272" s="167">
        <v>13.16</v>
      </c>
      <c r="AL272" s="168">
        <v>2730</v>
      </c>
      <c r="AM272" s="169">
        <v>0.5</v>
      </c>
      <c r="AN272" s="167">
        <v>0.25</v>
      </c>
      <c r="AO272" s="170">
        <f t="shared" si="79"/>
        <v>-3.8315256887429303</v>
      </c>
      <c r="AP272" s="171">
        <f t="shared" si="80"/>
        <v>11.401567836436927</v>
      </c>
      <c r="AQ272" s="172">
        <f t="shared" si="81"/>
        <v>68.827754091437086</v>
      </c>
      <c r="AR272" s="157">
        <f>INDEX([1]Historical!$C$7:$C$1231,MATCH(B272,[1]Historical!$B$7:$B$1253,0))*IF(AH272="n/a",1.03,IF(AH272&lt;0,1.01,IF(AH272&gt;10,1.1,(1+AH272/100))))</f>
        <v>0.92400000000000004</v>
      </c>
      <c r="AS272" s="166">
        <f t="shared" si="82"/>
        <v>0.93324000000000007</v>
      </c>
      <c r="AT272" s="166">
        <f t="shared" si="83"/>
        <v>1.0265640000000003</v>
      </c>
      <c r="AU272" s="166">
        <f t="shared" si="83"/>
        <v>1.1292204000000003</v>
      </c>
      <c r="AV272" s="166">
        <f t="shared" si="83"/>
        <v>1.2421424400000005</v>
      </c>
      <c r="AW272" s="157">
        <f t="shared" si="84"/>
        <v>5.2551668400000011</v>
      </c>
      <c r="AX272" s="173">
        <f t="shared" si="85"/>
        <v>4.9637922357608399</v>
      </c>
      <c r="AY272" s="174">
        <v>1.1299999999999999</v>
      </c>
      <c r="AZ272" s="169">
        <v>25.979999999999997</v>
      </c>
      <c r="BA272" s="169">
        <v>-15.78</v>
      </c>
      <c r="BB272" s="169">
        <v>8.5599999999999987</v>
      </c>
      <c r="BC272" s="169">
        <v>8.08</v>
      </c>
      <c r="BE272" s="77">
        <v>2016</v>
      </c>
      <c r="BF272" s="77">
        <f t="shared" si="86"/>
        <v>1</v>
      </c>
      <c r="BG272" s="175" t="s">
        <v>95</v>
      </c>
      <c r="BH272" t="s">
        <v>939</v>
      </c>
      <c r="BI272" t="s">
        <v>940</v>
      </c>
      <c r="BJ272" s="112"/>
      <c r="BK272" s="112"/>
      <c r="BL272" s="112"/>
    </row>
    <row r="273" spans="1:64" ht="11.25" customHeight="1" x14ac:dyDescent="0.2">
      <c r="A273" s="176" t="s">
        <v>1410</v>
      </c>
      <c r="B273" s="153" t="s">
        <v>848</v>
      </c>
      <c r="C273" s="154" t="s">
        <v>90</v>
      </c>
      <c r="D273" s="154" t="s">
        <v>969</v>
      </c>
      <c r="E273" s="155">
        <v>9</v>
      </c>
      <c r="F273" s="298">
        <v>524</v>
      </c>
      <c r="G273" s="298" t="s">
        <v>88</v>
      </c>
      <c r="H273" s="298" t="s">
        <v>88</v>
      </c>
      <c r="I273" s="156">
        <v>16.63</v>
      </c>
      <c r="J273" s="157">
        <f t="shared" si="72"/>
        <v>3.3674082982561644</v>
      </c>
      <c r="K273" s="158">
        <v>0.14000000000000001</v>
      </c>
      <c r="L273" s="126">
        <v>4</v>
      </c>
      <c r="M273" s="82">
        <f t="shared" si="73"/>
        <v>0.56000000000000005</v>
      </c>
      <c r="N273" s="159" t="s">
        <v>186</v>
      </c>
      <c r="O273" s="160">
        <v>0.12</v>
      </c>
      <c r="P273" s="161">
        <v>44616</v>
      </c>
      <c r="Q273" s="161">
        <v>44631</v>
      </c>
      <c r="R273" s="82">
        <f t="shared" si="74"/>
        <v>16.666666666666682</v>
      </c>
      <c r="S273" s="162">
        <f>IF(INDEX([1]Historical!$D$7:$D$1229,MATCH(B273,[1]Historical!$B$7:$B$1253,0))=0,"n/a",(INDEX([1]Historical!$C$7:$C$1231,MATCH(B273,[1]Historical!$B$7:$B$1253,0))/INDEX([1]Historical!$D$7:$D$1229,MATCH(B273,[1]Historical!$B$7:$B$1253,0))-1)*100)</f>
        <v>9.0909090909090828</v>
      </c>
      <c r="T273" s="162">
        <f>IF(INDEX([1]Historical!$F$7:$F$1222,MATCH(B273,[1]Historical!$B$7:$B$1253,0))=0,"n/a",((INDEX([1]Historical!$C$7:$C$1231,MATCH(B273,[1]Historical!$B$7:$B$1253,0))/INDEX([1]Historical!$F$7:$F$1222,MATCH(B273,[1]Historical!$B$7:$B$1253,0)))^(1/3)-1)*100)</f>
        <v>33.886590016433907</v>
      </c>
      <c r="U273" s="162">
        <f>IF(INDEX([1]Historical!$H$7:$H$1222,MATCH(B273,[1]Historical!$B$7:$B$1253,0))=0,"n/a",((INDEX([1]Historical!$C$7:$C$1231,MATCH(B273,[1]Historical!$B$7:$B$1253,0))/INDEX([1]Historical!$H$7:$H$1222,MATCH(B273,[1]Historical!$B$7:$B$1253,0)))^(1/5)-1)*100)</f>
        <v>31.95079107728942</v>
      </c>
      <c r="V273" s="162">
        <f>IF(INDEX([1]Historical!$N$7:$N$1222,MATCH(B273,[1]Historical!$B$7:$B$1253,0))=0,"n/a",((INDEX([1]Historical!$C$7:$C$1231,MATCH(B273,[1]Historical!$B$7:$B$1253,0))/INDEX([1]Historical!$N$7:$N$1222,MATCH(B273,[1]Historical!$B$7:$B$1253,0)))^(1/10)-1)*100)</f>
        <v>9.1493425617896982</v>
      </c>
      <c r="W273" s="163">
        <f t="shared" si="75"/>
        <v>3.4921406496161995</v>
      </c>
      <c r="X273" s="164" t="str">
        <f t="shared" si="76"/>
        <v>n/a</v>
      </c>
      <c r="Y273" s="178"/>
      <c r="Z273" s="157" t="str">
        <f t="shared" si="77"/>
        <v>n/a</v>
      </c>
      <c r="AA273" s="166" t="str">
        <f t="shared" si="78"/>
        <v>n/a</v>
      </c>
      <c r="AB273" s="126">
        <v>12</v>
      </c>
      <c r="AC273" s="167" t="s">
        <v>95</v>
      </c>
      <c r="AD273" s="167" t="s">
        <v>95</v>
      </c>
      <c r="AE273" s="167" t="s">
        <v>95</v>
      </c>
      <c r="AF273" s="167" t="s">
        <v>95</v>
      </c>
      <c r="AG273" s="167" t="s">
        <v>95</v>
      </c>
      <c r="AH273" s="167" t="s">
        <v>95</v>
      </c>
      <c r="AI273" s="167" t="s">
        <v>95</v>
      </c>
      <c r="AJ273" s="167" t="s">
        <v>95</v>
      </c>
      <c r="AK273" s="167" t="s">
        <v>95</v>
      </c>
      <c r="AL273" s="168" t="s">
        <v>95</v>
      </c>
      <c r="AM273" s="169" t="s">
        <v>95</v>
      </c>
      <c r="AN273" s="167" t="s">
        <v>95</v>
      </c>
      <c r="AO273" s="170" t="str">
        <f t="shared" si="79"/>
        <v>n/a</v>
      </c>
      <c r="AP273" s="171">
        <f t="shared" si="80"/>
        <v>35.318199375545582</v>
      </c>
      <c r="AQ273" s="172" t="str">
        <f t="shared" si="81"/>
        <v>n/a</v>
      </c>
      <c r="AR273" s="157">
        <f>INDEX([1]Historical!$C$7:$C$1231,MATCH(B273,[1]Historical!$B$7:$B$1253,0))*IF(AH273="n/a",1.03,IF(AH273&lt;0,1.01,IF(AH273&gt;10,1.1,(1+AH273/100))))</f>
        <v>0.49440000000000001</v>
      </c>
      <c r="AS273" s="166">
        <f t="shared" si="82"/>
        <v>0.50923200000000002</v>
      </c>
      <c r="AT273" s="166">
        <f t="shared" si="83"/>
        <v>0.52450896000000002</v>
      </c>
      <c r="AU273" s="166">
        <f t="shared" si="83"/>
        <v>0.5402442288</v>
      </c>
      <c r="AV273" s="166">
        <f t="shared" si="83"/>
        <v>0.55645155566400006</v>
      </c>
      <c r="AW273" s="157">
        <f t="shared" si="84"/>
        <v>2.6248367444639999</v>
      </c>
      <c r="AX273" s="173">
        <f t="shared" si="85"/>
        <v>15.783744705135296</v>
      </c>
      <c r="AY273" s="174" t="s">
        <v>95</v>
      </c>
      <c r="AZ273" s="169" t="s">
        <v>95</v>
      </c>
      <c r="BA273" s="169" t="s">
        <v>95</v>
      </c>
      <c r="BB273" s="169" t="s">
        <v>95</v>
      </c>
      <c r="BC273" s="169" t="s">
        <v>95</v>
      </c>
      <c r="BD273" s="100" t="s">
        <v>932</v>
      </c>
      <c r="BE273" s="77">
        <v>2014</v>
      </c>
      <c r="BF273" s="77">
        <f t="shared" si="86"/>
        <v>1</v>
      </c>
      <c r="BG273" s="175" t="s">
        <v>95</v>
      </c>
      <c r="BH273" t="s">
        <v>939</v>
      </c>
      <c r="BI273" t="s">
        <v>940</v>
      </c>
    </row>
    <row r="274" spans="1:64" ht="11.25" customHeight="1" x14ac:dyDescent="0.2">
      <c r="A274" s="205" t="s">
        <v>1078</v>
      </c>
      <c r="B274" s="153" t="s">
        <v>1079</v>
      </c>
      <c r="C274" s="154" t="s">
        <v>922</v>
      </c>
      <c r="D274" s="154" t="s">
        <v>949</v>
      </c>
      <c r="E274" s="155">
        <v>6</v>
      </c>
      <c r="F274" s="298">
        <v>664</v>
      </c>
      <c r="G274" s="298" t="s">
        <v>88</v>
      </c>
      <c r="H274" s="298" t="s">
        <v>88</v>
      </c>
      <c r="I274" s="156">
        <v>48.5</v>
      </c>
      <c r="J274" s="157">
        <f t="shared" si="72"/>
        <v>1.0309278350515463</v>
      </c>
      <c r="K274" s="158">
        <v>0.125</v>
      </c>
      <c r="L274" s="126">
        <v>4</v>
      </c>
      <c r="M274" s="82">
        <f t="shared" si="73"/>
        <v>0.5</v>
      </c>
      <c r="N274" s="159" t="s">
        <v>231</v>
      </c>
      <c r="O274" s="160">
        <v>0.1075</v>
      </c>
      <c r="P274" s="161">
        <v>44629</v>
      </c>
      <c r="Q274" s="161">
        <v>44643</v>
      </c>
      <c r="R274" s="82">
        <f t="shared" si="74"/>
        <v>16.279069767441861</v>
      </c>
      <c r="S274" s="162">
        <f>IF(INDEX([1]Historical!$D$7:$D$1229,MATCH(B274,[1]Historical!$B$7:$B$1253,0))=0,"n/a",(INDEX([1]Historical!$C$7:$C$1231,MATCH(B274,[1]Historical!$B$7:$B$1253,0))/INDEX([1]Historical!$D$7:$D$1229,MATCH(B274,[1]Historical!$B$7:$B$1253,0))-1)*100)</f>
        <v>10.256410256410241</v>
      </c>
      <c r="T274" s="162">
        <f>IF(INDEX([1]Historical!$F$7:$F$1222,MATCH(B274,[1]Historical!$B$7:$B$1253,0))=0,"n/a",((INDEX([1]Historical!$C$7:$C$1231,MATCH(B274,[1]Historical!$B$7:$B$1253,0))/INDEX([1]Historical!$F$7:$F$1222,MATCH(B274,[1]Historical!$B$7:$B$1253,0)))^(1/3)-1)*100)</f>
        <v>12.749787911711174</v>
      </c>
      <c r="U274" s="162" t="str">
        <f>IF(INDEX([1]Historical!$H$7:$H$1222,MATCH(B274,[1]Historical!$B$7:$B$1253,0))=0,"n/a",((INDEX([1]Historical!$C$7:$C$1231,MATCH(B274,[1]Historical!$B$7:$B$1253,0))/INDEX([1]Historical!$H$7:$H$1222,MATCH(B274,[1]Historical!$B$7:$B$1253,0)))^(1/5)-1)*100)</f>
        <v>n/a</v>
      </c>
      <c r="V274" s="162" t="str">
        <f>IF(INDEX([1]Historical!$N$7:$N$1222,MATCH(B274,[1]Historical!$B$7:$B$1253,0))=0,"n/a",((INDEX([1]Historical!$C$7:$C$1231,MATCH(B274,[1]Historical!$B$7:$B$1253,0))/INDEX([1]Historical!$N$7:$N$1222,MATCH(B274,[1]Historical!$B$7:$B$1253,0)))^(1/10)-1)*100)</f>
        <v>n/a</v>
      </c>
      <c r="W274" s="163" t="str">
        <f t="shared" si="75"/>
        <v>n/a</v>
      </c>
      <c r="X274" s="164" t="str">
        <f t="shared" si="76"/>
        <v>n/a</v>
      </c>
      <c r="Y274" s="180"/>
      <c r="Z274" s="157">
        <f t="shared" si="77"/>
        <v>27.777777777777779</v>
      </c>
      <c r="AA274" s="166">
        <f t="shared" si="78"/>
        <v>26.944444444444443</v>
      </c>
      <c r="AB274" s="126">
        <v>12</v>
      </c>
      <c r="AC274" s="167">
        <v>1.8</v>
      </c>
      <c r="AD274" s="167">
        <v>2.31</v>
      </c>
      <c r="AE274" s="167">
        <v>2.06</v>
      </c>
      <c r="AF274" s="167">
        <v>5.1100000000000003</v>
      </c>
      <c r="AG274" s="167">
        <v>18.399999999999999</v>
      </c>
      <c r="AH274" s="167">
        <v>21.6</v>
      </c>
      <c r="AI274" s="167">
        <v>12.73</v>
      </c>
      <c r="AJ274" s="167">
        <v>8.3000000000000007</v>
      </c>
      <c r="AK274" s="167">
        <v>11.709999999999999</v>
      </c>
      <c r="AL274" s="168">
        <v>8760</v>
      </c>
      <c r="AM274" s="169">
        <v>0.70000000000000007</v>
      </c>
      <c r="AN274" s="167">
        <v>0.9</v>
      </c>
      <c r="AO274" s="170" t="str">
        <f t="shared" si="79"/>
        <v>n/a</v>
      </c>
      <c r="AP274" s="171" t="str">
        <f t="shared" si="80"/>
        <v>n/a</v>
      </c>
      <c r="AQ274" s="172">
        <f t="shared" si="81"/>
        <v>147.37386111004901</v>
      </c>
      <c r="AR274" s="157">
        <f>INDEX([1]Historical!$C$7:$C$1231,MATCH(B274,[1]Historical!$B$7:$B$1253,0))*IF(AH274="n/a",1.03,IF(AH274&lt;0,1.01,IF(AH274&gt;10,1.1,(1+AH274/100))))</f>
        <v>0.47300000000000003</v>
      </c>
      <c r="AS274" s="166">
        <f t="shared" si="82"/>
        <v>0.5203000000000001</v>
      </c>
      <c r="AT274" s="166">
        <f t="shared" si="83"/>
        <v>0.57233000000000012</v>
      </c>
      <c r="AU274" s="166">
        <f t="shared" si="83"/>
        <v>0.62956300000000021</v>
      </c>
      <c r="AV274" s="166">
        <f t="shared" si="83"/>
        <v>0.69251930000000028</v>
      </c>
      <c r="AW274" s="157">
        <f t="shared" si="84"/>
        <v>2.8877123000000005</v>
      </c>
      <c r="AX274" s="173">
        <f t="shared" si="85"/>
        <v>5.9540459793814442</v>
      </c>
      <c r="AY274" s="174">
        <v>1.31</v>
      </c>
      <c r="AZ274" s="169">
        <v>28.720000000000002</v>
      </c>
      <c r="BA274" s="169">
        <v>-10.24</v>
      </c>
      <c r="BB274" s="169">
        <v>5.93</v>
      </c>
      <c r="BC274" s="169">
        <v>8.52</v>
      </c>
      <c r="BE274" s="77">
        <v>2017</v>
      </c>
      <c r="BF274" s="77">
        <f t="shared" si="86"/>
        <v>1</v>
      </c>
      <c r="BG274" s="175">
        <v>7.0000000000000009</v>
      </c>
      <c r="BH274" t="s">
        <v>939</v>
      </c>
      <c r="BI274" t="s">
        <v>940</v>
      </c>
      <c r="BJ274" s="112"/>
      <c r="BK274" s="112"/>
      <c r="BL274" s="112"/>
    </row>
    <row r="275" spans="1:64" ht="11.25" customHeight="1" x14ac:dyDescent="0.2">
      <c r="A275" s="176" t="s">
        <v>1411</v>
      </c>
      <c r="B275" s="153" t="s">
        <v>761</v>
      </c>
      <c r="C275" s="154" t="s">
        <v>90</v>
      </c>
      <c r="D275" s="154" t="s">
        <v>969</v>
      </c>
      <c r="E275" s="155">
        <v>10</v>
      </c>
      <c r="F275" s="298">
        <v>465</v>
      </c>
      <c r="G275" s="298" t="s">
        <v>88</v>
      </c>
      <c r="H275" s="298" t="s">
        <v>88</v>
      </c>
      <c r="I275" s="156">
        <v>39.29</v>
      </c>
      <c r="J275" s="157">
        <f t="shared" si="72"/>
        <v>2.3415627386103335</v>
      </c>
      <c r="K275" s="158">
        <v>0.23</v>
      </c>
      <c r="L275" s="126">
        <v>4</v>
      </c>
      <c r="M275" s="82">
        <f t="shared" si="73"/>
        <v>0.92</v>
      </c>
      <c r="N275" s="159" t="s">
        <v>214</v>
      </c>
      <c r="O275" s="160">
        <v>0.21</v>
      </c>
      <c r="P275" s="161">
        <v>44601</v>
      </c>
      <c r="Q275" s="161">
        <v>44612</v>
      </c>
      <c r="R275" s="82">
        <f t="shared" si="74"/>
        <v>9.5238095238095326</v>
      </c>
      <c r="S275" s="162">
        <f>IF(INDEX([1]Historical!$D$7:$D$1229,MATCH(B275,[1]Historical!$B$7:$B$1253,0))=0,"n/a",(INDEX([1]Historical!$C$7:$C$1231,MATCH(B275,[1]Historical!$B$7:$B$1253,0))/INDEX([1]Historical!$D$7:$D$1229,MATCH(B275,[1]Historical!$B$7:$B$1253,0))-1)*100)</f>
        <v>10.526315789473673</v>
      </c>
      <c r="T275" s="162">
        <f>IF(INDEX([1]Historical!$F$7:$F$1222,MATCH(B275,[1]Historical!$B$7:$B$1253,0))=0,"n/a",((INDEX([1]Historical!$C$7:$C$1231,MATCH(B275,[1]Historical!$B$7:$B$1253,0))/INDEX([1]Historical!$F$7:$F$1222,MATCH(B275,[1]Historical!$B$7:$B$1253,0)))^(1/3)-1)*100)</f>
        <v>11.868894208139679</v>
      </c>
      <c r="U275" s="162">
        <f>IF(INDEX([1]Historical!$H$7:$H$1222,MATCH(B275,[1]Historical!$B$7:$B$1253,0))=0,"n/a",((INDEX([1]Historical!$C$7:$C$1231,MATCH(B275,[1]Historical!$B$7:$B$1253,0))/INDEX([1]Historical!$H$7:$H$1222,MATCH(B275,[1]Historical!$B$7:$B$1253,0)))^(1/5)-1)*100)</f>
        <v>11.842691472014465</v>
      </c>
      <c r="V275" s="162">
        <f>IF(INDEX([1]Historical!$N$7:$N$1222,MATCH(B275,[1]Historical!$B$7:$B$1253,0))=0,"n/a",((INDEX([1]Historical!$C$7:$C$1231,MATCH(B275,[1]Historical!$B$7:$B$1253,0))/INDEX([1]Historical!$N$7:$N$1222,MATCH(B275,[1]Historical!$B$7:$B$1253,0)))^(1/10)-1)*100)</f>
        <v>8.4471771197698544</v>
      </c>
      <c r="W275" s="163">
        <f t="shared" si="75"/>
        <v>1.4019703037003588</v>
      </c>
      <c r="X275" s="164">
        <f t="shared" si="76"/>
        <v>0.78428420344466654</v>
      </c>
      <c r="Y275" s="178"/>
      <c r="Z275" s="157">
        <f t="shared" si="77"/>
        <v>34.716981132075475</v>
      </c>
      <c r="AA275" s="166">
        <f t="shared" si="78"/>
        <v>14.826415094339623</v>
      </c>
      <c r="AB275" s="126">
        <v>12</v>
      </c>
      <c r="AC275" s="167">
        <v>2.65</v>
      </c>
      <c r="AD275" s="167">
        <v>1.64</v>
      </c>
      <c r="AE275" s="167">
        <v>5.96</v>
      </c>
      <c r="AF275" s="167">
        <v>2.0099999999999998</v>
      </c>
      <c r="AG275" s="167">
        <v>11.600000000000001</v>
      </c>
      <c r="AH275" s="167">
        <v>35.299999999999997</v>
      </c>
      <c r="AI275" s="167">
        <v>3.62</v>
      </c>
      <c r="AJ275" s="167">
        <v>15.1</v>
      </c>
      <c r="AK275" s="167">
        <v>9</v>
      </c>
      <c r="AL275" s="168">
        <v>1120</v>
      </c>
      <c r="AM275" s="169">
        <v>0.6</v>
      </c>
      <c r="AN275" s="167">
        <v>0.01</v>
      </c>
      <c r="AO275" s="170">
        <f t="shared" si="79"/>
        <v>-0.64216088371482449</v>
      </c>
      <c r="AP275" s="171">
        <f t="shared" si="80"/>
        <v>14.184254210624799</v>
      </c>
      <c r="AQ275" s="172">
        <f t="shared" si="81"/>
        <v>15.086623104555731</v>
      </c>
      <c r="AR275" s="157">
        <f>INDEX([1]Historical!$C$7:$C$1231,MATCH(B275,[1]Historical!$B$7:$B$1253,0))*IF(AH275="n/a",1.03,IF(AH275&lt;0,1.01,IF(AH275&gt;10,1.1,(1+AH275/100))))</f>
        <v>0.92400000000000004</v>
      </c>
      <c r="AS275" s="166">
        <f t="shared" si="82"/>
        <v>0.9574488000000001</v>
      </c>
      <c r="AT275" s="166">
        <f t="shared" si="83"/>
        <v>1.0436191920000002</v>
      </c>
      <c r="AU275" s="166">
        <f t="shared" si="83"/>
        <v>1.1375449192800002</v>
      </c>
      <c r="AV275" s="166">
        <f t="shared" si="83"/>
        <v>1.2399239620152003</v>
      </c>
      <c r="AW275" s="157">
        <f t="shared" si="84"/>
        <v>5.3025368732952005</v>
      </c>
      <c r="AX275" s="173">
        <f t="shared" si="85"/>
        <v>13.495894307190634</v>
      </c>
      <c r="AY275" s="174">
        <v>0.69</v>
      </c>
      <c r="AZ275" s="169">
        <v>19.93</v>
      </c>
      <c r="BA275" s="169">
        <v>-10.280000000000001</v>
      </c>
      <c r="BB275" s="169">
        <v>5.09</v>
      </c>
      <c r="BC275" s="169">
        <v>4.7600000000000007</v>
      </c>
      <c r="BE275" s="77">
        <v>2013</v>
      </c>
      <c r="BF275" s="77">
        <f t="shared" si="86"/>
        <v>1</v>
      </c>
      <c r="BG275" s="175">
        <v>1.2</v>
      </c>
      <c r="BH275" t="s">
        <v>939</v>
      </c>
      <c r="BI275" t="s">
        <v>940</v>
      </c>
    </row>
    <row r="276" spans="1:64" ht="11.25" customHeight="1" x14ac:dyDescent="0.2">
      <c r="A276" s="204" t="s">
        <v>1412</v>
      </c>
      <c r="B276" s="153" t="s">
        <v>724</v>
      </c>
      <c r="C276" s="154" t="s">
        <v>90</v>
      </c>
      <c r="D276" s="154" t="s">
        <v>972</v>
      </c>
      <c r="E276" s="155">
        <v>11</v>
      </c>
      <c r="F276" s="298">
        <v>448</v>
      </c>
      <c r="G276" s="298" t="s">
        <v>88</v>
      </c>
      <c r="H276" s="298" t="s">
        <v>88</v>
      </c>
      <c r="I276" s="156">
        <v>12.9</v>
      </c>
      <c r="J276" s="157">
        <f t="shared" si="72"/>
        <v>7.441860465116279</v>
      </c>
      <c r="K276" s="158">
        <v>0.08</v>
      </c>
      <c r="L276" s="126">
        <v>12</v>
      </c>
      <c r="M276" s="82">
        <f t="shared" si="73"/>
        <v>0.96</v>
      </c>
      <c r="N276" s="159" t="s">
        <v>453</v>
      </c>
      <c r="O276" s="160">
        <v>7.4999999999999997E-2</v>
      </c>
      <c r="P276" s="161">
        <v>44854</v>
      </c>
      <c r="Q276" s="161">
        <v>44865</v>
      </c>
      <c r="R276" s="82">
        <f t="shared" si="74"/>
        <v>6.6666666666666732</v>
      </c>
      <c r="S276" s="162">
        <f>IF(INDEX([1]Historical!$D$7:$D$1229,MATCH(B276,[1]Historical!$B$7:$B$1253,0))=0,"n/a",(INDEX([1]Historical!$C$7:$C$1231,MATCH(B276,[1]Historical!$B$7:$B$1253,0))/INDEX([1]Historical!$D$7:$D$1229,MATCH(B276,[1]Historical!$B$7:$B$1253,0))-1)*100)</f>
        <v>1.7857142857142794</v>
      </c>
      <c r="T276" s="162">
        <f>IF(INDEX([1]Historical!$F$7:$F$1222,MATCH(B276,[1]Historical!$B$7:$B$1253,0))=0,"n/a",((INDEX([1]Historical!$C$7:$C$1231,MATCH(B276,[1]Historical!$B$7:$B$1253,0))/INDEX([1]Historical!$F$7:$F$1222,MATCH(B276,[1]Historical!$B$7:$B$1253,0)))^(1/3)-1)*100)</f>
        <v>2.1985026625484849</v>
      </c>
      <c r="U276" s="162">
        <f>IF(INDEX([1]Historical!$H$7:$H$1222,MATCH(B276,[1]Historical!$B$7:$B$1253,0))=0,"n/a",((INDEX([1]Historical!$C$7:$C$1231,MATCH(B276,[1]Historical!$B$7:$B$1253,0))/INDEX([1]Historical!$H$7:$H$1222,MATCH(B276,[1]Historical!$B$7:$B$1253,0)))^(1/5)-1)*100)</f>
        <v>2.6552039741113198</v>
      </c>
      <c r="V276" s="162">
        <f>IF(INDEX([1]Historical!$N$7:$N$1222,MATCH(B276,[1]Historical!$B$7:$B$1253,0))=0,"n/a",((INDEX([1]Historical!$C$7:$C$1231,MATCH(B276,[1]Historical!$B$7:$B$1253,0))/INDEX([1]Historical!$N$7:$N$1222,MATCH(B276,[1]Historical!$B$7:$B$1253,0)))^(1/10)-1)*100)</f>
        <v>4.4160627640811301</v>
      </c>
      <c r="W276" s="163">
        <f t="shared" si="75"/>
        <v>0.60126047023333007</v>
      </c>
      <c r="X276" s="164" t="str">
        <f t="shared" si="76"/>
        <v>n/a</v>
      </c>
      <c r="Y276" s="180"/>
      <c r="Z276" s="157">
        <f t="shared" si="77"/>
        <v>47.524752475247524</v>
      </c>
      <c r="AA276" s="166">
        <f t="shared" si="78"/>
        <v>6.3861386138613865</v>
      </c>
      <c r="AB276" s="126">
        <v>3</v>
      </c>
      <c r="AC276" s="167">
        <v>2.02</v>
      </c>
      <c r="AD276" s="167">
        <v>2.15</v>
      </c>
      <c r="AE276" s="167">
        <v>5.87</v>
      </c>
      <c r="AF276" s="167">
        <v>0.97</v>
      </c>
      <c r="AG276" s="167" t="s">
        <v>95</v>
      </c>
      <c r="AH276" s="167">
        <v>104.4</v>
      </c>
      <c r="AI276" s="167">
        <v>1.0999999999999999</v>
      </c>
      <c r="AJ276" s="167">
        <v>-4.79</v>
      </c>
      <c r="AK276" s="167">
        <v>3</v>
      </c>
      <c r="AL276" s="168">
        <v>433.33</v>
      </c>
      <c r="AM276" s="169">
        <v>2.23</v>
      </c>
      <c r="AN276" s="167" t="s">
        <v>95</v>
      </c>
      <c r="AO276" s="170">
        <f t="shared" si="79"/>
        <v>3.7109258253662114</v>
      </c>
      <c r="AP276" s="171">
        <f t="shared" si="80"/>
        <v>10.097064439227598</v>
      </c>
      <c r="AQ276" s="172">
        <f t="shared" si="81"/>
        <v>-47.52967206571553</v>
      </c>
      <c r="AR276" s="157">
        <f>INDEX([1]Historical!$C$7:$C$1231,MATCH(B276,[1]Historical!$B$7:$B$1253,0))*IF(AH276="n/a",1.03,IF(AH276&lt;0,1.01,IF(AH276&gt;10,1.1,(1+AH276/100))))</f>
        <v>0.9405</v>
      </c>
      <c r="AS276" s="166">
        <f t="shared" si="82"/>
        <v>0.9508454999999999</v>
      </c>
      <c r="AT276" s="166">
        <f t="shared" si="83"/>
        <v>0.97937086499999992</v>
      </c>
      <c r="AU276" s="166">
        <f t="shared" si="83"/>
        <v>1.00875199095</v>
      </c>
      <c r="AV276" s="166">
        <f t="shared" si="83"/>
        <v>1.0390145506785</v>
      </c>
      <c r="AW276" s="157">
        <f t="shared" si="84"/>
        <v>4.9184829066284994</v>
      </c>
      <c r="AX276" s="173">
        <f t="shared" si="85"/>
        <v>38.127774469988367</v>
      </c>
      <c r="AY276" s="174" t="s">
        <v>95</v>
      </c>
      <c r="AZ276" s="169">
        <v>13.16</v>
      </c>
      <c r="BA276" s="169">
        <v>-23.62</v>
      </c>
      <c r="BB276" s="169">
        <v>-2.8899999999999997</v>
      </c>
      <c r="BC276" s="169">
        <v>-11.899999999999999</v>
      </c>
      <c r="BE276" s="77">
        <v>2012</v>
      </c>
      <c r="BF276" s="77">
        <f t="shared" si="86"/>
        <v>1</v>
      </c>
      <c r="BG276" s="175" t="s">
        <v>95</v>
      </c>
      <c r="BH276" t="s">
        <v>939</v>
      </c>
      <c r="BI276" t="s">
        <v>940</v>
      </c>
    </row>
    <row r="277" spans="1:64" ht="11.25" customHeight="1" x14ac:dyDescent="0.2">
      <c r="A277" s="176" t="s">
        <v>1413</v>
      </c>
      <c r="B277" s="153" t="s">
        <v>722</v>
      </c>
      <c r="C277" s="154" t="s">
        <v>94</v>
      </c>
      <c r="D277" s="154" t="s">
        <v>962</v>
      </c>
      <c r="E277" s="155">
        <v>12</v>
      </c>
      <c r="F277" s="298">
        <v>338</v>
      </c>
      <c r="G277" s="298" t="s">
        <v>30</v>
      </c>
      <c r="H277" s="298" t="s">
        <v>30</v>
      </c>
      <c r="I277" s="156">
        <v>104.71</v>
      </c>
      <c r="J277" s="157">
        <f t="shared" si="72"/>
        <v>1.9864387355553434</v>
      </c>
      <c r="K277" s="158">
        <v>0.52</v>
      </c>
      <c r="L277" s="126">
        <v>4</v>
      </c>
      <c r="M277" s="82">
        <f t="shared" si="73"/>
        <v>2.08</v>
      </c>
      <c r="N277" s="159" t="s">
        <v>180</v>
      </c>
      <c r="O277" s="160">
        <v>0.5</v>
      </c>
      <c r="P277" s="161">
        <v>44616</v>
      </c>
      <c r="Q277" s="161">
        <v>44651</v>
      </c>
      <c r="R277" s="82">
        <f t="shared" si="74"/>
        <v>4.0000000000000036</v>
      </c>
      <c r="S277" s="162">
        <f>IF(INDEX([1]Historical!$D$7:$D$1229,MATCH(B277,[1]Historical!$B$7:$B$1253,0))=0,"n/a",(INDEX([1]Historical!$C$7:$C$1231,MATCH(B277,[1]Historical!$B$7:$B$1253,0))/INDEX([1]Historical!$D$7:$D$1229,MATCH(B277,[1]Historical!$B$7:$B$1253,0))-1)*100)</f>
        <v>4.1666666666666741</v>
      </c>
      <c r="T277" s="162">
        <f>IF(INDEX([1]Historical!$F$7:$F$1222,MATCH(B277,[1]Historical!$B$7:$B$1253,0))=0,"n/a",((INDEX([1]Historical!$C$7:$C$1231,MATCH(B277,[1]Historical!$B$7:$B$1253,0))/INDEX([1]Historical!$F$7:$F$1222,MATCH(B277,[1]Historical!$B$7:$B$1253,0)))^(1/3)-1)*100)</f>
        <v>4.3532011211615984</v>
      </c>
      <c r="U277" s="162">
        <f>IF(INDEX([1]Historical!$H$7:$H$1222,MATCH(B277,[1]Historical!$B$7:$B$1253,0))=0,"n/a",((INDEX([1]Historical!$C$7:$C$1231,MATCH(B277,[1]Historical!$B$7:$B$1253,0))/INDEX([1]Historical!$H$7:$H$1222,MATCH(B277,[1]Historical!$B$7:$B$1253,0)))^(1/5)-1)*100)</f>
        <v>4.5639552591273169</v>
      </c>
      <c r="V277" s="162">
        <f>IF(INDEX([1]Historical!$N$7:$N$1222,MATCH(B277,[1]Historical!$B$7:$B$1253,0))=0,"n/a",((INDEX([1]Historical!$C$7:$C$1231,MATCH(B277,[1]Historical!$B$7:$B$1253,0))/INDEX([1]Historical!$N$7:$N$1222,MATCH(B277,[1]Historical!$B$7:$B$1253,0)))^(1/10)-1)*100)</f>
        <v>5.5983666192986892</v>
      </c>
      <c r="W277" s="163">
        <f t="shared" si="75"/>
        <v>0.81522979281036201</v>
      </c>
      <c r="X277" s="164" t="str">
        <f t="shared" si="76"/>
        <v>n/a</v>
      </c>
      <c r="Y277" s="212"/>
      <c r="Z277" s="157">
        <f t="shared" si="77"/>
        <v>44.349680170575688</v>
      </c>
      <c r="AA277" s="166">
        <f t="shared" si="78"/>
        <v>22.326226012793175</v>
      </c>
      <c r="AB277" s="126">
        <v>12</v>
      </c>
      <c r="AC277" s="167">
        <v>4.6900000000000004</v>
      </c>
      <c r="AD277" s="167">
        <v>1.82</v>
      </c>
      <c r="AE277" s="167">
        <v>2.84</v>
      </c>
      <c r="AF277" s="167">
        <v>1.86</v>
      </c>
      <c r="AG277" s="167">
        <v>8.4</v>
      </c>
      <c r="AH277" s="167">
        <v>-6.3</v>
      </c>
      <c r="AI277" s="167">
        <v>9.24</v>
      </c>
      <c r="AJ277" s="167">
        <v>-8.7999999999999989</v>
      </c>
      <c r="AK277" s="167">
        <v>12</v>
      </c>
      <c r="AL277" s="168">
        <v>3610</v>
      </c>
      <c r="AM277" s="169">
        <v>0.6</v>
      </c>
      <c r="AN277" s="167">
        <v>3.28</v>
      </c>
      <c r="AO277" s="170">
        <f t="shared" si="79"/>
        <v>-15.775832018110513</v>
      </c>
      <c r="AP277" s="171">
        <f t="shared" si="80"/>
        <v>6.5503939946826604</v>
      </c>
      <c r="AQ277" s="172">
        <f t="shared" si="81"/>
        <v>35.854138093921726</v>
      </c>
      <c r="AR277" s="157">
        <f>INDEX([1]Historical!$C$7:$C$1231,MATCH(B277,[1]Historical!$B$7:$B$1253,0))*IF(AH277="n/a",1.03,IF(AH277&lt;0,1.01,IF(AH277&gt;10,1.1,(1+AH277/100))))</f>
        <v>2.02</v>
      </c>
      <c r="AS277" s="166">
        <f t="shared" si="82"/>
        <v>2.2066479999999999</v>
      </c>
      <c r="AT277" s="166">
        <f t="shared" si="83"/>
        <v>2.4273128000000002</v>
      </c>
      <c r="AU277" s="166">
        <f t="shared" si="83"/>
        <v>2.6700440800000003</v>
      </c>
      <c r="AV277" s="166">
        <f t="shared" si="83"/>
        <v>2.9370484880000007</v>
      </c>
      <c r="AW277" s="157">
        <f t="shared" si="84"/>
        <v>12.261053368000001</v>
      </c>
      <c r="AX277" s="173">
        <f t="shared" si="85"/>
        <v>11.709534302358897</v>
      </c>
      <c r="AY277" s="174">
        <v>1.06</v>
      </c>
      <c r="AZ277" s="169">
        <v>23.25</v>
      </c>
      <c r="BA277" s="169">
        <v>-17.93</v>
      </c>
      <c r="BB277" s="169">
        <v>10.31</v>
      </c>
      <c r="BC277" s="169">
        <v>1.59</v>
      </c>
      <c r="BE277" s="77">
        <v>2011</v>
      </c>
      <c r="BF277" s="77">
        <f t="shared" si="86"/>
        <v>1</v>
      </c>
      <c r="BG277" s="175">
        <v>1.7000000000000002</v>
      </c>
      <c r="BH277" t="s">
        <v>939</v>
      </c>
      <c r="BI277" t="s">
        <v>940</v>
      </c>
    </row>
    <row r="278" spans="1:64" ht="11.25" customHeight="1" x14ac:dyDescent="0.2">
      <c r="A278" s="176" t="s">
        <v>1414</v>
      </c>
      <c r="B278" s="153" t="s">
        <v>723</v>
      </c>
      <c r="C278" s="154" t="s">
        <v>90</v>
      </c>
      <c r="D278" s="154" t="s">
        <v>969</v>
      </c>
      <c r="E278" s="155">
        <v>11</v>
      </c>
      <c r="F278" s="298">
        <v>420</v>
      </c>
      <c r="G278" s="298" t="s">
        <v>104</v>
      </c>
      <c r="H278" s="298" t="s">
        <v>104</v>
      </c>
      <c r="I278" s="156">
        <v>57.28</v>
      </c>
      <c r="J278" s="157">
        <f t="shared" si="72"/>
        <v>2.3044692737430168</v>
      </c>
      <c r="K278" s="158">
        <v>0.33</v>
      </c>
      <c r="L278" s="126">
        <v>4</v>
      </c>
      <c r="M278" s="82">
        <f t="shared" si="73"/>
        <v>1.32</v>
      </c>
      <c r="N278" s="159" t="s">
        <v>709</v>
      </c>
      <c r="O278" s="160">
        <v>0.32</v>
      </c>
      <c r="P278" s="161">
        <v>44662</v>
      </c>
      <c r="Q278" s="161">
        <v>44672</v>
      </c>
      <c r="R278" s="82">
        <f t="shared" si="74"/>
        <v>3.1250000000000027</v>
      </c>
      <c r="S278" s="162">
        <f>IF(INDEX([1]Historical!$D$7:$D$1229,MATCH(B278,[1]Historical!$B$7:$B$1253,0))=0,"n/a",(INDEX([1]Historical!$C$7:$C$1231,MATCH(B278,[1]Historical!$B$7:$B$1253,0))/INDEX([1]Historical!$D$7:$D$1229,MATCH(B278,[1]Historical!$B$7:$B$1253,0))-1)*100)</f>
        <v>7.6271186440677985</v>
      </c>
      <c r="T278" s="162">
        <f>IF(INDEX([1]Historical!$F$7:$F$1222,MATCH(B278,[1]Historical!$B$7:$B$1253,0))=0,"n/a",((INDEX([1]Historical!$C$7:$C$1231,MATCH(B278,[1]Historical!$B$7:$B$1253,0))/INDEX([1]Historical!$F$7:$F$1222,MATCH(B278,[1]Historical!$B$7:$B$1253,0)))^(1/3)-1)*100)</f>
        <v>7.9346238587324924</v>
      </c>
      <c r="U278" s="162">
        <f>IF(INDEX([1]Historical!$H$7:$H$1222,MATCH(B278,[1]Historical!$B$7:$B$1253,0))=0,"n/a",((INDEX([1]Historical!$C$7:$C$1231,MATCH(B278,[1]Historical!$B$7:$B$1253,0))/INDEX([1]Historical!$H$7:$H$1222,MATCH(B278,[1]Historical!$B$7:$B$1253,0)))^(1/5)-1)*100)</f>
        <v>9.9601505891531836</v>
      </c>
      <c r="V278" s="162">
        <f>IF(INDEX([1]Historical!$N$7:$N$1222,MATCH(B278,[1]Historical!$B$7:$B$1253,0))=0,"n/a",((INDEX([1]Historical!$C$7:$C$1231,MATCH(B278,[1]Historical!$B$7:$B$1253,0))/INDEX([1]Historical!$N$7:$N$1222,MATCH(B278,[1]Historical!$B$7:$B$1253,0)))^(1/10)-1)*100)</f>
        <v>9.3402437529127802</v>
      </c>
      <c r="W278" s="163">
        <f t="shared" si="75"/>
        <v>1.0663694495175335</v>
      </c>
      <c r="X278" s="164">
        <f t="shared" si="76"/>
        <v>0.79681204713225473</v>
      </c>
      <c r="Y278" s="214"/>
      <c r="Z278" s="157">
        <f t="shared" si="77"/>
        <v>53.225806451612911</v>
      </c>
      <c r="AA278" s="166">
        <f t="shared" si="78"/>
        <v>23.096774193548388</v>
      </c>
      <c r="AB278" s="126">
        <v>12</v>
      </c>
      <c r="AC278" s="167">
        <v>2.48</v>
      </c>
      <c r="AD278" s="167">
        <v>2.2799999999999998</v>
      </c>
      <c r="AE278" s="167">
        <v>7.59</v>
      </c>
      <c r="AF278" s="167">
        <v>2.16</v>
      </c>
      <c r="AG278" s="167">
        <v>9.5</v>
      </c>
      <c r="AH278" s="167">
        <v>2.1</v>
      </c>
      <c r="AI278" s="167">
        <v>13.48</v>
      </c>
      <c r="AJ278" s="167">
        <v>12.5</v>
      </c>
      <c r="AK278" s="167">
        <v>10</v>
      </c>
      <c r="AL278" s="168">
        <v>6050</v>
      </c>
      <c r="AM278" s="169">
        <v>0.1</v>
      </c>
      <c r="AN278" s="167">
        <v>0.4</v>
      </c>
      <c r="AO278" s="170">
        <f t="shared" si="79"/>
        <v>-10.832154330652187</v>
      </c>
      <c r="AP278" s="171">
        <f t="shared" si="80"/>
        <v>12.2646198628962</v>
      </c>
      <c r="AQ278" s="172">
        <f t="shared" si="81"/>
        <v>48.905685673202058</v>
      </c>
      <c r="AR278" s="157">
        <f>INDEX([1]Historical!$C$7:$C$1231,MATCH(B278,[1]Historical!$B$7:$B$1253,0))*IF(AH278="n/a",1.03,IF(AH278&lt;0,1.01,IF(AH278&gt;10,1.1,(1+AH278/100))))</f>
        <v>1.29667</v>
      </c>
      <c r="AS278" s="166">
        <f t="shared" si="82"/>
        <v>1.4263370000000002</v>
      </c>
      <c r="AT278" s="166">
        <f t="shared" si="83"/>
        <v>1.5689707000000004</v>
      </c>
      <c r="AU278" s="166">
        <f t="shared" si="83"/>
        <v>1.7258677700000005</v>
      </c>
      <c r="AV278" s="166">
        <f t="shared" si="83"/>
        <v>1.8984545470000007</v>
      </c>
      <c r="AW278" s="157">
        <f t="shared" si="84"/>
        <v>7.916300017000002</v>
      </c>
      <c r="AX278" s="173">
        <f t="shared" si="85"/>
        <v>13.82035617493017</v>
      </c>
      <c r="AY278" s="174">
        <v>0.79</v>
      </c>
      <c r="AZ278" s="169">
        <v>28.92</v>
      </c>
      <c r="BA278" s="169">
        <v>-5.62</v>
      </c>
      <c r="BB278" s="169">
        <v>11.53</v>
      </c>
      <c r="BC278" s="169">
        <v>13.68</v>
      </c>
      <c r="BE278" s="77">
        <v>2012</v>
      </c>
      <c r="BF278" s="77">
        <f t="shared" si="86"/>
        <v>1</v>
      </c>
      <c r="BG278" s="175">
        <v>1.0999999999999999</v>
      </c>
      <c r="BH278" t="s">
        <v>939</v>
      </c>
      <c r="BI278" t="s">
        <v>940</v>
      </c>
    </row>
    <row r="279" spans="1:64" ht="11.25" customHeight="1" x14ac:dyDescent="0.2">
      <c r="A279" s="205" t="s">
        <v>1080</v>
      </c>
      <c r="B279" s="153" t="s">
        <v>1081</v>
      </c>
      <c r="C279" s="154" t="s">
        <v>90</v>
      </c>
      <c r="D279" s="154" t="s">
        <v>959</v>
      </c>
      <c r="E279" s="155">
        <v>9</v>
      </c>
      <c r="F279" s="298">
        <v>555</v>
      </c>
      <c r="G279" s="298" t="s">
        <v>88</v>
      </c>
      <c r="H279" s="298" t="s">
        <v>88</v>
      </c>
      <c r="I279" s="156">
        <v>66.599999999999994</v>
      </c>
      <c r="J279" s="157">
        <f t="shared" si="72"/>
        <v>0.84084084084084099</v>
      </c>
      <c r="K279" s="158">
        <v>0.14000000000000001</v>
      </c>
      <c r="L279" s="126">
        <v>4</v>
      </c>
      <c r="M279" s="82">
        <f t="shared" si="73"/>
        <v>0.56000000000000005</v>
      </c>
      <c r="N279" s="159" t="s">
        <v>677</v>
      </c>
      <c r="O279" s="160">
        <v>0.13</v>
      </c>
      <c r="P279" s="161">
        <v>44785</v>
      </c>
      <c r="Q279" s="161">
        <v>44804</v>
      </c>
      <c r="R279" s="82">
        <f t="shared" si="74"/>
        <v>7.6923076923076987</v>
      </c>
      <c r="S279" s="162">
        <f>IF(INDEX([1]Historical!$D$7:$D$1229,MATCH(B279,[1]Historical!$B$7:$B$1253,0))=0,"n/a",(INDEX([1]Historical!$C$7:$C$1231,MATCH(B279,[1]Historical!$B$7:$B$1253,0))/INDEX([1]Historical!$D$7:$D$1229,MATCH(B279,[1]Historical!$B$7:$B$1253,0))-1)*100)</f>
        <v>8.6956521739130377</v>
      </c>
      <c r="T279" s="162">
        <f>IF(INDEX([1]Historical!$F$7:$F$1222,MATCH(B279,[1]Historical!$B$7:$B$1253,0))=0,"n/a",((INDEX([1]Historical!$C$7:$C$1231,MATCH(B279,[1]Historical!$B$7:$B$1253,0))/INDEX([1]Historical!$F$7:$F$1222,MATCH(B279,[1]Historical!$B$7:$B$1253,0)))^(1/3)-1)*100)</f>
        <v>8.1743521473638161</v>
      </c>
      <c r="U279" s="162">
        <f>IF(INDEX([1]Historical!$H$7:$H$1222,MATCH(B279,[1]Historical!$B$7:$B$1253,0))=0,"n/a",((INDEX([1]Historical!$C$7:$C$1231,MATCH(B279,[1]Historical!$B$7:$B$1253,0))/INDEX([1]Historical!$H$7:$H$1222,MATCH(B279,[1]Historical!$B$7:$B$1253,0)))^(1/5)-1)*100)</f>
        <v>5.9223841048812176</v>
      </c>
      <c r="V279" s="162">
        <f>IF(INDEX([1]Historical!$N$7:$N$1222,MATCH(B279,[1]Historical!$B$7:$B$1253,0))=0,"n/a",((INDEX([1]Historical!$C$7:$C$1231,MATCH(B279,[1]Historical!$B$7:$B$1253,0))/INDEX([1]Historical!$N$7:$N$1222,MATCH(B279,[1]Historical!$B$7:$B$1253,0)))^(1/10)-1)*100)</f>
        <v>3.6311209910314224</v>
      </c>
      <c r="W279" s="163">
        <f t="shared" si="75"/>
        <v>1.631007096571288</v>
      </c>
      <c r="X279" s="164">
        <f t="shared" si="76"/>
        <v>0.29464597536722476</v>
      </c>
      <c r="Y279" s="178"/>
      <c r="Z279" s="157">
        <f t="shared" si="77"/>
        <v>15.954415954415957</v>
      </c>
      <c r="AA279" s="166">
        <f t="shared" si="78"/>
        <v>18.974358974358974</v>
      </c>
      <c r="AB279" s="126">
        <v>6</v>
      </c>
      <c r="AC279" s="167">
        <v>3.51</v>
      </c>
      <c r="AD279" s="167" t="s">
        <v>95</v>
      </c>
      <c r="AE279" s="167">
        <v>8.3800000000000008</v>
      </c>
      <c r="AF279" s="167">
        <v>3.67</v>
      </c>
      <c r="AG279" s="167">
        <v>18.3</v>
      </c>
      <c r="AH279" s="167">
        <v>16.900000000000002</v>
      </c>
      <c r="AI279" s="167" t="s">
        <v>95</v>
      </c>
      <c r="AJ279" s="167">
        <v>20.100000000000001</v>
      </c>
      <c r="AK279" s="167" t="s">
        <v>95</v>
      </c>
      <c r="AL279" s="168">
        <v>557.27</v>
      </c>
      <c r="AM279" s="169">
        <v>0.8</v>
      </c>
      <c r="AN279" s="167">
        <v>0.31</v>
      </c>
      <c r="AO279" s="170">
        <f t="shared" si="79"/>
        <v>-12.211134028636916</v>
      </c>
      <c r="AP279" s="171">
        <f t="shared" si="80"/>
        <v>6.7632249457220581</v>
      </c>
      <c r="AQ279" s="172">
        <f t="shared" si="81"/>
        <v>75.924096556690429</v>
      </c>
      <c r="AR279" s="157">
        <f>INDEX([1]Historical!$C$7:$C$1231,MATCH(B279,[1]Historical!$B$7:$B$1253,0))*IF(AH279="n/a",1.03,IF(AH279&lt;0,1.01,IF(AH279&gt;10,1.1,(1+AH279/100))))</f>
        <v>0.55000000000000004</v>
      </c>
      <c r="AS279" s="166">
        <f t="shared" si="82"/>
        <v>0.56650000000000011</v>
      </c>
      <c r="AT279" s="166">
        <f t="shared" ref="AT279:AV294" si="87">IF($AK279="n/a",1.03*AS279,IF($AK279&lt;0,1.01*AS279,IF($AK279&gt;10,1.1*AS279,(1+$AK279/100)*AS279)))</f>
        <v>0.5834950000000001</v>
      </c>
      <c r="AU279" s="166">
        <f t="shared" si="87"/>
        <v>0.60099985000000011</v>
      </c>
      <c r="AV279" s="166">
        <f t="shared" si="87"/>
        <v>0.61902984550000018</v>
      </c>
      <c r="AW279" s="157">
        <f t="shared" si="84"/>
        <v>2.9200246955000004</v>
      </c>
      <c r="AX279" s="173">
        <f t="shared" si="85"/>
        <v>4.3844214647147153</v>
      </c>
      <c r="AY279" s="174">
        <v>0.23</v>
      </c>
      <c r="AZ279" s="169">
        <v>101.76</v>
      </c>
      <c r="BA279" s="169">
        <v>-3.65</v>
      </c>
      <c r="BB279" s="169">
        <v>15</v>
      </c>
      <c r="BC279" s="169">
        <v>34.760000000000005</v>
      </c>
      <c r="BE279" s="77">
        <v>2014</v>
      </c>
      <c r="BF279" s="77">
        <f t="shared" si="86"/>
        <v>1</v>
      </c>
      <c r="BG279" s="175">
        <v>1.2</v>
      </c>
      <c r="BH279" t="s">
        <v>939</v>
      </c>
      <c r="BI279" t="s">
        <v>940</v>
      </c>
    </row>
    <row r="280" spans="1:64" ht="11.25" customHeight="1" x14ac:dyDescent="0.2">
      <c r="A280" s="176" t="s">
        <v>1415</v>
      </c>
      <c r="B280" s="153" t="s">
        <v>310</v>
      </c>
      <c r="C280" s="154" t="s">
        <v>94</v>
      </c>
      <c r="D280" s="154" t="s">
        <v>1003</v>
      </c>
      <c r="E280" s="155">
        <v>31</v>
      </c>
      <c r="F280" s="298">
        <v>92</v>
      </c>
      <c r="G280" s="298" t="s">
        <v>88</v>
      </c>
      <c r="H280" s="298" t="s">
        <v>88</v>
      </c>
      <c r="I280" s="167">
        <v>249.8</v>
      </c>
      <c r="J280" s="157">
        <f t="shared" si="72"/>
        <v>2.0176140912730181</v>
      </c>
      <c r="K280" s="209">
        <v>1.26</v>
      </c>
      <c r="L280" s="126">
        <v>4</v>
      </c>
      <c r="M280" s="82">
        <f t="shared" si="73"/>
        <v>5.04</v>
      </c>
      <c r="N280" s="159" t="s">
        <v>403</v>
      </c>
      <c r="O280" s="210">
        <v>1.19</v>
      </c>
      <c r="P280" s="161">
        <v>44658</v>
      </c>
      <c r="Q280" s="161">
        <v>44687</v>
      </c>
      <c r="R280" s="82">
        <f t="shared" si="74"/>
        <v>5.8823529411764763</v>
      </c>
      <c r="S280" s="162">
        <f>IF(INDEX([1]Historical!$D$7:$D$1229,MATCH(B280,[1]Historical!$B$7:$B$1253,0))=0,"n/a",(INDEX([1]Historical!$C$7:$C$1231,MATCH(B280,[1]Historical!$B$7:$B$1253,0))/INDEX([1]Historical!$D$7:$D$1229,MATCH(B280,[1]Historical!$B$7:$B$1253,0))-1)*100)</f>
        <v>8.101851851851837</v>
      </c>
      <c r="T280" s="162">
        <f>IF(INDEX([1]Historical!$F$7:$F$1222,MATCH(B280,[1]Historical!$B$7:$B$1253,0))=0,"n/a",((INDEX([1]Historical!$C$7:$C$1231,MATCH(B280,[1]Historical!$B$7:$B$1253,0))/INDEX([1]Historical!$F$7:$F$1222,MATCH(B280,[1]Historical!$B$7:$B$1253,0)))^(1/3)-1)*100)</f>
        <v>8.7602219458706507</v>
      </c>
      <c r="U280" s="162">
        <f>IF(INDEX([1]Historical!$H$7:$H$1222,MATCH(B280,[1]Historical!$B$7:$B$1253,0))=0,"n/a",((INDEX([1]Historical!$C$7:$C$1231,MATCH(B280,[1]Historical!$B$7:$B$1253,0))/INDEX([1]Historical!$H$7:$H$1222,MATCH(B280,[1]Historical!$B$7:$B$1253,0)))^(1/5)-1)*100)</f>
        <v>9.4742771470482712</v>
      </c>
      <c r="V280" s="162">
        <f>IF(INDEX([1]Historical!$N$7:$N$1222,MATCH(B280,[1]Historical!$B$7:$B$1253,0))=0,"n/a",((INDEX([1]Historical!$C$7:$C$1231,MATCH(B280,[1]Historical!$B$7:$B$1253,0))/INDEX([1]Historical!$N$7:$N$1222,MATCH(B280,[1]Historical!$B$7:$B$1253,0)))^(1/10)-1)*100)</f>
        <v>9.8212996856713808</v>
      </c>
      <c r="W280" s="163">
        <f t="shared" si="75"/>
        <v>0.96466633238680288</v>
      </c>
      <c r="X280" s="164">
        <f t="shared" si="76"/>
        <v>1.5790461911747118</v>
      </c>
      <c r="Y280" s="181"/>
      <c r="Z280" s="157">
        <f t="shared" si="77"/>
        <v>41.965029142381347</v>
      </c>
      <c r="AA280" s="166">
        <f t="shared" si="78"/>
        <v>20.799333888426311</v>
      </c>
      <c r="AB280" s="126">
        <v>12</v>
      </c>
      <c r="AC280" s="167">
        <v>12.01</v>
      </c>
      <c r="AD280" s="167">
        <v>1.88</v>
      </c>
      <c r="AE280" s="167">
        <v>1.75</v>
      </c>
      <c r="AF280" s="167">
        <v>3.89</v>
      </c>
      <c r="AG280" s="167">
        <v>19</v>
      </c>
      <c r="AH280" s="179">
        <v>5</v>
      </c>
      <c r="AI280" s="179">
        <v>15.55</v>
      </c>
      <c r="AJ280" s="167">
        <v>6</v>
      </c>
      <c r="AK280" s="167">
        <v>11.110000000000001</v>
      </c>
      <c r="AL280" s="168">
        <v>68090</v>
      </c>
      <c r="AM280" s="169">
        <v>0.5</v>
      </c>
      <c r="AN280" s="167">
        <v>0.65</v>
      </c>
      <c r="AO280" s="170">
        <f t="shared" si="79"/>
        <v>-9.3074426501050223</v>
      </c>
      <c r="AP280" s="171">
        <f t="shared" si="80"/>
        <v>11.491891238321289</v>
      </c>
      <c r="AQ280" s="172">
        <f t="shared" si="81"/>
        <v>89.630528280628823</v>
      </c>
      <c r="AR280" s="157">
        <f>INDEX([1]Historical!$C$7:$C$1231,MATCH(B280,[1]Historical!$B$7:$B$1253,0))*IF(AH280="n/a",1.03,IF(AH280&lt;0,1.01,IF(AH280&gt;10,1.1,(1+AH280/100))))</f>
        <v>4.9035000000000002</v>
      </c>
      <c r="AS280" s="166">
        <f t="shared" si="82"/>
        <v>5.3938500000000005</v>
      </c>
      <c r="AT280" s="166">
        <f t="shared" si="87"/>
        <v>5.9332350000000007</v>
      </c>
      <c r="AU280" s="166">
        <f t="shared" si="87"/>
        <v>6.526558500000001</v>
      </c>
      <c r="AV280" s="166">
        <f t="shared" si="87"/>
        <v>7.1792143500000014</v>
      </c>
      <c r="AW280" s="157">
        <f t="shared" si="84"/>
        <v>29.936357850000004</v>
      </c>
      <c r="AX280" s="173">
        <f t="shared" si="85"/>
        <v>11.984130444355486</v>
      </c>
      <c r="AY280" s="174">
        <v>0.89</v>
      </c>
      <c r="AZ280" s="169">
        <v>32.42</v>
      </c>
      <c r="BA280" s="169">
        <v>-2.04</v>
      </c>
      <c r="BB280" s="169">
        <v>8.51</v>
      </c>
      <c r="BC280" s="169">
        <v>9.85</v>
      </c>
      <c r="BE280" s="77">
        <v>1992</v>
      </c>
      <c r="BF280" s="77">
        <f t="shared" si="86"/>
        <v>3</v>
      </c>
      <c r="BG280" s="175">
        <v>6.6000000000000005</v>
      </c>
      <c r="BH280" t="s">
        <v>939</v>
      </c>
      <c r="BI280" t="s">
        <v>940</v>
      </c>
    </row>
    <row r="281" spans="1:64" ht="11.25" customHeight="1" x14ac:dyDescent="0.2">
      <c r="A281" s="176" t="s">
        <v>1416</v>
      </c>
      <c r="B281" s="153" t="s">
        <v>669</v>
      </c>
      <c r="C281" s="154" t="s">
        <v>94</v>
      </c>
      <c r="D281" s="154" t="s">
        <v>760</v>
      </c>
      <c r="E281" s="155">
        <v>11</v>
      </c>
      <c r="F281" s="298">
        <v>394</v>
      </c>
      <c r="G281" s="298" t="s">
        <v>88</v>
      </c>
      <c r="H281" s="298" t="s">
        <v>88</v>
      </c>
      <c r="I281" s="167">
        <v>32.14</v>
      </c>
      <c r="J281" s="157">
        <f t="shared" si="72"/>
        <v>1.1200995644057248</v>
      </c>
      <c r="K281" s="158">
        <v>0.09</v>
      </c>
      <c r="L281" s="126">
        <v>4</v>
      </c>
      <c r="M281" s="82">
        <f t="shared" si="73"/>
        <v>0.36</v>
      </c>
      <c r="N281" s="159" t="s">
        <v>668</v>
      </c>
      <c r="O281" s="160">
        <v>0.08</v>
      </c>
      <c r="P281" s="224">
        <v>44526</v>
      </c>
      <c r="Q281" s="224">
        <v>44546</v>
      </c>
      <c r="R281" s="82">
        <f t="shared" si="74"/>
        <v>12.499999999999993</v>
      </c>
      <c r="S281" s="162">
        <f>IF(INDEX([1]Historical!$D$7:$D$1229,MATCH(B281,[1]Historical!$B$7:$B$1253,0))=0,"n/a",(INDEX([1]Historical!$C$7:$C$1231,MATCH(B281,[1]Historical!$B$7:$B$1253,0))/INDEX([1]Historical!$D$7:$D$1229,MATCH(B281,[1]Historical!$B$7:$B$1253,0))-1)*100)</f>
        <v>8.196721311475418</v>
      </c>
      <c r="T281" s="162">
        <f>IF(INDEX([1]Historical!$F$7:$F$1222,MATCH(B281,[1]Historical!$B$7:$B$1253,0))=0,"n/a",((INDEX([1]Historical!$C$7:$C$1231,MATCH(B281,[1]Historical!$B$7:$B$1253,0))/INDEX([1]Historical!$F$7:$F$1222,MATCH(B281,[1]Historical!$B$7:$B$1253,0)))^(1/3)-1)*100)</f>
        <v>5.3792113089372373</v>
      </c>
      <c r="U281" s="162">
        <f>IF(INDEX([1]Historical!$H$7:$H$1222,MATCH(B281,[1]Historical!$B$7:$B$1253,0))=0,"n/a",((INDEX([1]Historical!$C$7:$C$1231,MATCH(B281,[1]Historical!$B$7:$B$1253,0))/INDEX([1]Historical!$H$7:$H$1222,MATCH(B281,[1]Historical!$B$7:$B$1253,0)))^(1/5)-1)*100)</f>
        <v>9.4608784223157549</v>
      </c>
      <c r="V281" s="162">
        <f>IF(INDEX([1]Historical!$N$7:$N$1222,MATCH(B281,[1]Historical!$B$7:$B$1253,0))=0,"n/a",((INDEX([1]Historical!$C$7:$C$1231,MATCH(B281,[1]Historical!$B$7:$B$1253,0))/INDEX([1]Historical!$N$7:$N$1222,MATCH(B281,[1]Historical!$B$7:$B$1253,0)))^(1/10)-1)*100)</f>
        <v>32.357450906659665</v>
      </c>
      <c r="W281" s="163">
        <f t="shared" si="75"/>
        <v>0.29238639501013847</v>
      </c>
      <c r="X281" s="164">
        <f t="shared" si="76"/>
        <v>0.38774091894736701</v>
      </c>
      <c r="Y281" s="207"/>
      <c r="Z281" s="157">
        <f t="shared" si="77"/>
        <v>14.285714285714285</v>
      </c>
      <c r="AA281" s="166">
        <f t="shared" si="78"/>
        <v>12.753968253968255</v>
      </c>
      <c r="AB281" s="126">
        <v>9</v>
      </c>
      <c r="AC281" s="167">
        <v>2.52</v>
      </c>
      <c r="AD281" s="167">
        <v>0.64</v>
      </c>
      <c r="AE281" s="167">
        <v>0.75</v>
      </c>
      <c r="AF281" s="167">
        <v>1.88</v>
      </c>
      <c r="AG281" s="167">
        <v>28.7</v>
      </c>
      <c r="AH281" s="179">
        <v>41.6</v>
      </c>
      <c r="AI281" s="179">
        <v>-0.63</v>
      </c>
      <c r="AJ281" s="167">
        <v>24.4</v>
      </c>
      <c r="AK281" s="167">
        <v>20.41</v>
      </c>
      <c r="AL281" s="168">
        <v>1880</v>
      </c>
      <c r="AM281" s="169">
        <v>6.7</v>
      </c>
      <c r="AN281" s="167">
        <v>1.75</v>
      </c>
      <c r="AO281" s="170">
        <f t="shared" si="79"/>
        <v>-2.1729902672467745</v>
      </c>
      <c r="AP281" s="171">
        <f t="shared" si="80"/>
        <v>10.58097798672148</v>
      </c>
      <c r="AQ281" s="172">
        <f t="shared" si="81"/>
        <v>3.2310468317664709</v>
      </c>
      <c r="AR281" s="157">
        <f>INDEX([1]Historical!$C$7:$C$1231,MATCH(B281,[1]Historical!$B$7:$B$1253,0))*IF(AH281="n/a",1.03,IF(AH281&lt;0,1.01,IF(AH281&gt;10,1.1,(1+AH281/100))))</f>
        <v>0.36300000000000004</v>
      </c>
      <c r="AS281" s="166">
        <f t="shared" si="82"/>
        <v>0.36663000000000007</v>
      </c>
      <c r="AT281" s="166">
        <f t="shared" si="87"/>
        <v>0.40329300000000012</v>
      </c>
      <c r="AU281" s="166">
        <f t="shared" si="87"/>
        <v>0.44362230000000019</v>
      </c>
      <c r="AV281" s="166">
        <f t="shared" si="87"/>
        <v>0.48798453000000025</v>
      </c>
      <c r="AW281" s="157">
        <f t="shared" si="84"/>
        <v>2.0645298300000006</v>
      </c>
      <c r="AX281" s="173">
        <f t="shared" si="85"/>
        <v>6.4235526757934052</v>
      </c>
      <c r="AY281" s="174">
        <v>1.57</v>
      </c>
      <c r="AZ281" s="169">
        <v>96.97</v>
      </c>
      <c r="BA281" s="169">
        <v>-7.9600000000000009</v>
      </c>
      <c r="BB281" s="169">
        <v>2.16</v>
      </c>
      <c r="BC281" s="169">
        <v>25.09</v>
      </c>
      <c r="BE281" s="77">
        <v>2012</v>
      </c>
      <c r="BF281" s="77">
        <f t="shared" si="86"/>
        <v>1</v>
      </c>
      <c r="BG281" s="175">
        <v>7.8</v>
      </c>
      <c r="BH281" t="s">
        <v>939</v>
      </c>
      <c r="BI281" t="s">
        <v>940</v>
      </c>
    </row>
    <row r="282" spans="1:64" ht="11.25" customHeight="1" x14ac:dyDescent="0.2">
      <c r="A282" s="112" t="s">
        <v>314</v>
      </c>
      <c r="B282" s="153" t="s">
        <v>315</v>
      </c>
      <c r="C282" s="154" t="s">
        <v>94</v>
      </c>
      <c r="D282" s="154" t="s">
        <v>101</v>
      </c>
      <c r="E282" s="155">
        <v>25</v>
      </c>
      <c r="F282" s="298">
        <v>139</v>
      </c>
      <c r="G282" s="298" t="s">
        <v>30</v>
      </c>
      <c r="H282" s="298" t="s">
        <v>30</v>
      </c>
      <c r="I282" s="156">
        <v>69.58</v>
      </c>
      <c r="J282" s="157">
        <f t="shared" si="72"/>
        <v>1.2072434607645874</v>
      </c>
      <c r="K282" s="209">
        <v>0.21</v>
      </c>
      <c r="L282" s="126">
        <v>4</v>
      </c>
      <c r="M282" s="82">
        <f t="shared" si="73"/>
        <v>0.84</v>
      </c>
      <c r="N282" s="159" t="s">
        <v>281</v>
      </c>
      <c r="O282" s="210">
        <v>0.1875</v>
      </c>
      <c r="P282" s="161">
        <v>44575</v>
      </c>
      <c r="Q282" s="161">
        <v>44594</v>
      </c>
      <c r="R282" s="82">
        <f t="shared" si="74"/>
        <v>11.999999999999995</v>
      </c>
      <c r="S282" s="162">
        <f>IF(INDEX([1]Historical!$D$7:$D$1229,MATCH(B282,[1]Historical!$B$7:$B$1253,0))=0,"n/a",(INDEX([1]Historical!$C$7:$C$1231,MATCH(B282,[1]Historical!$B$7:$B$1253,0))/INDEX([1]Historical!$D$7:$D$1229,MATCH(B282,[1]Historical!$B$7:$B$1253,0))-1)*100)</f>
        <v>7.1428571428571397</v>
      </c>
      <c r="T282" s="162">
        <f>IF(INDEX([1]Historical!$F$7:$F$1222,MATCH(B282,[1]Historical!$B$7:$B$1253,0))=0,"n/a",((INDEX([1]Historical!$C$7:$C$1231,MATCH(B282,[1]Historical!$B$7:$B$1253,0))/INDEX([1]Historical!$F$7:$F$1222,MATCH(B282,[1]Historical!$B$7:$B$1253,0)))^(1/3)-1)*100)</f>
        <v>12.411078255652285</v>
      </c>
      <c r="U282" s="162">
        <f>IF(INDEX([1]Historical!$H$7:$H$1222,MATCH(B282,[1]Historical!$B$7:$B$1253,0))=0,"n/a",((INDEX([1]Historical!$C$7:$C$1231,MATCH(B282,[1]Historical!$B$7:$B$1253,0))/INDEX([1]Historical!$H$7:$H$1222,MATCH(B282,[1]Historical!$B$7:$B$1253,0)))^(1/5)-1)*100)</f>
        <v>11.255558285117573</v>
      </c>
      <c r="V282" s="162">
        <f>IF(INDEX([1]Historical!$N$7:$N$1222,MATCH(B282,[1]Historical!$B$7:$B$1253,0))=0,"n/a",((INDEX([1]Historical!$C$7:$C$1231,MATCH(B282,[1]Historical!$B$7:$B$1253,0))/INDEX([1]Historical!$N$7:$N$1222,MATCH(B282,[1]Historical!$B$7:$B$1253,0)))^(1/10)-1)*100)</f>
        <v>10.354570087759019</v>
      </c>
      <c r="W282" s="163">
        <f t="shared" si="75"/>
        <v>1.0870135785186954</v>
      </c>
      <c r="X282" s="164">
        <f t="shared" si="76"/>
        <v>0.18665934137840087</v>
      </c>
      <c r="Y282" s="181"/>
      <c r="Z282" s="157">
        <f t="shared" si="77"/>
        <v>32.061068702290072</v>
      </c>
      <c r="AA282" s="166">
        <f t="shared" si="78"/>
        <v>26.557251908396946</v>
      </c>
      <c r="AB282" s="126">
        <v>12</v>
      </c>
      <c r="AC282" s="167">
        <v>2.62</v>
      </c>
      <c r="AD282" s="167">
        <v>2.5499999999999998</v>
      </c>
      <c r="AE282" s="167">
        <v>5.3</v>
      </c>
      <c r="AF282" s="167">
        <v>6.57</v>
      </c>
      <c r="AG282" s="167">
        <v>26.200000000000003</v>
      </c>
      <c r="AH282" s="167">
        <v>31.2</v>
      </c>
      <c r="AI282" s="167">
        <v>6.0600000000000005</v>
      </c>
      <c r="AJ282" s="167">
        <v>60.3</v>
      </c>
      <c r="AK282" s="167">
        <v>10.4</v>
      </c>
      <c r="AL282" s="168">
        <v>11290</v>
      </c>
      <c r="AM282" s="169">
        <v>0.1</v>
      </c>
      <c r="AN282" s="167">
        <v>7.0000000000000007E-2</v>
      </c>
      <c r="AO282" s="170">
        <f t="shared" si="79"/>
        <v>-14.094450162514786</v>
      </c>
      <c r="AP282" s="171">
        <f t="shared" si="80"/>
        <v>12.46280174588216</v>
      </c>
      <c r="AQ282" s="172">
        <f t="shared" si="81"/>
        <v>178.47293508080654</v>
      </c>
      <c r="AR282" s="157">
        <f>INDEX([1]Historical!$C$7:$C$1231,MATCH(B282,[1]Historical!$B$7:$B$1253,0))*IF(AH282="n/a",1.03,IF(AH282&lt;0,1.01,IF(AH282&gt;10,1.1,(1+AH282/100))))</f>
        <v>0.82500000000000007</v>
      </c>
      <c r="AS282" s="166">
        <f t="shared" si="82"/>
        <v>0.87499500000000008</v>
      </c>
      <c r="AT282" s="166">
        <f t="shared" si="87"/>
        <v>0.96249450000000014</v>
      </c>
      <c r="AU282" s="166">
        <f t="shared" si="87"/>
        <v>1.0587439500000002</v>
      </c>
      <c r="AV282" s="166">
        <f t="shared" si="87"/>
        <v>1.1646183450000003</v>
      </c>
      <c r="AW282" s="157">
        <f t="shared" si="84"/>
        <v>4.8858517950000007</v>
      </c>
      <c r="AX282" s="173">
        <f t="shared" si="85"/>
        <v>7.0219197973555634</v>
      </c>
      <c r="AY282" s="174">
        <v>0.79</v>
      </c>
      <c r="AZ282" s="169">
        <v>23.189999999999998</v>
      </c>
      <c r="BA282" s="169">
        <v>-14.19</v>
      </c>
      <c r="BB282" s="169">
        <v>9.34</v>
      </c>
      <c r="BC282" s="169">
        <v>6.16</v>
      </c>
      <c r="BE282" s="77">
        <v>1998</v>
      </c>
      <c r="BF282" s="77">
        <f t="shared" si="86"/>
        <v>3</v>
      </c>
      <c r="BG282" s="175">
        <v>18.899999999999999</v>
      </c>
      <c r="BH282" t="s">
        <v>939</v>
      </c>
      <c r="BI282" t="s">
        <v>940</v>
      </c>
    </row>
    <row r="283" spans="1:64" ht="11.25" customHeight="1" x14ac:dyDescent="0.2">
      <c r="A283" s="205" t="s">
        <v>1082</v>
      </c>
      <c r="B283" s="153" t="s">
        <v>1083</v>
      </c>
      <c r="C283" s="154" t="s">
        <v>100</v>
      </c>
      <c r="D283" s="154" t="s">
        <v>1084</v>
      </c>
      <c r="E283" s="155">
        <v>6</v>
      </c>
      <c r="F283" s="298">
        <v>654</v>
      </c>
      <c r="G283" s="298" t="s">
        <v>88</v>
      </c>
      <c r="H283" s="298" t="s">
        <v>88</v>
      </c>
      <c r="I283" s="156">
        <v>623.87</v>
      </c>
      <c r="J283" s="157">
        <f t="shared" si="72"/>
        <v>1.0130315610624008</v>
      </c>
      <c r="K283" s="158">
        <v>1.58</v>
      </c>
      <c r="L283" s="126">
        <v>4</v>
      </c>
      <c r="M283" s="82">
        <f t="shared" si="73"/>
        <v>6.32</v>
      </c>
      <c r="N283" s="159" t="s">
        <v>89</v>
      </c>
      <c r="O283" s="160">
        <v>1.51</v>
      </c>
      <c r="P283" s="161">
        <v>44594</v>
      </c>
      <c r="Q283" s="161">
        <v>44609</v>
      </c>
      <c r="R283" s="82">
        <f t="shared" si="74"/>
        <v>4.6357615894039776</v>
      </c>
      <c r="S283" s="162">
        <f>IF(INDEX([1]Historical!$D$7:$D$1229,MATCH(B283,[1]Historical!$B$7:$B$1253,0))=0,"n/a",(INDEX([1]Historical!$C$7:$C$1231,MATCH(B283,[1]Historical!$B$7:$B$1253,0))/INDEX([1]Historical!$D$7:$D$1229,MATCH(B283,[1]Historical!$B$7:$B$1253,0))-1)*100)</f>
        <v>4.1379310344827669</v>
      </c>
      <c r="T283" s="162">
        <f>IF(INDEX([1]Historical!$F$7:$F$1222,MATCH(B283,[1]Historical!$B$7:$B$1253,0))=0,"n/a",((INDEX([1]Historical!$C$7:$C$1231,MATCH(B283,[1]Historical!$B$7:$B$1253,0))/INDEX([1]Historical!$F$7:$F$1222,MATCH(B283,[1]Historical!$B$7:$B$1253,0)))^(1/3)-1)*100)</f>
        <v>4.3218072561138854</v>
      </c>
      <c r="U283" s="162">
        <f>IF(INDEX([1]Historical!$H$7:$H$1222,MATCH(B283,[1]Historical!$B$7:$B$1253,0))=0,"n/a",((INDEX([1]Historical!$C$7:$C$1231,MATCH(B283,[1]Historical!$B$7:$B$1253,0))/INDEX([1]Historical!$H$7:$H$1222,MATCH(B283,[1]Historical!$B$7:$B$1253,0)))^(1/5)-1)*100)</f>
        <v>4.5293657857078395</v>
      </c>
      <c r="V283" s="162">
        <f>IF(INDEX([1]Historical!$N$7:$N$1222,MATCH(B283,[1]Historical!$B$7:$B$1253,0))=0,"n/a",((INDEX([1]Historical!$C$7:$C$1231,MATCH(B283,[1]Historical!$B$7:$B$1253,0))/INDEX([1]Historical!$N$7:$N$1222,MATCH(B283,[1]Historical!$B$7:$B$1253,0)))^(1/10)-1)*100)</f>
        <v>-4.3266659796850737</v>
      </c>
      <c r="W283" s="163" t="str">
        <f t="shared" si="75"/>
        <v>n/a</v>
      </c>
      <c r="X283" s="164">
        <f t="shared" si="76"/>
        <v>0.24092371200573615</v>
      </c>
      <c r="Y283" s="180"/>
      <c r="Z283" s="157">
        <f t="shared" si="77"/>
        <v>20.55953155497723</v>
      </c>
      <c r="AA283" s="166">
        <f t="shared" si="78"/>
        <v>20.295055302537413</v>
      </c>
      <c r="AB283" s="126">
        <v>12</v>
      </c>
      <c r="AC283" s="167">
        <v>30.74</v>
      </c>
      <c r="AD283" s="167">
        <v>1.1299999999999999</v>
      </c>
      <c r="AE283" s="167">
        <v>0.85</v>
      </c>
      <c r="AF283" s="167">
        <v>0.71</v>
      </c>
      <c r="AG283" s="167">
        <v>3.5000000000000004</v>
      </c>
      <c r="AH283" s="167">
        <v>21.2</v>
      </c>
      <c r="AI283" s="167">
        <v>-7.86</v>
      </c>
      <c r="AJ283" s="167">
        <v>18.8</v>
      </c>
      <c r="AK283" s="167">
        <v>18.099999999999998</v>
      </c>
      <c r="AL283" s="168">
        <v>2990</v>
      </c>
      <c r="AM283" s="169">
        <v>0.3</v>
      </c>
      <c r="AN283" s="167">
        <v>0.15</v>
      </c>
      <c r="AO283" s="170">
        <f t="shared" si="79"/>
        <v>-14.752657955767173</v>
      </c>
      <c r="AP283" s="171">
        <f t="shared" si="80"/>
        <v>5.5423973467702403</v>
      </c>
      <c r="AQ283" s="172">
        <f t="shared" si="81"/>
        <v>-19.973645272179763</v>
      </c>
      <c r="AR283" s="157">
        <f>INDEX([1]Historical!$C$7:$C$1231,MATCH(B283,[1]Historical!$B$7:$B$1253,0))*IF(AH283="n/a",1.03,IF(AH283&lt;0,1.01,IF(AH283&gt;10,1.1,(1+AH283/100))))</f>
        <v>6.644000000000001</v>
      </c>
      <c r="AS283" s="166">
        <f t="shared" si="82"/>
        <v>6.7104400000000011</v>
      </c>
      <c r="AT283" s="166">
        <f t="shared" si="87"/>
        <v>7.3814840000000022</v>
      </c>
      <c r="AU283" s="166">
        <f t="shared" si="87"/>
        <v>8.1196324000000022</v>
      </c>
      <c r="AV283" s="166">
        <f t="shared" si="87"/>
        <v>8.9315956400000029</v>
      </c>
      <c r="AW283" s="157">
        <f t="shared" si="84"/>
        <v>37.787152040000009</v>
      </c>
      <c r="AX283" s="173">
        <f t="shared" si="85"/>
        <v>6.0568951929087804</v>
      </c>
      <c r="AY283" s="174">
        <v>1.02</v>
      </c>
      <c r="AZ283" s="169">
        <v>18.7</v>
      </c>
      <c r="BA283" s="169">
        <v>-7.57</v>
      </c>
      <c r="BB283" s="169">
        <v>10.100000000000001</v>
      </c>
      <c r="BC283" s="169">
        <v>6.5299999999999994</v>
      </c>
      <c r="BE283" s="77">
        <v>2017</v>
      </c>
      <c r="BF283" s="77">
        <f t="shared" si="86"/>
        <v>1</v>
      </c>
      <c r="BG283" s="175">
        <v>2.1</v>
      </c>
      <c r="BH283" t="s">
        <v>939</v>
      </c>
      <c r="BI283" t="s">
        <v>940</v>
      </c>
      <c r="BJ283" s="112"/>
      <c r="BK283" s="112"/>
      <c r="BL283" s="112"/>
    </row>
    <row r="284" spans="1:64" ht="11.25" customHeight="1" x14ac:dyDescent="0.2">
      <c r="A284" s="205" t="s">
        <v>1085</v>
      </c>
      <c r="B284" s="153" t="s">
        <v>1086</v>
      </c>
      <c r="C284" s="154" t="s">
        <v>94</v>
      </c>
      <c r="D284" s="154" t="s">
        <v>962</v>
      </c>
      <c r="E284" s="155">
        <v>7</v>
      </c>
      <c r="F284" s="298">
        <v>621</v>
      </c>
      <c r="G284" s="298" t="s">
        <v>88</v>
      </c>
      <c r="H284" s="298" t="s">
        <v>88</v>
      </c>
      <c r="I284" s="156">
        <v>31.74</v>
      </c>
      <c r="J284" s="157">
        <f t="shared" si="72"/>
        <v>2.2684310018903595</v>
      </c>
      <c r="K284" s="158">
        <v>0.18</v>
      </c>
      <c r="L284" s="126">
        <v>4</v>
      </c>
      <c r="M284" s="82">
        <f t="shared" si="73"/>
        <v>0.72</v>
      </c>
      <c r="N284" s="159" t="s">
        <v>214</v>
      </c>
      <c r="O284" s="160">
        <v>0.16</v>
      </c>
      <c r="P284" s="161">
        <v>44617</v>
      </c>
      <c r="Q284" s="161">
        <v>44627</v>
      </c>
      <c r="R284" s="82">
        <f t="shared" si="74"/>
        <v>12.499999999999993</v>
      </c>
      <c r="S284" s="162">
        <f>IF(INDEX([1]Historical!$D$7:$D$1229,MATCH(B284,[1]Historical!$B$7:$B$1253,0))=0,"n/a",(INDEX([1]Historical!$C$7:$C$1231,MATCH(B284,[1]Historical!$B$7:$B$1253,0))/INDEX([1]Historical!$D$7:$D$1229,MATCH(B284,[1]Historical!$B$7:$B$1253,0))-1)*100)</f>
        <v>14.285714285714279</v>
      </c>
      <c r="T284" s="162">
        <f>IF(INDEX([1]Historical!$F$7:$F$1222,MATCH(B284,[1]Historical!$B$7:$B$1253,0))=0,"n/a",((INDEX([1]Historical!$C$7:$C$1231,MATCH(B284,[1]Historical!$B$7:$B$1253,0))/INDEX([1]Historical!$F$7:$F$1222,MATCH(B284,[1]Historical!$B$7:$B$1253,0)))^(1/3)-1)*100)</f>
        <v>13.30326698854094</v>
      </c>
      <c r="U284" s="162">
        <f>IF(INDEX([1]Historical!$H$7:$H$1222,MATCH(B284,[1]Historical!$B$7:$B$1253,0))=0,"n/a",((INDEX([1]Historical!$C$7:$C$1231,MATCH(B284,[1]Historical!$B$7:$B$1253,0))/INDEX([1]Historical!$H$7:$H$1222,MATCH(B284,[1]Historical!$B$7:$B$1253,0)))^(1/5)-1)*100)</f>
        <v>44.955932735539108</v>
      </c>
      <c r="V284" s="162" t="str">
        <f>IF(INDEX([1]Historical!$N$7:$N$1222,MATCH(B284,[1]Historical!$B$7:$B$1253,0))=0,"n/a",((INDEX([1]Historical!$C$7:$C$1231,MATCH(B284,[1]Historical!$B$7:$B$1253,0))/INDEX([1]Historical!$N$7:$N$1222,MATCH(B284,[1]Historical!$B$7:$B$1253,0)))^(1/10)-1)*100)</f>
        <v>n/a</v>
      </c>
      <c r="W284" s="163" t="str">
        <f t="shared" si="75"/>
        <v>n/a</v>
      </c>
      <c r="X284" s="164">
        <f t="shared" si="76"/>
        <v>0.58007655142631109</v>
      </c>
      <c r="Y284" s="178"/>
      <c r="Z284" s="157">
        <f t="shared" si="77"/>
        <v>31.168831168831169</v>
      </c>
      <c r="AA284" s="166">
        <f t="shared" si="78"/>
        <v>13.74025974025974</v>
      </c>
      <c r="AB284" s="126">
        <v>12</v>
      </c>
      <c r="AC284" s="167">
        <v>2.31</v>
      </c>
      <c r="AD284" s="167">
        <v>0.75</v>
      </c>
      <c r="AE284" s="167">
        <v>1</v>
      </c>
      <c r="AF284" s="167">
        <v>6.34</v>
      </c>
      <c r="AG284" s="167">
        <v>66.7</v>
      </c>
      <c r="AH284" s="167">
        <v>8.5</v>
      </c>
      <c r="AI284" s="167">
        <v>-2.25</v>
      </c>
      <c r="AJ284" s="167">
        <v>77.5</v>
      </c>
      <c r="AK284" s="167">
        <v>18</v>
      </c>
      <c r="AL284" s="168">
        <v>1150</v>
      </c>
      <c r="AM284" s="169">
        <v>0.8</v>
      </c>
      <c r="AN284" s="167">
        <v>0.16</v>
      </c>
      <c r="AO284" s="170">
        <f t="shared" si="79"/>
        <v>33.484103997169733</v>
      </c>
      <c r="AP284" s="171">
        <f t="shared" si="80"/>
        <v>47.224363737429471</v>
      </c>
      <c r="AQ284" s="172">
        <f t="shared" si="81"/>
        <v>96.766355246517037</v>
      </c>
      <c r="AR284" s="157">
        <f>INDEX([1]Historical!$C$7:$C$1231,MATCH(B284,[1]Historical!$B$7:$B$1253,0))*IF(AH284="n/a",1.03,IF(AH284&lt;0,1.01,IF(AH284&gt;10,1.1,(1+AH284/100))))</f>
        <v>0.69440000000000002</v>
      </c>
      <c r="AS284" s="166">
        <f t="shared" si="82"/>
        <v>0.70134400000000008</v>
      </c>
      <c r="AT284" s="166">
        <f t="shared" si="87"/>
        <v>0.77147840000000012</v>
      </c>
      <c r="AU284" s="166">
        <f t="shared" si="87"/>
        <v>0.8486262400000002</v>
      </c>
      <c r="AV284" s="166">
        <f t="shared" si="87"/>
        <v>0.93348886400000031</v>
      </c>
      <c r="AW284" s="157">
        <f t="shared" si="84"/>
        <v>3.9493375040000007</v>
      </c>
      <c r="AX284" s="173">
        <f t="shared" si="85"/>
        <v>12.442777265280407</v>
      </c>
      <c r="AY284" s="174">
        <v>0.78</v>
      </c>
      <c r="AZ284" s="169">
        <v>23.45</v>
      </c>
      <c r="BA284" s="169">
        <v>-28.060000000000002</v>
      </c>
      <c r="BB284" s="169">
        <v>9.5500000000000007</v>
      </c>
      <c r="BC284" s="169">
        <v>-0.8</v>
      </c>
      <c r="BE284" s="77">
        <v>2016</v>
      </c>
      <c r="BF284" s="77">
        <f t="shared" si="86"/>
        <v>1</v>
      </c>
      <c r="BG284" s="175">
        <v>24.8</v>
      </c>
      <c r="BH284" t="s">
        <v>939</v>
      </c>
      <c r="BI284" t="s">
        <v>940</v>
      </c>
      <c r="BJ284" s="112"/>
      <c r="BK284" s="112"/>
      <c r="BL284" s="112"/>
    </row>
    <row r="285" spans="1:64" ht="11.25" customHeight="1" x14ac:dyDescent="0.2">
      <c r="A285" s="205" t="s">
        <v>1417</v>
      </c>
      <c r="B285" s="153" t="s">
        <v>1087</v>
      </c>
      <c r="C285" s="154" t="s">
        <v>137</v>
      </c>
      <c r="D285" s="154" t="s">
        <v>522</v>
      </c>
      <c r="E285" s="155">
        <v>8</v>
      </c>
      <c r="F285" s="298">
        <v>584</v>
      </c>
      <c r="G285" s="298" t="s">
        <v>88</v>
      </c>
      <c r="H285" s="298" t="s">
        <v>88</v>
      </c>
      <c r="I285" s="156">
        <v>78.459999999999994</v>
      </c>
      <c r="J285" s="157">
        <f t="shared" si="72"/>
        <v>3.7216416008157025</v>
      </c>
      <c r="K285" s="158">
        <v>0.73</v>
      </c>
      <c r="L285" s="126">
        <v>4</v>
      </c>
      <c r="M285" s="82">
        <f t="shared" si="73"/>
        <v>2.92</v>
      </c>
      <c r="N285" s="159" t="s">
        <v>206</v>
      </c>
      <c r="O285" s="160">
        <v>0.71</v>
      </c>
      <c r="P285" s="161">
        <v>44634</v>
      </c>
      <c r="Q285" s="161">
        <v>44650</v>
      </c>
      <c r="R285" s="82">
        <f t="shared" si="74"/>
        <v>2.8169014084507067</v>
      </c>
      <c r="S285" s="162">
        <f>IF(INDEX([1]Historical!$D$7:$D$1229,MATCH(B285,[1]Historical!$B$7:$B$1253,0))=0,"n/a",(INDEX([1]Historical!$C$7:$C$1231,MATCH(B285,[1]Historical!$B$7:$B$1253,0))/INDEX([1]Historical!$D$7:$D$1229,MATCH(B285,[1]Historical!$B$7:$B$1253,0))-1)*100)</f>
        <v>4.4117647058823373</v>
      </c>
      <c r="T285" s="162">
        <f>IF(INDEX([1]Historical!$F$7:$F$1222,MATCH(B285,[1]Historical!$B$7:$B$1253,0))=0,"n/a",((INDEX([1]Historical!$C$7:$C$1231,MATCH(B285,[1]Historical!$B$7:$B$1253,0))/INDEX([1]Historical!$F$7:$F$1222,MATCH(B285,[1]Historical!$B$7:$B$1253,0)))^(1/3)-1)*100)</f>
        <v>7.5955965238099665</v>
      </c>
      <c r="U285" s="162">
        <f>IF(INDEX([1]Historical!$H$7:$H$1222,MATCH(B285,[1]Historical!$B$7:$B$1253,0))=0,"n/a",((INDEX([1]Historical!$C$7:$C$1231,MATCH(B285,[1]Historical!$B$7:$B$1253,0))/INDEX([1]Historical!$H$7:$H$1222,MATCH(B285,[1]Historical!$B$7:$B$1253,0)))^(1/5)-1)*100)</f>
        <v>9.0686916213479574</v>
      </c>
      <c r="V285" s="162" t="str">
        <f>IF(INDEX([1]Historical!$N$7:$N$1222,MATCH(B285,[1]Historical!$B$7:$B$1253,0))=0,"n/a",((INDEX([1]Historical!$C$7:$C$1231,MATCH(B285,[1]Historical!$B$7:$B$1253,0))/INDEX([1]Historical!$N$7:$N$1222,MATCH(B285,[1]Historical!$B$7:$B$1253,0)))^(1/10)-1)*100)</f>
        <v>n/a</v>
      </c>
      <c r="W285" s="163" t="str">
        <f t="shared" si="75"/>
        <v>n/a</v>
      </c>
      <c r="X285" s="164" t="str">
        <f t="shared" si="76"/>
        <v>n/a</v>
      </c>
      <c r="Y285" s="178"/>
      <c r="Z285" s="157">
        <f t="shared" si="77"/>
        <v>110.60606060606059</v>
      </c>
      <c r="AA285" s="166">
        <f t="shared" si="78"/>
        <v>29.719696969696965</v>
      </c>
      <c r="AB285" s="126">
        <v>12</v>
      </c>
      <c r="AC285" s="167">
        <v>2.64</v>
      </c>
      <c r="AD285" s="167">
        <v>239.85</v>
      </c>
      <c r="AE285" s="167">
        <v>3.24</v>
      </c>
      <c r="AF285" s="167">
        <v>4.92</v>
      </c>
      <c r="AG285" s="167">
        <v>21.8</v>
      </c>
      <c r="AH285" s="167">
        <v>-9.8000000000000007</v>
      </c>
      <c r="AI285" s="167">
        <v>-3.45</v>
      </c>
      <c r="AJ285" s="167">
        <v>-13.100000000000001</v>
      </c>
      <c r="AK285" s="167">
        <v>0.12</v>
      </c>
      <c r="AL285" s="168">
        <v>87990</v>
      </c>
      <c r="AM285" s="169">
        <v>0.05</v>
      </c>
      <c r="AN285" s="167">
        <v>1.3</v>
      </c>
      <c r="AO285" s="170">
        <f t="shared" si="79"/>
        <v>-16.929363747533305</v>
      </c>
      <c r="AP285" s="171">
        <f t="shared" si="80"/>
        <v>12.79033322216366</v>
      </c>
      <c r="AQ285" s="172">
        <f t="shared" si="81"/>
        <v>154.92561798899436</v>
      </c>
      <c r="AR285" s="157">
        <f>INDEX([1]Historical!$C$7:$C$1231,MATCH(B285,[1]Historical!$B$7:$B$1253,0))*IF(AH285="n/a",1.03,IF(AH285&lt;0,1.01,IF(AH285&gt;10,1.1,(1+AH285/100))))</f>
        <v>2.8683999999999998</v>
      </c>
      <c r="AS285" s="166">
        <f t="shared" si="82"/>
        <v>2.897084</v>
      </c>
      <c r="AT285" s="166">
        <f t="shared" si="87"/>
        <v>2.9005605008000002</v>
      </c>
      <c r="AU285" s="166">
        <f t="shared" si="87"/>
        <v>2.9040411734009606</v>
      </c>
      <c r="AV285" s="166">
        <f t="shared" si="87"/>
        <v>2.907526022809042</v>
      </c>
      <c r="AW285" s="157">
        <f t="shared" si="84"/>
        <v>14.477611697010003</v>
      </c>
      <c r="AX285" s="173">
        <f t="shared" si="85"/>
        <v>18.45221985344125</v>
      </c>
      <c r="AY285" s="174">
        <v>0.37</v>
      </c>
      <c r="AZ285" s="169">
        <v>37.25</v>
      </c>
      <c r="BA285" s="169">
        <v>-1.44</v>
      </c>
      <c r="BB285" s="169">
        <v>20.169999999999998</v>
      </c>
      <c r="BC285" s="169">
        <v>24.5</v>
      </c>
      <c r="BE285" s="77">
        <v>2015</v>
      </c>
      <c r="BF285" s="77">
        <f t="shared" si="86"/>
        <v>1</v>
      </c>
      <c r="BG285" s="175">
        <v>6.9</v>
      </c>
      <c r="BH285" t="s">
        <v>939</v>
      </c>
      <c r="BI285" t="s">
        <v>940</v>
      </c>
      <c r="BJ285" s="112"/>
      <c r="BK285" s="112"/>
      <c r="BL285" s="112"/>
    </row>
    <row r="286" spans="1:64" ht="11.25" customHeight="1" x14ac:dyDescent="0.2">
      <c r="A286" s="176" t="s">
        <v>1418</v>
      </c>
      <c r="B286" s="153" t="s">
        <v>1088</v>
      </c>
      <c r="C286" s="154" t="s">
        <v>90</v>
      </c>
      <c r="D286" s="154" t="s">
        <v>110</v>
      </c>
      <c r="E286" s="155">
        <v>17</v>
      </c>
      <c r="F286" s="298">
        <v>234</v>
      </c>
      <c r="G286" s="298" t="s">
        <v>104</v>
      </c>
      <c r="H286" s="298" t="s">
        <v>104</v>
      </c>
      <c r="I286" s="156">
        <v>115.52</v>
      </c>
      <c r="J286" s="157">
        <f t="shared" si="72"/>
        <v>0.71849030470914121</v>
      </c>
      <c r="K286" s="158">
        <v>0.20749999999999999</v>
      </c>
      <c r="L286" s="126">
        <v>4</v>
      </c>
      <c r="M286" s="82">
        <f t="shared" si="73"/>
        <v>0.83</v>
      </c>
      <c r="N286" s="159" t="s">
        <v>201</v>
      </c>
      <c r="O286" s="160">
        <v>0.19750000000000001</v>
      </c>
      <c r="P286" s="161">
        <v>44652</v>
      </c>
      <c r="Q286" s="161">
        <v>44680</v>
      </c>
      <c r="R286" s="82">
        <f t="shared" si="74"/>
        <v>5.0632911392404969</v>
      </c>
      <c r="S286" s="162">
        <f>IF(INDEX([1]Historical!$D$7:$D$1229,MATCH(B286,[1]Historical!$B$7:$B$1253,0))=0,"n/a",(INDEX([1]Historical!$C$7:$C$1231,MATCH(B286,[1]Historical!$B$7:$B$1253,0))/INDEX([1]Historical!$D$7:$D$1229,MATCH(B286,[1]Historical!$B$7:$B$1253,0))-1)*100)</f>
        <v>6.1224489795918435</v>
      </c>
      <c r="T286" s="162">
        <f>IF(INDEX([1]Historical!$F$7:$F$1222,MATCH(B286,[1]Historical!$B$7:$B$1253,0))=0,"n/a",((INDEX([1]Historical!$C$7:$C$1231,MATCH(B286,[1]Historical!$B$7:$B$1253,0))/INDEX([1]Historical!$F$7:$F$1222,MATCH(B286,[1]Historical!$B$7:$B$1253,0)))^(1/3)-1)*100)</f>
        <v>7.3786693294802586</v>
      </c>
      <c r="U286" s="162">
        <f>IF(INDEX([1]Historical!$H$7:$H$1222,MATCH(B286,[1]Historical!$B$7:$B$1253,0))=0,"n/a",((INDEX([1]Historical!$C$7:$C$1231,MATCH(B286,[1]Historical!$B$7:$B$1253,0))/INDEX([1]Historical!$H$7:$H$1222,MATCH(B286,[1]Historical!$B$7:$B$1253,0)))^(1/5)-1)*100)</f>
        <v>7.0435057025694414</v>
      </c>
      <c r="V286" s="162">
        <f>IF(INDEX([1]Historical!$N$7:$N$1222,MATCH(B286,[1]Historical!$B$7:$B$1253,0))=0,"n/a",((INDEX([1]Historical!$C$7:$C$1231,MATCH(B286,[1]Historical!$B$7:$B$1253,0))/INDEX([1]Historical!$N$7:$N$1222,MATCH(B286,[1]Historical!$B$7:$B$1253,0)))^(1/10)-1)*100)</f>
        <v>10.190687947487543</v>
      </c>
      <c r="W286" s="163">
        <f t="shared" si="75"/>
        <v>0.69117077658196546</v>
      </c>
      <c r="X286" s="164">
        <f t="shared" si="76"/>
        <v>0.67726016370860009</v>
      </c>
      <c r="Y286" s="212"/>
      <c r="Z286" s="157">
        <f t="shared" si="77"/>
        <v>11.706629055007053</v>
      </c>
      <c r="AA286" s="166">
        <f t="shared" si="78"/>
        <v>16.293370944992947</v>
      </c>
      <c r="AB286" s="126">
        <v>12</v>
      </c>
      <c r="AC286" s="167">
        <v>7.09</v>
      </c>
      <c r="AD286" s="167">
        <v>1.08</v>
      </c>
      <c r="AE286" s="167">
        <v>2.1</v>
      </c>
      <c r="AF286" s="167">
        <v>2.1</v>
      </c>
      <c r="AG286" s="167">
        <v>9.9</v>
      </c>
      <c r="AH286" s="167">
        <v>5.8000000000000007</v>
      </c>
      <c r="AI286" s="167">
        <v>17.169999999999998</v>
      </c>
      <c r="AJ286" s="167">
        <v>10.4</v>
      </c>
      <c r="AK286" s="167">
        <v>14.91</v>
      </c>
      <c r="AL286" s="168">
        <v>10900</v>
      </c>
      <c r="AM286" s="169">
        <v>0.2</v>
      </c>
      <c r="AN286" s="167">
        <v>0.4</v>
      </c>
      <c r="AO286" s="170">
        <f t="shared" si="79"/>
        <v>-8.5313749377143644</v>
      </c>
      <c r="AP286" s="171">
        <f t="shared" si="80"/>
        <v>7.761996007278583</v>
      </c>
      <c r="AQ286" s="172">
        <f t="shared" si="81"/>
        <v>23.317258383921068</v>
      </c>
      <c r="AR286" s="157">
        <f>INDEX([1]Historical!$C$7:$C$1231,MATCH(B286,[1]Historical!$B$7:$B$1253,0))*IF(AH286="n/a",1.03,IF(AH286&lt;0,1.01,IF(AH286&gt;10,1.1,(1+AH286/100))))</f>
        <v>0.82524000000000008</v>
      </c>
      <c r="AS286" s="166">
        <f t="shared" si="82"/>
        <v>0.90776400000000013</v>
      </c>
      <c r="AT286" s="166">
        <f t="shared" si="87"/>
        <v>0.99854040000000022</v>
      </c>
      <c r="AU286" s="166">
        <f t="shared" si="87"/>
        <v>1.0983944400000003</v>
      </c>
      <c r="AV286" s="166">
        <f t="shared" si="87"/>
        <v>1.2082338840000004</v>
      </c>
      <c r="AW286" s="157">
        <f t="shared" si="84"/>
        <v>5.0381727240000016</v>
      </c>
      <c r="AX286" s="173">
        <f t="shared" si="85"/>
        <v>4.3612991031855977</v>
      </c>
      <c r="AY286" s="174">
        <v>0.83</v>
      </c>
      <c r="AZ286" s="169">
        <v>35.510000000000005</v>
      </c>
      <c r="BA286" s="169">
        <v>-0.89</v>
      </c>
      <c r="BB286" s="169">
        <v>10.780000000000001</v>
      </c>
      <c r="BC286" s="169">
        <v>14.46</v>
      </c>
      <c r="BE286" s="77">
        <v>2006</v>
      </c>
      <c r="BF286" s="77">
        <f t="shared" si="86"/>
        <v>2</v>
      </c>
      <c r="BG286" s="175">
        <v>2.6</v>
      </c>
      <c r="BH286" t="s">
        <v>939</v>
      </c>
      <c r="BI286" t="s">
        <v>940</v>
      </c>
    </row>
    <row r="287" spans="1:64" s="252" customFormat="1" ht="11.25" customHeight="1" x14ac:dyDescent="0.2">
      <c r="A287" s="208" t="s">
        <v>1419</v>
      </c>
      <c r="B287" s="184" t="s">
        <v>529</v>
      </c>
      <c r="C287" s="154" t="s">
        <v>922</v>
      </c>
      <c r="D287" s="154" t="s">
        <v>974</v>
      </c>
      <c r="E287" s="185">
        <v>12</v>
      </c>
      <c r="F287" s="298">
        <v>341</v>
      </c>
      <c r="G287" s="297" t="s">
        <v>88</v>
      </c>
      <c r="H287" s="297" t="s">
        <v>88</v>
      </c>
      <c r="I287" s="186">
        <v>32.17</v>
      </c>
      <c r="J287" s="187">
        <f t="shared" si="72"/>
        <v>3.3571650606154799</v>
      </c>
      <c r="K287" s="188">
        <v>0.27</v>
      </c>
      <c r="L287" s="189">
        <v>4</v>
      </c>
      <c r="M287" s="190">
        <f t="shared" si="73"/>
        <v>1.08</v>
      </c>
      <c r="N287" s="191" t="s">
        <v>628</v>
      </c>
      <c r="O287" s="192">
        <v>0.24</v>
      </c>
      <c r="P287" s="193">
        <v>44617</v>
      </c>
      <c r="Q287" s="193">
        <v>44650</v>
      </c>
      <c r="R287" s="190">
        <f t="shared" si="74"/>
        <v>12.500000000000011</v>
      </c>
      <c r="S287" s="162">
        <f>IF(INDEX([1]Historical!$D$7:$D$1229,MATCH(B287,[1]Historical!$B$7:$B$1253,0))=0,"n/a",(INDEX([1]Historical!$C$7:$C$1231,MATCH(B287,[1]Historical!$B$7:$B$1253,0))/INDEX([1]Historical!$D$7:$D$1229,MATCH(B287,[1]Historical!$B$7:$B$1253,0))-1)*100)</f>
        <v>9.0909090909090828</v>
      </c>
      <c r="T287" s="162">
        <f>IF(INDEX([1]Historical!$F$7:$F$1222,MATCH(B287,[1]Historical!$B$7:$B$1253,0))=0,"n/a",((INDEX([1]Historical!$C$7:$C$1231,MATCH(B287,[1]Historical!$B$7:$B$1253,0))/INDEX([1]Historical!$F$7:$F$1222,MATCH(B287,[1]Historical!$B$7:$B$1253,0)))^(1/3)-1)*100)</f>
        <v>10.064241629820891</v>
      </c>
      <c r="U287" s="162">
        <f>IF(INDEX([1]Historical!$H$7:$H$1222,MATCH(B287,[1]Historical!$B$7:$B$1253,0))=0,"n/a",((INDEX([1]Historical!$C$7:$C$1231,MATCH(B287,[1]Historical!$B$7:$B$1253,0))/INDEX([1]Historical!$H$7:$H$1222,MATCH(B287,[1]Historical!$B$7:$B$1253,0)))^(1/5)-1)*100)</f>
        <v>12.195514544619957</v>
      </c>
      <c r="V287" s="162">
        <f>IF(INDEX([1]Historical!$N$7:$N$1222,MATCH(B287,[1]Historical!$B$7:$B$1253,0))=0,"n/a",((INDEX([1]Historical!$C$7:$C$1231,MATCH(B287,[1]Historical!$B$7:$B$1253,0))/INDEX([1]Historical!$N$7:$N$1222,MATCH(B287,[1]Historical!$B$7:$B$1253,0)))^(1/10)-1)*100)</f>
        <v>15.613585876251502</v>
      </c>
      <c r="W287" s="163">
        <f t="shared" si="75"/>
        <v>0.78108351542546783</v>
      </c>
      <c r="X287" s="164" t="str">
        <f t="shared" si="76"/>
        <v>n/a</v>
      </c>
      <c r="Y287" s="206"/>
      <c r="Z287" s="187">
        <f t="shared" si="77"/>
        <v>50.467289719626173</v>
      </c>
      <c r="AA287" s="194">
        <f t="shared" si="78"/>
        <v>15.032710280373832</v>
      </c>
      <c r="AB287" s="189">
        <v>12</v>
      </c>
      <c r="AC287" s="195">
        <v>2.14</v>
      </c>
      <c r="AD287" s="195">
        <v>1.77</v>
      </c>
      <c r="AE287" s="195">
        <v>1.83</v>
      </c>
      <c r="AF287" s="195">
        <v>2.4300000000000002</v>
      </c>
      <c r="AG287" s="195">
        <v>15.4</v>
      </c>
      <c r="AH287" s="215">
        <v>138.39999999999998</v>
      </c>
      <c r="AI287" s="215">
        <v>9.34</v>
      </c>
      <c r="AJ287" s="195">
        <v>-16.900000000000002</v>
      </c>
      <c r="AK287" s="195">
        <v>8.58</v>
      </c>
      <c r="AL287" s="196">
        <v>26430</v>
      </c>
      <c r="AM287" s="197">
        <v>0.1</v>
      </c>
      <c r="AN287" s="195">
        <v>0.6</v>
      </c>
      <c r="AO287" s="198">
        <f t="shared" si="79"/>
        <v>0.51996932486160397</v>
      </c>
      <c r="AP287" s="199">
        <f t="shared" si="80"/>
        <v>15.552679605235436</v>
      </c>
      <c r="AQ287" s="172">
        <f t="shared" si="81"/>
        <v>27.417923004590428</v>
      </c>
      <c r="AR287" s="157">
        <f>INDEX([1]Historical!$C$7:$C$1231,MATCH(B287,[1]Historical!$B$7:$B$1253,0))*IF(AH287="n/a",1.03,IF(AH287&lt;0,1.01,IF(AH287&gt;10,1.1,(1+AH287/100))))</f>
        <v>1.056</v>
      </c>
      <c r="AS287" s="194">
        <f t="shared" si="82"/>
        <v>1.1546304000000001</v>
      </c>
      <c r="AT287" s="194">
        <f t="shared" si="87"/>
        <v>1.2536976883200002</v>
      </c>
      <c r="AU287" s="194">
        <f t="shared" si="87"/>
        <v>1.3612649499778564</v>
      </c>
      <c r="AV287" s="194">
        <f t="shared" si="87"/>
        <v>1.4780614826859566</v>
      </c>
      <c r="AW287" s="187">
        <f t="shared" si="84"/>
        <v>6.3036545209838133</v>
      </c>
      <c r="AX287" s="200">
        <f t="shared" si="85"/>
        <v>19.594822881516361</v>
      </c>
      <c r="AY287" s="201">
        <v>1.05</v>
      </c>
      <c r="AZ287" s="197">
        <v>11.01</v>
      </c>
      <c r="BA287" s="197">
        <v>-25.990000000000002</v>
      </c>
      <c r="BB287" s="197">
        <v>6.9999999999999993E-2</v>
      </c>
      <c r="BC287" s="197">
        <v>-8.66</v>
      </c>
      <c r="BD287" s="202"/>
      <c r="BE287" s="77">
        <v>2011</v>
      </c>
      <c r="BF287" s="77">
        <f t="shared" si="86"/>
        <v>1</v>
      </c>
      <c r="BG287" s="203">
        <v>6.2</v>
      </c>
      <c r="BH287" t="s">
        <v>939</v>
      </c>
      <c r="BI287" t="s">
        <v>940</v>
      </c>
    </row>
    <row r="288" spans="1:64" ht="11.25" customHeight="1" x14ac:dyDescent="0.2">
      <c r="A288" s="205" t="s">
        <v>1802</v>
      </c>
      <c r="B288" s="153" t="s">
        <v>1803</v>
      </c>
      <c r="C288" s="154" t="s">
        <v>90</v>
      </c>
      <c r="D288" s="154" t="s">
        <v>969</v>
      </c>
      <c r="E288" s="155">
        <v>6</v>
      </c>
      <c r="F288" s="298">
        <v>670</v>
      </c>
      <c r="G288" s="298" t="s">
        <v>88</v>
      </c>
      <c r="H288" s="298" t="s">
        <v>88</v>
      </c>
      <c r="I288" s="156">
        <v>37.03</v>
      </c>
      <c r="J288" s="157">
        <f t="shared" si="72"/>
        <v>2.3764515257898999</v>
      </c>
      <c r="K288" s="158">
        <v>0.22</v>
      </c>
      <c r="L288" s="126">
        <v>4</v>
      </c>
      <c r="M288" s="82">
        <f t="shared" si="73"/>
        <v>0.88</v>
      </c>
      <c r="N288" s="159" t="s">
        <v>126</v>
      </c>
      <c r="O288" s="160">
        <v>0.2</v>
      </c>
      <c r="P288" s="161">
        <v>44645</v>
      </c>
      <c r="Q288" s="161">
        <v>44664</v>
      </c>
      <c r="R288" s="82">
        <f t="shared" si="74"/>
        <v>9.9999999999999947</v>
      </c>
      <c r="S288" s="162">
        <f>IF(INDEX([1]Historical!$D$7:$D$1229,MATCH(B288,[1]Historical!$B$7:$B$1253,0))=0,"n/a",(INDEX([1]Historical!$C$7:$C$1231,MATCH(B288,[1]Historical!$B$7:$B$1253,0))/INDEX([1]Historical!$D$7:$D$1229,MATCH(B288,[1]Historical!$B$7:$B$1253,0))-1)*100)</f>
        <v>13.157894736842124</v>
      </c>
      <c r="T288" s="162">
        <f>IF(INDEX([1]Historical!$F$7:$F$1222,MATCH(B288,[1]Historical!$B$7:$B$1253,0))=0,"n/a",((INDEX([1]Historical!$C$7:$C$1231,MATCH(B288,[1]Historical!$B$7:$B$1253,0))/INDEX([1]Historical!$F$7:$F$1222,MATCH(B288,[1]Historical!$B$7:$B$1253,0)))^(1/3)-1)*100)</f>
        <v>14.69413186784443</v>
      </c>
      <c r="U288" s="162" t="str">
        <f>IF(INDEX([1]Historical!$H$7:$H$1222,MATCH(B288,[1]Historical!$B$7:$B$1253,0))=0,"n/a",((INDEX([1]Historical!$C$7:$C$1231,MATCH(B288,[1]Historical!$B$7:$B$1253,0))/INDEX([1]Historical!$H$7:$H$1222,MATCH(B288,[1]Historical!$B$7:$B$1253,0)))^(1/5)-1)*100)</f>
        <v>n/a</v>
      </c>
      <c r="V288" s="162">
        <f>IF(INDEX([1]Historical!$N$7:$N$1222,MATCH(B288,[1]Historical!$B$7:$B$1253,0))=0,"n/a",((INDEX([1]Historical!$C$7:$C$1231,MATCH(B288,[1]Historical!$B$7:$B$1253,0))/INDEX([1]Historical!$N$7:$N$1222,MATCH(B288,[1]Historical!$B$7:$B$1253,0)))^(1/10)-1)*100)</f>
        <v>-4.0476733652367702</v>
      </c>
      <c r="W288" s="163" t="str">
        <f t="shared" si="75"/>
        <v>n/a</v>
      </c>
      <c r="X288" s="164" t="str">
        <f t="shared" si="76"/>
        <v>n/a</v>
      </c>
      <c r="Y288" s="180"/>
      <c r="Z288" s="157">
        <f t="shared" si="77"/>
        <v>25.730994152046783</v>
      </c>
      <c r="AA288" s="166">
        <f t="shared" si="78"/>
        <v>10.827485380116959</v>
      </c>
      <c r="AB288" s="126">
        <v>12</v>
      </c>
      <c r="AC288" s="167">
        <v>3.42</v>
      </c>
      <c r="AD288" s="167" t="s">
        <v>95</v>
      </c>
      <c r="AE288" s="167">
        <v>3.77</v>
      </c>
      <c r="AF288" s="167">
        <v>1.58</v>
      </c>
      <c r="AG288" s="167">
        <v>13.5</v>
      </c>
      <c r="AH288" s="167">
        <v>45.800000000000004</v>
      </c>
      <c r="AI288" s="167">
        <v>-6.69</v>
      </c>
      <c r="AJ288" s="167">
        <v>26</v>
      </c>
      <c r="AK288" s="167" t="s">
        <v>95</v>
      </c>
      <c r="AL288" s="168">
        <v>425.97</v>
      </c>
      <c r="AM288" s="169">
        <v>7.8</v>
      </c>
      <c r="AN288" s="167">
        <v>0.21</v>
      </c>
      <c r="AO288" s="170" t="str">
        <f t="shared" si="79"/>
        <v>n/a</v>
      </c>
      <c r="AP288" s="171" t="str">
        <f t="shared" si="80"/>
        <v>n/a</v>
      </c>
      <c r="AQ288" s="172">
        <f t="shared" si="81"/>
        <v>-12.803091541589895</v>
      </c>
      <c r="AR288" s="157">
        <f>INDEX([1]Historical!$C$7:$C$1231,MATCH(B288,[1]Historical!$B$7:$B$1253,0))*IF(AH288="n/a",1.03,IF(AH288&lt;0,1.01,IF(AH288&gt;10,1.1,(1+AH288/100))))</f>
        <v>0.8600000000000001</v>
      </c>
      <c r="AS288" s="166">
        <f t="shared" si="82"/>
        <v>0.86860000000000015</v>
      </c>
      <c r="AT288" s="166">
        <f t="shared" si="87"/>
        <v>0.89465800000000018</v>
      </c>
      <c r="AU288" s="166">
        <f t="shared" si="87"/>
        <v>0.92149774000000018</v>
      </c>
      <c r="AV288" s="166">
        <f t="shared" si="87"/>
        <v>0.94914267220000026</v>
      </c>
      <c r="AW288" s="157">
        <f t="shared" si="84"/>
        <v>4.4938984122000001</v>
      </c>
      <c r="AX288" s="173">
        <f t="shared" si="85"/>
        <v>12.135831520928976</v>
      </c>
      <c r="AY288" s="174">
        <v>0.45</v>
      </c>
      <c r="AZ288" s="169">
        <v>9.6199999999999992</v>
      </c>
      <c r="BA288" s="169">
        <v>-16.97</v>
      </c>
      <c r="BB288" s="169">
        <v>4.6399999999999997</v>
      </c>
      <c r="BC288" s="169">
        <v>3.49</v>
      </c>
      <c r="BE288" s="77">
        <v>2017</v>
      </c>
      <c r="BF288" s="77">
        <f t="shared" si="86"/>
        <v>1</v>
      </c>
      <c r="BG288" s="175">
        <v>1.3</v>
      </c>
      <c r="BH288" t="s">
        <v>939</v>
      </c>
      <c r="BI288" t="s">
        <v>940</v>
      </c>
      <c r="BJ288" s="112"/>
      <c r="BK288" s="112"/>
      <c r="BL288" s="112"/>
    </row>
    <row r="289" spans="1:64" ht="11.25" customHeight="1" x14ac:dyDescent="0.2">
      <c r="A289" s="205" t="s">
        <v>1090</v>
      </c>
      <c r="B289" s="153" t="s">
        <v>1091</v>
      </c>
      <c r="C289" s="154" t="s">
        <v>100</v>
      </c>
      <c r="D289" s="154" t="s">
        <v>990</v>
      </c>
      <c r="E289" s="155">
        <v>6</v>
      </c>
      <c r="F289" s="298">
        <v>666</v>
      </c>
      <c r="G289" s="298" t="s">
        <v>88</v>
      </c>
      <c r="H289" s="298" t="s">
        <v>88</v>
      </c>
      <c r="I289" s="156">
        <v>46.57</v>
      </c>
      <c r="J289" s="157">
        <f t="shared" si="72"/>
        <v>1.5460596950826713</v>
      </c>
      <c r="K289" s="158">
        <v>0.18</v>
      </c>
      <c r="L289" s="126">
        <v>4</v>
      </c>
      <c r="M289" s="82">
        <f t="shared" si="73"/>
        <v>0.72</v>
      </c>
      <c r="N289" s="159" t="s">
        <v>164</v>
      </c>
      <c r="O289" s="160">
        <v>0.16500000000000001</v>
      </c>
      <c r="P289" s="161">
        <v>44630</v>
      </c>
      <c r="Q289" s="161">
        <v>44645</v>
      </c>
      <c r="R289" s="82">
        <f t="shared" si="74"/>
        <v>9.0909090909090811</v>
      </c>
      <c r="S289" s="162">
        <f>IF(INDEX([1]Historical!$D$7:$D$1229,MATCH(B289,[1]Historical!$B$7:$B$1253,0))=0,"n/a",(INDEX([1]Historical!$C$7:$C$1231,MATCH(B289,[1]Historical!$B$7:$B$1253,0))/INDEX([1]Historical!$D$7:$D$1229,MATCH(B289,[1]Historical!$B$7:$B$1253,0))-1)*100)</f>
        <v>6.4516129032258229</v>
      </c>
      <c r="T289" s="162">
        <f>IF(INDEX([1]Historical!$F$7:$F$1222,MATCH(B289,[1]Historical!$B$7:$B$1253,0))=0,"n/a",((INDEX([1]Historical!$C$7:$C$1231,MATCH(B289,[1]Historical!$B$7:$B$1253,0))/INDEX([1]Historical!$F$7:$F$1222,MATCH(B289,[1]Historical!$B$7:$B$1253,0)))^(1/3)-1)*100)</f>
        <v>8.2713447015707828</v>
      </c>
      <c r="U289" s="162" t="str">
        <f>IF(INDEX([1]Historical!$H$7:$H$1222,MATCH(B289,[1]Historical!$B$7:$B$1253,0))=0,"n/a",((INDEX([1]Historical!$C$7:$C$1231,MATCH(B289,[1]Historical!$B$7:$B$1253,0))/INDEX([1]Historical!$H$7:$H$1222,MATCH(B289,[1]Historical!$B$7:$B$1253,0)))^(1/5)-1)*100)</f>
        <v>n/a</v>
      </c>
      <c r="V289" s="162" t="str">
        <f>IF(INDEX([1]Historical!$N$7:$N$1222,MATCH(B289,[1]Historical!$B$7:$B$1253,0))=0,"n/a",((INDEX([1]Historical!$C$7:$C$1231,MATCH(B289,[1]Historical!$B$7:$B$1253,0))/INDEX([1]Historical!$N$7:$N$1222,MATCH(B289,[1]Historical!$B$7:$B$1253,0)))^(1/10)-1)*100)</f>
        <v>n/a</v>
      </c>
      <c r="W289" s="163" t="str">
        <f t="shared" si="75"/>
        <v>n/a</v>
      </c>
      <c r="X289" s="164" t="str">
        <f t="shared" si="76"/>
        <v>n/a</v>
      </c>
      <c r="Y289" s="180"/>
      <c r="Z289" s="157">
        <f t="shared" si="77"/>
        <v>33.179723502304149</v>
      </c>
      <c r="AA289" s="166">
        <f t="shared" si="78"/>
        <v>21.460829493087559</v>
      </c>
      <c r="AB289" s="126">
        <v>12</v>
      </c>
      <c r="AC289" s="167">
        <v>2.17</v>
      </c>
      <c r="AD289" s="167">
        <v>4.28</v>
      </c>
      <c r="AE289" s="167">
        <v>1.45</v>
      </c>
      <c r="AF289" s="167">
        <v>3.16</v>
      </c>
      <c r="AG289" s="167">
        <v>14.799999999999999</v>
      </c>
      <c r="AH289" s="167">
        <v>85.8</v>
      </c>
      <c r="AI289" s="167">
        <v>3.0300000000000002</v>
      </c>
      <c r="AJ289" s="167">
        <v>31</v>
      </c>
      <c r="AK289" s="167">
        <v>5</v>
      </c>
      <c r="AL289" s="168">
        <v>3210</v>
      </c>
      <c r="AM289" s="169">
        <v>1.5</v>
      </c>
      <c r="AN289" s="167">
        <v>0.37</v>
      </c>
      <c r="AO289" s="170" t="str">
        <f t="shared" si="79"/>
        <v>n/a</v>
      </c>
      <c r="AP289" s="171" t="str">
        <f t="shared" si="80"/>
        <v>n/a</v>
      </c>
      <c r="AQ289" s="172">
        <f t="shared" si="81"/>
        <v>73.610318687387661</v>
      </c>
      <c r="AR289" s="157">
        <f>INDEX([1]Historical!$C$7:$C$1231,MATCH(B289,[1]Historical!$B$7:$B$1253,0))*IF(AH289="n/a",1.03,IF(AH289&lt;0,1.01,IF(AH289&gt;10,1.1,(1+AH289/100))))</f>
        <v>0.72600000000000009</v>
      </c>
      <c r="AS289" s="166">
        <f t="shared" si="82"/>
        <v>0.74799780000000005</v>
      </c>
      <c r="AT289" s="166">
        <f t="shared" si="87"/>
        <v>0.78539769000000004</v>
      </c>
      <c r="AU289" s="166">
        <f t="shared" si="87"/>
        <v>0.82466757450000006</v>
      </c>
      <c r="AV289" s="166">
        <f t="shared" si="87"/>
        <v>0.86590095322500005</v>
      </c>
      <c r="AW289" s="157">
        <f t="shared" si="84"/>
        <v>3.9499640177250006</v>
      </c>
      <c r="AX289" s="173">
        <f t="shared" si="85"/>
        <v>8.4817780067103303</v>
      </c>
      <c r="AY289" s="174">
        <v>0.77</v>
      </c>
      <c r="AZ289" s="169">
        <v>24.32</v>
      </c>
      <c r="BA289" s="169">
        <v>-19.53</v>
      </c>
      <c r="BB289" s="169">
        <v>-0.55999999999999994</v>
      </c>
      <c r="BC289" s="169">
        <v>4.49</v>
      </c>
      <c r="BE289" s="77">
        <v>2017</v>
      </c>
      <c r="BF289" s="77">
        <f t="shared" si="86"/>
        <v>1</v>
      </c>
      <c r="BG289" s="175">
        <v>7.8</v>
      </c>
      <c r="BH289" t="s">
        <v>939</v>
      </c>
      <c r="BI289" t="s">
        <v>940</v>
      </c>
      <c r="BJ289" s="112"/>
      <c r="BK289" s="112"/>
      <c r="BL289" s="112"/>
    </row>
    <row r="290" spans="1:64" ht="11.25" customHeight="1" x14ac:dyDescent="0.2">
      <c r="A290" s="112" t="s">
        <v>1420</v>
      </c>
      <c r="B290" s="153" t="s">
        <v>312</v>
      </c>
      <c r="C290" s="154" t="s">
        <v>100</v>
      </c>
      <c r="D290" s="154" t="s">
        <v>1025</v>
      </c>
      <c r="E290" s="155">
        <v>66</v>
      </c>
      <c r="F290" s="298">
        <v>4</v>
      </c>
      <c r="G290" s="298" t="s">
        <v>30</v>
      </c>
      <c r="H290" s="298" t="s">
        <v>30</v>
      </c>
      <c r="I290" s="167">
        <v>177.86</v>
      </c>
      <c r="J290" s="157">
        <f t="shared" si="72"/>
        <v>2.0128190711795795</v>
      </c>
      <c r="K290" s="158">
        <v>0.89500000000000002</v>
      </c>
      <c r="L290" s="126">
        <v>4</v>
      </c>
      <c r="M290" s="82">
        <f t="shared" si="73"/>
        <v>3.58</v>
      </c>
      <c r="N290" s="159" t="s">
        <v>183</v>
      </c>
      <c r="O290" s="160">
        <v>0.81499999999999995</v>
      </c>
      <c r="P290" s="161">
        <v>44623</v>
      </c>
      <c r="Q290" s="161">
        <v>44652</v>
      </c>
      <c r="R290" s="82">
        <f t="shared" si="74"/>
        <v>9.8159509202454096</v>
      </c>
      <c r="S290" s="162">
        <f>IF(INDEX([1]Historical!$D$7:$D$1229,MATCH(B290,[1]Historical!$B$7:$B$1253,0))=0,"n/a",(INDEX([1]Historical!$C$7:$C$1231,MATCH(B290,[1]Historical!$B$7:$B$1253,0))/INDEX([1]Historical!$D$7:$D$1229,MATCH(B290,[1]Historical!$B$7:$B$1253,0))-1)*100)</f>
        <v>3.2721468475658488</v>
      </c>
      <c r="T290" s="162">
        <f>IF(INDEX([1]Historical!$F$7:$F$1222,MATCH(B290,[1]Historical!$B$7:$B$1253,0))=0,"n/a",((INDEX([1]Historical!$C$7:$C$1231,MATCH(B290,[1]Historical!$B$7:$B$1253,0))/INDEX([1]Historical!$F$7:$F$1222,MATCH(B290,[1]Historical!$B$7:$B$1253,0)))^(1/3)-1)*100)</f>
        <v>4.4977823427432062</v>
      </c>
      <c r="U290" s="162">
        <f>IF(INDEX([1]Historical!$H$7:$H$1222,MATCH(B290,[1]Historical!$B$7:$B$1253,0))=0,"n/a",((INDEX([1]Historical!$C$7:$C$1231,MATCH(B290,[1]Historical!$B$7:$B$1253,0))/INDEX([1]Historical!$H$7:$H$1222,MATCH(B290,[1]Historical!$B$7:$B$1253,0)))^(1/5)-1)*100)</f>
        <v>4.5679960658503438</v>
      </c>
      <c r="V290" s="162">
        <f>IF(INDEX([1]Historical!$N$7:$N$1222,MATCH(B290,[1]Historical!$B$7:$B$1253,0))=0,"n/a",((INDEX([1]Historical!$C$7:$C$1231,MATCH(B290,[1]Historical!$B$7:$B$1253,0))/INDEX([1]Historical!$N$7:$N$1222,MATCH(B290,[1]Historical!$B$7:$B$1253,0)))^(1/10)-1)*100)</f>
        <v>6.0376704192925734</v>
      </c>
      <c r="W290" s="163">
        <f t="shared" si="75"/>
        <v>0.75658254734374364</v>
      </c>
      <c r="X290" s="164">
        <f t="shared" si="76"/>
        <v>0.72507874061116573</v>
      </c>
      <c r="Y290" s="153"/>
      <c r="Z290" s="157">
        <f t="shared" si="77"/>
        <v>42.977190876350541</v>
      </c>
      <c r="AA290" s="166">
        <f t="shared" si="78"/>
        <v>21.351740696278512</v>
      </c>
      <c r="AB290" s="126">
        <v>12</v>
      </c>
      <c r="AC290" s="167">
        <v>8.33</v>
      </c>
      <c r="AD290" s="167">
        <v>4.67</v>
      </c>
      <c r="AE290" s="167">
        <v>1.1499999999999999</v>
      </c>
      <c r="AF290" s="167">
        <v>6.9</v>
      </c>
      <c r="AG290" s="167">
        <v>33</v>
      </c>
      <c r="AH290" s="167">
        <v>451</v>
      </c>
      <c r="AI290" s="167">
        <v>5.13</v>
      </c>
      <c r="AJ290" s="167">
        <v>6.3</v>
      </c>
      <c r="AK290" s="167">
        <v>4.5999999999999996</v>
      </c>
      <c r="AL290" s="168">
        <v>24660</v>
      </c>
      <c r="AM290" s="169">
        <v>0.1</v>
      </c>
      <c r="AN290" s="167">
        <v>0.88</v>
      </c>
      <c r="AO290" s="170">
        <f t="shared" si="79"/>
        <v>-14.770925559248589</v>
      </c>
      <c r="AP290" s="171">
        <f t="shared" si="80"/>
        <v>6.5808151370299228</v>
      </c>
      <c r="AQ290" s="172">
        <f t="shared" si="81"/>
        <v>155.88800571458486</v>
      </c>
      <c r="AR290" s="157">
        <f>INDEX([1]Historical!$C$7:$C$1231,MATCH(B290,[1]Historical!$B$7:$B$1253,0))*IF(AH290="n/a",1.03,IF(AH290&lt;0,1.01,IF(AH290&gt;10,1.1,(1+AH290/100))))</f>
        <v>3.5585</v>
      </c>
      <c r="AS290" s="166">
        <f t="shared" si="82"/>
        <v>3.7410510499999998</v>
      </c>
      <c r="AT290" s="166">
        <f t="shared" si="87"/>
        <v>3.9131393982999998</v>
      </c>
      <c r="AU290" s="166">
        <f t="shared" si="87"/>
        <v>4.0931438106218003</v>
      </c>
      <c r="AV290" s="166">
        <f t="shared" si="87"/>
        <v>4.281428425910403</v>
      </c>
      <c r="AW290" s="157">
        <f t="shared" si="84"/>
        <v>19.587262684832204</v>
      </c>
      <c r="AX290" s="173">
        <f t="shared" si="85"/>
        <v>11.012741867104578</v>
      </c>
      <c r="AY290" s="174">
        <v>0.99</v>
      </c>
      <c r="AZ290" s="169">
        <v>53.82</v>
      </c>
      <c r="BA290" s="169">
        <v>-0.9900000000000001</v>
      </c>
      <c r="BB290" s="169">
        <v>12.45</v>
      </c>
      <c r="BC290" s="169">
        <v>26.82</v>
      </c>
      <c r="BE290" s="77">
        <v>1957</v>
      </c>
      <c r="BF290" s="77">
        <f t="shared" si="86"/>
        <v>9</v>
      </c>
      <c r="BG290" s="175">
        <v>7.5</v>
      </c>
      <c r="BH290" t="s">
        <v>939</v>
      </c>
      <c r="BI290" t="s">
        <v>940</v>
      </c>
    </row>
    <row r="291" spans="1:64" ht="11.25" customHeight="1" x14ac:dyDescent="0.2">
      <c r="A291" s="112" t="s">
        <v>1421</v>
      </c>
      <c r="B291" s="153" t="s">
        <v>313</v>
      </c>
      <c r="C291" s="154" t="s">
        <v>94</v>
      </c>
      <c r="D291" s="154" t="s">
        <v>101</v>
      </c>
      <c r="E291" s="155">
        <v>50</v>
      </c>
      <c r="F291" s="298">
        <v>42</v>
      </c>
      <c r="G291" s="298" t="s">
        <v>30</v>
      </c>
      <c r="H291" s="298" t="s">
        <v>30</v>
      </c>
      <c r="I291" s="167">
        <v>27.14</v>
      </c>
      <c r="J291" s="157">
        <f t="shared" si="72"/>
        <v>2.5792188651436994</v>
      </c>
      <c r="K291" s="158">
        <v>0.17499999999999999</v>
      </c>
      <c r="L291" s="126">
        <v>4</v>
      </c>
      <c r="M291" s="82">
        <f t="shared" si="73"/>
        <v>0.7</v>
      </c>
      <c r="N291" s="159" t="s">
        <v>251</v>
      </c>
      <c r="O291" s="160">
        <v>0.17</v>
      </c>
      <c r="P291" s="161">
        <v>44879</v>
      </c>
      <c r="Q291" s="161">
        <v>44904</v>
      </c>
      <c r="R291" s="82">
        <f t="shared" si="74"/>
        <v>2.9411764705882213</v>
      </c>
      <c r="S291" s="162">
        <f>IF(INDEX([1]Historical!$D$7:$D$1229,MATCH(B291,[1]Historical!$B$7:$B$1253,0))=0,"n/a",(INDEX([1]Historical!$C$7:$C$1231,MATCH(B291,[1]Historical!$B$7:$B$1253,0))/INDEX([1]Historical!$D$7:$D$1229,MATCH(B291,[1]Historical!$B$7:$B$1253,0))-1)*100)</f>
        <v>7.6271186440677985</v>
      </c>
      <c r="T291" s="162">
        <f>IF(INDEX([1]Historical!$F$7:$F$1222,MATCH(B291,[1]Historical!$B$7:$B$1253,0))=0,"n/a",((INDEX([1]Historical!$C$7:$C$1231,MATCH(B291,[1]Historical!$B$7:$B$1253,0))/INDEX([1]Historical!$F$7:$F$1222,MATCH(B291,[1]Historical!$B$7:$B$1253,0)))^(1/3)-1)*100)</f>
        <v>7.5807373057610761</v>
      </c>
      <c r="U291" s="162">
        <f>IF(INDEX([1]Historical!$H$7:$H$1222,MATCH(B291,[1]Historical!$B$7:$B$1253,0))=0,"n/a",((INDEX([1]Historical!$C$7:$C$1231,MATCH(B291,[1]Historical!$B$7:$B$1253,0))/INDEX([1]Historical!$H$7:$H$1222,MATCH(B291,[1]Historical!$B$7:$B$1253,0)))^(1/5)-1)*100)</f>
        <v>8.1088017937179568</v>
      </c>
      <c r="V291" s="162">
        <f>IF(INDEX([1]Historical!$N$7:$N$1222,MATCH(B291,[1]Historical!$B$7:$B$1253,0))=0,"n/a",((INDEX([1]Historical!$C$7:$C$1231,MATCH(B291,[1]Historical!$B$7:$B$1253,0))/INDEX([1]Historical!$N$7:$N$1222,MATCH(B291,[1]Historical!$B$7:$B$1253,0)))^(1/10)-1)*100)</f>
        <v>8.4096762906304079</v>
      </c>
      <c r="W291" s="163">
        <f t="shared" si="75"/>
        <v>0.96422282065153109</v>
      </c>
      <c r="X291" s="164">
        <f t="shared" si="76"/>
        <v>2.1915680523562049</v>
      </c>
      <c r="Y291" s="212"/>
      <c r="Z291" s="157">
        <f t="shared" si="77"/>
        <v>83.333333333333329</v>
      </c>
      <c r="AA291" s="166">
        <f t="shared" si="78"/>
        <v>32.30952380952381</v>
      </c>
      <c r="AB291" s="126">
        <v>12</v>
      </c>
      <c r="AC291" s="167">
        <v>0.84</v>
      </c>
      <c r="AD291" s="167">
        <v>2.19</v>
      </c>
      <c r="AE291" s="167">
        <v>1.68</v>
      </c>
      <c r="AF291" s="167">
        <v>2.19</v>
      </c>
      <c r="AG291" s="167">
        <v>9.1</v>
      </c>
      <c r="AH291" s="167">
        <v>18.399999999999999</v>
      </c>
      <c r="AI291" s="167">
        <v>36.15</v>
      </c>
      <c r="AJ291" s="167">
        <v>3.6999999999999997</v>
      </c>
      <c r="AK291" s="167">
        <v>15</v>
      </c>
      <c r="AL291" s="175">
        <v>699.39</v>
      </c>
      <c r="AM291" s="169">
        <v>0.6</v>
      </c>
      <c r="AN291" s="167">
        <v>1.32</v>
      </c>
      <c r="AO291" s="170">
        <f t="shared" si="79"/>
        <v>-21.621503150662154</v>
      </c>
      <c r="AP291" s="171">
        <f t="shared" si="80"/>
        <v>10.688020658861657</v>
      </c>
      <c r="AQ291" s="172">
        <f t="shared" si="81"/>
        <v>77.33566056475081</v>
      </c>
      <c r="AR291" s="157">
        <f>INDEX([1]Historical!$C$7:$C$1231,MATCH(B291,[1]Historical!$B$7:$B$1253,0))*IF(AH291="n/a",1.03,IF(AH291&lt;0,1.01,IF(AH291&gt;10,1.1,(1+AH291/100))))</f>
        <v>0.69850000000000012</v>
      </c>
      <c r="AS291" s="166">
        <f t="shared" si="82"/>
        <v>0.7683500000000002</v>
      </c>
      <c r="AT291" s="166">
        <f t="shared" si="87"/>
        <v>0.8451850000000003</v>
      </c>
      <c r="AU291" s="166">
        <f t="shared" si="87"/>
        <v>0.92970350000000035</v>
      </c>
      <c r="AV291" s="166">
        <f t="shared" si="87"/>
        <v>1.0226738500000006</v>
      </c>
      <c r="AW291" s="157">
        <f t="shared" si="84"/>
        <v>4.2644123500000015</v>
      </c>
      <c r="AX291" s="173">
        <f t="shared" si="85"/>
        <v>15.712646831245399</v>
      </c>
      <c r="AY291" s="174">
        <v>0.72</v>
      </c>
      <c r="AZ291" s="169">
        <v>19.72</v>
      </c>
      <c r="BA291" s="169">
        <v>-42.4</v>
      </c>
      <c r="BB291" s="169">
        <v>6.41</v>
      </c>
      <c r="BC291" s="169">
        <v>-12.8</v>
      </c>
      <c r="BE291" s="77">
        <v>1974</v>
      </c>
      <c r="BF291" s="77">
        <f t="shared" si="86"/>
        <v>5</v>
      </c>
      <c r="BG291" s="175">
        <v>5.6000000000000005</v>
      </c>
      <c r="BH291" t="s">
        <v>939</v>
      </c>
      <c r="BI291" t="s">
        <v>940</v>
      </c>
    </row>
    <row r="292" spans="1:64" ht="11.25" customHeight="1" x14ac:dyDescent="0.2">
      <c r="A292" s="205" t="s">
        <v>1832</v>
      </c>
      <c r="B292" s="153" t="s">
        <v>1833</v>
      </c>
      <c r="C292" s="154" t="s">
        <v>100</v>
      </c>
      <c r="D292" s="154" t="s">
        <v>1043</v>
      </c>
      <c r="E292" s="155">
        <v>5</v>
      </c>
      <c r="F292" s="298">
        <v>713</v>
      </c>
      <c r="G292" s="298" t="s">
        <v>88</v>
      </c>
      <c r="H292" s="298" t="s">
        <v>88</v>
      </c>
      <c r="I292" s="156">
        <v>88.04</v>
      </c>
      <c r="J292" s="157">
        <f t="shared" si="72"/>
        <v>3.3166742389822805</v>
      </c>
      <c r="K292" s="158">
        <v>0.73</v>
      </c>
      <c r="L292" s="126">
        <v>4</v>
      </c>
      <c r="M292" s="82">
        <f t="shared" si="73"/>
        <v>2.92</v>
      </c>
      <c r="N292" s="159" t="s">
        <v>119</v>
      </c>
      <c r="O292" s="160">
        <v>0.67</v>
      </c>
      <c r="P292" s="161">
        <v>44728</v>
      </c>
      <c r="Q292" s="161">
        <v>44742</v>
      </c>
      <c r="R292" s="82">
        <f t="shared" si="74"/>
        <v>8.9552238805970052</v>
      </c>
      <c r="S292" s="162">
        <f>IF(INDEX([1]Historical!$D$7:$D$1229,MATCH(B292,[1]Historical!$B$7:$B$1253,0))=0,"n/a",(INDEX([1]Historical!$C$7:$C$1231,MATCH(B292,[1]Historical!$B$7:$B$1253,0))/INDEX([1]Historical!$D$7:$D$1229,MATCH(B292,[1]Historical!$B$7:$B$1253,0))-1)*100)</f>
        <v>9.1666666666666785</v>
      </c>
      <c r="T292" s="162">
        <f>IF(INDEX([1]Historical!$F$7:$F$1222,MATCH(B292,[1]Historical!$B$7:$B$1253,0))=0,"n/a",((INDEX([1]Historical!$C$7:$C$1231,MATCH(B292,[1]Historical!$B$7:$B$1253,0))/INDEX([1]Historical!$F$7:$F$1222,MATCH(B292,[1]Historical!$B$7:$B$1253,0)))^(1/3)-1)*100)</f>
        <v>7.653296278279198</v>
      </c>
      <c r="U292" s="162">
        <f>IF(INDEX([1]Historical!$H$7:$H$1222,MATCH(B292,[1]Historical!$B$7:$B$1253,0))=0,"n/a",((INDEX([1]Historical!$C$7:$C$1231,MATCH(B292,[1]Historical!$B$7:$B$1253,0))/INDEX([1]Historical!$H$7:$H$1222,MATCH(B292,[1]Historical!$B$7:$B$1253,0)))^(1/5)-1)*100)</f>
        <v>5.1318301593113347</v>
      </c>
      <c r="V292" s="162">
        <f>IF(INDEX([1]Historical!$N$7:$N$1222,MATCH(B292,[1]Historical!$B$7:$B$1253,0))=0,"n/a",((INDEX([1]Historical!$C$7:$C$1231,MATCH(B292,[1]Historical!$B$7:$B$1253,0))/INDEX([1]Historical!$N$7:$N$1222,MATCH(B292,[1]Historical!$B$7:$B$1253,0)))^(1/10)-1)*100)</f>
        <v>5.0553395698049064</v>
      </c>
      <c r="W292" s="163">
        <f t="shared" si="75"/>
        <v>1.0151306531342226</v>
      </c>
      <c r="X292" s="164">
        <f t="shared" si="76"/>
        <v>0.33323572463060613</v>
      </c>
      <c r="Y292" s="180" t="s">
        <v>1834</v>
      </c>
      <c r="Z292" s="157">
        <f t="shared" si="77"/>
        <v>58.4</v>
      </c>
      <c r="AA292" s="166">
        <f t="shared" si="78"/>
        <v>17.608000000000001</v>
      </c>
      <c r="AB292" s="126">
        <v>12</v>
      </c>
      <c r="AC292" s="167">
        <v>5</v>
      </c>
      <c r="AD292" s="167">
        <v>3.16</v>
      </c>
      <c r="AE292" s="167">
        <v>3.33</v>
      </c>
      <c r="AF292" s="167">
        <v>2.9</v>
      </c>
      <c r="AG292" s="167">
        <v>16</v>
      </c>
      <c r="AH292" s="167">
        <v>8.4</v>
      </c>
      <c r="AI292" s="167">
        <v>11.450000000000001</v>
      </c>
      <c r="AJ292" s="167">
        <v>15.4</v>
      </c>
      <c r="AK292" s="167">
        <v>5.6000000000000005</v>
      </c>
      <c r="AL292" s="168">
        <v>16470</v>
      </c>
      <c r="AM292" s="169">
        <v>0.1</v>
      </c>
      <c r="AN292" s="167">
        <v>0</v>
      </c>
      <c r="AO292" s="170">
        <f t="shared" si="79"/>
        <v>-9.1594956017063858</v>
      </c>
      <c r="AP292" s="171">
        <f t="shared" si="80"/>
        <v>8.4485043982936148</v>
      </c>
      <c r="AQ292" s="172">
        <f t="shared" si="81"/>
        <v>50.647786427665608</v>
      </c>
      <c r="AR292" s="157">
        <f>INDEX([1]Historical!$C$7:$C$1231,MATCH(B292,[1]Historical!$B$7:$B$1253,0))*IF(AH292="n/a",1.03,IF(AH292&lt;0,1.01,IF(AH292&gt;10,1.1,(1+AH292/100))))</f>
        <v>2.8400800000000004</v>
      </c>
      <c r="AS292" s="166">
        <f t="shared" si="82"/>
        <v>3.1240880000000009</v>
      </c>
      <c r="AT292" s="166">
        <f t="shared" si="87"/>
        <v>3.2990369280000009</v>
      </c>
      <c r="AU292" s="166">
        <f t="shared" si="87"/>
        <v>3.4837829959680011</v>
      </c>
      <c r="AV292" s="166">
        <f t="shared" si="87"/>
        <v>3.6788748437422094</v>
      </c>
      <c r="AW292" s="157">
        <f t="shared" si="84"/>
        <v>16.425862767710214</v>
      </c>
      <c r="AX292" s="173">
        <f t="shared" si="85"/>
        <v>18.65727256668584</v>
      </c>
      <c r="AY292" s="174">
        <v>0.98</v>
      </c>
      <c r="AZ292" s="169">
        <v>15.28</v>
      </c>
      <c r="BA292" s="169">
        <v>-40.86</v>
      </c>
      <c r="BB292" s="169">
        <v>2.58</v>
      </c>
      <c r="BC292" s="169">
        <v>-14.63</v>
      </c>
      <c r="BE292" s="77">
        <v>2018</v>
      </c>
      <c r="BF292" s="77">
        <f t="shared" si="86"/>
        <v>1</v>
      </c>
      <c r="BG292" s="175">
        <v>12.5</v>
      </c>
      <c r="BH292" t="s">
        <v>939</v>
      </c>
      <c r="BI292" t="s">
        <v>940</v>
      </c>
      <c r="BJ292" s="112"/>
      <c r="BK292" s="112"/>
      <c r="BL292" s="112"/>
    </row>
    <row r="293" spans="1:64" ht="11.25" customHeight="1" x14ac:dyDescent="0.2">
      <c r="A293" s="176" t="s">
        <v>1422</v>
      </c>
      <c r="B293" s="153" t="s">
        <v>762</v>
      </c>
      <c r="C293" s="154" t="s">
        <v>90</v>
      </c>
      <c r="D293" s="154" t="s">
        <v>972</v>
      </c>
      <c r="E293" s="155">
        <v>12</v>
      </c>
      <c r="F293" s="298">
        <v>378</v>
      </c>
      <c r="G293" s="298" t="s">
        <v>88</v>
      </c>
      <c r="H293" s="298" t="s">
        <v>88</v>
      </c>
      <c r="I293" s="156">
        <v>344.51</v>
      </c>
      <c r="J293" s="157">
        <f t="shared" si="72"/>
        <v>2.9026733621665555</v>
      </c>
      <c r="K293" s="158">
        <v>2.5</v>
      </c>
      <c r="L293" s="126">
        <v>4</v>
      </c>
      <c r="M293" s="82">
        <f t="shared" si="73"/>
        <v>10</v>
      </c>
      <c r="N293" s="159" t="s">
        <v>206</v>
      </c>
      <c r="O293" s="160">
        <v>2</v>
      </c>
      <c r="P293" s="161">
        <v>44804</v>
      </c>
      <c r="Q293" s="161">
        <v>44833</v>
      </c>
      <c r="R293" s="82">
        <f t="shared" si="74"/>
        <v>25</v>
      </c>
      <c r="S293" s="162">
        <f>IF(INDEX([1]Historical!$D$7:$D$1229,MATCH(B293,[1]Historical!$B$7:$B$1253,0))=0,"n/a",(INDEX([1]Historical!$C$7:$C$1231,MATCH(B293,[1]Historical!$B$7:$B$1253,0))/INDEX([1]Historical!$D$7:$D$1229,MATCH(B293,[1]Historical!$B$7:$B$1253,0))-1)*100)</f>
        <v>30.000000000000004</v>
      </c>
      <c r="T293" s="162">
        <f>IF(INDEX([1]Historical!$F$7:$F$1222,MATCH(B293,[1]Historical!$B$7:$B$1253,0))=0,"n/a",((INDEX([1]Historical!$C$7:$C$1231,MATCH(B293,[1]Historical!$B$7:$B$1253,0))/INDEX([1]Historical!$F$7:$F$1222,MATCH(B293,[1]Historical!$B$7:$B$1253,0)))^(1/3)-1)*100)</f>
        <v>27.311489994360283</v>
      </c>
      <c r="U293" s="162">
        <f>IF(INDEX([1]Historical!$H$7:$H$1222,MATCH(B293,[1]Historical!$B$7:$B$1253,0))=0,"n/a",((INDEX([1]Historical!$C$7:$C$1231,MATCH(B293,[1]Historical!$B$7:$B$1253,0))/INDEX([1]Historical!$H$7:$H$1222,MATCH(B293,[1]Historical!$B$7:$B$1253,0)))^(1/5)-1)*100)</f>
        <v>20.112443398143132</v>
      </c>
      <c r="V293" s="162">
        <f>IF(INDEX([1]Historical!$N$7:$N$1222,MATCH(B293,[1]Historical!$B$7:$B$1253,0))=0,"n/a",((INDEX([1]Historical!$C$7:$C$1231,MATCH(B293,[1]Historical!$B$7:$B$1253,0))/INDEX([1]Historical!$N$7:$N$1222,MATCH(B293,[1]Historical!$B$7:$B$1253,0)))^(1/10)-1)*100)</f>
        <v>16.594625575094412</v>
      </c>
      <c r="W293" s="163">
        <f t="shared" si="75"/>
        <v>1.2119853688249731</v>
      </c>
      <c r="X293" s="164">
        <f t="shared" si="76"/>
        <v>0.67947443912645722</v>
      </c>
      <c r="Y293" s="180"/>
      <c r="Z293" s="157">
        <f t="shared" si="77"/>
        <v>26.638252530633995</v>
      </c>
      <c r="AA293" s="166">
        <f t="shared" si="78"/>
        <v>9.1771443793287162</v>
      </c>
      <c r="AB293" s="126">
        <v>12</v>
      </c>
      <c r="AC293" s="167">
        <v>37.54</v>
      </c>
      <c r="AD293" s="167" t="s">
        <v>95</v>
      </c>
      <c r="AE293" s="167">
        <v>1.87</v>
      </c>
      <c r="AF293" s="167">
        <v>1.1299999999999999</v>
      </c>
      <c r="AG293" s="167">
        <v>17.899999999999999</v>
      </c>
      <c r="AH293" s="167">
        <v>140.30000000000001</v>
      </c>
      <c r="AI293" s="167">
        <v>9.98</v>
      </c>
      <c r="AJ293" s="167">
        <v>29.599999999999998</v>
      </c>
      <c r="AK293" s="167">
        <v>-9.120000000000001</v>
      </c>
      <c r="AL293" s="168">
        <v>115100</v>
      </c>
      <c r="AM293" s="169">
        <v>0.1</v>
      </c>
      <c r="AN293" s="167">
        <v>8.66</v>
      </c>
      <c r="AO293" s="170">
        <f t="shared" si="79"/>
        <v>13.837972380980972</v>
      </c>
      <c r="AP293" s="171">
        <f t="shared" si="80"/>
        <v>23.015116760309688</v>
      </c>
      <c r="AQ293" s="172">
        <f t="shared" si="81"/>
        <v>-32.110635267071153</v>
      </c>
      <c r="AR293" s="157">
        <f>INDEX([1]Historical!$C$7:$C$1231,MATCH(B293,[1]Historical!$B$7:$B$1253,0))*IF(AH293="n/a",1.03,IF(AH293&lt;0,1.01,IF(AH293&gt;10,1.1,(1+AH293/100))))</f>
        <v>7.15</v>
      </c>
      <c r="AS293" s="166">
        <f t="shared" si="82"/>
        <v>7.8635700000000011</v>
      </c>
      <c r="AT293" s="166">
        <f t="shared" si="87"/>
        <v>7.9422057000000015</v>
      </c>
      <c r="AU293" s="166">
        <f t="shared" si="87"/>
        <v>8.021627757000001</v>
      </c>
      <c r="AV293" s="166">
        <f t="shared" si="87"/>
        <v>8.1018440345700018</v>
      </c>
      <c r="AW293" s="157">
        <f t="shared" si="84"/>
        <v>39.079247491570008</v>
      </c>
      <c r="AX293" s="173">
        <f t="shared" si="85"/>
        <v>11.343429070729444</v>
      </c>
      <c r="AY293" s="174">
        <v>1.38</v>
      </c>
      <c r="AZ293" s="169">
        <v>24</v>
      </c>
      <c r="BA293" s="169">
        <v>-19.16</v>
      </c>
      <c r="BB293" s="169">
        <v>7.3599999999999994</v>
      </c>
      <c r="BC293" s="169">
        <v>5.9799999999999995</v>
      </c>
      <c r="BE293" s="77">
        <v>2011</v>
      </c>
      <c r="BF293" s="77">
        <f t="shared" si="86"/>
        <v>1</v>
      </c>
      <c r="BG293" s="175">
        <v>1.2</v>
      </c>
      <c r="BH293" t="s">
        <v>939</v>
      </c>
      <c r="BI293" t="s">
        <v>940</v>
      </c>
    </row>
    <row r="294" spans="1:64" ht="11.25" customHeight="1" x14ac:dyDescent="0.2">
      <c r="A294" s="176" t="s">
        <v>1423</v>
      </c>
      <c r="B294" s="153" t="s">
        <v>850</v>
      </c>
      <c r="C294" s="154" t="s">
        <v>90</v>
      </c>
      <c r="D294" s="154" t="s">
        <v>969</v>
      </c>
      <c r="E294" s="155">
        <v>9</v>
      </c>
      <c r="F294" s="298">
        <v>546</v>
      </c>
      <c r="G294" s="298" t="s">
        <v>88</v>
      </c>
      <c r="H294" s="298" t="s">
        <v>88</v>
      </c>
      <c r="I294" s="156">
        <v>61.98</v>
      </c>
      <c r="J294" s="157">
        <f t="shared" si="72"/>
        <v>2.5814778960955147</v>
      </c>
      <c r="K294" s="158">
        <v>0.4</v>
      </c>
      <c r="L294" s="126">
        <v>4</v>
      </c>
      <c r="M294" s="82">
        <f t="shared" si="73"/>
        <v>1.6</v>
      </c>
      <c r="N294" s="159" t="s">
        <v>112</v>
      </c>
      <c r="O294" s="160">
        <v>0.36</v>
      </c>
      <c r="P294" s="161">
        <v>44736</v>
      </c>
      <c r="Q294" s="161">
        <v>44754</v>
      </c>
      <c r="R294" s="82">
        <f t="shared" si="74"/>
        <v>11.111111111111121</v>
      </c>
      <c r="S294" s="162">
        <f>IF(INDEX([1]Historical!$D$7:$D$1229,MATCH(B294,[1]Historical!$B$7:$B$1253,0))=0,"n/a",(INDEX([1]Historical!$C$7:$C$1231,MATCH(B294,[1]Historical!$B$7:$B$1253,0))/INDEX([1]Historical!$D$7:$D$1229,MATCH(B294,[1]Historical!$B$7:$B$1253,0))-1)*100)</f>
        <v>1.4705882352941124</v>
      </c>
      <c r="T294" s="162">
        <f>IF(INDEX([1]Historical!$F$7:$F$1222,MATCH(B294,[1]Historical!$B$7:$B$1253,0))=0,"n/a",((INDEX([1]Historical!$C$7:$C$1231,MATCH(B294,[1]Historical!$B$7:$B$1253,0))/INDEX([1]Historical!$F$7:$F$1222,MATCH(B294,[1]Historical!$B$7:$B$1253,0)))^(1/3)-1)*100)</f>
        <v>7.2063116185391296</v>
      </c>
      <c r="U294" s="162">
        <f>IF(INDEX([1]Historical!$H$7:$H$1222,MATCH(B294,[1]Historical!$B$7:$B$1253,0))=0,"n/a",((INDEX([1]Historical!$C$7:$C$1231,MATCH(B294,[1]Historical!$B$7:$B$1253,0))/INDEX([1]Historical!$H$7:$H$1222,MATCH(B294,[1]Historical!$B$7:$B$1253,0)))^(1/5)-1)*100)</f>
        <v>9.4156092263382618</v>
      </c>
      <c r="V294" s="162">
        <f>IF(INDEX([1]Historical!$N$7:$N$1222,MATCH(B294,[1]Historical!$B$7:$B$1253,0))=0,"n/a",((INDEX([1]Historical!$C$7:$C$1231,MATCH(B294,[1]Historical!$B$7:$B$1253,0))/INDEX([1]Historical!$N$7:$N$1222,MATCH(B294,[1]Historical!$B$7:$B$1253,0)))^(1/10)-1)*100)</f>
        <v>6.7221728877321363</v>
      </c>
      <c r="W294" s="163">
        <f t="shared" si="75"/>
        <v>1.4006794207155258</v>
      </c>
      <c r="X294" s="164">
        <f t="shared" si="76"/>
        <v>0.84067939520877333</v>
      </c>
      <c r="Y294" s="180"/>
      <c r="Z294" s="157">
        <f t="shared" si="77"/>
        <v>29.962546816479403</v>
      </c>
      <c r="AA294" s="166">
        <f t="shared" si="78"/>
        <v>11.606741573033707</v>
      </c>
      <c r="AB294" s="126">
        <v>12</v>
      </c>
      <c r="AC294" s="167">
        <v>5.34</v>
      </c>
      <c r="AD294" s="167">
        <v>1.94</v>
      </c>
      <c r="AE294" s="167">
        <v>3.61</v>
      </c>
      <c r="AF294" s="167">
        <v>1.42</v>
      </c>
      <c r="AG294" s="167">
        <v>12.3</v>
      </c>
      <c r="AH294" s="167">
        <v>29.799999999999997</v>
      </c>
      <c r="AI294" s="167">
        <v>10.31</v>
      </c>
      <c r="AJ294" s="167">
        <v>11.200000000000001</v>
      </c>
      <c r="AK294" s="167">
        <v>6</v>
      </c>
      <c r="AL294" s="168">
        <v>746.64</v>
      </c>
      <c r="AM294" s="169">
        <v>3.6999999999999997</v>
      </c>
      <c r="AN294" s="167">
        <v>0.18</v>
      </c>
      <c r="AO294" s="170">
        <f t="shared" si="79"/>
        <v>0.39034554940006849</v>
      </c>
      <c r="AP294" s="171">
        <f t="shared" si="80"/>
        <v>11.997087122433776</v>
      </c>
      <c r="AQ294" s="172">
        <f t="shared" si="81"/>
        <v>-14.412947412959543</v>
      </c>
      <c r="AR294" s="157">
        <f>INDEX([1]Historical!$C$7:$C$1231,MATCH(B294,[1]Historical!$B$7:$B$1253,0))*IF(AH294="n/a",1.03,IF(AH294&lt;0,1.01,IF(AH294&gt;10,1.1,(1+AH294/100))))</f>
        <v>1.518</v>
      </c>
      <c r="AS294" s="166">
        <f t="shared" si="82"/>
        <v>1.6698000000000002</v>
      </c>
      <c r="AT294" s="166">
        <f t="shared" si="87"/>
        <v>1.7699880000000003</v>
      </c>
      <c r="AU294" s="166">
        <f t="shared" si="87"/>
        <v>1.8761872800000003</v>
      </c>
      <c r="AV294" s="166">
        <f t="shared" si="87"/>
        <v>1.9887585168000004</v>
      </c>
      <c r="AW294" s="157">
        <f t="shared" si="84"/>
        <v>8.8227337968000015</v>
      </c>
      <c r="AX294" s="173">
        <f t="shared" si="85"/>
        <v>14.234807674733787</v>
      </c>
      <c r="AY294" s="174">
        <v>0.76</v>
      </c>
      <c r="AZ294" s="169">
        <v>23.22</v>
      </c>
      <c r="BA294" s="169">
        <v>-3.4000000000000004</v>
      </c>
      <c r="BB294" s="169">
        <v>3.7699999999999996</v>
      </c>
      <c r="BC294" s="169">
        <v>3.9</v>
      </c>
      <c r="BE294" s="77">
        <v>2014</v>
      </c>
      <c r="BF294" s="77">
        <f t="shared" si="86"/>
        <v>1</v>
      </c>
      <c r="BG294" s="175">
        <v>1.3</v>
      </c>
      <c r="BH294" t="s">
        <v>939</v>
      </c>
      <c r="BI294" t="s">
        <v>940</v>
      </c>
      <c r="BJ294" s="112"/>
      <c r="BK294" s="112"/>
      <c r="BL294" s="112"/>
    </row>
    <row r="295" spans="1:64" s="252" customFormat="1" ht="11.25" customHeight="1" x14ac:dyDescent="0.2">
      <c r="A295" s="183" t="s">
        <v>808</v>
      </c>
      <c r="B295" s="184" t="s">
        <v>809</v>
      </c>
      <c r="C295" s="154" t="s">
        <v>947</v>
      </c>
      <c r="D295" s="154" t="s">
        <v>948</v>
      </c>
      <c r="E295" s="185">
        <v>11</v>
      </c>
      <c r="F295" s="298">
        <v>457</v>
      </c>
      <c r="G295" s="297" t="s">
        <v>30</v>
      </c>
      <c r="H295" s="297" t="s">
        <v>104</v>
      </c>
      <c r="I295" s="186">
        <v>31.49</v>
      </c>
      <c r="J295" s="187">
        <f t="shared" si="72"/>
        <v>5.4620514449031443</v>
      </c>
      <c r="K295" s="188">
        <v>0.43</v>
      </c>
      <c r="L295" s="189">
        <v>4</v>
      </c>
      <c r="M295" s="190">
        <f t="shared" si="73"/>
        <v>1.72</v>
      </c>
      <c r="N295" s="191" t="s">
        <v>261</v>
      </c>
      <c r="O295" s="192">
        <v>0.41</v>
      </c>
      <c r="P295" s="193">
        <v>44916</v>
      </c>
      <c r="Q295" s="193">
        <v>44931</v>
      </c>
      <c r="R295" s="190">
        <f t="shared" si="74"/>
        <v>4.8780487804878092</v>
      </c>
      <c r="S295" s="162">
        <f>IF(INDEX([1]Historical!$D$7:$D$1229,MATCH(B295,[1]Historical!$B$7:$B$1253,0))=0,"n/a",(INDEX([1]Historical!$C$7:$C$1231,MATCH(B295,[1]Historical!$B$7:$B$1253,0))/INDEX([1]Historical!$D$7:$D$1229,MATCH(B295,[1]Historical!$B$7:$B$1253,0))-1)*100)</f>
        <v>5.4054054054054168</v>
      </c>
      <c r="T295" s="162">
        <f>IF(INDEX([1]Historical!$F$7:$F$1222,MATCH(B295,[1]Historical!$B$7:$B$1253,0))=0,"n/a",((INDEX([1]Historical!$C$7:$C$1231,MATCH(B295,[1]Historical!$B$7:$B$1253,0))/INDEX([1]Historical!$F$7:$F$1222,MATCH(B295,[1]Historical!$B$7:$B$1253,0)))^(1/3)-1)*100)</f>
        <v>6.8164670424479157</v>
      </c>
      <c r="U295" s="162">
        <f>IF(INDEX([1]Historical!$H$7:$H$1222,MATCH(B295,[1]Historical!$B$7:$B$1253,0))=0,"n/a",((INDEX([1]Historical!$C$7:$C$1231,MATCH(B295,[1]Historical!$B$7:$B$1253,0))/INDEX([1]Historical!$H$7:$H$1222,MATCH(B295,[1]Historical!$B$7:$B$1253,0)))^(1/5)-1)*100)</f>
        <v>9.3011973943858628</v>
      </c>
      <c r="V295" s="162">
        <f>IF(INDEX([1]Historical!$N$7:$N$1222,MATCH(B295,[1]Historical!$B$7:$B$1253,0))=0,"n/a",((INDEX([1]Historical!$C$7:$C$1231,MATCH(B295,[1]Historical!$B$7:$B$1253,0))/INDEX([1]Historical!$N$7:$N$1222,MATCH(B295,[1]Historical!$B$7:$B$1253,0)))^(1/10)-1)*100)</f>
        <v>-0.79723218914079519</v>
      </c>
      <c r="W295" s="163" t="str">
        <f t="shared" si="75"/>
        <v>n/a</v>
      </c>
      <c r="X295" s="164">
        <f t="shared" si="76"/>
        <v>2.8185446649654127</v>
      </c>
      <c r="Y295" s="206"/>
      <c r="Z295" s="187">
        <f t="shared" si="77"/>
        <v>126.47058823529412</v>
      </c>
      <c r="AA295" s="194">
        <f t="shared" si="78"/>
        <v>23.15441176470588</v>
      </c>
      <c r="AB295" s="189">
        <v>12</v>
      </c>
      <c r="AC295" s="195">
        <v>1.36</v>
      </c>
      <c r="AD295" s="195" t="s">
        <v>95</v>
      </c>
      <c r="AE295" s="195">
        <v>9.16</v>
      </c>
      <c r="AF295" s="195">
        <v>1.94</v>
      </c>
      <c r="AG295" s="195">
        <v>8.4</v>
      </c>
      <c r="AH295" s="195">
        <v>-15.299999999999999</v>
      </c>
      <c r="AI295" s="195">
        <v>-26.810000000000002</v>
      </c>
      <c r="AJ295" s="195">
        <v>3.3000000000000003</v>
      </c>
      <c r="AK295" s="195" t="s">
        <v>95</v>
      </c>
      <c r="AL295" s="196">
        <v>1440</v>
      </c>
      <c r="AM295" s="197">
        <v>0.3</v>
      </c>
      <c r="AN295" s="195">
        <v>0.83</v>
      </c>
      <c r="AO295" s="198">
        <f t="shared" si="79"/>
        <v>-8.3911629254168734</v>
      </c>
      <c r="AP295" s="199">
        <f t="shared" si="80"/>
        <v>14.763248839289007</v>
      </c>
      <c r="AQ295" s="172">
        <f t="shared" si="81"/>
        <v>41.294898584531595</v>
      </c>
      <c r="AR295" s="157">
        <f>INDEX([1]Historical!$C$7:$C$1231,MATCH(B295,[1]Historical!$B$7:$B$1253,0))*IF(AH295="n/a",1.03,IF(AH295&lt;0,1.01,IF(AH295&gt;10,1.1,(1+AH295/100))))</f>
        <v>1.5756000000000001</v>
      </c>
      <c r="AS295" s="194">
        <f t="shared" si="82"/>
        <v>1.5913560000000002</v>
      </c>
      <c r="AT295" s="194">
        <f t="shared" ref="AT295:AV310" si="88">IF($AK295="n/a",1.03*AS295,IF($AK295&lt;0,1.01*AS295,IF($AK295&gt;10,1.1*AS295,(1+$AK295/100)*AS295)))</f>
        <v>1.6390966800000002</v>
      </c>
      <c r="AU295" s="194">
        <f t="shared" si="88"/>
        <v>1.6882695804000003</v>
      </c>
      <c r="AV295" s="194">
        <f t="shared" si="88"/>
        <v>1.7389176678120004</v>
      </c>
      <c r="AW295" s="187">
        <f t="shared" si="84"/>
        <v>8.2332399282120008</v>
      </c>
      <c r="AX295" s="200">
        <f t="shared" si="85"/>
        <v>26.145569794258499</v>
      </c>
      <c r="AY295" s="201">
        <v>0.89</v>
      </c>
      <c r="AZ295" s="197">
        <v>27.700000000000003</v>
      </c>
      <c r="BA295" s="197">
        <v>-5.58</v>
      </c>
      <c r="BB295" s="197">
        <v>9.120000000000001</v>
      </c>
      <c r="BC295" s="197">
        <v>11.93</v>
      </c>
      <c r="BD295" s="202"/>
      <c r="BE295" s="77">
        <v>2013</v>
      </c>
      <c r="BF295" s="77">
        <f t="shared" si="86"/>
        <v>1</v>
      </c>
      <c r="BG295" s="203">
        <v>4.2</v>
      </c>
      <c r="BH295" t="s">
        <v>939</v>
      </c>
      <c r="BI295" t="s">
        <v>945</v>
      </c>
    </row>
    <row r="296" spans="1:64" ht="11.25" customHeight="1" x14ac:dyDescent="0.2">
      <c r="A296" s="205" t="s">
        <v>1424</v>
      </c>
      <c r="B296" s="153" t="s">
        <v>1092</v>
      </c>
      <c r="C296" s="154" t="s">
        <v>117</v>
      </c>
      <c r="D296" s="154" t="s">
        <v>978</v>
      </c>
      <c r="E296" s="155">
        <v>8</v>
      </c>
      <c r="F296" s="298">
        <v>573</v>
      </c>
      <c r="G296" s="298" t="s">
        <v>88</v>
      </c>
      <c r="H296" s="298" t="s">
        <v>88</v>
      </c>
      <c r="I296" s="156">
        <v>12.76</v>
      </c>
      <c r="J296" s="157">
        <f t="shared" si="72"/>
        <v>2.3115987460815046</v>
      </c>
      <c r="K296" s="158">
        <v>2.4580000000000001E-2</v>
      </c>
      <c r="L296" s="126">
        <v>12</v>
      </c>
      <c r="M296" s="82">
        <f t="shared" si="73"/>
        <v>0.29496</v>
      </c>
      <c r="N296" s="159" t="s">
        <v>453</v>
      </c>
      <c r="O296" s="160">
        <v>2.4340000000000001E-2</v>
      </c>
      <c r="P296" s="161">
        <v>44545</v>
      </c>
      <c r="Q296" s="161">
        <v>44560</v>
      </c>
      <c r="R296" s="82">
        <f t="shared" si="74"/>
        <v>0.9860312243221061</v>
      </c>
      <c r="S296" s="162">
        <f>IF(INDEX([1]Historical!$D$7:$D$1229,MATCH(B296,[1]Historical!$B$7:$B$1253,0))=0,"n/a",(INDEX([1]Historical!$C$7:$C$1231,MATCH(B296,[1]Historical!$B$7:$B$1253,0))/INDEX([1]Historical!$D$7:$D$1229,MATCH(B296,[1]Historical!$B$7:$B$1253,0))-1)*100)</f>
        <v>0.99502487562188602</v>
      </c>
      <c r="T296" s="162">
        <f>IF(INDEX([1]Historical!$F$7:$F$1222,MATCH(B296,[1]Historical!$B$7:$B$1253,0))=0,"n/a",((INDEX([1]Historical!$C$7:$C$1231,MATCH(B296,[1]Historical!$B$7:$B$1253,0))/INDEX([1]Historical!$F$7:$F$1222,MATCH(B296,[1]Historical!$B$7:$B$1253,0)))^(1/3)-1)*100)</f>
        <v>0.99844702580056399</v>
      </c>
      <c r="U296" s="162">
        <f>IF(INDEX([1]Historical!$H$7:$H$1222,MATCH(B296,[1]Historical!$B$7:$B$1253,0))=0,"n/a",((INDEX([1]Historical!$C$7:$C$1231,MATCH(B296,[1]Historical!$B$7:$B$1253,0))/INDEX([1]Historical!$H$7:$H$1222,MATCH(B296,[1]Historical!$B$7:$B$1253,0)))^(1/5)-1)*100)</f>
        <v>2.6969743943611402</v>
      </c>
      <c r="V296" s="162" t="str">
        <f>IF(INDEX([1]Historical!$N$7:$N$1222,MATCH(B296,[1]Historical!$B$7:$B$1253,0))=0,"n/a",((INDEX([1]Historical!$C$7:$C$1231,MATCH(B296,[1]Historical!$B$7:$B$1253,0))/INDEX([1]Historical!$N$7:$N$1222,MATCH(B296,[1]Historical!$B$7:$B$1253,0)))^(1/10)-1)*100)</f>
        <v>n/a</v>
      </c>
      <c r="W296" s="163" t="str">
        <f t="shared" si="75"/>
        <v>n/a</v>
      </c>
      <c r="X296" s="164">
        <f t="shared" si="76"/>
        <v>0.10293795398324962</v>
      </c>
      <c r="Y296" s="180"/>
      <c r="Z296" s="157">
        <f t="shared" si="77"/>
        <v>140.45714285714286</v>
      </c>
      <c r="AA296" s="166">
        <f t="shared" si="78"/>
        <v>60.761904761904766</v>
      </c>
      <c r="AB296" s="126">
        <v>12</v>
      </c>
      <c r="AC296" s="167">
        <v>0.21</v>
      </c>
      <c r="AD296" s="167">
        <v>4.08</v>
      </c>
      <c r="AE296" s="167">
        <v>6.84</v>
      </c>
      <c r="AF296" s="167">
        <v>9.77</v>
      </c>
      <c r="AG296" s="167">
        <v>16.100000000000001</v>
      </c>
      <c r="AH296" s="167">
        <v>221.89999999999998</v>
      </c>
      <c r="AI296" s="167">
        <v>7.5</v>
      </c>
      <c r="AJ296" s="167">
        <v>26.200000000000003</v>
      </c>
      <c r="AK296" s="167">
        <v>15</v>
      </c>
      <c r="AL296" s="168">
        <v>296.7</v>
      </c>
      <c r="AM296" s="169">
        <v>10.100000000000001</v>
      </c>
      <c r="AN296" s="167">
        <v>3.72</v>
      </c>
      <c r="AO296" s="170">
        <f t="shared" si="79"/>
        <v>-55.753331621462124</v>
      </c>
      <c r="AP296" s="171">
        <f t="shared" si="80"/>
        <v>5.0085731404426443</v>
      </c>
      <c r="AQ296" s="172">
        <f t="shared" si="81"/>
        <v>413.65522787341814</v>
      </c>
      <c r="AR296" s="157">
        <f>INDEX([1]Historical!$C$7:$C$1231,MATCH(B296,[1]Historical!$B$7:$B$1253,0))*IF(AH296="n/a",1.03,IF(AH296&lt;0,1.01,IF(AH296&gt;10,1.1,(1+AH296/100))))</f>
        <v>0.32155200000000006</v>
      </c>
      <c r="AS296" s="166">
        <f t="shared" si="82"/>
        <v>0.34566840000000004</v>
      </c>
      <c r="AT296" s="166">
        <f t="shared" si="88"/>
        <v>0.38023524000000009</v>
      </c>
      <c r="AU296" s="166">
        <f t="shared" si="88"/>
        <v>0.41825876400000012</v>
      </c>
      <c r="AV296" s="166">
        <f t="shared" si="88"/>
        <v>0.46008464040000019</v>
      </c>
      <c r="AW296" s="157">
        <f t="shared" si="84"/>
        <v>1.9257990444000006</v>
      </c>
      <c r="AX296" s="173">
        <f t="shared" si="85"/>
        <v>15.092469000000005</v>
      </c>
      <c r="AY296" s="174">
        <v>0.72</v>
      </c>
      <c r="AZ296" s="169">
        <v>20.260000000000002</v>
      </c>
      <c r="BA296" s="169">
        <v>-33.68</v>
      </c>
      <c r="BB296" s="169">
        <v>0.77</v>
      </c>
      <c r="BC296" s="169">
        <v>-10.209999999999999</v>
      </c>
      <c r="BE296" s="77">
        <v>2014</v>
      </c>
      <c r="BF296" s="77">
        <f t="shared" si="86"/>
        <v>1</v>
      </c>
      <c r="BG296" s="175">
        <v>1.6</v>
      </c>
      <c r="BH296" t="s">
        <v>939</v>
      </c>
      <c r="BI296" t="s">
        <v>940</v>
      </c>
      <c r="BJ296" s="112"/>
      <c r="BK296" s="112"/>
      <c r="BL296" s="112"/>
    </row>
    <row r="297" spans="1:64" ht="11.25" customHeight="1" x14ac:dyDescent="0.2">
      <c r="A297" s="112" t="s">
        <v>1425</v>
      </c>
      <c r="B297" s="153" t="s">
        <v>500</v>
      </c>
      <c r="C297" s="154" t="s">
        <v>94</v>
      </c>
      <c r="D297" s="154" t="s">
        <v>962</v>
      </c>
      <c r="E297" s="155">
        <v>51</v>
      </c>
      <c r="F297" s="298">
        <v>33</v>
      </c>
      <c r="G297" s="298" t="s">
        <v>88</v>
      </c>
      <c r="H297" s="298" t="s">
        <v>88</v>
      </c>
      <c r="I297" s="167">
        <v>584.35</v>
      </c>
      <c r="J297" s="157">
        <f t="shared" si="72"/>
        <v>1.1773765722597758</v>
      </c>
      <c r="K297" s="158">
        <v>1.72</v>
      </c>
      <c r="L297" s="126">
        <v>4</v>
      </c>
      <c r="M297" s="82">
        <f t="shared" si="73"/>
        <v>6.88</v>
      </c>
      <c r="N297" s="159" t="s">
        <v>116</v>
      </c>
      <c r="O297" s="160">
        <v>1.62</v>
      </c>
      <c r="P297" s="161">
        <v>44687</v>
      </c>
      <c r="Q297" s="161">
        <v>44713</v>
      </c>
      <c r="R297" s="82">
        <f t="shared" si="74"/>
        <v>6.1728395061728305</v>
      </c>
      <c r="S297" s="162">
        <f>IF(INDEX([1]Historical!$D$7:$D$1229,MATCH(B297,[1]Historical!$B$7:$B$1253,0))=0,"n/a",(INDEX([1]Historical!$C$7:$C$1231,MATCH(B297,[1]Historical!$B$7:$B$1253,0))/INDEX([1]Historical!$D$7:$D$1229,MATCH(B297,[1]Historical!$B$7:$B$1253,0))-1)*100)</f>
        <v>7.575757575757569</v>
      </c>
      <c r="T297" s="162">
        <f>IF(INDEX([1]Historical!$F$7:$F$1222,MATCH(B297,[1]Historical!$B$7:$B$1253,0))=0,"n/a",((INDEX([1]Historical!$C$7:$C$1231,MATCH(B297,[1]Historical!$B$7:$B$1253,0))/INDEX([1]Historical!$F$7:$F$1222,MATCH(B297,[1]Historical!$B$7:$B$1253,0)))^(1/3)-1)*100)</f>
        <v>6.0340515705763265</v>
      </c>
      <c r="U297" s="162">
        <f>IF(INDEX([1]Historical!$H$7:$H$1222,MATCH(B297,[1]Historical!$B$7:$B$1253,0))=0,"n/a",((INDEX([1]Historical!$C$7:$C$1231,MATCH(B297,[1]Historical!$B$7:$B$1253,0))/INDEX([1]Historical!$H$7:$H$1222,MATCH(B297,[1]Historical!$B$7:$B$1253,0)))^(1/5)-1)*100)</f>
        <v>5.757395166420487</v>
      </c>
      <c r="V297" s="162">
        <f>IF(INDEX([1]Historical!$N$7:$N$1222,MATCH(B297,[1]Historical!$B$7:$B$1253,0))=0,"n/a",((INDEX([1]Historical!$C$7:$C$1231,MATCH(B297,[1]Historical!$B$7:$B$1253,0))/INDEX([1]Historical!$N$7:$N$1222,MATCH(B297,[1]Historical!$B$7:$B$1253,0)))^(1/10)-1)*100)</f>
        <v>9.7513906202665979</v>
      </c>
      <c r="W297" s="163">
        <f t="shared" si="75"/>
        <v>0.59041785839803462</v>
      </c>
      <c r="X297" s="164">
        <f t="shared" si="76"/>
        <v>0.38128444810731704</v>
      </c>
      <c r="Y297" s="153"/>
      <c r="Z297" s="157">
        <f t="shared" si="77"/>
        <v>26.938136256851998</v>
      </c>
      <c r="AA297" s="166">
        <f t="shared" si="78"/>
        <v>22.879796397807361</v>
      </c>
      <c r="AB297" s="126">
        <v>12</v>
      </c>
      <c r="AC297" s="167">
        <v>25.54</v>
      </c>
      <c r="AD297" s="167">
        <v>0.81</v>
      </c>
      <c r="AE297" s="167">
        <v>1.92</v>
      </c>
      <c r="AF297" s="167">
        <v>13.34</v>
      </c>
      <c r="AG297" s="167">
        <v>58.699999999999996</v>
      </c>
      <c r="AH297" s="167">
        <v>54.400000000000006</v>
      </c>
      <c r="AI297" s="167">
        <v>5.6099999999999994</v>
      </c>
      <c r="AJ297" s="167">
        <v>15.1</v>
      </c>
      <c r="AK297" s="167">
        <v>27.950000000000003</v>
      </c>
      <c r="AL297" s="168">
        <v>27350</v>
      </c>
      <c r="AM297" s="169">
        <v>0.2</v>
      </c>
      <c r="AN297" s="167">
        <v>1.06</v>
      </c>
      <c r="AO297" s="170">
        <f t="shared" si="79"/>
        <v>-15.945024659127098</v>
      </c>
      <c r="AP297" s="171">
        <f t="shared" si="80"/>
        <v>6.9347717386802632</v>
      </c>
      <c r="AQ297" s="172">
        <f t="shared" si="81"/>
        <v>268.30934096625907</v>
      </c>
      <c r="AR297" s="157">
        <f>INDEX([1]Historical!$C$7:$C$1231,MATCH(B297,[1]Historical!$B$7:$B$1253,0))*IF(AH297="n/a",1.03,IF(AH297&lt;0,1.01,IF(AH297&gt;10,1.1,(1+AH297/100))))</f>
        <v>7.0289999999999999</v>
      </c>
      <c r="AS297" s="166">
        <f t="shared" si="82"/>
        <v>7.4233269000000002</v>
      </c>
      <c r="AT297" s="166">
        <f t="shared" si="88"/>
        <v>8.1656595900000006</v>
      </c>
      <c r="AU297" s="166">
        <f t="shared" si="88"/>
        <v>8.9822255490000007</v>
      </c>
      <c r="AV297" s="166">
        <f t="shared" si="88"/>
        <v>9.8804481039000009</v>
      </c>
      <c r="AW297" s="157">
        <f t="shared" si="84"/>
        <v>41.4806601429</v>
      </c>
      <c r="AX297" s="173">
        <f t="shared" si="85"/>
        <v>7.0985984671686486</v>
      </c>
      <c r="AY297" s="174">
        <v>1.21</v>
      </c>
      <c r="AZ297" s="169">
        <v>32.659999999999997</v>
      </c>
      <c r="BA297" s="169">
        <v>-0.73</v>
      </c>
      <c r="BB297" s="169">
        <v>9.4700000000000006</v>
      </c>
      <c r="BC297" s="169">
        <v>16.12</v>
      </c>
      <c r="BE297" s="77">
        <v>1972</v>
      </c>
      <c r="BF297" s="77">
        <f t="shared" si="86"/>
        <v>6</v>
      </c>
      <c r="BG297" s="175">
        <v>17.299999999999997</v>
      </c>
      <c r="BH297" t="s">
        <v>939</v>
      </c>
      <c r="BI297" t="s">
        <v>940</v>
      </c>
    </row>
    <row r="298" spans="1:64" ht="11.25" customHeight="1" x14ac:dyDescent="0.2">
      <c r="A298" s="205" t="s">
        <v>1828</v>
      </c>
      <c r="B298" s="153" t="s">
        <v>1829</v>
      </c>
      <c r="C298" s="154" t="s">
        <v>100</v>
      </c>
      <c r="D298" s="154" t="s">
        <v>1043</v>
      </c>
      <c r="E298" s="155">
        <v>6</v>
      </c>
      <c r="F298" s="298">
        <v>675</v>
      </c>
      <c r="G298" s="298" t="s">
        <v>88</v>
      </c>
      <c r="H298" s="298" t="s">
        <v>88</v>
      </c>
      <c r="I298" s="156">
        <v>11.78</v>
      </c>
      <c r="J298" s="157">
        <f t="shared" si="72"/>
        <v>3.5653650254668934</v>
      </c>
      <c r="K298" s="158">
        <v>0.105</v>
      </c>
      <c r="L298" s="126">
        <v>4</v>
      </c>
      <c r="M298" s="82">
        <f t="shared" si="73"/>
        <v>0.42</v>
      </c>
      <c r="N298" s="159" t="s">
        <v>167</v>
      </c>
      <c r="O298" s="160">
        <v>0.1</v>
      </c>
      <c r="P298" s="161">
        <v>44712</v>
      </c>
      <c r="Q298" s="161">
        <v>44727</v>
      </c>
      <c r="R298" s="82">
        <f t="shared" si="74"/>
        <v>4.9999999999999902</v>
      </c>
      <c r="S298" s="162">
        <f>IF(INDEX([1]Historical!$D$7:$D$1229,MATCH(B298,[1]Historical!$B$7:$B$1253,0))=0,"n/a",(INDEX([1]Historical!$C$7:$C$1231,MATCH(B298,[1]Historical!$B$7:$B$1253,0))/INDEX([1]Historical!$D$7:$D$1229,MATCH(B298,[1]Historical!$B$7:$B$1253,0))-1)*100)</f>
        <v>6.7567567567567544</v>
      </c>
      <c r="T298" s="162">
        <f>IF(INDEX([1]Historical!$F$7:$F$1222,MATCH(B298,[1]Historical!$B$7:$B$1253,0))=0,"n/a",((INDEX([1]Historical!$C$7:$C$1231,MATCH(B298,[1]Historical!$B$7:$B$1253,0))/INDEX([1]Historical!$F$7:$F$1222,MATCH(B298,[1]Historical!$B$7:$B$1253,0)))^(1/3)-1)*100)</f>
        <v>5.1250122777545482</v>
      </c>
      <c r="U298" s="162" t="str">
        <f>IF(INDEX([1]Historical!$H$7:$H$1222,MATCH(B298,[1]Historical!$B$7:$B$1253,0))=0,"n/a",((INDEX([1]Historical!$C$7:$C$1231,MATCH(B298,[1]Historical!$B$7:$B$1253,0))/INDEX([1]Historical!$H$7:$H$1222,MATCH(B298,[1]Historical!$B$7:$B$1253,0)))^(1/5)-1)*100)</f>
        <v>n/a</v>
      </c>
      <c r="V298" s="162" t="str">
        <f>IF(INDEX([1]Historical!$N$7:$N$1222,MATCH(B298,[1]Historical!$B$7:$B$1253,0))=0,"n/a",((INDEX([1]Historical!$C$7:$C$1231,MATCH(B298,[1]Historical!$B$7:$B$1253,0))/INDEX([1]Historical!$N$7:$N$1222,MATCH(B298,[1]Historical!$B$7:$B$1253,0)))^(1/10)-1)*100)</f>
        <v>n/a</v>
      </c>
      <c r="W298" s="163" t="str">
        <f t="shared" si="75"/>
        <v>n/a</v>
      </c>
      <c r="X298" s="164" t="str">
        <f t="shared" si="76"/>
        <v>n/a</v>
      </c>
      <c r="Y298" s="180"/>
      <c r="Z298" s="157">
        <f t="shared" si="77"/>
        <v>19.266055045871557</v>
      </c>
      <c r="AA298" s="166">
        <f t="shared" si="78"/>
        <v>5.4036697247706416</v>
      </c>
      <c r="AB298" s="126">
        <v>12</v>
      </c>
      <c r="AC298" s="167">
        <v>2.1800000000000002</v>
      </c>
      <c r="AD298" s="167" t="s">
        <v>95</v>
      </c>
      <c r="AE298" s="167">
        <v>0.18</v>
      </c>
      <c r="AF298" s="167">
        <v>1.44</v>
      </c>
      <c r="AG298" s="167">
        <v>29.099999999999998</v>
      </c>
      <c r="AH298" s="167">
        <v>-12.9</v>
      </c>
      <c r="AI298" s="167">
        <v>-16.669999999999998</v>
      </c>
      <c r="AJ298" s="167">
        <v>-4.3999999999999995</v>
      </c>
      <c r="AK298" s="167" t="s">
        <v>95</v>
      </c>
      <c r="AL298" s="168">
        <v>116.51</v>
      </c>
      <c r="AM298" s="169">
        <v>6</v>
      </c>
      <c r="AN298" s="167">
        <v>0</v>
      </c>
      <c r="AO298" s="170" t="str">
        <f t="shared" si="79"/>
        <v>n/a</v>
      </c>
      <c r="AP298" s="171" t="str">
        <f t="shared" si="80"/>
        <v>n/a</v>
      </c>
      <c r="AQ298" s="172">
        <f t="shared" si="81"/>
        <v>-41.192274114252548</v>
      </c>
      <c r="AR298" s="157">
        <f>INDEX([1]Historical!$C$7:$C$1231,MATCH(B298,[1]Historical!$B$7:$B$1253,0))*IF(AH298="n/a",1.03,IF(AH298&lt;0,1.01,IF(AH298&gt;10,1.1,(1+AH298/100))))</f>
        <v>0.39895000000000003</v>
      </c>
      <c r="AS298" s="166">
        <f t="shared" si="82"/>
        <v>0.40293950000000001</v>
      </c>
      <c r="AT298" s="166">
        <f t="shared" si="88"/>
        <v>0.41502768500000004</v>
      </c>
      <c r="AU298" s="166">
        <f t="shared" si="88"/>
        <v>0.42747851555000005</v>
      </c>
      <c r="AV298" s="166">
        <f t="shared" si="88"/>
        <v>0.44030287101650006</v>
      </c>
      <c r="AW298" s="157">
        <f t="shared" si="84"/>
        <v>2.0846985715665003</v>
      </c>
      <c r="AX298" s="173">
        <f t="shared" si="85"/>
        <v>17.696931846914264</v>
      </c>
      <c r="AY298" s="174">
        <v>0.64</v>
      </c>
      <c r="AZ298" s="169">
        <v>28.389999999999997</v>
      </c>
      <c r="BA298" s="169">
        <v>-42.14</v>
      </c>
      <c r="BB298" s="169">
        <v>0.38999999999999996</v>
      </c>
      <c r="BC298" s="169">
        <v>0.75</v>
      </c>
      <c r="BE298" s="77">
        <v>2017</v>
      </c>
      <c r="BF298" s="77">
        <f t="shared" si="86"/>
        <v>1</v>
      </c>
      <c r="BG298" s="175">
        <v>7.8</v>
      </c>
      <c r="BH298" t="s">
        <v>939</v>
      </c>
      <c r="BI298" t="s">
        <v>940</v>
      </c>
      <c r="BJ298" s="112"/>
      <c r="BK298" s="112"/>
      <c r="BL298" s="112"/>
    </row>
    <row r="299" spans="1:64" ht="11.25" customHeight="1" x14ac:dyDescent="0.2">
      <c r="A299" s="176" t="s">
        <v>1426</v>
      </c>
      <c r="B299" s="153" t="s">
        <v>851</v>
      </c>
      <c r="C299" s="154" t="s">
        <v>90</v>
      </c>
      <c r="D299" s="154" t="s">
        <v>959</v>
      </c>
      <c r="E299" s="155">
        <v>9</v>
      </c>
      <c r="F299" s="298">
        <v>566</v>
      </c>
      <c r="G299" s="298" t="s">
        <v>88</v>
      </c>
      <c r="H299" s="298" t="s">
        <v>88</v>
      </c>
      <c r="I299" s="156">
        <v>42.75</v>
      </c>
      <c r="J299" s="157">
        <f t="shared" si="72"/>
        <v>2.2456140350877192</v>
      </c>
      <c r="K299" s="158">
        <v>0.24</v>
      </c>
      <c r="L299" s="126">
        <v>4</v>
      </c>
      <c r="M299" s="82">
        <f t="shared" si="73"/>
        <v>0.96</v>
      </c>
      <c r="N299" s="159" t="s">
        <v>98</v>
      </c>
      <c r="O299" s="160">
        <v>0.23</v>
      </c>
      <c r="P299" s="161">
        <v>44862</v>
      </c>
      <c r="Q299" s="161">
        <v>44875</v>
      </c>
      <c r="R299" s="82">
        <f t="shared" si="74"/>
        <v>4.3478260869565135</v>
      </c>
      <c r="S299" s="162">
        <f>IF(INDEX([1]Historical!$D$7:$D$1229,MATCH(B299,[1]Historical!$B$7:$B$1253,0))=0,"n/a",(INDEX([1]Historical!$C$7:$C$1231,MATCH(B299,[1]Historical!$B$7:$B$1253,0))/INDEX([1]Historical!$D$7:$D$1229,MATCH(B299,[1]Historical!$B$7:$B$1253,0))-1)*100)</f>
        <v>3.4090909090909172</v>
      </c>
      <c r="T299" s="162">
        <f>IF(INDEX([1]Historical!$F$7:$F$1222,MATCH(B299,[1]Historical!$B$7:$B$1253,0))=0,"n/a",((INDEX([1]Historical!$C$7:$C$1231,MATCH(B299,[1]Historical!$B$7:$B$1253,0))/INDEX([1]Historical!$F$7:$F$1222,MATCH(B299,[1]Historical!$B$7:$B$1253,0)))^(1/3)-1)*100)</f>
        <v>8.6244726878486055</v>
      </c>
      <c r="U299" s="162">
        <f>IF(INDEX([1]Historical!$H$7:$H$1222,MATCH(B299,[1]Historical!$B$7:$B$1253,0))=0,"n/a",((INDEX([1]Historical!$C$7:$C$1231,MATCH(B299,[1]Historical!$B$7:$B$1253,0))/INDEX([1]Historical!$H$7:$H$1222,MATCH(B299,[1]Historical!$B$7:$B$1253,0)))^(1/5)-1)*100)</f>
        <v>17.287439988040031</v>
      </c>
      <c r="V299" s="162" t="str">
        <f>IF(INDEX([1]Historical!$N$7:$N$1222,MATCH(B299,[1]Historical!$B$7:$B$1253,0))=0,"n/a",((INDEX([1]Historical!$C$7:$C$1231,MATCH(B299,[1]Historical!$B$7:$B$1253,0))/INDEX([1]Historical!$N$7:$N$1222,MATCH(B299,[1]Historical!$B$7:$B$1253,0)))^(1/10)-1)*100)</f>
        <v>n/a</v>
      </c>
      <c r="W299" s="163" t="str">
        <f t="shared" si="75"/>
        <v>n/a</v>
      </c>
      <c r="X299" s="164">
        <f t="shared" si="76"/>
        <v>0.835142028407731</v>
      </c>
      <c r="Y299" s="180"/>
      <c r="Z299" s="157">
        <f t="shared" si="77"/>
        <v>23.587223587223587</v>
      </c>
      <c r="AA299" s="166">
        <f t="shared" si="78"/>
        <v>10.503685503685503</v>
      </c>
      <c r="AB299" s="126">
        <v>12</v>
      </c>
      <c r="AC299" s="167">
        <v>4.07</v>
      </c>
      <c r="AD299" s="167" t="s">
        <v>95</v>
      </c>
      <c r="AE299" s="167">
        <v>3.01</v>
      </c>
      <c r="AF299" s="167">
        <v>1.05</v>
      </c>
      <c r="AG299" s="167">
        <v>12.1</v>
      </c>
      <c r="AH299" s="167">
        <v>102.8</v>
      </c>
      <c r="AI299" s="167">
        <v>25.740000000000002</v>
      </c>
      <c r="AJ299" s="167">
        <v>20.7</v>
      </c>
      <c r="AK299" s="167" t="s">
        <v>95</v>
      </c>
      <c r="AL299" s="168">
        <v>346.99</v>
      </c>
      <c r="AM299" s="169">
        <v>4</v>
      </c>
      <c r="AN299" s="167">
        <v>0.18</v>
      </c>
      <c r="AO299" s="170">
        <f t="shared" si="79"/>
        <v>9.0293685194422473</v>
      </c>
      <c r="AP299" s="171">
        <f t="shared" si="80"/>
        <v>19.53305402312775</v>
      </c>
      <c r="AQ299" s="172">
        <f t="shared" si="81"/>
        <v>-29.987716065536752</v>
      </c>
      <c r="AR299" s="157">
        <f>INDEX([1]Historical!$C$7:$C$1231,MATCH(B299,[1]Historical!$B$7:$B$1253,0))*IF(AH299="n/a",1.03,IF(AH299&lt;0,1.01,IF(AH299&gt;10,1.1,(1+AH299/100))))</f>
        <v>1.0010000000000001</v>
      </c>
      <c r="AS299" s="166">
        <f t="shared" si="82"/>
        <v>1.1011000000000002</v>
      </c>
      <c r="AT299" s="166">
        <f t="shared" si="88"/>
        <v>1.1341330000000003</v>
      </c>
      <c r="AU299" s="166">
        <f t="shared" si="88"/>
        <v>1.1681569900000004</v>
      </c>
      <c r="AV299" s="166">
        <f t="shared" si="88"/>
        <v>1.2032016997000003</v>
      </c>
      <c r="AW299" s="157">
        <f t="shared" si="84"/>
        <v>5.6075916897000004</v>
      </c>
      <c r="AX299" s="173">
        <f t="shared" si="85"/>
        <v>13.117173543157895</v>
      </c>
      <c r="AY299" s="174">
        <v>0.67</v>
      </c>
      <c r="AZ299" s="169">
        <v>28.92</v>
      </c>
      <c r="BA299" s="169">
        <v>-6.52</v>
      </c>
      <c r="BB299" s="169">
        <v>7.95</v>
      </c>
      <c r="BC299" s="169">
        <v>10.71</v>
      </c>
      <c r="BE299" s="77">
        <v>2014</v>
      </c>
      <c r="BF299" s="77">
        <f t="shared" si="86"/>
        <v>1</v>
      </c>
      <c r="BG299" s="175">
        <v>1.3</v>
      </c>
      <c r="BH299" t="s">
        <v>939</v>
      </c>
      <c r="BI299" t="s">
        <v>940</v>
      </c>
      <c r="BJ299" s="112"/>
      <c r="BK299" s="112"/>
      <c r="BL299" s="112"/>
    </row>
    <row r="300" spans="1:64" s="252" customFormat="1" ht="11.25" customHeight="1" x14ac:dyDescent="0.2">
      <c r="A300" s="208" t="s">
        <v>1427</v>
      </c>
      <c r="B300" s="184" t="s">
        <v>537</v>
      </c>
      <c r="C300" s="154" t="s">
        <v>90</v>
      </c>
      <c r="D300" s="154" t="s">
        <v>969</v>
      </c>
      <c r="E300" s="185">
        <v>12</v>
      </c>
      <c r="F300" s="298">
        <v>372</v>
      </c>
      <c r="G300" s="297" t="s">
        <v>30</v>
      </c>
      <c r="H300" s="297" t="s">
        <v>30</v>
      </c>
      <c r="I300" s="186">
        <v>14.91</v>
      </c>
      <c r="J300" s="187">
        <f t="shared" si="72"/>
        <v>4.2924211938296448</v>
      </c>
      <c r="K300" s="300">
        <v>0.16</v>
      </c>
      <c r="L300" s="189">
        <v>4</v>
      </c>
      <c r="M300" s="190">
        <f t="shared" si="73"/>
        <v>0.64</v>
      </c>
      <c r="N300" s="191" t="s">
        <v>296</v>
      </c>
      <c r="O300" s="321">
        <v>0.15</v>
      </c>
      <c r="P300" s="193">
        <v>44749</v>
      </c>
      <c r="Q300" s="193">
        <v>44764</v>
      </c>
      <c r="R300" s="190">
        <f t="shared" si="74"/>
        <v>6.6666666666666732</v>
      </c>
      <c r="S300" s="162">
        <f>IF(INDEX([1]Historical!$D$7:$D$1229,MATCH(B300,[1]Historical!$B$7:$B$1253,0))=0,"n/a",(INDEX([1]Historical!$C$7:$C$1231,MATCH(B300,[1]Historical!$B$7:$B$1253,0))/INDEX([1]Historical!$D$7:$D$1229,MATCH(B300,[1]Historical!$B$7:$B$1253,0))-1)*100)</f>
        <v>10.416666666666675</v>
      </c>
      <c r="T300" s="162">
        <f>IF(INDEX([1]Historical!$F$7:$F$1222,MATCH(B300,[1]Historical!$B$7:$B$1253,0))=0,"n/a",((INDEX([1]Historical!$C$7:$C$1231,MATCH(B300,[1]Historical!$B$7:$B$1253,0))/INDEX([1]Historical!$F$7:$F$1222,MATCH(B300,[1]Historical!$B$7:$B$1253,0)))^(1/3)-1)*100)</f>
        <v>11.079495645418746</v>
      </c>
      <c r="U300" s="162">
        <f>IF(INDEX([1]Historical!$H$7:$H$1222,MATCH(B300,[1]Historical!$B$7:$B$1253,0))=0,"n/a",((INDEX([1]Historical!$C$7:$C$1231,MATCH(B300,[1]Historical!$B$7:$B$1253,0))/INDEX([1]Historical!$H$7:$H$1222,MATCH(B300,[1]Historical!$B$7:$B$1253,0)))^(1/5)-1)*100)</f>
        <v>14.725887885044608</v>
      </c>
      <c r="V300" s="162">
        <f>IF(INDEX([1]Historical!$N$7:$N$1222,MATCH(B300,[1]Historical!$B$7:$B$1253,0))=0,"n/a",((INDEX([1]Historical!$C$7:$C$1231,MATCH(B300,[1]Historical!$B$7:$B$1253,0))/INDEX([1]Historical!$N$7:$N$1222,MATCH(B300,[1]Historical!$B$7:$B$1253,0)))^(1/10)-1)*100)</f>
        <v>14.545305092154702</v>
      </c>
      <c r="W300" s="163">
        <f t="shared" si="75"/>
        <v>1.0124151945762421</v>
      </c>
      <c r="X300" s="164">
        <f t="shared" si="76"/>
        <v>0.73263123806192076</v>
      </c>
      <c r="Y300" s="227"/>
      <c r="Z300" s="187">
        <f t="shared" si="77"/>
        <v>29.906542056074763</v>
      </c>
      <c r="AA300" s="194">
        <f t="shared" si="78"/>
        <v>6.9672897196261676</v>
      </c>
      <c r="AB300" s="189">
        <v>12</v>
      </c>
      <c r="AC300" s="195">
        <v>2.14</v>
      </c>
      <c r="AD300" s="195" t="s">
        <v>95</v>
      </c>
      <c r="AE300" s="195">
        <v>3.05</v>
      </c>
      <c r="AF300" s="195">
        <v>1.03</v>
      </c>
      <c r="AG300" s="195">
        <v>13</v>
      </c>
      <c r="AH300" s="195">
        <v>27.6</v>
      </c>
      <c r="AI300" s="195">
        <v>0.71000000000000008</v>
      </c>
      <c r="AJ300" s="195">
        <v>20.100000000000001</v>
      </c>
      <c r="AK300" s="195" t="s">
        <v>95</v>
      </c>
      <c r="AL300" s="196">
        <v>692.83</v>
      </c>
      <c r="AM300" s="197">
        <v>0.3</v>
      </c>
      <c r="AN300" s="195">
        <v>1.63</v>
      </c>
      <c r="AO300" s="198">
        <f t="shared" si="79"/>
        <v>12.051019359248086</v>
      </c>
      <c r="AP300" s="199">
        <f t="shared" si="80"/>
        <v>19.018309078874253</v>
      </c>
      <c r="AQ300" s="172">
        <f t="shared" si="81"/>
        <v>-43.524603542919479</v>
      </c>
      <c r="AR300" s="157">
        <f>INDEX([1]Historical!$C$7:$C$1231,MATCH(B300,[1]Historical!$B$7:$B$1253,0))*IF(AH300="n/a",1.03,IF(AH300&lt;0,1.01,IF(AH300&gt;10,1.1,(1+AH300/100))))</f>
        <v>0.58300000000000007</v>
      </c>
      <c r="AS300" s="194">
        <f t="shared" si="82"/>
        <v>0.58713930000000014</v>
      </c>
      <c r="AT300" s="194">
        <f t="shared" si="88"/>
        <v>0.6047534790000002</v>
      </c>
      <c r="AU300" s="194">
        <f t="shared" si="88"/>
        <v>0.62289608337000024</v>
      </c>
      <c r="AV300" s="194">
        <f t="shared" si="88"/>
        <v>0.64158296587110031</v>
      </c>
      <c r="AW300" s="187">
        <f t="shared" si="84"/>
        <v>3.0393718282411006</v>
      </c>
      <c r="AX300" s="200">
        <f t="shared" si="85"/>
        <v>20.384787580423211</v>
      </c>
      <c r="AY300" s="201">
        <v>0.96</v>
      </c>
      <c r="AZ300" s="197">
        <v>-1.6500000000000001</v>
      </c>
      <c r="BA300" s="197">
        <v>-37.35</v>
      </c>
      <c r="BB300" s="197">
        <v>-21.4</v>
      </c>
      <c r="BC300" s="197">
        <v>-21.45</v>
      </c>
      <c r="BD300" s="202"/>
      <c r="BE300" s="77">
        <v>2011</v>
      </c>
      <c r="BF300" s="77">
        <f t="shared" si="86"/>
        <v>1</v>
      </c>
      <c r="BG300" s="203">
        <v>1.2</v>
      </c>
      <c r="BH300" t="s">
        <v>939</v>
      </c>
      <c r="BI300" t="s">
        <v>940</v>
      </c>
    </row>
    <row r="301" spans="1:64" ht="11.25" customHeight="1" x14ac:dyDescent="0.2">
      <c r="A301" s="112" t="s">
        <v>1428</v>
      </c>
      <c r="B301" s="153" t="s">
        <v>924</v>
      </c>
      <c r="C301" s="154" t="s">
        <v>922</v>
      </c>
      <c r="D301" s="154" t="s">
        <v>949</v>
      </c>
      <c r="E301" s="155">
        <v>9</v>
      </c>
      <c r="F301" s="298">
        <v>537</v>
      </c>
      <c r="G301" s="298" t="s">
        <v>88</v>
      </c>
      <c r="H301" s="298" t="s">
        <v>88</v>
      </c>
      <c r="I301" s="116">
        <v>21.84</v>
      </c>
      <c r="J301" s="157">
        <f t="shared" si="72"/>
        <v>2.0146520146520146</v>
      </c>
      <c r="K301" s="209">
        <v>0.11</v>
      </c>
      <c r="L301" s="77">
        <v>4</v>
      </c>
      <c r="M301" s="82">
        <f t="shared" si="73"/>
        <v>0.44</v>
      </c>
      <c r="N301" s="77" t="s">
        <v>126</v>
      </c>
      <c r="O301" s="210">
        <v>0.1</v>
      </c>
      <c r="P301" s="161">
        <v>44644</v>
      </c>
      <c r="Q301" s="161">
        <v>44659</v>
      </c>
      <c r="R301" s="82">
        <f t="shared" si="74"/>
        <v>9.9999999999999947</v>
      </c>
      <c r="S301" s="162">
        <f>IF(INDEX([1]Historical!$D$7:$D$1229,MATCH(B301,[1]Historical!$B$7:$B$1253,0))=0,"n/a",(INDEX([1]Historical!$C$7:$C$1231,MATCH(B301,[1]Historical!$B$7:$B$1253,0))/INDEX([1]Historical!$D$7:$D$1229,MATCH(B301,[1]Historical!$B$7:$B$1253,0))-1)*100)</f>
        <v>8.1081081081081141</v>
      </c>
      <c r="T301" s="162">
        <f>IF(INDEX([1]Historical!$F$7:$F$1222,MATCH(B301,[1]Historical!$B$7:$B$1253,0))=0,"n/a",((INDEX([1]Historical!$C$7:$C$1231,MATCH(B301,[1]Historical!$B$7:$B$1253,0))/INDEX([1]Historical!$F$7:$F$1222,MATCH(B301,[1]Historical!$B$7:$B$1253,0)))^(1/3)-1)*100)</f>
        <v>7.7217345015941907</v>
      </c>
      <c r="U301" s="162">
        <f>IF(INDEX([1]Historical!$H$7:$H$1222,MATCH(B301,[1]Historical!$B$7:$B$1253,0))=0,"n/a",((INDEX([1]Historical!$C$7:$C$1231,MATCH(B301,[1]Historical!$B$7:$B$1253,0))/INDEX([1]Historical!$H$7:$H$1222,MATCH(B301,[1]Historical!$B$7:$B$1253,0)))^(1/5)-1)*100)</f>
        <v>8.9976987048345336</v>
      </c>
      <c r="V301" s="162" t="str">
        <f>IF(INDEX([1]Historical!$N$7:$N$1222,MATCH(B301,[1]Historical!$B$7:$B$1253,0))=0,"n/a",((INDEX([1]Historical!$C$7:$C$1231,MATCH(B301,[1]Historical!$B$7:$B$1253,0))/INDEX([1]Historical!$N$7:$N$1222,MATCH(B301,[1]Historical!$B$7:$B$1253,0)))^(1/10)-1)*100)</f>
        <v>n/a</v>
      </c>
      <c r="W301" s="163" t="str">
        <f t="shared" si="75"/>
        <v>n/a</v>
      </c>
      <c r="X301" s="164">
        <f t="shared" si="76"/>
        <v>0.60795261519152255</v>
      </c>
      <c r="Y301" s="153"/>
      <c r="Z301" s="157">
        <f t="shared" si="77"/>
        <v>31.428571428571434</v>
      </c>
      <c r="AA301" s="166">
        <f t="shared" si="78"/>
        <v>15.600000000000001</v>
      </c>
      <c r="AB301" s="298">
        <v>12</v>
      </c>
      <c r="AC301" s="116">
        <v>1.4</v>
      </c>
      <c r="AD301" s="116">
        <v>1.05</v>
      </c>
      <c r="AE301" s="116">
        <v>2.2999999999999998</v>
      </c>
      <c r="AF301" s="116">
        <v>4.43</v>
      </c>
      <c r="AG301" s="116">
        <v>30.3</v>
      </c>
      <c r="AH301" s="116">
        <v>625.4</v>
      </c>
      <c r="AI301" s="116">
        <v>8.98</v>
      </c>
      <c r="AJ301" s="116">
        <v>14.799999999999999</v>
      </c>
      <c r="AK301" s="116">
        <v>15</v>
      </c>
      <c r="AL301" s="116">
        <v>676.76</v>
      </c>
      <c r="AM301" s="116">
        <v>15.36</v>
      </c>
      <c r="AN301" s="116">
        <v>0</v>
      </c>
      <c r="AO301" s="170">
        <f t="shared" si="79"/>
        <v>-4.5876492805134532</v>
      </c>
      <c r="AP301" s="171">
        <f t="shared" si="80"/>
        <v>11.012350719486548</v>
      </c>
      <c r="AQ301" s="172">
        <f t="shared" si="81"/>
        <v>75.25600322575734</v>
      </c>
      <c r="AR301" s="157">
        <f>INDEX([1]Historical!$C$7:$C$1231,MATCH(B301,[1]Historical!$B$7:$B$1253,0))*IF(AH301="n/a",1.03,IF(AH301&lt;0,1.01,IF(AH301&gt;10,1.1,(1+AH301/100))))</f>
        <v>0.44000000000000006</v>
      </c>
      <c r="AS301" s="166">
        <f t="shared" si="82"/>
        <v>0.4795120000000001</v>
      </c>
      <c r="AT301" s="166">
        <f t="shared" si="88"/>
        <v>0.52746320000000013</v>
      </c>
      <c r="AU301" s="166">
        <f t="shared" si="88"/>
        <v>0.58020952000000015</v>
      </c>
      <c r="AV301" s="166">
        <f t="shared" si="88"/>
        <v>0.63823047200000016</v>
      </c>
      <c r="AW301" s="157">
        <f t="shared" si="84"/>
        <v>2.6654151920000002</v>
      </c>
      <c r="AX301" s="173">
        <f t="shared" si="85"/>
        <v>12.204282014652016</v>
      </c>
      <c r="AY301" s="225">
        <v>0.74</v>
      </c>
      <c r="AZ301" s="175">
        <v>29.080000000000002</v>
      </c>
      <c r="BA301" s="175">
        <v>-11.86</v>
      </c>
      <c r="BB301" s="175">
        <v>10.280000000000001</v>
      </c>
      <c r="BC301" s="175">
        <v>5.7700000000000005</v>
      </c>
      <c r="BE301" s="77">
        <v>2014</v>
      </c>
      <c r="BF301" s="77">
        <f t="shared" si="86"/>
        <v>1</v>
      </c>
      <c r="BG301" s="175">
        <v>21.5</v>
      </c>
      <c r="BH301" t="s">
        <v>939</v>
      </c>
      <c r="BI301" t="s">
        <v>940</v>
      </c>
      <c r="BJ301" s="112"/>
      <c r="BK301" s="112"/>
      <c r="BL301" s="112"/>
    </row>
    <row r="302" spans="1:64" ht="11.25" customHeight="1" x14ac:dyDescent="0.2">
      <c r="A302" s="176" t="s">
        <v>1429</v>
      </c>
      <c r="B302" s="153" t="s">
        <v>322</v>
      </c>
      <c r="C302" s="154" t="s">
        <v>94</v>
      </c>
      <c r="D302" s="154" t="s">
        <v>943</v>
      </c>
      <c r="E302" s="155">
        <v>20</v>
      </c>
      <c r="F302" s="298">
        <v>181</v>
      </c>
      <c r="G302" s="298" t="s">
        <v>30</v>
      </c>
      <c r="H302" s="298" t="s">
        <v>88</v>
      </c>
      <c r="I302" s="156">
        <v>13.96</v>
      </c>
      <c r="J302" s="157">
        <f t="shared" si="72"/>
        <v>6.1604584527220627</v>
      </c>
      <c r="K302" s="158">
        <v>0.215</v>
      </c>
      <c r="L302" s="126">
        <v>4</v>
      </c>
      <c r="M302" s="82">
        <f t="shared" si="73"/>
        <v>0.86</v>
      </c>
      <c r="N302" s="159" t="s">
        <v>628</v>
      </c>
      <c r="O302" s="160">
        <v>0.21375</v>
      </c>
      <c r="P302" s="161">
        <v>44882</v>
      </c>
      <c r="Q302" s="161">
        <v>44917</v>
      </c>
      <c r="R302" s="82">
        <f t="shared" si="74"/>
        <v>0.58479532163742742</v>
      </c>
      <c r="S302" s="162">
        <f>IF(INDEX([1]Historical!$D$7:$D$1229,MATCH(B302,[1]Historical!$B$7:$B$1253,0))=0,"n/a",(INDEX([1]Historical!$C$7:$C$1231,MATCH(B302,[1]Historical!$B$7:$B$1253,0))/INDEX([1]Historical!$D$7:$D$1229,MATCH(B302,[1]Historical!$B$7:$B$1253,0))-1)*100)</f>
        <v>2.4615384615384706</v>
      </c>
      <c r="T302" s="162">
        <f>IF(INDEX([1]Historical!$F$7:$F$1222,MATCH(B302,[1]Historical!$B$7:$B$1253,0))=0,"n/a",((INDEX([1]Historical!$C$7:$C$1231,MATCH(B302,[1]Historical!$B$7:$B$1253,0))/INDEX([1]Historical!$F$7:$F$1222,MATCH(B302,[1]Historical!$B$7:$B$1253,0)))^(1/3)-1)*100)</f>
        <v>2.5247183031277265</v>
      </c>
      <c r="U302" s="162">
        <f>IF(INDEX([1]Historical!$H$7:$H$1222,MATCH(B302,[1]Historical!$B$7:$B$1253,0))=0,"n/a",((INDEX([1]Historical!$C$7:$C$1231,MATCH(B302,[1]Historical!$B$7:$B$1253,0))/INDEX([1]Historical!$H$7:$H$1222,MATCH(B302,[1]Historical!$B$7:$B$1253,0)))^(1/5)-1)*100)</f>
        <v>2.5924314201370091</v>
      </c>
      <c r="V302" s="162">
        <f>IF(INDEX([1]Historical!$N$7:$N$1222,MATCH(B302,[1]Historical!$B$7:$B$1253,0))=0,"n/a",((INDEX([1]Historical!$C$7:$C$1231,MATCH(B302,[1]Historical!$B$7:$B$1253,0))/INDEX([1]Historical!$N$7:$N$1222,MATCH(B302,[1]Historical!$B$7:$B$1253,0)))^(1/10)-1)*100)</f>
        <v>2.7856226873689716</v>
      </c>
      <c r="W302" s="163">
        <f t="shared" si="75"/>
        <v>0.9306470082585262</v>
      </c>
      <c r="X302" s="164" t="str">
        <f t="shared" si="76"/>
        <v>n/a</v>
      </c>
      <c r="Y302" s="178"/>
      <c r="Z302" s="157">
        <f t="shared" si="77"/>
        <v>307.14285714285711</v>
      </c>
      <c r="AA302" s="166">
        <f t="shared" si="78"/>
        <v>49.857142857142854</v>
      </c>
      <c r="AB302" s="126">
        <v>12</v>
      </c>
      <c r="AC302" s="167">
        <v>0.28000000000000003</v>
      </c>
      <c r="AD302" s="167">
        <v>5.64</v>
      </c>
      <c r="AE302" s="167">
        <v>0.6</v>
      </c>
      <c r="AF302" s="167">
        <v>2.4700000000000002</v>
      </c>
      <c r="AG302" s="167">
        <v>4.7</v>
      </c>
      <c r="AH302" s="167">
        <v>-53.6</v>
      </c>
      <c r="AI302" s="167">
        <v>94.13</v>
      </c>
      <c r="AJ302" s="167">
        <v>-10.299999999999999</v>
      </c>
      <c r="AK302" s="167">
        <v>9</v>
      </c>
      <c r="AL302" s="168">
        <v>1010</v>
      </c>
      <c r="AM302" s="169">
        <v>0.1</v>
      </c>
      <c r="AN302" s="167">
        <v>0.06</v>
      </c>
      <c r="AO302" s="170">
        <f t="shared" si="79"/>
        <v>-41.104252984283782</v>
      </c>
      <c r="AP302" s="171">
        <f t="shared" si="80"/>
        <v>8.7528898728590718</v>
      </c>
      <c r="AQ302" s="172">
        <f t="shared" si="81"/>
        <v>133.94884802465577</v>
      </c>
      <c r="AR302" s="157">
        <f>INDEX([1]Historical!$C$7:$C$1231,MATCH(B302,[1]Historical!$B$7:$B$1253,0))*IF(AH302="n/a",1.03,IF(AH302&lt;0,1.01,IF(AH302&gt;10,1.1,(1+AH302/100))))</f>
        <v>0.84082500000000004</v>
      </c>
      <c r="AS302" s="166">
        <f t="shared" si="82"/>
        <v>0.9249075000000001</v>
      </c>
      <c r="AT302" s="166">
        <f t="shared" si="88"/>
        <v>1.0081491750000002</v>
      </c>
      <c r="AU302" s="166">
        <f t="shared" si="88"/>
        <v>1.0988826007500003</v>
      </c>
      <c r="AV302" s="166">
        <f t="shared" si="88"/>
        <v>1.1977820348175003</v>
      </c>
      <c r="AW302" s="157">
        <f t="shared" si="84"/>
        <v>5.0705463105675008</v>
      </c>
      <c r="AX302" s="173">
        <f t="shared" si="85"/>
        <v>36.321964975411895</v>
      </c>
      <c r="AY302" s="174">
        <v>0.32</v>
      </c>
      <c r="AZ302" s="169">
        <v>16.669999999999998</v>
      </c>
      <c r="BA302" s="169">
        <v>-32.04</v>
      </c>
      <c r="BB302" s="169">
        <v>4.24</v>
      </c>
      <c r="BC302" s="169">
        <v>-12.659999999999998</v>
      </c>
      <c r="BE302" s="77">
        <v>2003</v>
      </c>
      <c r="BF302" s="77">
        <f t="shared" si="86"/>
        <v>2</v>
      </c>
      <c r="BG302" s="175">
        <v>2.8000000000000003</v>
      </c>
      <c r="BH302" t="s">
        <v>939</v>
      </c>
      <c r="BI302" t="s">
        <v>940</v>
      </c>
    </row>
    <row r="303" spans="1:64" ht="11.25" customHeight="1" x14ac:dyDescent="0.2">
      <c r="A303" s="112" t="s">
        <v>1430</v>
      </c>
      <c r="B303" s="153" t="s">
        <v>328</v>
      </c>
      <c r="C303" s="154" t="s">
        <v>100</v>
      </c>
      <c r="D303" s="154" t="s">
        <v>989</v>
      </c>
      <c r="E303" s="155">
        <v>13</v>
      </c>
      <c r="F303" s="298">
        <v>285</v>
      </c>
      <c r="G303" s="298" t="s">
        <v>104</v>
      </c>
      <c r="H303" s="298" t="s">
        <v>104</v>
      </c>
      <c r="I303" s="156">
        <v>296.13</v>
      </c>
      <c r="J303" s="157">
        <f t="shared" si="72"/>
        <v>2.5664404146827406</v>
      </c>
      <c r="K303" s="158">
        <v>1.9</v>
      </c>
      <c r="L303" s="126">
        <v>4</v>
      </c>
      <c r="M303" s="82">
        <f t="shared" si="73"/>
        <v>7.6</v>
      </c>
      <c r="N303" s="159" t="s">
        <v>549</v>
      </c>
      <c r="O303" s="160">
        <v>1.65</v>
      </c>
      <c r="P303" s="161">
        <v>44629</v>
      </c>
      <c r="Q303" s="161">
        <v>44644</v>
      </c>
      <c r="R303" s="82">
        <f t="shared" si="74"/>
        <v>15.151515151515152</v>
      </c>
      <c r="S303" s="162">
        <f>IF(INDEX([1]Historical!$D$7:$D$1229,MATCH(B303,[1]Historical!$B$7:$B$1253,0))=0,"n/a",(INDEX([1]Historical!$C$7:$C$1231,MATCH(B303,[1]Historical!$B$7:$B$1253,0))/INDEX([1]Historical!$D$7:$D$1229,MATCH(B303,[1]Historical!$B$7:$B$1253,0))-1)*100)</f>
        <v>9.9999999999999858</v>
      </c>
      <c r="T303" s="162">
        <f>IF(INDEX([1]Historical!$F$7:$F$1222,MATCH(B303,[1]Historical!$B$7:$B$1253,0))=0,"n/a",((INDEX([1]Historical!$C$7:$C$1231,MATCH(B303,[1]Historical!$B$7:$B$1253,0))/INDEX([1]Historical!$F$7:$F$1222,MATCH(B303,[1]Historical!$B$7:$B$1253,0)))^(1/3)-1)*100)</f>
        <v>17.008004604242764</v>
      </c>
      <c r="U303" s="162">
        <f>IF(INDEX([1]Historical!$H$7:$H$1222,MATCH(B303,[1]Historical!$B$7:$B$1253,0))=0,"n/a",((INDEX([1]Historical!$C$7:$C$1231,MATCH(B303,[1]Historical!$B$7:$B$1253,0))/INDEX([1]Historical!$H$7:$H$1222,MATCH(B303,[1]Historical!$B$7:$B$1253,0)))^(1/5)-1)*100)</f>
        <v>19.04933414519807</v>
      </c>
      <c r="V303" s="162">
        <f>IF(INDEX([1]Historical!$N$7:$N$1222,MATCH(B303,[1]Historical!$B$7:$B$1253,0))=0,"n/a",((INDEX([1]Historical!$C$7:$C$1231,MATCH(B303,[1]Historical!$B$7:$B$1253,0))/INDEX([1]Historical!$N$7:$N$1222,MATCH(B303,[1]Historical!$B$7:$B$1253,0)))^(1/10)-1)*100)</f>
        <v>20.295964796100385</v>
      </c>
      <c r="W303" s="163">
        <f t="shared" si="75"/>
        <v>0.93857741361761526</v>
      </c>
      <c r="X303" s="164">
        <f t="shared" si="76"/>
        <v>0.99215282006239958</v>
      </c>
      <c r="Y303" s="212"/>
      <c r="Z303" s="157">
        <f t="shared" si="77"/>
        <v>46.711739397664417</v>
      </c>
      <c r="AA303" s="166">
        <f t="shared" si="78"/>
        <v>18.200983405039953</v>
      </c>
      <c r="AB303" s="126">
        <v>1</v>
      </c>
      <c r="AC303" s="167">
        <v>16.27</v>
      </c>
      <c r="AD303" s="167">
        <v>1.17</v>
      </c>
      <c r="AE303" s="167">
        <v>1.92</v>
      </c>
      <c r="AF303" s="179">
        <v>1298.48</v>
      </c>
      <c r="AG303" s="179" t="s">
        <v>95</v>
      </c>
      <c r="AH303" s="167">
        <v>30.099999999999998</v>
      </c>
      <c r="AI303" s="167">
        <v>4.3900000000000006</v>
      </c>
      <c r="AJ303" s="167">
        <v>19.2</v>
      </c>
      <c r="AK303" s="167">
        <v>15.7</v>
      </c>
      <c r="AL303" s="168">
        <v>297970</v>
      </c>
      <c r="AM303" s="169">
        <v>0.08</v>
      </c>
      <c r="AN303" s="179">
        <v>173.11</v>
      </c>
      <c r="AO303" s="170">
        <f t="shared" si="79"/>
        <v>3.4147911548408594</v>
      </c>
      <c r="AP303" s="171">
        <f t="shared" si="80"/>
        <v>21.615774559880812</v>
      </c>
      <c r="AQ303" s="172">
        <f t="shared" si="81"/>
        <v>3140.9609639238711</v>
      </c>
      <c r="AR303" s="157">
        <f>INDEX([1]Historical!$C$7:$C$1231,MATCH(B303,[1]Historical!$B$7:$B$1253,0))*IF(AH303="n/a",1.03,IF(AH303&lt;0,1.01,IF(AH303&gt;10,1.1,(1+AH303/100))))</f>
        <v>7.26</v>
      </c>
      <c r="AS303" s="166">
        <f t="shared" si="82"/>
        <v>7.5787139999999997</v>
      </c>
      <c r="AT303" s="166">
        <f t="shared" si="88"/>
        <v>8.3365854000000006</v>
      </c>
      <c r="AU303" s="166">
        <f t="shared" si="88"/>
        <v>9.1702439400000006</v>
      </c>
      <c r="AV303" s="166">
        <f t="shared" si="88"/>
        <v>10.087268334000001</v>
      </c>
      <c r="AW303" s="157">
        <f t="shared" si="84"/>
        <v>42.432811674</v>
      </c>
      <c r="AX303" s="173">
        <f t="shared" si="85"/>
        <v>14.32911615641779</v>
      </c>
      <c r="AY303" s="174">
        <v>0.96</v>
      </c>
      <c r="AZ303" s="169">
        <v>11.95</v>
      </c>
      <c r="BA303" s="169">
        <v>-29.599999999999998</v>
      </c>
      <c r="BB303" s="169">
        <v>3.35</v>
      </c>
      <c r="BC303" s="169">
        <v>-3.2199999999999998</v>
      </c>
      <c r="BE303" s="77">
        <v>2010</v>
      </c>
      <c r="BF303" s="77">
        <f t="shared" si="86"/>
        <v>1</v>
      </c>
      <c r="BG303" s="175">
        <v>22.7</v>
      </c>
      <c r="BH303" t="s">
        <v>939</v>
      </c>
      <c r="BI303" t="s">
        <v>940</v>
      </c>
    </row>
    <row r="304" spans="1:64" ht="11.25" customHeight="1" x14ac:dyDescent="0.2">
      <c r="A304" s="176" t="s">
        <v>1431</v>
      </c>
      <c r="B304" s="153" t="s">
        <v>323</v>
      </c>
      <c r="C304" s="154" t="s">
        <v>94</v>
      </c>
      <c r="D304" s="154" t="s">
        <v>1003</v>
      </c>
      <c r="E304" s="155">
        <v>14</v>
      </c>
      <c r="F304" s="298">
        <v>259</v>
      </c>
      <c r="G304" s="298" t="s">
        <v>88</v>
      </c>
      <c r="H304" s="298" t="s">
        <v>88</v>
      </c>
      <c r="I304" s="156">
        <v>162.63999999999999</v>
      </c>
      <c r="J304" s="157">
        <f t="shared" si="72"/>
        <v>0.11067388096409247</v>
      </c>
      <c r="K304" s="158">
        <v>0.09</v>
      </c>
      <c r="L304" s="126">
        <v>2</v>
      </c>
      <c r="M304" s="82">
        <f t="shared" si="73"/>
        <v>0.18</v>
      </c>
      <c r="N304" s="159" t="s">
        <v>176</v>
      </c>
      <c r="O304" s="160">
        <v>0.08</v>
      </c>
      <c r="P304" s="182">
        <v>44377</v>
      </c>
      <c r="Q304" s="182">
        <v>44392</v>
      </c>
      <c r="R304" s="82">
        <f t="shared" si="74"/>
        <v>12.499999999999993</v>
      </c>
      <c r="S304" s="162">
        <f>IF(INDEX([1]Historical!$D$7:$D$1229,MATCH(B304,[1]Historical!$B$7:$B$1253,0))=0,"n/a",(INDEX([1]Historical!$C$7:$C$1231,MATCH(B304,[1]Historical!$B$7:$B$1253,0))/INDEX([1]Historical!$D$7:$D$1229,MATCH(B304,[1]Historical!$B$7:$B$1253,0))-1)*100)</f>
        <v>6.25</v>
      </c>
      <c r="T304" s="162">
        <f>IF(INDEX([1]Historical!$F$7:$F$1222,MATCH(B304,[1]Historical!$B$7:$B$1253,0))=0,"n/a",((INDEX([1]Historical!$C$7:$C$1231,MATCH(B304,[1]Historical!$B$7:$B$1253,0))/INDEX([1]Historical!$F$7:$F$1222,MATCH(B304,[1]Historical!$B$7:$B$1253,0)))^(1/3)-1)*100)</f>
        <v>17.497658733011633</v>
      </c>
      <c r="U304" s="162">
        <f>IF(INDEX([1]Historical!$H$7:$H$1222,MATCH(B304,[1]Historical!$B$7:$B$1253,0))=0,"n/a",((INDEX([1]Historical!$C$7:$C$1231,MATCH(B304,[1]Historical!$B$7:$B$1253,0))/INDEX([1]Historical!$H$7:$H$1222,MATCH(B304,[1]Historical!$B$7:$B$1253,0)))^(1/5)-1)*100)</f>
        <v>15.69830960592169</v>
      </c>
      <c r="V304" s="162">
        <f>IF(INDEX([1]Historical!$N$7:$N$1222,MATCH(B304,[1]Historical!$B$7:$B$1253,0))=0,"n/a",((INDEX([1]Historical!$C$7:$C$1231,MATCH(B304,[1]Historical!$B$7:$B$1253,0))/INDEX([1]Historical!$N$7:$N$1222,MATCH(B304,[1]Historical!$B$7:$B$1253,0)))^(1/10)-1)*100)</f>
        <v>16.988875336036969</v>
      </c>
      <c r="W304" s="163">
        <f t="shared" si="75"/>
        <v>0.92403465770463811</v>
      </c>
      <c r="X304" s="164">
        <f t="shared" si="76"/>
        <v>1.1628377485867918</v>
      </c>
      <c r="Y304" s="218"/>
      <c r="Z304" s="157">
        <f t="shared" si="77"/>
        <v>7.2874493927125501</v>
      </c>
      <c r="AA304" s="166">
        <f t="shared" si="78"/>
        <v>65.84615384615384</v>
      </c>
      <c r="AB304" s="126">
        <v>10</v>
      </c>
      <c r="AC304" s="167">
        <v>2.4700000000000002</v>
      </c>
      <c r="AD304" s="167">
        <v>4.78</v>
      </c>
      <c r="AE304" s="167">
        <v>9.08</v>
      </c>
      <c r="AF304" s="167">
        <v>9.07</v>
      </c>
      <c r="AG304" s="167">
        <v>14.499999999999998</v>
      </c>
      <c r="AH304" s="167">
        <v>-3.5000000000000004</v>
      </c>
      <c r="AI304" s="167">
        <v>19.489999999999998</v>
      </c>
      <c r="AJ304" s="167">
        <v>13.5</v>
      </c>
      <c r="AK304" s="167">
        <v>13.86</v>
      </c>
      <c r="AL304" s="168">
        <v>19140</v>
      </c>
      <c r="AM304" s="169">
        <v>0.2</v>
      </c>
      <c r="AN304" s="167">
        <v>0.1</v>
      </c>
      <c r="AO304" s="170">
        <f t="shared" si="79"/>
        <v>-50.03717035926806</v>
      </c>
      <c r="AP304" s="171">
        <f t="shared" si="80"/>
        <v>15.808983486885783</v>
      </c>
      <c r="AQ304" s="172">
        <f t="shared" si="81"/>
        <v>415.20205977185532</v>
      </c>
      <c r="AR304" s="157">
        <f>INDEX([1]Historical!$C$7:$C$1231,MATCH(B304,[1]Historical!$B$7:$B$1253,0))*IF(AH304="n/a",1.03,IF(AH304&lt;0,1.01,IF(AH304&gt;10,1.1,(1+AH304/100))))</f>
        <v>0.17170000000000002</v>
      </c>
      <c r="AS304" s="166">
        <f t="shared" si="82"/>
        <v>0.18887000000000004</v>
      </c>
      <c r="AT304" s="166">
        <f t="shared" si="88"/>
        <v>0.20775700000000005</v>
      </c>
      <c r="AU304" s="166">
        <f t="shared" si="88"/>
        <v>0.22853270000000009</v>
      </c>
      <c r="AV304" s="166">
        <f t="shared" si="88"/>
        <v>0.25138597000000013</v>
      </c>
      <c r="AW304" s="157">
        <f t="shared" si="84"/>
        <v>1.0482456700000002</v>
      </c>
      <c r="AX304" s="173">
        <f t="shared" si="85"/>
        <v>0.64451898057058554</v>
      </c>
      <c r="AY304" s="174">
        <v>1.1499999999999999</v>
      </c>
      <c r="AZ304" s="169">
        <v>28.110000000000003</v>
      </c>
      <c r="BA304" s="169">
        <v>-1.79</v>
      </c>
      <c r="BB304" s="169">
        <v>7.1499999999999995</v>
      </c>
      <c r="BC304" s="169">
        <v>11.540000000000001</v>
      </c>
      <c r="BE304" s="77">
        <v>2008</v>
      </c>
      <c r="BF304" s="77">
        <f t="shared" si="86"/>
        <v>2</v>
      </c>
      <c r="BG304" s="175">
        <v>9.4</v>
      </c>
      <c r="BH304" t="s">
        <v>939</v>
      </c>
      <c r="BI304" t="s">
        <v>940</v>
      </c>
    </row>
    <row r="305" spans="1:64" ht="11.25" customHeight="1" x14ac:dyDescent="0.2">
      <c r="A305" s="205" t="s">
        <v>1093</v>
      </c>
      <c r="B305" s="153" t="s">
        <v>1094</v>
      </c>
      <c r="C305" s="154" t="s">
        <v>109</v>
      </c>
      <c r="D305" s="154" t="s">
        <v>1028</v>
      </c>
      <c r="E305" s="155">
        <v>6</v>
      </c>
      <c r="F305" s="298">
        <v>681</v>
      </c>
      <c r="G305" s="298" t="s">
        <v>88</v>
      </c>
      <c r="H305" s="298" t="s">
        <v>88</v>
      </c>
      <c r="I305" s="156">
        <v>28.94</v>
      </c>
      <c r="J305" s="157">
        <f t="shared" si="72"/>
        <v>7.7774706288873521</v>
      </c>
      <c r="K305" s="158">
        <v>0.56269999999999998</v>
      </c>
      <c r="L305" s="126">
        <v>4</v>
      </c>
      <c r="M305" s="82">
        <f t="shared" si="73"/>
        <v>2.2507999999999999</v>
      </c>
      <c r="N305" s="159" t="s">
        <v>89</v>
      </c>
      <c r="O305" s="160">
        <v>0.55589999999999995</v>
      </c>
      <c r="P305" s="161">
        <v>44867</v>
      </c>
      <c r="Q305" s="161">
        <v>44879</v>
      </c>
      <c r="R305" s="82">
        <f t="shared" si="74"/>
        <v>1.2232415902140725</v>
      </c>
      <c r="S305" s="162">
        <f>IF(INDEX([1]Historical!$D$7:$D$1229,MATCH(B305,[1]Historical!$B$7:$B$1253,0))=0,"n/a",(INDEX([1]Historical!$C$7:$C$1231,MATCH(B305,[1]Historical!$B$7:$B$1253,0))/INDEX([1]Historical!$D$7:$D$1229,MATCH(B305,[1]Historical!$B$7:$B$1253,0))-1)*100)</f>
        <v>10.347014065021899</v>
      </c>
      <c r="T305" s="162">
        <f>IF(INDEX([1]Historical!$F$7:$F$1222,MATCH(B305,[1]Historical!$B$7:$B$1253,0))=0,"n/a",((INDEX([1]Historical!$C$7:$C$1231,MATCH(B305,[1]Historical!$B$7:$B$1253,0))/INDEX([1]Historical!$F$7:$F$1222,MATCH(B305,[1]Historical!$B$7:$B$1253,0)))^(1/3)-1)*100)</f>
        <v>12.130751207014633</v>
      </c>
      <c r="U305" s="162" t="str">
        <f>IF(INDEX([1]Historical!$H$7:$H$1222,MATCH(B305,[1]Historical!$B$7:$B$1253,0))=0,"n/a",((INDEX([1]Historical!$C$7:$C$1231,MATCH(B305,[1]Historical!$B$7:$B$1253,0))/INDEX([1]Historical!$H$7:$H$1222,MATCH(B305,[1]Historical!$B$7:$B$1253,0)))^(1/5)-1)*100)</f>
        <v>n/a</v>
      </c>
      <c r="V305" s="162" t="str">
        <f>IF(INDEX([1]Historical!$N$7:$N$1222,MATCH(B305,[1]Historical!$B$7:$B$1253,0))=0,"n/a",((INDEX([1]Historical!$C$7:$C$1231,MATCH(B305,[1]Historical!$B$7:$B$1253,0))/INDEX([1]Historical!$N$7:$N$1222,MATCH(B305,[1]Historical!$B$7:$B$1253,0)))^(1/10)-1)*100)</f>
        <v>n/a</v>
      </c>
      <c r="W305" s="163" t="str">
        <f t="shared" si="75"/>
        <v>n/a</v>
      </c>
      <c r="X305" s="164" t="str">
        <f t="shared" si="76"/>
        <v>n/a</v>
      </c>
      <c r="Y305" s="180"/>
      <c r="Z305" s="157">
        <f t="shared" si="77"/>
        <v>110.33333333333333</v>
      </c>
      <c r="AA305" s="166">
        <f t="shared" si="78"/>
        <v>14.186274509803923</v>
      </c>
      <c r="AB305" s="126">
        <v>12</v>
      </c>
      <c r="AC305" s="167">
        <v>2.04</v>
      </c>
      <c r="AD305" s="167">
        <v>1.26</v>
      </c>
      <c r="AE305" s="167">
        <v>5.93</v>
      </c>
      <c r="AF305" s="167">
        <v>5.04</v>
      </c>
      <c r="AG305" s="167">
        <v>27.6</v>
      </c>
      <c r="AH305" s="167">
        <v>36.199999999999996</v>
      </c>
      <c r="AI305" s="167">
        <v>19.900000000000002</v>
      </c>
      <c r="AJ305" s="167">
        <v>-13.700000000000001</v>
      </c>
      <c r="AK305" s="167">
        <v>11.14</v>
      </c>
      <c r="AL305" s="168">
        <v>7570</v>
      </c>
      <c r="AM305" s="169">
        <v>2.58</v>
      </c>
      <c r="AN305" s="167">
        <v>11.81</v>
      </c>
      <c r="AO305" s="170" t="str">
        <f t="shared" si="79"/>
        <v>n/a</v>
      </c>
      <c r="AP305" s="171" t="str">
        <f t="shared" si="80"/>
        <v>n/a</v>
      </c>
      <c r="AQ305" s="172">
        <f t="shared" si="81"/>
        <v>78.261759505399226</v>
      </c>
      <c r="AR305" s="157">
        <f>INDEX([1]Historical!$C$7:$C$1231,MATCH(B305,[1]Historical!$B$7:$B$1253,0))*IF(AH305="n/a",1.03,IF(AH305&lt;0,1.01,IF(AH305&gt;10,1.1,(1+AH305/100))))</f>
        <v>2.1057299999999999</v>
      </c>
      <c r="AS305" s="166">
        <f t="shared" si="82"/>
        <v>2.316303</v>
      </c>
      <c r="AT305" s="166">
        <f t="shared" si="88"/>
        <v>2.5479333000000004</v>
      </c>
      <c r="AU305" s="166">
        <f t="shared" si="88"/>
        <v>2.8027266300000009</v>
      </c>
      <c r="AV305" s="166">
        <f t="shared" si="88"/>
        <v>3.0829992930000012</v>
      </c>
      <c r="AW305" s="157">
        <f t="shared" si="84"/>
        <v>12.855692223000002</v>
      </c>
      <c r="AX305" s="173">
        <f t="shared" si="85"/>
        <v>44.421880521769182</v>
      </c>
      <c r="AY305" s="174">
        <v>1.64</v>
      </c>
      <c r="AZ305" s="169">
        <v>23.94</v>
      </c>
      <c r="BA305" s="169">
        <v>-18.96</v>
      </c>
      <c r="BB305" s="169">
        <v>4.6500000000000004</v>
      </c>
      <c r="BC305" s="169">
        <v>-2.33</v>
      </c>
      <c r="BE305" s="77">
        <v>2017</v>
      </c>
      <c r="BF305" s="77">
        <f t="shared" si="86"/>
        <v>1</v>
      </c>
      <c r="BG305" s="175">
        <v>1.6</v>
      </c>
      <c r="BH305" t="s">
        <v>939</v>
      </c>
      <c r="BI305" t="s">
        <v>940</v>
      </c>
      <c r="BJ305" s="112"/>
      <c r="BK305" s="112"/>
      <c r="BL305" s="112"/>
    </row>
    <row r="306" spans="1:64" ht="11.25" customHeight="1" x14ac:dyDescent="0.2">
      <c r="A306" s="112" t="s">
        <v>1432</v>
      </c>
      <c r="B306" s="153" t="s">
        <v>907</v>
      </c>
      <c r="C306" s="154" t="s">
        <v>90</v>
      </c>
      <c r="D306" s="154" t="s">
        <v>959</v>
      </c>
      <c r="E306" s="155">
        <v>9</v>
      </c>
      <c r="F306" s="298">
        <v>550</v>
      </c>
      <c r="G306" s="298" t="s">
        <v>88</v>
      </c>
      <c r="H306" s="298" t="s">
        <v>88</v>
      </c>
      <c r="I306" s="116">
        <v>18.61</v>
      </c>
      <c r="J306" s="157">
        <f t="shared" si="72"/>
        <v>2.5792584631918323</v>
      </c>
      <c r="K306" s="209">
        <v>0.12</v>
      </c>
      <c r="L306" s="77">
        <v>4</v>
      </c>
      <c r="M306" s="82">
        <f t="shared" si="73"/>
        <v>0.48</v>
      </c>
      <c r="N306" s="77" t="s">
        <v>908</v>
      </c>
      <c r="O306" s="210">
        <v>0.1</v>
      </c>
      <c r="P306" s="161">
        <v>44771</v>
      </c>
      <c r="Q306" s="161">
        <v>44788</v>
      </c>
      <c r="R306" s="82">
        <f t="shared" si="74"/>
        <v>19.999999999999989</v>
      </c>
      <c r="S306" s="162">
        <f>IF(INDEX([1]Historical!$D$7:$D$1229,MATCH(B306,[1]Historical!$B$7:$B$1253,0))=0,"n/a",(INDEX([1]Historical!$C$7:$C$1231,MATCH(B306,[1]Historical!$B$7:$B$1253,0))/INDEX([1]Historical!$D$7:$D$1229,MATCH(B306,[1]Historical!$B$7:$B$1253,0))-1)*100)</f>
        <v>12.307692307692308</v>
      </c>
      <c r="T306" s="162">
        <f>IF(INDEX([1]Historical!$F$7:$F$1222,MATCH(B306,[1]Historical!$B$7:$B$1253,0))=0,"n/a",((INDEX([1]Historical!$C$7:$C$1231,MATCH(B306,[1]Historical!$B$7:$B$1253,0))/INDEX([1]Historical!$F$7:$F$1222,MATCH(B306,[1]Historical!$B$7:$B$1253,0)))^(1/3)-1)*100)</f>
        <v>11.971244580150131</v>
      </c>
      <c r="U306" s="162">
        <f>IF(INDEX([1]Historical!$H$7:$H$1222,MATCH(B306,[1]Historical!$B$7:$B$1253,0))=0,"n/a",((INDEX([1]Historical!$C$7:$C$1231,MATCH(B306,[1]Historical!$B$7:$B$1253,0))/INDEX([1]Historical!$H$7:$H$1222,MATCH(B306,[1]Historical!$B$7:$B$1253,0)))^(1/5)-1)*100)</f>
        <v>16.511498685072556</v>
      </c>
      <c r="V306" s="162">
        <f>IF(INDEX([1]Historical!$N$7:$N$1222,MATCH(B306,[1]Historical!$B$7:$B$1253,0))=0,"n/a",((INDEX([1]Historical!$C$7:$C$1231,MATCH(B306,[1]Historical!$B$7:$B$1253,0))/INDEX([1]Historical!$N$7:$N$1222,MATCH(B306,[1]Historical!$B$7:$B$1253,0)))^(1/10)-1)*100)</f>
        <v>11.766374091429688</v>
      </c>
      <c r="W306" s="163">
        <f t="shared" si="75"/>
        <v>1.4032784064803014</v>
      </c>
      <c r="X306" s="164">
        <f t="shared" si="76"/>
        <v>2.0639373356340696</v>
      </c>
      <c r="Y306" s="153"/>
      <c r="Z306" s="157">
        <f t="shared" si="77"/>
        <v>34.285714285714285</v>
      </c>
      <c r="AA306" s="166">
        <f t="shared" si="78"/>
        <v>13.292857142857143</v>
      </c>
      <c r="AB306" s="298">
        <v>12</v>
      </c>
      <c r="AC306" s="116">
        <v>1.4</v>
      </c>
      <c r="AD306" s="116" t="s">
        <v>95</v>
      </c>
      <c r="AE306" s="116">
        <v>3.06</v>
      </c>
      <c r="AF306" s="116">
        <v>1.19</v>
      </c>
      <c r="AG306" s="116">
        <v>9.6</v>
      </c>
      <c r="AH306" s="116">
        <v>-10.199999999999999</v>
      </c>
      <c r="AI306" s="116" t="s">
        <v>95</v>
      </c>
      <c r="AJ306" s="116">
        <v>8</v>
      </c>
      <c r="AK306" s="116" t="s">
        <v>95</v>
      </c>
      <c r="AL306" s="116">
        <v>58.81</v>
      </c>
      <c r="AM306" s="116">
        <v>9.7000000000000011</v>
      </c>
      <c r="AN306" s="116">
        <v>0</v>
      </c>
      <c r="AO306" s="170">
        <f t="shared" si="79"/>
        <v>5.7979000054072447</v>
      </c>
      <c r="AP306" s="171">
        <f t="shared" si="80"/>
        <v>19.090757148264387</v>
      </c>
      <c r="AQ306" s="172">
        <f t="shared" si="81"/>
        <v>-16.152254386629771</v>
      </c>
      <c r="AR306" s="157">
        <f>INDEX([1]Historical!$C$7:$C$1231,MATCH(B306,[1]Historical!$B$7:$B$1253,0))*IF(AH306="n/a",1.03,IF(AH306&lt;0,1.01,IF(AH306&gt;10,1.1,(1+AH306/100))))</f>
        <v>0.36864999999999998</v>
      </c>
      <c r="AS306" s="166">
        <f t="shared" si="82"/>
        <v>0.37970949999999998</v>
      </c>
      <c r="AT306" s="166">
        <f t="shared" si="88"/>
        <v>0.39110078500000001</v>
      </c>
      <c r="AU306" s="166">
        <f t="shared" si="88"/>
        <v>0.40283380855000001</v>
      </c>
      <c r="AV306" s="166">
        <f t="shared" si="88"/>
        <v>0.4149188228065</v>
      </c>
      <c r="AW306" s="157">
        <f t="shared" si="84"/>
        <v>1.9572129163565</v>
      </c>
      <c r="AX306" s="173">
        <f t="shared" si="85"/>
        <v>10.516995789126813</v>
      </c>
      <c r="AY306" s="225">
        <v>0.43</v>
      </c>
      <c r="AZ306" s="175">
        <v>7.26</v>
      </c>
      <c r="BA306" s="175">
        <v>-20.979999999999997</v>
      </c>
      <c r="BB306" s="175">
        <v>-6.17</v>
      </c>
      <c r="BC306" s="175">
        <v>-5.8000000000000007</v>
      </c>
      <c r="BE306" s="77">
        <v>2014</v>
      </c>
      <c r="BF306" s="77">
        <f t="shared" si="86"/>
        <v>1</v>
      </c>
      <c r="BG306" s="175">
        <v>0.89999999999999991</v>
      </c>
      <c r="BH306" t="s">
        <v>939</v>
      </c>
      <c r="BI306" t="s">
        <v>940</v>
      </c>
      <c r="BJ306" s="112"/>
      <c r="BK306" s="112"/>
      <c r="BL306" s="112"/>
    </row>
    <row r="307" spans="1:64" s="252" customFormat="1" ht="11.25" customHeight="1" x14ac:dyDescent="0.2">
      <c r="A307" s="208" t="s">
        <v>1433</v>
      </c>
      <c r="B307" s="184" t="s">
        <v>535</v>
      </c>
      <c r="C307" s="154" t="s">
        <v>90</v>
      </c>
      <c r="D307" s="154" t="s">
        <v>969</v>
      </c>
      <c r="E307" s="185">
        <v>11</v>
      </c>
      <c r="F307" s="298">
        <v>392</v>
      </c>
      <c r="G307" s="297" t="s">
        <v>88</v>
      </c>
      <c r="H307" s="297" t="s">
        <v>88</v>
      </c>
      <c r="I307" s="186">
        <v>33.69</v>
      </c>
      <c r="J307" s="187">
        <f t="shared" si="72"/>
        <v>2.4933214603739984</v>
      </c>
      <c r="K307" s="188">
        <v>0.21</v>
      </c>
      <c r="L307" s="189">
        <v>4</v>
      </c>
      <c r="M307" s="190">
        <f t="shared" si="73"/>
        <v>0.84</v>
      </c>
      <c r="N307" s="191" t="s">
        <v>145</v>
      </c>
      <c r="O307" s="192">
        <v>0.2</v>
      </c>
      <c r="P307" s="247">
        <v>44502</v>
      </c>
      <c r="Q307" s="247">
        <v>44517</v>
      </c>
      <c r="R307" s="190">
        <f t="shared" si="74"/>
        <v>4.9999999999999902</v>
      </c>
      <c r="S307" s="162">
        <f>IF(INDEX([1]Historical!$D$7:$D$1229,MATCH(B307,[1]Historical!$B$7:$B$1253,0))=0,"n/a",(INDEX([1]Historical!$C$7:$C$1231,MATCH(B307,[1]Historical!$B$7:$B$1253,0))/INDEX([1]Historical!$D$7:$D$1229,MATCH(B307,[1]Historical!$B$7:$B$1253,0))-1)*100)</f>
        <v>1.2499999999999956</v>
      </c>
      <c r="T307" s="162">
        <f>IF(INDEX([1]Historical!$F$7:$F$1222,MATCH(B307,[1]Historical!$B$7:$B$1253,0))=0,"n/a",((INDEX([1]Historical!$C$7:$C$1231,MATCH(B307,[1]Historical!$B$7:$B$1253,0))/INDEX([1]Historical!$F$7:$F$1222,MATCH(B307,[1]Historical!$B$7:$B$1253,0)))^(1/3)-1)*100)</f>
        <v>4.0041911525952045</v>
      </c>
      <c r="U307" s="162">
        <f>IF(INDEX([1]Historical!$H$7:$H$1222,MATCH(B307,[1]Historical!$B$7:$B$1253,0))=0,"n/a",((INDEX([1]Historical!$C$7:$C$1231,MATCH(B307,[1]Historical!$B$7:$B$1253,0))/INDEX([1]Historical!$H$7:$H$1222,MATCH(B307,[1]Historical!$B$7:$B$1253,0)))^(1/5)-1)*100)</f>
        <v>11.500658485308325</v>
      </c>
      <c r="V307" s="162">
        <f>IF(INDEX([1]Historical!$N$7:$N$1222,MATCH(B307,[1]Historical!$B$7:$B$1253,0))=0,"n/a",((INDEX([1]Historical!$C$7:$C$1231,MATCH(B307,[1]Historical!$B$7:$B$1253,0))/INDEX([1]Historical!$N$7:$N$1222,MATCH(B307,[1]Historical!$B$7:$B$1253,0)))^(1/10)-1)*100)</f>
        <v>20.075434451143039</v>
      </c>
      <c r="W307" s="163">
        <f t="shared" si="75"/>
        <v>0.57287220923149229</v>
      </c>
      <c r="X307" s="164">
        <f t="shared" si="76"/>
        <v>0.71879115533177029</v>
      </c>
      <c r="Y307" s="295" t="s">
        <v>1095</v>
      </c>
      <c r="Z307" s="187">
        <f t="shared" si="77"/>
        <v>37.837837837837832</v>
      </c>
      <c r="AA307" s="194">
        <f t="shared" si="78"/>
        <v>15.175675675675674</v>
      </c>
      <c r="AB307" s="189">
        <v>12</v>
      </c>
      <c r="AC307" s="195">
        <v>2.2200000000000002</v>
      </c>
      <c r="AD307" s="195">
        <v>2.11</v>
      </c>
      <c r="AE307" s="195">
        <v>5.28</v>
      </c>
      <c r="AF307" s="195">
        <v>1.43</v>
      </c>
      <c r="AG307" s="195">
        <v>11.1</v>
      </c>
      <c r="AH307" s="195">
        <v>111.7</v>
      </c>
      <c r="AI307" s="195">
        <v>15.35</v>
      </c>
      <c r="AJ307" s="195">
        <v>16</v>
      </c>
      <c r="AK307" s="195">
        <v>7.0000000000000009</v>
      </c>
      <c r="AL307" s="196">
        <v>1110</v>
      </c>
      <c r="AM307" s="197">
        <v>1</v>
      </c>
      <c r="AN307" s="195">
        <v>0.03</v>
      </c>
      <c r="AO307" s="198">
        <f t="shared" si="79"/>
        <v>-1.1816957299933506</v>
      </c>
      <c r="AP307" s="199">
        <f t="shared" si="80"/>
        <v>13.993979945682323</v>
      </c>
      <c r="AQ307" s="172">
        <f t="shared" si="81"/>
        <v>-1.7911155496358244</v>
      </c>
      <c r="AR307" s="157">
        <f>INDEX([1]Historical!$C$7:$C$1231,MATCH(B307,[1]Historical!$B$7:$B$1253,0))*IF(AH307="n/a",1.03,IF(AH307&lt;0,1.01,IF(AH307&gt;10,1.1,(1+AH307/100))))</f>
        <v>0.89100000000000013</v>
      </c>
      <c r="AS307" s="194">
        <f t="shared" si="82"/>
        <v>0.98010000000000019</v>
      </c>
      <c r="AT307" s="194">
        <f t="shared" si="88"/>
        <v>1.0487070000000003</v>
      </c>
      <c r="AU307" s="194">
        <f t="shared" si="88"/>
        <v>1.1221164900000005</v>
      </c>
      <c r="AV307" s="194">
        <f t="shared" si="88"/>
        <v>1.2006646443000006</v>
      </c>
      <c r="AW307" s="187">
        <f t="shared" si="84"/>
        <v>5.2425881343000018</v>
      </c>
      <c r="AX307" s="200">
        <f t="shared" si="85"/>
        <v>15.561258932324137</v>
      </c>
      <c r="AY307" s="201">
        <v>0.59</v>
      </c>
      <c r="AZ307" s="197">
        <v>60.819999999999993</v>
      </c>
      <c r="BA307" s="197">
        <v>2.46</v>
      </c>
      <c r="BB307" s="197">
        <v>20.399999999999999</v>
      </c>
      <c r="BC307" s="197">
        <v>29.330000000000002</v>
      </c>
      <c r="BD307" s="202"/>
      <c r="BE307" s="77">
        <v>2011</v>
      </c>
      <c r="BF307" s="77">
        <f t="shared" si="86"/>
        <v>1</v>
      </c>
      <c r="BG307" s="203">
        <v>1.3</v>
      </c>
      <c r="BH307" t="s">
        <v>939</v>
      </c>
      <c r="BI307" t="s">
        <v>940</v>
      </c>
    </row>
    <row r="308" spans="1:64" ht="11.25" customHeight="1" x14ac:dyDescent="0.2">
      <c r="A308" s="176" t="s">
        <v>1434</v>
      </c>
      <c r="B308" s="153" t="s">
        <v>325</v>
      </c>
      <c r="C308" s="154" t="s">
        <v>94</v>
      </c>
      <c r="D308" s="154" t="s">
        <v>101</v>
      </c>
      <c r="E308" s="155">
        <v>15</v>
      </c>
      <c r="F308" s="298">
        <v>248</v>
      </c>
      <c r="G308" s="298" t="s">
        <v>88</v>
      </c>
      <c r="H308" s="298" t="s">
        <v>88</v>
      </c>
      <c r="I308" s="156">
        <v>44.18</v>
      </c>
      <c r="J308" s="157">
        <f t="shared" si="72"/>
        <v>1.9692168401991852</v>
      </c>
      <c r="K308" s="158">
        <v>0.2175</v>
      </c>
      <c r="L308" s="126">
        <v>4</v>
      </c>
      <c r="M308" s="82">
        <f t="shared" si="73"/>
        <v>0.87</v>
      </c>
      <c r="N308" s="159" t="s">
        <v>628</v>
      </c>
      <c r="O308" s="160">
        <v>0.215</v>
      </c>
      <c r="P308" s="161">
        <v>44546</v>
      </c>
      <c r="Q308" s="161">
        <v>44560</v>
      </c>
      <c r="R308" s="82">
        <f t="shared" si="74"/>
        <v>1.1627906976744196</v>
      </c>
      <c r="S308" s="162">
        <f>IF(INDEX([1]Historical!$D$7:$D$1229,MATCH(B308,[1]Historical!$B$7:$B$1253,0))=0,"n/a",(INDEX([1]Historical!$C$7:$C$1231,MATCH(B308,[1]Historical!$B$7:$B$1253,0))/INDEX([1]Historical!$D$7:$D$1229,MATCH(B308,[1]Historical!$B$7:$B$1253,0))-1)*100)</f>
        <v>1.1730205278592365</v>
      </c>
      <c r="T308" s="162">
        <f>IF(INDEX([1]Historical!$F$7:$F$1222,MATCH(B308,[1]Historical!$B$7:$B$1253,0))=0,"n/a",((INDEX([1]Historical!$C$7:$C$1231,MATCH(B308,[1]Historical!$B$7:$B$1253,0))/INDEX([1]Historical!$F$7:$F$1222,MATCH(B308,[1]Historical!$B$7:$B$1253,0)))^(1/3)-1)*100)</f>
        <v>1.2479005711020674</v>
      </c>
      <c r="U308" s="162">
        <f>IF(INDEX([1]Historical!$H$7:$H$1222,MATCH(B308,[1]Historical!$B$7:$B$1253,0))=0,"n/a",((INDEX([1]Historical!$C$7:$C$1231,MATCH(B308,[1]Historical!$B$7:$B$1253,0))/INDEX([1]Historical!$H$7:$H$1222,MATCH(B308,[1]Historical!$B$7:$B$1253,0)))^(1/5)-1)*100)</f>
        <v>1.2015459506031334</v>
      </c>
      <c r="V308" s="162">
        <f>IF(INDEX([1]Historical!$N$7:$N$1222,MATCH(B308,[1]Historical!$B$7:$B$1253,0))=0,"n/a",((INDEX([1]Historical!$C$7:$C$1231,MATCH(B308,[1]Historical!$B$7:$B$1253,0))/INDEX([1]Historical!$N$7:$N$1222,MATCH(B308,[1]Historical!$B$7:$B$1253,0)))^(1/10)-1)*100)</f>
        <v>1.2399508331666365</v>
      </c>
      <c r="W308" s="163">
        <f t="shared" si="75"/>
        <v>0.96902709241670248</v>
      </c>
      <c r="X308" s="164">
        <f t="shared" si="76"/>
        <v>8.9667608253965178E-2</v>
      </c>
      <c r="Y308" s="180"/>
      <c r="Z308" s="157">
        <f t="shared" si="77"/>
        <v>30.742049469964662</v>
      </c>
      <c r="AA308" s="166">
        <f t="shared" si="78"/>
        <v>15.611307420494699</v>
      </c>
      <c r="AB308" s="126">
        <v>9</v>
      </c>
      <c r="AC308" s="167">
        <v>2.83</v>
      </c>
      <c r="AD308" s="167">
        <v>1.3</v>
      </c>
      <c r="AE308" s="167">
        <v>1.02</v>
      </c>
      <c r="AF308" s="167">
        <v>2.79</v>
      </c>
      <c r="AG308" s="167">
        <v>17.2</v>
      </c>
      <c r="AH308" s="167">
        <v>504.8</v>
      </c>
      <c r="AI308" s="167">
        <v>7.32</v>
      </c>
      <c r="AJ308" s="167">
        <v>13.4</v>
      </c>
      <c r="AK308" s="167">
        <v>12</v>
      </c>
      <c r="AL308" s="168">
        <v>2990</v>
      </c>
      <c r="AM308" s="169">
        <v>0.4</v>
      </c>
      <c r="AN308" s="167">
        <v>0</v>
      </c>
      <c r="AO308" s="170">
        <f t="shared" si="79"/>
        <v>-12.440544629692379</v>
      </c>
      <c r="AP308" s="171">
        <f t="shared" si="80"/>
        <v>3.1707627908023186</v>
      </c>
      <c r="AQ308" s="172">
        <f t="shared" si="81"/>
        <v>39.133106058239875</v>
      </c>
      <c r="AR308" s="157">
        <f>INDEX([1]Historical!$C$7:$C$1231,MATCH(B308,[1]Historical!$B$7:$B$1253,0))*IF(AH308="n/a",1.03,IF(AH308&lt;0,1.01,IF(AH308&gt;10,1.1,(1+AH308/100))))</f>
        <v>0.94875000000000009</v>
      </c>
      <c r="AS308" s="166">
        <f t="shared" si="82"/>
        <v>1.0181985</v>
      </c>
      <c r="AT308" s="166">
        <f t="shared" si="88"/>
        <v>1.1200183500000001</v>
      </c>
      <c r="AU308" s="166">
        <f t="shared" si="88"/>
        <v>1.2320201850000001</v>
      </c>
      <c r="AV308" s="166">
        <f t="shared" si="88"/>
        <v>1.3552222035000001</v>
      </c>
      <c r="AW308" s="157">
        <f t="shared" si="84"/>
        <v>5.6742092385000005</v>
      </c>
      <c r="AX308" s="173">
        <f t="shared" si="85"/>
        <v>12.843388950882753</v>
      </c>
      <c r="AY308" s="174">
        <v>1.41</v>
      </c>
      <c r="AZ308" s="169">
        <v>22.18</v>
      </c>
      <c r="BA308" s="169">
        <v>-18.41</v>
      </c>
      <c r="BB308" s="169">
        <v>9.84</v>
      </c>
      <c r="BC308" s="169">
        <v>2.8400000000000003</v>
      </c>
      <c r="BE308" s="77">
        <v>2008</v>
      </c>
      <c r="BF308" s="77">
        <f t="shared" si="86"/>
        <v>2</v>
      </c>
      <c r="BG308" s="175">
        <v>5.2</v>
      </c>
      <c r="BH308" t="s">
        <v>939</v>
      </c>
      <c r="BI308" t="s">
        <v>940</v>
      </c>
    </row>
    <row r="309" spans="1:64" ht="11.25" customHeight="1" x14ac:dyDescent="0.2">
      <c r="A309" s="112" t="s">
        <v>326</v>
      </c>
      <c r="B309" s="153" t="s">
        <v>327</v>
      </c>
      <c r="C309" s="154" t="s">
        <v>90</v>
      </c>
      <c r="D309" s="154" t="s">
        <v>959</v>
      </c>
      <c r="E309" s="155">
        <v>15</v>
      </c>
      <c r="F309" s="298">
        <v>255</v>
      </c>
      <c r="G309" s="298" t="s">
        <v>88</v>
      </c>
      <c r="H309" s="298" t="s">
        <v>88</v>
      </c>
      <c r="I309" s="167">
        <v>247.25</v>
      </c>
      <c r="J309" s="157">
        <f t="shared" si="72"/>
        <v>0.98685540950455009</v>
      </c>
      <c r="K309" s="209">
        <v>0.61</v>
      </c>
      <c r="L309" s="126">
        <v>4</v>
      </c>
      <c r="M309" s="82">
        <f t="shared" si="73"/>
        <v>2.44</v>
      </c>
      <c r="N309" s="159" t="s">
        <v>665</v>
      </c>
      <c r="O309" s="210">
        <v>0.59</v>
      </c>
      <c r="P309" s="161">
        <v>44865</v>
      </c>
      <c r="Q309" s="161">
        <v>44874</v>
      </c>
      <c r="R309" s="82">
        <f t="shared" si="74"/>
        <v>3.3898305084745797</v>
      </c>
      <c r="S309" s="162">
        <f>IF(INDEX([1]Historical!$D$7:$D$1229,MATCH(B309,[1]Historical!$B$7:$B$1253,0))=0,"n/a",(INDEX([1]Historical!$C$7:$C$1231,MATCH(B309,[1]Historical!$B$7:$B$1253,0))/INDEX([1]Historical!$D$7:$D$1229,MATCH(B309,[1]Historical!$B$7:$B$1253,0))-1)*100)</f>
        <v>16.959064327485372</v>
      </c>
      <c r="T309" s="162">
        <f>IF(INDEX([1]Historical!$F$7:$F$1222,MATCH(B309,[1]Historical!$B$7:$B$1253,0))=0,"n/a",((INDEX([1]Historical!$C$7:$C$1231,MATCH(B309,[1]Historical!$B$7:$B$1253,0))/INDEX([1]Historical!$F$7:$F$1222,MATCH(B309,[1]Historical!$B$7:$B$1253,0)))^(1/3)-1)*100)</f>
        <v>12.894226363161</v>
      </c>
      <c r="U309" s="162">
        <f>IF(INDEX([1]Historical!$H$7:$H$1222,MATCH(B309,[1]Historical!$B$7:$B$1253,0))=0,"n/a",((INDEX([1]Historical!$C$7:$C$1231,MATCH(B309,[1]Historical!$B$7:$B$1253,0))/INDEX([1]Historical!$H$7:$H$1222,MATCH(B309,[1]Historical!$B$7:$B$1253,0)))^(1/5)-1)*100)</f>
        <v>10.391092901821718</v>
      </c>
      <c r="V309" s="162">
        <f>IF(INDEX([1]Historical!$N$7:$N$1222,MATCH(B309,[1]Historical!$B$7:$B$1253,0))=0,"n/a",((INDEX([1]Historical!$C$7:$C$1231,MATCH(B309,[1]Historical!$B$7:$B$1253,0))/INDEX([1]Historical!$N$7:$N$1222,MATCH(B309,[1]Historical!$B$7:$B$1253,0)))^(1/10)-1)*100)</f>
        <v>7.3940923785779322</v>
      </c>
      <c r="W309" s="163">
        <f t="shared" si="75"/>
        <v>1.4053236516122867</v>
      </c>
      <c r="X309" s="164">
        <f t="shared" si="76"/>
        <v>0.49718147855606309</v>
      </c>
      <c r="Y309" s="244"/>
      <c r="Z309" s="157">
        <f t="shared" si="77"/>
        <v>12.734864300626306</v>
      </c>
      <c r="AA309" s="166">
        <f t="shared" si="78"/>
        <v>12.904488517745303</v>
      </c>
      <c r="AB309" s="126">
        <v>12</v>
      </c>
      <c r="AC309" s="167">
        <v>19.16</v>
      </c>
      <c r="AD309" s="167" t="s">
        <v>95</v>
      </c>
      <c r="AE309" s="167">
        <v>4.12</v>
      </c>
      <c r="AF309" s="167">
        <v>1.45</v>
      </c>
      <c r="AG309" s="167">
        <v>17.599999999999998</v>
      </c>
      <c r="AH309" s="167">
        <v>30.4</v>
      </c>
      <c r="AI309" s="167" t="s">
        <v>95</v>
      </c>
      <c r="AJ309" s="167">
        <v>20.9</v>
      </c>
      <c r="AK309" s="167" t="s">
        <v>95</v>
      </c>
      <c r="AL309" s="168">
        <v>532.62</v>
      </c>
      <c r="AM309" s="169">
        <v>2.2999999999999998</v>
      </c>
      <c r="AN309" s="167">
        <v>0</v>
      </c>
      <c r="AO309" s="170">
        <f t="shared" si="79"/>
        <v>-1.5265402064190354</v>
      </c>
      <c r="AP309" s="171">
        <f t="shared" si="80"/>
        <v>11.377948311326268</v>
      </c>
      <c r="AQ309" s="172">
        <f t="shared" si="81"/>
        <v>-8.8066563083791571</v>
      </c>
      <c r="AR309" s="157">
        <f>INDEX([1]Historical!$C$7:$C$1231,MATCH(B309,[1]Historical!$B$7:$B$1253,0))*IF(AH309="n/a",1.03,IF(AH309&lt;0,1.01,IF(AH309&gt;10,1.1,(1+AH309/100))))</f>
        <v>2.2000000000000002</v>
      </c>
      <c r="AS309" s="166">
        <f t="shared" si="82"/>
        <v>2.2660000000000005</v>
      </c>
      <c r="AT309" s="166">
        <f t="shared" si="88"/>
        <v>2.3339800000000004</v>
      </c>
      <c r="AU309" s="166">
        <f t="shared" si="88"/>
        <v>2.4039994000000005</v>
      </c>
      <c r="AV309" s="166">
        <f t="shared" si="88"/>
        <v>2.4761193820000007</v>
      </c>
      <c r="AW309" s="157">
        <f t="shared" si="84"/>
        <v>11.680098782000002</v>
      </c>
      <c r="AX309" s="173">
        <f t="shared" si="85"/>
        <v>4.7240035518705774</v>
      </c>
      <c r="AY309" s="174">
        <v>0.91</v>
      </c>
      <c r="AZ309" s="169">
        <v>1.7500000000000002</v>
      </c>
      <c r="BA309" s="169">
        <v>-42.79</v>
      </c>
      <c r="BB309" s="169">
        <v>-9</v>
      </c>
      <c r="BC309" s="169">
        <v>-21.12</v>
      </c>
      <c r="BE309" s="77">
        <v>2008</v>
      </c>
      <c r="BF309" s="77">
        <f t="shared" si="86"/>
        <v>2</v>
      </c>
      <c r="BG309" s="175">
        <v>1.7999999999999998</v>
      </c>
      <c r="BH309" t="s">
        <v>939</v>
      </c>
      <c r="BI309" t="s">
        <v>940</v>
      </c>
    </row>
    <row r="310" spans="1:64" ht="11.25" customHeight="1" x14ac:dyDescent="0.2">
      <c r="A310" s="176" t="s">
        <v>1435</v>
      </c>
      <c r="B310" s="153" t="s">
        <v>763</v>
      </c>
      <c r="C310" s="154" t="s">
        <v>90</v>
      </c>
      <c r="D310" s="154" t="s">
        <v>110</v>
      </c>
      <c r="E310" s="155">
        <v>13</v>
      </c>
      <c r="F310" s="298">
        <v>317</v>
      </c>
      <c r="G310" s="298" t="s">
        <v>30</v>
      </c>
      <c r="H310" s="298" t="s">
        <v>30</v>
      </c>
      <c r="I310" s="156">
        <v>72.41</v>
      </c>
      <c r="J310" s="157">
        <f t="shared" si="72"/>
        <v>2.34774202458224</v>
      </c>
      <c r="K310" s="158">
        <v>0.42499999999999999</v>
      </c>
      <c r="L310" s="126">
        <v>4</v>
      </c>
      <c r="M310" s="82">
        <f t="shared" si="73"/>
        <v>1.7</v>
      </c>
      <c r="N310" s="159" t="s">
        <v>183</v>
      </c>
      <c r="O310" s="160">
        <v>0.38500000000000001</v>
      </c>
      <c r="P310" s="161">
        <v>44895</v>
      </c>
      <c r="Q310" s="161">
        <v>44930</v>
      </c>
      <c r="R310" s="82">
        <f t="shared" si="74"/>
        <v>10.389610389610384</v>
      </c>
      <c r="S310" s="162">
        <f>IF(INDEX([1]Historical!$D$7:$D$1229,MATCH(B310,[1]Historical!$B$7:$B$1253,0))=0,"n/a",(INDEX([1]Historical!$C$7:$C$1231,MATCH(B310,[1]Historical!$B$7:$B$1253,0))/INDEX([1]Historical!$D$7:$D$1229,MATCH(B310,[1]Historical!$B$7:$B$1253,0))-1)*100)</f>
        <v>7.8431372549019773</v>
      </c>
      <c r="T310" s="162">
        <f>IF(INDEX([1]Historical!$F$7:$F$1222,MATCH(B310,[1]Historical!$B$7:$B$1253,0))=0,"n/a",((INDEX([1]Historical!$C$7:$C$1231,MATCH(B310,[1]Historical!$B$7:$B$1253,0))/INDEX([1]Historical!$F$7:$F$1222,MATCH(B310,[1]Historical!$B$7:$B$1253,0)))^(1/3)-1)*100)</f>
        <v>9.4051585121155412</v>
      </c>
      <c r="U310" s="162">
        <f>IF(INDEX([1]Historical!$H$7:$H$1222,MATCH(B310,[1]Historical!$B$7:$B$1253,0))=0,"n/a",((INDEX([1]Historical!$C$7:$C$1231,MATCH(B310,[1]Historical!$B$7:$B$1253,0))/INDEX([1]Historical!$H$7:$H$1222,MATCH(B310,[1]Historical!$B$7:$B$1253,0)))^(1/5)-1)*100)</f>
        <v>10.358218836162303</v>
      </c>
      <c r="V310" s="162">
        <f>IF(INDEX([1]Historical!$N$7:$N$1222,MATCH(B310,[1]Historical!$B$7:$B$1253,0))=0,"n/a",((INDEX([1]Historical!$C$7:$C$1231,MATCH(B310,[1]Historical!$B$7:$B$1253,0))/INDEX([1]Historical!$N$7:$N$1222,MATCH(B310,[1]Historical!$B$7:$B$1253,0)))^(1/10)-1)*100)</f>
        <v>14.66304358341195</v>
      </c>
      <c r="W310" s="163">
        <f t="shared" si="75"/>
        <v>0.70641669836406806</v>
      </c>
      <c r="X310" s="164">
        <f t="shared" si="76"/>
        <v>0.30828032250483045</v>
      </c>
      <c r="Y310" s="180"/>
      <c r="Z310" s="157">
        <f t="shared" si="77"/>
        <v>27.960526315789476</v>
      </c>
      <c r="AA310" s="166">
        <f t="shared" si="78"/>
        <v>11.909539473684211</v>
      </c>
      <c r="AB310" s="126">
        <v>12</v>
      </c>
      <c r="AC310" s="167">
        <v>6.08</v>
      </c>
      <c r="AD310" s="167">
        <v>0.87</v>
      </c>
      <c r="AE310" s="167">
        <v>1.02</v>
      </c>
      <c r="AF310" s="167">
        <v>1.84</v>
      </c>
      <c r="AG310" s="167">
        <v>13</v>
      </c>
      <c r="AH310" s="167">
        <v>39.6</v>
      </c>
      <c r="AI310" s="167">
        <v>18.18</v>
      </c>
      <c r="AJ310" s="167">
        <v>33.6</v>
      </c>
      <c r="AK310" s="167">
        <v>13.71</v>
      </c>
      <c r="AL310" s="168">
        <v>22700</v>
      </c>
      <c r="AM310" s="169">
        <v>0.1</v>
      </c>
      <c r="AN310" s="167">
        <v>0</v>
      </c>
      <c r="AO310" s="170">
        <f t="shared" si="79"/>
        <v>0.79642138706033272</v>
      </c>
      <c r="AP310" s="171">
        <f t="shared" si="80"/>
        <v>12.705960860744543</v>
      </c>
      <c r="AQ310" s="172">
        <f t="shared" si="81"/>
        <v>-1.3118207425722228</v>
      </c>
      <c r="AR310" s="157">
        <f>INDEX([1]Historical!$C$7:$C$1231,MATCH(B310,[1]Historical!$B$7:$B$1253,0))*IF(AH310="n/a",1.03,IF(AH310&lt;0,1.01,IF(AH310&gt;10,1.1,(1+AH310/100))))</f>
        <v>1.5125000000000002</v>
      </c>
      <c r="AS310" s="166">
        <f t="shared" si="82"/>
        <v>1.6637500000000003</v>
      </c>
      <c r="AT310" s="166">
        <f t="shared" si="88"/>
        <v>1.8301250000000004</v>
      </c>
      <c r="AU310" s="166">
        <f t="shared" si="88"/>
        <v>2.0131375000000005</v>
      </c>
      <c r="AV310" s="166">
        <f t="shared" si="88"/>
        <v>2.2144512500000006</v>
      </c>
      <c r="AW310" s="157">
        <f t="shared" si="84"/>
        <v>9.2339637500000009</v>
      </c>
      <c r="AX310" s="173">
        <f t="shared" si="85"/>
        <v>12.752332205496481</v>
      </c>
      <c r="AY310" s="174">
        <v>0.9</v>
      </c>
      <c r="AZ310" s="169">
        <v>20.349999999999998</v>
      </c>
      <c r="BA310" s="169">
        <v>-7.37</v>
      </c>
      <c r="BB310" s="169">
        <v>10.25</v>
      </c>
      <c r="BC310" s="169">
        <v>6.1400000000000006</v>
      </c>
      <c r="BE310" s="77">
        <v>2011</v>
      </c>
      <c r="BF310" s="77">
        <f t="shared" si="86"/>
        <v>1</v>
      </c>
      <c r="BG310" s="175">
        <v>2.6</v>
      </c>
      <c r="BH310" t="s">
        <v>939</v>
      </c>
      <c r="BI310" t="s">
        <v>940</v>
      </c>
    </row>
    <row r="311" spans="1:64" ht="11.25" customHeight="1" x14ac:dyDescent="0.2">
      <c r="A311" s="176" t="s">
        <v>1436</v>
      </c>
      <c r="B311" s="153" t="s">
        <v>766</v>
      </c>
      <c r="C311" s="154" t="s">
        <v>94</v>
      </c>
      <c r="D311" s="154" t="s">
        <v>1003</v>
      </c>
      <c r="E311" s="155">
        <v>10</v>
      </c>
      <c r="F311" s="298">
        <v>452</v>
      </c>
      <c r="G311" s="298" t="s">
        <v>88</v>
      </c>
      <c r="H311" s="298" t="s">
        <v>88</v>
      </c>
      <c r="I311" s="156">
        <v>257.07</v>
      </c>
      <c r="J311" s="157">
        <f t="shared" si="72"/>
        <v>1.8360757770257128</v>
      </c>
      <c r="K311" s="158">
        <v>1.18</v>
      </c>
      <c r="L311" s="126">
        <v>4</v>
      </c>
      <c r="M311" s="82">
        <f t="shared" si="73"/>
        <v>4.72</v>
      </c>
      <c r="N311" s="159" t="s">
        <v>251</v>
      </c>
      <c r="O311" s="160">
        <v>1.1399999999999999</v>
      </c>
      <c r="P311" s="224">
        <v>44524</v>
      </c>
      <c r="Q311" s="224">
        <v>44540</v>
      </c>
      <c r="R311" s="82">
        <f t="shared" si="74"/>
        <v>3.5087719298245648</v>
      </c>
      <c r="S311" s="162">
        <f>IF(INDEX([1]Historical!$D$7:$D$1229,MATCH(B311,[1]Historical!$B$7:$B$1253,0))=0,"n/a",(INDEX([1]Historical!$C$7:$C$1231,MATCH(B311,[1]Historical!$B$7:$B$1253,0))/INDEX([1]Historical!$D$7:$D$1229,MATCH(B311,[1]Historical!$B$7:$B$1253,0))-1)*100)</f>
        <v>8.7470449172576625</v>
      </c>
      <c r="T311" s="162">
        <f>IF(INDEX([1]Historical!$F$7:$F$1222,MATCH(B311,[1]Historical!$B$7:$B$1253,0))=0,"n/a",((INDEX([1]Historical!$C$7:$C$1231,MATCH(B311,[1]Historical!$B$7:$B$1253,0))/INDEX([1]Historical!$F$7:$F$1222,MATCH(B311,[1]Historical!$B$7:$B$1253,0)))^(1/3)-1)*100)</f>
        <v>15.058037697854276</v>
      </c>
      <c r="U311" s="162">
        <f>IF(INDEX([1]Historical!$H$7:$H$1222,MATCH(B311,[1]Historical!$B$7:$B$1253,0))=0,"n/a",((INDEX([1]Historical!$C$7:$C$1231,MATCH(B311,[1]Historical!$B$7:$B$1253,0))/INDEX([1]Historical!$H$7:$H$1222,MATCH(B311,[1]Historical!$B$7:$B$1253,0)))^(1/5)-1)*100)</f>
        <v>16.978946918768024</v>
      </c>
      <c r="V311" s="162" t="str">
        <f>IF(INDEX([1]Historical!$N$7:$N$1222,MATCH(B311,[1]Historical!$B$7:$B$1253,0))=0,"n/a",((INDEX([1]Historical!$C$7:$C$1231,MATCH(B311,[1]Historical!$B$7:$B$1253,0))/INDEX([1]Historical!$N$7:$N$1222,MATCH(B311,[1]Historical!$B$7:$B$1253,0)))^(1/10)-1)*100)</f>
        <v>n/a</v>
      </c>
      <c r="W311" s="163" t="str">
        <f t="shared" si="75"/>
        <v>n/a</v>
      </c>
      <c r="X311" s="164">
        <f t="shared" si="76"/>
        <v>8.0852128184609633</v>
      </c>
      <c r="Y311" s="212"/>
      <c r="Z311" s="157">
        <f t="shared" si="77"/>
        <v>32.417582417582416</v>
      </c>
      <c r="AA311" s="166">
        <f t="shared" si="78"/>
        <v>17.655906593406591</v>
      </c>
      <c r="AB311" s="126">
        <v>12</v>
      </c>
      <c r="AC311" s="167">
        <v>14.56</v>
      </c>
      <c r="AD311" s="167">
        <v>1.27</v>
      </c>
      <c r="AE311" s="167">
        <v>0.99</v>
      </c>
      <c r="AF311" s="167">
        <v>3.5</v>
      </c>
      <c r="AG311" s="167">
        <v>21.7</v>
      </c>
      <c r="AH311" s="167">
        <v>-21.3</v>
      </c>
      <c r="AI311" s="167">
        <v>16.600000000000001</v>
      </c>
      <c r="AJ311" s="167">
        <v>2.1</v>
      </c>
      <c r="AK311" s="167">
        <v>13.900000000000002</v>
      </c>
      <c r="AL311" s="168">
        <v>10130</v>
      </c>
      <c r="AM311" s="169">
        <v>0.2</v>
      </c>
      <c r="AN311" s="167">
        <v>1.05</v>
      </c>
      <c r="AO311" s="170">
        <f t="shared" si="79"/>
        <v>1.159116102387145</v>
      </c>
      <c r="AP311" s="171">
        <f t="shared" si="80"/>
        <v>18.815022695793736</v>
      </c>
      <c r="AQ311" s="172">
        <f t="shared" si="81"/>
        <v>65.724903348119625</v>
      </c>
      <c r="AR311" s="157">
        <f>INDEX([1]Historical!$C$7:$C$1231,MATCH(B311,[1]Historical!$B$7:$B$1253,0))*IF(AH311="n/a",1.03,IF(AH311&lt;0,1.01,IF(AH311&gt;10,1.1,(1+AH311/100))))</f>
        <v>4.6459999999999999</v>
      </c>
      <c r="AS311" s="166">
        <f t="shared" si="82"/>
        <v>5.1106000000000007</v>
      </c>
      <c r="AT311" s="166">
        <f t="shared" ref="AT311:AV326" si="89">IF($AK311="n/a",1.03*AS311,IF($AK311&lt;0,1.01*AS311,IF($AK311&gt;10,1.1*AS311,(1+$AK311/100)*AS311)))</f>
        <v>5.6216600000000012</v>
      </c>
      <c r="AU311" s="166">
        <f t="shared" si="89"/>
        <v>6.1838260000000016</v>
      </c>
      <c r="AV311" s="166">
        <f t="shared" si="89"/>
        <v>6.8022086000000019</v>
      </c>
      <c r="AW311" s="157">
        <f t="shared" si="84"/>
        <v>28.364294600000001</v>
      </c>
      <c r="AX311" s="173">
        <f t="shared" si="85"/>
        <v>11.03368522192399</v>
      </c>
      <c r="AY311" s="174">
        <v>0.66</v>
      </c>
      <c r="AZ311" s="169">
        <v>46.48</v>
      </c>
      <c r="BA311" s="169">
        <v>-1.06</v>
      </c>
      <c r="BB311" s="169">
        <v>9.5699999999999985</v>
      </c>
      <c r="BC311" s="169">
        <v>20.16</v>
      </c>
      <c r="BE311" s="77">
        <v>2013</v>
      </c>
      <c r="BF311" s="77">
        <f t="shared" si="86"/>
        <v>1</v>
      </c>
      <c r="BG311" s="175">
        <v>5.5</v>
      </c>
      <c r="BH311" t="s">
        <v>939</v>
      </c>
      <c r="BI311" t="s">
        <v>940</v>
      </c>
    </row>
    <row r="312" spans="1:64" ht="11.25" customHeight="1" x14ac:dyDescent="0.2">
      <c r="A312" s="205" t="s">
        <v>1216</v>
      </c>
      <c r="B312" s="153" t="s">
        <v>1217</v>
      </c>
      <c r="C312" s="154" t="s">
        <v>947</v>
      </c>
      <c r="D312" s="154" t="s">
        <v>948</v>
      </c>
      <c r="E312" s="155">
        <v>5</v>
      </c>
      <c r="F312" s="298">
        <v>688</v>
      </c>
      <c r="G312" s="298" t="s">
        <v>88</v>
      </c>
      <c r="H312" s="298" t="s">
        <v>88</v>
      </c>
      <c r="I312" s="156">
        <v>28.23</v>
      </c>
      <c r="J312" s="157">
        <f t="shared" si="72"/>
        <v>7.0846617074034706</v>
      </c>
      <c r="K312" s="158">
        <v>0.5</v>
      </c>
      <c r="L312" s="126">
        <v>4</v>
      </c>
      <c r="M312" s="82">
        <f t="shared" si="73"/>
        <v>2</v>
      </c>
      <c r="N312" s="159" t="s">
        <v>151</v>
      </c>
      <c r="O312" s="160">
        <v>0.48</v>
      </c>
      <c r="P312" s="182">
        <v>44421</v>
      </c>
      <c r="Q312" s="182">
        <v>44447</v>
      </c>
      <c r="R312" s="82">
        <f t="shared" si="74"/>
        <v>4.1666666666666705</v>
      </c>
      <c r="S312" s="162">
        <f>IF(INDEX([1]Historical!$D$7:$D$1229,MATCH(B312,[1]Historical!$B$7:$B$1253,0))=0,"n/a",(INDEX([1]Historical!$C$7:$C$1231,MATCH(B312,[1]Historical!$B$7:$B$1253,0))/INDEX([1]Historical!$D$7:$D$1229,MATCH(B312,[1]Historical!$B$7:$B$1253,0))-1)*100)</f>
        <v>2.0833333333333259</v>
      </c>
      <c r="T312" s="162">
        <f>IF(INDEX([1]Historical!$F$7:$F$1222,MATCH(B312,[1]Historical!$B$7:$B$1253,0))=0,"n/a",((INDEX([1]Historical!$C$7:$C$1231,MATCH(B312,[1]Historical!$B$7:$B$1253,0))/INDEX([1]Historical!$F$7:$F$1222,MATCH(B312,[1]Historical!$B$7:$B$1253,0)))^(1/3)-1)*100)</f>
        <v>1.9439477838389285</v>
      </c>
      <c r="U312" s="162">
        <f>IF(INDEX([1]Historical!$H$7:$H$1222,MATCH(B312,[1]Historical!$B$7:$B$1253,0))=0,"n/a",((INDEX([1]Historical!$C$7:$C$1231,MATCH(B312,[1]Historical!$B$7:$B$1253,0))/INDEX([1]Historical!$H$7:$H$1222,MATCH(B312,[1]Historical!$B$7:$B$1253,0)))^(1/5)-1)*100)</f>
        <v>2.8872193361828558</v>
      </c>
      <c r="V312" s="162">
        <f>IF(INDEX([1]Historical!$N$7:$N$1222,MATCH(B312,[1]Historical!$B$7:$B$1253,0))=0,"n/a",((INDEX([1]Historical!$C$7:$C$1231,MATCH(B312,[1]Historical!$B$7:$B$1253,0))/INDEX([1]Historical!$N$7:$N$1222,MATCH(B312,[1]Historical!$B$7:$B$1253,0)))^(1/10)-1)*100)</f>
        <v>1.4333373877557287</v>
      </c>
      <c r="W312" s="163">
        <f t="shared" si="75"/>
        <v>2.0143333738775673</v>
      </c>
      <c r="X312" s="164">
        <f t="shared" si="76"/>
        <v>0.13618959132937999</v>
      </c>
      <c r="Y312" s="180"/>
      <c r="Z312" s="157">
        <f t="shared" si="77"/>
        <v>82.644628099173559</v>
      </c>
      <c r="AA312" s="166">
        <f t="shared" si="78"/>
        <v>11.665289256198347</v>
      </c>
      <c r="AB312" s="126">
        <v>12</v>
      </c>
      <c r="AC312" s="167">
        <v>2.42</v>
      </c>
      <c r="AD312" s="167">
        <v>1.46</v>
      </c>
      <c r="AE312" s="167">
        <v>3.56</v>
      </c>
      <c r="AF312" s="167">
        <v>1.2</v>
      </c>
      <c r="AG312" s="167">
        <v>10.299999999999999</v>
      </c>
      <c r="AH312" s="167">
        <v>-7.8</v>
      </c>
      <c r="AI312" s="167">
        <v>-20.330000000000002</v>
      </c>
      <c r="AJ312" s="167">
        <v>21.2</v>
      </c>
      <c r="AK312" s="167">
        <v>8</v>
      </c>
      <c r="AL312" s="168">
        <v>2920</v>
      </c>
      <c r="AM312" s="169">
        <v>0.4</v>
      </c>
      <c r="AN312" s="167">
        <v>1.2</v>
      </c>
      <c r="AO312" s="170">
        <f t="shared" si="79"/>
        <v>-1.693408212612022</v>
      </c>
      <c r="AP312" s="171">
        <f t="shared" si="80"/>
        <v>9.9718810435863254</v>
      </c>
      <c r="AQ312" s="172">
        <f t="shared" si="81"/>
        <v>-21.123592860058682</v>
      </c>
      <c r="AR312" s="157">
        <f>INDEX([1]Historical!$C$7:$C$1231,MATCH(B312,[1]Historical!$B$7:$B$1253,0))*IF(AH312="n/a",1.03,IF(AH312&lt;0,1.01,IF(AH312&gt;10,1.1,(1+AH312/100))))</f>
        <v>1.9796</v>
      </c>
      <c r="AS312" s="166">
        <f t="shared" si="82"/>
        <v>1.999396</v>
      </c>
      <c r="AT312" s="166">
        <f t="shared" si="89"/>
        <v>2.1593476800000002</v>
      </c>
      <c r="AU312" s="166">
        <f t="shared" si="89"/>
        <v>2.3320954944000003</v>
      </c>
      <c r="AV312" s="166">
        <f t="shared" si="89"/>
        <v>2.5186631339520007</v>
      </c>
      <c r="AW312" s="157">
        <f t="shared" si="84"/>
        <v>10.989102308352003</v>
      </c>
      <c r="AX312" s="173">
        <f t="shared" si="85"/>
        <v>38.927036161360263</v>
      </c>
      <c r="AY312" s="174">
        <v>1.0900000000000001</v>
      </c>
      <c r="AZ312" s="169">
        <v>15.18</v>
      </c>
      <c r="BA312" s="169">
        <v>-40.770000000000003</v>
      </c>
      <c r="BB312" s="169">
        <v>-1.1100000000000001</v>
      </c>
      <c r="BC312" s="169">
        <v>-23.79</v>
      </c>
      <c r="BE312" s="77">
        <v>2017</v>
      </c>
      <c r="BF312" s="77">
        <f t="shared" si="86"/>
        <v>1</v>
      </c>
      <c r="BG312" s="175">
        <v>4.3999999999999995</v>
      </c>
      <c r="BH312" t="s">
        <v>939</v>
      </c>
      <c r="BI312" t="s">
        <v>945</v>
      </c>
      <c r="BJ312" s="112"/>
      <c r="BK312" s="112"/>
      <c r="BL312" s="112"/>
    </row>
    <row r="313" spans="1:64" ht="11.25" customHeight="1" x14ac:dyDescent="0.2">
      <c r="A313" s="204" t="s">
        <v>1437</v>
      </c>
      <c r="B313" s="153" t="s">
        <v>765</v>
      </c>
      <c r="C313" s="154" t="s">
        <v>90</v>
      </c>
      <c r="D313" s="154" t="s">
        <v>969</v>
      </c>
      <c r="E313" s="155">
        <v>10</v>
      </c>
      <c r="F313" s="298">
        <v>482</v>
      </c>
      <c r="G313" s="298" t="s">
        <v>88</v>
      </c>
      <c r="H313" s="298" t="s">
        <v>88</v>
      </c>
      <c r="I313" s="156">
        <v>92</v>
      </c>
      <c r="J313" s="157">
        <f t="shared" si="72"/>
        <v>3</v>
      </c>
      <c r="K313" s="158">
        <v>0.69</v>
      </c>
      <c r="L313" s="126">
        <v>4</v>
      </c>
      <c r="M313" s="82">
        <f t="shared" si="73"/>
        <v>2.76</v>
      </c>
      <c r="N313" s="159" t="s">
        <v>126</v>
      </c>
      <c r="O313" s="160">
        <v>0.627</v>
      </c>
      <c r="P313" s="161">
        <v>44644</v>
      </c>
      <c r="Q313" s="161">
        <v>44661</v>
      </c>
      <c r="R313" s="82">
        <f t="shared" si="74"/>
        <v>10.047846889952144</v>
      </c>
      <c r="S313" s="162">
        <f>IF(INDEX([1]Historical!$D$7:$D$1229,MATCH(B313,[1]Historical!$B$7:$B$1253,0))=0,"n/a",(INDEX([1]Historical!$C$7:$C$1231,MATCH(B313,[1]Historical!$B$7:$B$1253,0))/INDEX([1]Historical!$D$7:$D$1229,MATCH(B313,[1]Historical!$B$7:$B$1253,0))-1)*100)</f>
        <v>9.9103139013452903</v>
      </c>
      <c r="T313" s="162">
        <f>IF(INDEX([1]Historical!$F$7:$F$1222,MATCH(B313,[1]Historical!$B$7:$B$1253,0))=0,"n/a",((INDEX([1]Historical!$C$7:$C$1231,MATCH(B313,[1]Historical!$B$7:$B$1253,0))/INDEX([1]Historical!$F$7:$F$1222,MATCH(B313,[1]Historical!$B$7:$B$1253,0)))^(1/3)-1)*100)</f>
        <v>9.8426038235661206</v>
      </c>
      <c r="U313" s="162">
        <f>IF(INDEX([1]Historical!$H$7:$H$1222,MATCH(B313,[1]Historical!$B$7:$B$1253,0))=0,"n/a",((INDEX([1]Historical!$C$7:$C$1231,MATCH(B313,[1]Historical!$B$7:$B$1253,0))/INDEX([1]Historical!$H$7:$H$1222,MATCH(B313,[1]Historical!$B$7:$B$1253,0)))^(1/5)-1)*100)</f>
        <v>9.7014495863592778</v>
      </c>
      <c r="V313" s="162">
        <f>IF(INDEX([1]Historical!$N$7:$N$1222,MATCH(B313,[1]Historical!$B$7:$B$1253,0))=0,"n/a",((INDEX([1]Historical!$C$7:$C$1231,MATCH(B313,[1]Historical!$B$7:$B$1253,0))/INDEX([1]Historical!$N$7:$N$1222,MATCH(B313,[1]Historical!$B$7:$B$1253,0)))^(1/10)-1)*100)</f>
        <v>6.6554926043875584</v>
      </c>
      <c r="W313" s="163">
        <f t="shared" si="75"/>
        <v>1.4576606365641074</v>
      </c>
      <c r="X313" s="164" t="str">
        <f t="shared" si="76"/>
        <v>n/a</v>
      </c>
      <c r="Y313" s="212"/>
      <c r="Z313" s="157" t="str">
        <f t="shared" si="77"/>
        <v>n/a</v>
      </c>
      <c r="AA313" s="166" t="str">
        <f t="shared" si="78"/>
        <v>n/a</v>
      </c>
      <c r="AB313" s="126">
        <v>12</v>
      </c>
      <c r="AC313" s="167" t="s">
        <v>95</v>
      </c>
      <c r="AD313" s="167" t="s">
        <v>95</v>
      </c>
      <c r="AE313" s="167" t="s">
        <v>95</v>
      </c>
      <c r="AF313" s="167" t="s">
        <v>95</v>
      </c>
      <c r="AG313" s="167" t="s">
        <v>95</v>
      </c>
      <c r="AH313" s="167" t="s">
        <v>95</v>
      </c>
      <c r="AI313" s="167" t="s">
        <v>95</v>
      </c>
      <c r="AJ313" s="167" t="s">
        <v>95</v>
      </c>
      <c r="AK313" s="167" t="s">
        <v>95</v>
      </c>
      <c r="AL313" s="168" t="s">
        <v>95</v>
      </c>
      <c r="AM313" s="169" t="s">
        <v>95</v>
      </c>
      <c r="AN313" s="167" t="s">
        <v>95</v>
      </c>
      <c r="AO313" s="170" t="str">
        <f t="shared" si="79"/>
        <v>n/a</v>
      </c>
      <c r="AP313" s="171">
        <f t="shared" si="80"/>
        <v>12.701449586359278</v>
      </c>
      <c r="AQ313" s="172" t="str">
        <f t="shared" si="81"/>
        <v>n/a</v>
      </c>
      <c r="AR313" s="157">
        <f>INDEX([1]Historical!$C$7:$C$1231,MATCH(B313,[1]Historical!$B$7:$B$1253,0))*IF(AH313="n/a",1.03,IF(AH313&lt;0,1.01,IF(AH313&gt;10,1.1,(1+AH313/100))))</f>
        <v>2.5245299999999999</v>
      </c>
      <c r="AS313" s="166">
        <f t="shared" si="82"/>
        <v>2.6002659000000001</v>
      </c>
      <c r="AT313" s="166">
        <f t="shared" si="89"/>
        <v>2.6782738770000001</v>
      </c>
      <c r="AU313" s="166">
        <f t="shared" si="89"/>
        <v>2.7586220933100001</v>
      </c>
      <c r="AV313" s="166">
        <f t="shared" si="89"/>
        <v>2.8413807561093001</v>
      </c>
      <c r="AW313" s="157">
        <f t="shared" si="84"/>
        <v>13.403072626419302</v>
      </c>
      <c r="AX313" s="173">
        <f t="shared" si="85"/>
        <v>14.568557202629675</v>
      </c>
      <c r="AY313" s="174" t="s">
        <v>95</v>
      </c>
      <c r="AZ313" s="169" t="s">
        <v>95</v>
      </c>
      <c r="BA313" s="169" t="s">
        <v>95</v>
      </c>
      <c r="BB313" s="169" t="s">
        <v>95</v>
      </c>
      <c r="BC313" s="169" t="s">
        <v>95</v>
      </c>
      <c r="BD313" s="100" t="s">
        <v>932</v>
      </c>
      <c r="BE313" s="77">
        <v>2013</v>
      </c>
      <c r="BF313" s="77">
        <f t="shared" si="86"/>
        <v>1</v>
      </c>
      <c r="BG313" s="175" t="s">
        <v>95</v>
      </c>
      <c r="BH313" t="s">
        <v>939</v>
      </c>
      <c r="BI313" t="s">
        <v>940</v>
      </c>
    </row>
    <row r="314" spans="1:64" s="252" customFormat="1" ht="11.25" customHeight="1" x14ac:dyDescent="0.2">
      <c r="A314" s="236" t="s">
        <v>1096</v>
      </c>
      <c r="B314" s="184" t="s">
        <v>1097</v>
      </c>
      <c r="C314" s="154" t="s">
        <v>90</v>
      </c>
      <c r="D314" s="154" t="s">
        <v>972</v>
      </c>
      <c r="E314" s="185">
        <v>8</v>
      </c>
      <c r="F314" s="298">
        <v>593</v>
      </c>
      <c r="G314" s="297" t="s">
        <v>88</v>
      </c>
      <c r="H314" s="297" t="s">
        <v>88</v>
      </c>
      <c r="I314" s="186">
        <v>89.32</v>
      </c>
      <c r="J314" s="187">
        <f t="shared" si="72"/>
        <v>2.3734885803851324</v>
      </c>
      <c r="K314" s="188">
        <v>0.53</v>
      </c>
      <c r="L314" s="189">
        <v>4</v>
      </c>
      <c r="M314" s="190">
        <f t="shared" si="73"/>
        <v>2.12</v>
      </c>
      <c r="N314" s="191" t="s">
        <v>167</v>
      </c>
      <c r="O314" s="192">
        <v>0.43</v>
      </c>
      <c r="P314" s="193">
        <v>44713</v>
      </c>
      <c r="Q314" s="193">
        <v>44727</v>
      </c>
      <c r="R314" s="190">
        <f t="shared" si="74"/>
        <v>23.255813953488381</v>
      </c>
      <c r="S314" s="162">
        <f>IF(INDEX([1]Historical!$D$7:$D$1229,MATCH(B314,[1]Historical!$B$7:$B$1253,0))=0,"n/a",(INDEX([1]Historical!$C$7:$C$1231,MATCH(B314,[1]Historical!$B$7:$B$1253,0))/INDEX([1]Historical!$D$7:$D$1229,MATCH(B314,[1]Historical!$B$7:$B$1253,0))-1)*100)</f>
        <v>26.5625</v>
      </c>
      <c r="T314" s="162">
        <f>IF(INDEX([1]Historical!$F$7:$F$1222,MATCH(B314,[1]Historical!$B$7:$B$1253,0))=0,"n/a",((INDEX([1]Historical!$C$7:$C$1231,MATCH(B314,[1]Historical!$B$7:$B$1253,0))/INDEX([1]Historical!$F$7:$F$1222,MATCH(B314,[1]Historical!$B$7:$B$1253,0)))^(1/3)-1)*100)</f>
        <v>17.057132251103901</v>
      </c>
      <c r="U314" s="162">
        <f>IF(INDEX([1]Historical!$H$7:$H$1222,MATCH(B314,[1]Historical!$B$7:$B$1253,0))=0,"n/a",((INDEX([1]Historical!$C$7:$C$1231,MATCH(B314,[1]Historical!$B$7:$B$1253,0))/INDEX([1]Historical!$H$7:$H$1222,MATCH(B314,[1]Historical!$B$7:$B$1253,0)))^(1/5)-1)*100)</f>
        <v>19.672459249017258</v>
      </c>
      <c r="V314" s="162" t="str">
        <f>IF(INDEX([1]Historical!$N$7:$N$1222,MATCH(B314,[1]Historical!$B$7:$B$1253,0))=0,"n/a",((INDEX([1]Historical!$C$7:$C$1231,MATCH(B314,[1]Historical!$B$7:$B$1253,0))/INDEX([1]Historical!$N$7:$N$1222,MATCH(B314,[1]Historical!$B$7:$B$1253,0)))^(1/10)-1)*100)</f>
        <v>n/a</v>
      </c>
      <c r="W314" s="163" t="str">
        <f t="shared" si="75"/>
        <v>n/a</v>
      </c>
      <c r="X314" s="164">
        <f t="shared" si="76"/>
        <v>0.62254617876636886</v>
      </c>
      <c r="Y314" s="221"/>
      <c r="Z314" s="187">
        <f t="shared" si="77"/>
        <v>34.3042071197411</v>
      </c>
      <c r="AA314" s="194">
        <f t="shared" si="78"/>
        <v>14.453074433656958</v>
      </c>
      <c r="AB314" s="189">
        <v>3</v>
      </c>
      <c r="AC314" s="195">
        <v>6.18</v>
      </c>
      <c r="AD314" s="195">
        <v>1.67</v>
      </c>
      <c r="AE314" s="195">
        <v>2.48</v>
      </c>
      <c r="AF314" s="195">
        <v>4.01</v>
      </c>
      <c r="AG314" s="195">
        <v>30</v>
      </c>
      <c r="AH314" s="195">
        <v>40.799999999999997</v>
      </c>
      <c r="AI314" s="195">
        <v>18.96</v>
      </c>
      <c r="AJ314" s="195">
        <v>31.6</v>
      </c>
      <c r="AK314" s="195">
        <v>8.6999999999999993</v>
      </c>
      <c r="AL314" s="196">
        <v>5730</v>
      </c>
      <c r="AM314" s="197">
        <v>0.1</v>
      </c>
      <c r="AN314" s="195">
        <v>0</v>
      </c>
      <c r="AO314" s="198">
        <f t="shared" si="79"/>
        <v>7.592873395745432</v>
      </c>
      <c r="AP314" s="199">
        <f t="shared" si="80"/>
        <v>22.04594782940239</v>
      </c>
      <c r="AQ314" s="172">
        <f t="shared" si="81"/>
        <v>60.494829932603402</v>
      </c>
      <c r="AR314" s="157">
        <f>INDEX([1]Historical!$C$7:$C$1231,MATCH(B314,[1]Historical!$B$7:$B$1253,0))*IF(AH314="n/a",1.03,IF(AH314&lt;0,1.01,IF(AH314&gt;10,1.1,(1+AH314/100))))</f>
        <v>1.7820000000000003</v>
      </c>
      <c r="AS314" s="194">
        <f t="shared" si="82"/>
        <v>1.9602000000000004</v>
      </c>
      <c r="AT314" s="194">
        <f t="shared" si="89"/>
        <v>2.1307374000000006</v>
      </c>
      <c r="AU314" s="194">
        <f t="shared" si="89"/>
        <v>2.3161115538000003</v>
      </c>
      <c r="AV314" s="194">
        <f t="shared" si="89"/>
        <v>2.5176132589806004</v>
      </c>
      <c r="AW314" s="187">
        <f t="shared" si="84"/>
        <v>10.706662212780603</v>
      </c>
      <c r="AX314" s="200">
        <f t="shared" si="85"/>
        <v>11.986858724564044</v>
      </c>
      <c r="AY314" s="201">
        <v>0.69</v>
      </c>
      <c r="AZ314" s="197">
        <v>20.41</v>
      </c>
      <c r="BA314" s="197">
        <v>-27.16</v>
      </c>
      <c r="BB314" s="197">
        <v>12.049999999999999</v>
      </c>
      <c r="BC314" s="197">
        <v>2.2399999999999998</v>
      </c>
      <c r="BD314" s="202"/>
      <c r="BE314" s="77">
        <v>2015</v>
      </c>
      <c r="BF314" s="77">
        <f t="shared" si="86"/>
        <v>1</v>
      </c>
      <c r="BG314" s="203">
        <v>16.3</v>
      </c>
      <c r="BH314" t="s">
        <v>939</v>
      </c>
      <c r="BI314" t="s">
        <v>940</v>
      </c>
      <c r="BJ314" s="208"/>
      <c r="BK314" s="208"/>
      <c r="BL314" s="208"/>
    </row>
    <row r="315" spans="1:64" ht="11.25" customHeight="1" x14ac:dyDescent="0.2">
      <c r="A315" s="205" t="s">
        <v>1098</v>
      </c>
      <c r="B315" s="153" t="s">
        <v>1099</v>
      </c>
      <c r="C315" s="154" t="s">
        <v>90</v>
      </c>
      <c r="D315" s="154" t="s">
        <v>972</v>
      </c>
      <c r="E315" s="155">
        <v>6</v>
      </c>
      <c r="F315" s="298">
        <v>677</v>
      </c>
      <c r="G315" s="298" t="s">
        <v>88</v>
      </c>
      <c r="H315" s="298" t="s">
        <v>88</v>
      </c>
      <c r="I315" s="156">
        <v>59.82</v>
      </c>
      <c r="J315" s="157">
        <f t="shared" si="72"/>
        <v>2.6746907388833168</v>
      </c>
      <c r="K315" s="158">
        <v>0.4</v>
      </c>
      <c r="L315" s="126">
        <v>4</v>
      </c>
      <c r="M315" s="82">
        <f t="shared" si="73"/>
        <v>1.6</v>
      </c>
      <c r="N315" s="159" t="s">
        <v>1100</v>
      </c>
      <c r="O315" s="160">
        <v>0.35</v>
      </c>
      <c r="P315" s="161">
        <v>44726</v>
      </c>
      <c r="Q315" s="161">
        <v>44749</v>
      </c>
      <c r="R315" s="82">
        <f t="shared" si="74"/>
        <v>14.285714285714299</v>
      </c>
      <c r="S315" s="162">
        <f>IF(INDEX([1]Historical!$D$7:$D$1229,MATCH(B315,[1]Historical!$B$7:$B$1253,0))=0,"n/a",(INDEX([1]Historical!$C$7:$C$1231,MATCH(B315,[1]Historical!$B$7:$B$1253,0))/INDEX([1]Historical!$D$7:$D$1229,MATCH(B315,[1]Historical!$B$7:$B$1253,0))-1)*100)</f>
        <v>12.765957446808507</v>
      </c>
      <c r="T315" s="162">
        <f>IF(INDEX([1]Historical!$F$7:$F$1222,MATCH(B315,[1]Historical!$B$7:$B$1253,0))=0,"n/a",((INDEX([1]Historical!$C$7:$C$1231,MATCH(B315,[1]Historical!$B$7:$B$1253,0))/INDEX([1]Historical!$F$7:$F$1222,MATCH(B315,[1]Historical!$B$7:$B$1253,0)))^(1/3)-1)*100)</f>
        <v>19.574358216078625</v>
      </c>
      <c r="U315" s="162" t="str">
        <f>IF(INDEX([1]Historical!$H$7:$H$1222,MATCH(B315,[1]Historical!$B$7:$B$1253,0))=0,"n/a",((INDEX([1]Historical!$C$7:$C$1231,MATCH(B315,[1]Historical!$B$7:$B$1253,0))/INDEX([1]Historical!$H$7:$H$1222,MATCH(B315,[1]Historical!$B$7:$B$1253,0)))^(1/5)-1)*100)</f>
        <v>n/a</v>
      </c>
      <c r="V315" s="162" t="str">
        <f>IF(INDEX([1]Historical!$N$7:$N$1222,MATCH(B315,[1]Historical!$B$7:$B$1253,0))=0,"n/a",((INDEX([1]Historical!$C$7:$C$1231,MATCH(B315,[1]Historical!$B$7:$B$1253,0))/INDEX([1]Historical!$N$7:$N$1222,MATCH(B315,[1]Historical!$B$7:$B$1253,0)))^(1/10)-1)*100)</f>
        <v>n/a</v>
      </c>
      <c r="W315" s="163" t="str">
        <f t="shared" si="75"/>
        <v>n/a</v>
      </c>
      <c r="X315" s="164" t="str">
        <f t="shared" si="76"/>
        <v>n/a</v>
      </c>
      <c r="Y315" s="180"/>
      <c r="Z315" s="157">
        <f t="shared" si="77"/>
        <v>38.929440389294399</v>
      </c>
      <c r="AA315" s="166">
        <f t="shared" si="78"/>
        <v>14.554744525547445</v>
      </c>
      <c r="AB315" s="126">
        <v>3</v>
      </c>
      <c r="AC315" s="167">
        <v>4.1100000000000003</v>
      </c>
      <c r="AD315" s="167">
        <v>0.99</v>
      </c>
      <c r="AE315" s="167">
        <v>7.4</v>
      </c>
      <c r="AF315" s="167">
        <v>6.12</v>
      </c>
      <c r="AG315" s="167">
        <v>44.800000000000004</v>
      </c>
      <c r="AH315" s="167">
        <v>41.9</v>
      </c>
      <c r="AI315" s="167">
        <v>17.71</v>
      </c>
      <c r="AJ315" s="167">
        <v>162.5</v>
      </c>
      <c r="AK315" s="167">
        <v>15</v>
      </c>
      <c r="AL315" s="168">
        <v>3140</v>
      </c>
      <c r="AM315" s="169">
        <v>3.5000000000000004</v>
      </c>
      <c r="AN315" s="167">
        <v>0.6</v>
      </c>
      <c r="AO315" s="170" t="str">
        <f t="shared" si="79"/>
        <v>n/a</v>
      </c>
      <c r="AP315" s="171" t="str">
        <f t="shared" si="80"/>
        <v>n/a</v>
      </c>
      <c r="AQ315" s="172">
        <f t="shared" si="81"/>
        <v>98.969608507151307</v>
      </c>
      <c r="AR315" s="157">
        <f>INDEX([1]Historical!$C$7:$C$1231,MATCH(B315,[1]Historical!$B$7:$B$1253,0))*IF(AH315="n/a",1.03,IF(AH315&lt;0,1.01,IF(AH315&gt;10,1.1,(1+AH315/100))))</f>
        <v>1.4575</v>
      </c>
      <c r="AS315" s="166">
        <f t="shared" si="82"/>
        <v>1.6032500000000001</v>
      </c>
      <c r="AT315" s="166">
        <f t="shared" si="89"/>
        <v>1.7635750000000001</v>
      </c>
      <c r="AU315" s="166">
        <f t="shared" si="89"/>
        <v>1.9399325000000003</v>
      </c>
      <c r="AV315" s="166">
        <f t="shared" si="89"/>
        <v>2.1339257500000004</v>
      </c>
      <c r="AW315" s="157">
        <f t="shared" si="84"/>
        <v>8.8981832500000007</v>
      </c>
      <c r="AX315" s="173">
        <f t="shared" si="85"/>
        <v>14.874930207288534</v>
      </c>
      <c r="AY315" s="174">
        <v>1</v>
      </c>
      <c r="AZ315" s="169">
        <v>7.19</v>
      </c>
      <c r="BA315" s="169">
        <v>-48.43</v>
      </c>
      <c r="BB315" s="169">
        <v>-8.7800000000000011</v>
      </c>
      <c r="BC315" s="169">
        <v>-16.75</v>
      </c>
      <c r="BE315" s="77">
        <v>2017</v>
      </c>
      <c r="BF315" s="77">
        <f t="shared" si="86"/>
        <v>1</v>
      </c>
      <c r="BG315" s="175">
        <v>11.799999999999999</v>
      </c>
      <c r="BH315" t="s">
        <v>939</v>
      </c>
      <c r="BI315" t="s">
        <v>940</v>
      </c>
      <c r="BJ315" s="112"/>
      <c r="BK315" s="112"/>
      <c r="BL315" s="112"/>
    </row>
    <row r="316" spans="1:64" ht="11.25" customHeight="1" x14ac:dyDescent="0.2">
      <c r="A316" s="112" t="s">
        <v>1438</v>
      </c>
      <c r="B316" s="153" t="s">
        <v>330</v>
      </c>
      <c r="C316" s="154" t="s">
        <v>90</v>
      </c>
      <c r="D316" s="154" t="s">
        <v>110</v>
      </c>
      <c r="E316" s="155">
        <v>13</v>
      </c>
      <c r="F316" s="298">
        <v>288</v>
      </c>
      <c r="G316" s="298" t="s">
        <v>104</v>
      </c>
      <c r="H316" s="298" t="s">
        <v>104</v>
      </c>
      <c r="I316" s="156">
        <v>39.46</v>
      </c>
      <c r="J316" s="157">
        <f t="shared" si="72"/>
        <v>3.2437911809427269</v>
      </c>
      <c r="K316" s="158">
        <v>0.32</v>
      </c>
      <c r="L316" s="126">
        <v>4</v>
      </c>
      <c r="M316" s="82">
        <f t="shared" si="73"/>
        <v>1.28</v>
      </c>
      <c r="N316" s="159" t="s">
        <v>119</v>
      </c>
      <c r="O316" s="160">
        <v>0.31</v>
      </c>
      <c r="P316" s="161">
        <v>44637</v>
      </c>
      <c r="Q316" s="161">
        <v>44651</v>
      </c>
      <c r="R316" s="82">
        <f t="shared" si="74"/>
        <v>3.2258064516129057</v>
      </c>
      <c r="S316" s="162">
        <f>IF(INDEX([1]Historical!$D$7:$D$1229,MATCH(B316,[1]Historical!$B$7:$B$1253,0))=0,"n/a",(INDEX([1]Historical!$C$7:$C$1231,MATCH(B316,[1]Historical!$B$7:$B$1253,0))/INDEX([1]Historical!$D$7:$D$1229,MATCH(B316,[1]Historical!$B$7:$B$1253,0))-1)*100)</f>
        <v>3.3333333333333437</v>
      </c>
      <c r="T316" s="162">
        <f>IF(INDEX([1]Historical!$F$7:$F$1222,MATCH(B316,[1]Historical!$B$7:$B$1253,0))=0,"n/a",((INDEX([1]Historical!$C$7:$C$1231,MATCH(B316,[1]Historical!$B$7:$B$1253,0))/INDEX([1]Historical!$F$7:$F$1222,MATCH(B316,[1]Historical!$B$7:$B$1253,0)))^(1/3)-1)*100)</f>
        <v>2.8424177276338281</v>
      </c>
      <c r="U316" s="162">
        <f>IF(INDEX([1]Historical!$H$7:$H$1222,MATCH(B316,[1]Historical!$B$7:$B$1253,0))=0,"n/a",((INDEX([1]Historical!$C$7:$C$1231,MATCH(B316,[1]Historical!$B$7:$B$1253,0))/INDEX([1]Historical!$H$7:$H$1222,MATCH(B316,[1]Historical!$B$7:$B$1253,0)))^(1/5)-1)*100)</f>
        <v>3.186567045409161</v>
      </c>
      <c r="V316" s="162">
        <f>IF(INDEX([1]Historical!$N$7:$N$1222,MATCH(B316,[1]Historical!$B$7:$B$1253,0))=0,"n/a",((INDEX([1]Historical!$C$7:$C$1231,MATCH(B316,[1]Historical!$B$7:$B$1253,0))/INDEX([1]Historical!$N$7:$N$1222,MATCH(B316,[1]Historical!$B$7:$B$1253,0)))^(1/10)-1)*100)</f>
        <v>10.424739995488853</v>
      </c>
      <c r="W316" s="163">
        <f t="shared" si="75"/>
        <v>0.30567352728107361</v>
      </c>
      <c r="X316" s="164">
        <f t="shared" si="76"/>
        <v>0.2923456004962533</v>
      </c>
      <c r="Y316" s="212"/>
      <c r="Z316" s="157">
        <f t="shared" si="77"/>
        <v>92.086330935251809</v>
      </c>
      <c r="AA316" s="166">
        <f t="shared" si="78"/>
        <v>28.388489208633096</v>
      </c>
      <c r="AB316" s="126">
        <v>12</v>
      </c>
      <c r="AC316" s="167">
        <v>1.39</v>
      </c>
      <c r="AD316" s="167">
        <v>2.2200000000000002</v>
      </c>
      <c r="AE316" s="167">
        <v>1.1399999999999999</v>
      </c>
      <c r="AF316" s="167">
        <v>1.3</v>
      </c>
      <c r="AG316" s="167">
        <v>3.6999999999999997</v>
      </c>
      <c r="AH316" s="167">
        <v>9</v>
      </c>
      <c r="AI316" s="167">
        <v>73.45</v>
      </c>
      <c r="AJ316" s="167">
        <v>10.9</v>
      </c>
      <c r="AK316" s="167">
        <v>12.7</v>
      </c>
      <c r="AL316" s="168">
        <v>1560</v>
      </c>
      <c r="AM316" s="169">
        <v>0.4</v>
      </c>
      <c r="AN316" s="167">
        <v>0.4</v>
      </c>
      <c r="AO316" s="170">
        <f t="shared" si="79"/>
        <v>-21.958130982281208</v>
      </c>
      <c r="AP316" s="171">
        <f t="shared" si="80"/>
        <v>6.4303582263518884</v>
      </c>
      <c r="AQ316" s="172">
        <f t="shared" si="81"/>
        <v>28.071223190193884</v>
      </c>
      <c r="AR316" s="157">
        <f>INDEX([1]Historical!$C$7:$C$1231,MATCH(B316,[1]Historical!$B$7:$B$1253,0))*IF(AH316="n/a",1.03,IF(AH316&lt;0,1.01,IF(AH316&gt;10,1.1,(1+AH316/100))))</f>
        <v>1.3516000000000001</v>
      </c>
      <c r="AS316" s="166">
        <f t="shared" si="82"/>
        <v>1.4867600000000003</v>
      </c>
      <c r="AT316" s="166">
        <f t="shared" si="89"/>
        <v>1.6354360000000006</v>
      </c>
      <c r="AU316" s="166">
        <f t="shared" si="89"/>
        <v>1.7989796000000007</v>
      </c>
      <c r="AV316" s="166">
        <f t="shared" si="89"/>
        <v>1.9788775600000008</v>
      </c>
      <c r="AW316" s="157">
        <f t="shared" si="84"/>
        <v>8.2516531600000036</v>
      </c>
      <c r="AX316" s="173">
        <f t="shared" si="85"/>
        <v>20.911437303598589</v>
      </c>
      <c r="AY316" s="174">
        <v>0.42</v>
      </c>
      <c r="AZ316" s="169">
        <v>21.04</v>
      </c>
      <c r="BA316" s="169">
        <v>-8.129999999999999</v>
      </c>
      <c r="BB316" s="169">
        <v>6.9</v>
      </c>
      <c r="BC316" s="169">
        <v>3.1399999999999997</v>
      </c>
      <c r="BE316" s="77">
        <v>2010</v>
      </c>
      <c r="BF316" s="77">
        <f t="shared" si="86"/>
        <v>1</v>
      </c>
      <c r="BG316" s="175">
        <v>0.4</v>
      </c>
      <c r="BH316" t="s">
        <v>939</v>
      </c>
      <c r="BI316" t="s">
        <v>940</v>
      </c>
    </row>
    <row r="317" spans="1:64" ht="11.25" customHeight="1" x14ac:dyDescent="0.2">
      <c r="A317" s="112" t="s">
        <v>1439</v>
      </c>
      <c r="B317" s="153" t="s">
        <v>623</v>
      </c>
      <c r="C317" s="154" t="s">
        <v>94</v>
      </c>
      <c r="D317" s="154" t="s">
        <v>943</v>
      </c>
      <c r="E317" s="155">
        <v>12</v>
      </c>
      <c r="F317" s="298">
        <v>365</v>
      </c>
      <c r="G317" s="298" t="s">
        <v>88</v>
      </c>
      <c r="H317" s="298" t="s">
        <v>88</v>
      </c>
      <c r="I317" s="167">
        <v>28.99</v>
      </c>
      <c r="J317" s="157">
        <f t="shared" si="72"/>
        <v>4.415315626077958</v>
      </c>
      <c r="K317" s="158">
        <v>0.32</v>
      </c>
      <c r="L317" s="126">
        <v>4</v>
      </c>
      <c r="M317" s="82">
        <f t="shared" si="73"/>
        <v>1.28</v>
      </c>
      <c r="N317" s="159" t="s">
        <v>116</v>
      </c>
      <c r="O317" s="160">
        <v>0.31</v>
      </c>
      <c r="P317" s="161">
        <v>44707</v>
      </c>
      <c r="Q317" s="161">
        <v>44720</v>
      </c>
      <c r="R317" s="82">
        <f t="shared" si="74"/>
        <v>3.2258064516129057</v>
      </c>
      <c r="S317" s="162">
        <f>IF(INDEX([1]Historical!$D$7:$D$1229,MATCH(B317,[1]Historical!$B$7:$B$1253,0))=0,"n/a",(INDEX([1]Historical!$C$7:$C$1231,MATCH(B317,[1]Historical!$B$7:$B$1253,0))/INDEX([1]Historical!$D$7:$D$1229,MATCH(B317,[1]Historical!$B$7:$B$1253,0))-1)*100)</f>
        <v>1.2295081967213184</v>
      </c>
      <c r="T317" s="162">
        <f>IF(INDEX([1]Historical!$F$7:$F$1222,MATCH(B317,[1]Historical!$B$7:$B$1253,0))=0,"n/a",((INDEX([1]Historical!$C$7:$C$1231,MATCH(B317,[1]Historical!$B$7:$B$1253,0))/INDEX([1]Historical!$F$7:$F$1222,MATCH(B317,[1]Historical!$B$7:$B$1253,0)))^(1/3)-1)*100)</f>
        <v>1.8185790714934535</v>
      </c>
      <c r="U317" s="162">
        <f>IF(INDEX([1]Historical!$H$7:$H$1222,MATCH(B317,[1]Historical!$B$7:$B$1253,0))=0,"n/a",((INDEX([1]Historical!$C$7:$C$1231,MATCH(B317,[1]Historical!$B$7:$B$1253,0))/INDEX([1]Historical!$H$7:$H$1222,MATCH(B317,[1]Historical!$B$7:$B$1253,0)))^(1/5)-1)*100)</f>
        <v>2.5293235168655004</v>
      </c>
      <c r="V317" s="162">
        <f>IF(INDEX([1]Historical!$N$7:$N$1222,MATCH(B317,[1]Historical!$B$7:$B$1253,0))=0,"n/a",((INDEX([1]Historical!$C$7:$C$1231,MATCH(B317,[1]Historical!$B$7:$B$1253,0))/INDEX([1]Historical!$N$7:$N$1222,MATCH(B317,[1]Historical!$B$7:$B$1253,0)))^(1/10)-1)*100)</f>
        <v>2.9883055969457395</v>
      </c>
      <c r="W317" s="163">
        <f t="shared" si="75"/>
        <v>0.8464072481243714</v>
      </c>
      <c r="X317" s="164" t="str">
        <f t="shared" si="76"/>
        <v>n/a</v>
      </c>
      <c r="Y317" s="180"/>
      <c r="Z317" s="157">
        <f t="shared" si="77"/>
        <v>46.715328467153284</v>
      </c>
      <c r="AA317" s="166">
        <f t="shared" si="78"/>
        <v>10.580291970802918</v>
      </c>
      <c r="AB317" s="126">
        <v>12</v>
      </c>
      <c r="AC317" s="167">
        <v>2.74</v>
      </c>
      <c r="AD317" s="167">
        <v>1.05</v>
      </c>
      <c r="AE317" s="167">
        <v>0.48</v>
      </c>
      <c r="AF317" s="167">
        <v>2.15</v>
      </c>
      <c r="AG317" s="167">
        <v>10</v>
      </c>
      <c r="AH317" s="167">
        <v>39.4</v>
      </c>
      <c r="AI317" s="167">
        <v>-19.07</v>
      </c>
      <c r="AJ317" s="167">
        <v>-6.3</v>
      </c>
      <c r="AK317" s="167">
        <v>10</v>
      </c>
      <c r="AL317" s="168">
        <v>1160</v>
      </c>
      <c r="AM317" s="169">
        <v>0.89999999999999991</v>
      </c>
      <c r="AN317" s="167">
        <v>0.57999999999999996</v>
      </c>
      <c r="AO317" s="170">
        <f t="shared" si="79"/>
        <v>-3.6356528278594595</v>
      </c>
      <c r="AP317" s="171">
        <f t="shared" si="80"/>
        <v>6.9446391429434584</v>
      </c>
      <c r="AQ317" s="172">
        <f t="shared" si="81"/>
        <v>0.54877807363233888</v>
      </c>
      <c r="AR317" s="157">
        <f>INDEX([1]Historical!$C$7:$C$1231,MATCH(B317,[1]Historical!$B$7:$B$1253,0))*IF(AH317="n/a",1.03,IF(AH317&lt;0,1.01,IF(AH317&gt;10,1.1,(1+AH317/100))))</f>
        <v>1.3585000000000003</v>
      </c>
      <c r="AS317" s="166">
        <f t="shared" si="82"/>
        <v>1.3720850000000002</v>
      </c>
      <c r="AT317" s="166">
        <f t="shared" si="89"/>
        <v>1.5092935000000003</v>
      </c>
      <c r="AU317" s="166">
        <f t="shared" si="89"/>
        <v>1.6602228500000005</v>
      </c>
      <c r="AV317" s="166">
        <f t="shared" si="89"/>
        <v>1.8262451350000006</v>
      </c>
      <c r="AW317" s="157">
        <f t="shared" si="84"/>
        <v>7.7263464850000014</v>
      </c>
      <c r="AX317" s="173">
        <f t="shared" si="85"/>
        <v>26.651764349775792</v>
      </c>
      <c r="AY317" s="174">
        <v>0.94</v>
      </c>
      <c r="AZ317" s="169">
        <v>9.35</v>
      </c>
      <c r="BA317" s="169">
        <v>-34.849999999999994</v>
      </c>
      <c r="BB317" s="169">
        <v>-3.05</v>
      </c>
      <c r="BC317" s="169">
        <v>-18.38</v>
      </c>
      <c r="BE317" s="77">
        <v>2011</v>
      </c>
      <c r="BF317" s="77">
        <f t="shared" si="86"/>
        <v>1</v>
      </c>
      <c r="BG317" s="175">
        <v>3.8</v>
      </c>
      <c r="BH317" t="s">
        <v>939</v>
      </c>
      <c r="BI317" t="s">
        <v>940</v>
      </c>
    </row>
    <row r="318" spans="1:64" ht="11.25" customHeight="1" x14ac:dyDescent="0.2">
      <c r="A318" s="205" t="s">
        <v>1440</v>
      </c>
      <c r="B318" s="153" t="s">
        <v>1101</v>
      </c>
      <c r="C318" s="154" t="s">
        <v>100</v>
      </c>
      <c r="D318" s="154" t="s">
        <v>1043</v>
      </c>
      <c r="E318" s="155">
        <v>6</v>
      </c>
      <c r="F318" s="298">
        <v>652</v>
      </c>
      <c r="G318" s="298" t="s">
        <v>88</v>
      </c>
      <c r="H318" s="298" t="s">
        <v>88</v>
      </c>
      <c r="I318" s="156">
        <v>15.1</v>
      </c>
      <c r="J318" s="157">
        <f t="shared" si="72"/>
        <v>5.298013245033113</v>
      </c>
      <c r="K318" s="158">
        <v>0.2</v>
      </c>
      <c r="L318" s="126">
        <v>4</v>
      </c>
      <c r="M318" s="82">
        <f t="shared" si="73"/>
        <v>0.8</v>
      </c>
      <c r="N318" s="159" t="s">
        <v>167</v>
      </c>
      <c r="O318" s="160">
        <v>0.18</v>
      </c>
      <c r="P318" s="161">
        <v>44546</v>
      </c>
      <c r="Q318" s="161">
        <v>44561</v>
      </c>
      <c r="R318" s="82">
        <f t="shared" si="74"/>
        <v>11.111111111111121</v>
      </c>
      <c r="S318" s="162">
        <f>IF(INDEX([1]Historical!$D$7:$D$1229,MATCH(B318,[1]Historical!$B$7:$B$1253,0))=0,"n/a",(INDEX([1]Historical!$C$7:$C$1231,MATCH(B318,[1]Historical!$B$7:$B$1253,0))/INDEX([1]Historical!$D$7:$D$1229,MATCH(B318,[1]Historical!$B$7:$B$1253,0))-1)*100)</f>
        <v>12.12121212121211</v>
      </c>
      <c r="T318" s="162">
        <f>IF(INDEX([1]Historical!$F$7:$F$1222,MATCH(B318,[1]Historical!$B$7:$B$1253,0))=0,"n/a",((INDEX([1]Historical!$C$7:$C$1231,MATCH(B318,[1]Historical!$B$7:$B$1253,0))/INDEX([1]Historical!$F$7:$F$1222,MATCH(B318,[1]Historical!$B$7:$B$1253,0)))^(1/3)-1)*100)</f>
        <v>9.0901707079799934</v>
      </c>
      <c r="U318" s="162">
        <f>IF(INDEX([1]Historical!$H$7:$H$1222,MATCH(B318,[1]Historical!$B$7:$B$1253,0))=0,"n/a",((INDEX([1]Historical!$C$7:$C$1231,MATCH(B318,[1]Historical!$B$7:$B$1253,0))/INDEX([1]Historical!$H$7:$H$1222,MATCH(B318,[1]Historical!$B$7:$B$1253,0)))^(1/5)-1)*100)</f>
        <v>11.994446021554527</v>
      </c>
      <c r="V318" s="162">
        <f>IF(INDEX([1]Historical!$N$7:$N$1222,MATCH(B318,[1]Historical!$B$7:$B$1253,0))=0,"n/a",((INDEX([1]Historical!$C$7:$C$1231,MATCH(B318,[1]Historical!$B$7:$B$1253,0))/INDEX([1]Historical!$N$7:$N$1222,MATCH(B318,[1]Historical!$B$7:$B$1253,0)))^(1/10)-1)*100)</f>
        <v>6.3450238139030057</v>
      </c>
      <c r="W318" s="163">
        <f t="shared" si="75"/>
        <v>1.8903705286767711</v>
      </c>
      <c r="X318" s="164" t="str">
        <f t="shared" si="76"/>
        <v>n/a</v>
      </c>
      <c r="Y318" s="180"/>
      <c r="Z318" s="157">
        <f t="shared" si="77"/>
        <v>285.71428571428572</v>
      </c>
      <c r="AA318" s="166">
        <f t="shared" si="78"/>
        <v>53.928571428571423</v>
      </c>
      <c r="AB318" s="126">
        <v>1</v>
      </c>
      <c r="AC318" s="167">
        <v>0.28000000000000003</v>
      </c>
      <c r="AD318" s="167">
        <v>3.06</v>
      </c>
      <c r="AE318" s="167">
        <v>0.3</v>
      </c>
      <c r="AF318" s="167">
        <v>0.66</v>
      </c>
      <c r="AG318" s="167">
        <v>1.3</v>
      </c>
      <c r="AH318" s="167">
        <v>209.60000000000002</v>
      </c>
      <c r="AI318" s="167">
        <v>25</v>
      </c>
      <c r="AJ318" s="167">
        <v>-15</v>
      </c>
      <c r="AK318" s="167">
        <v>17</v>
      </c>
      <c r="AL318" s="168">
        <v>168.26</v>
      </c>
      <c r="AM318" s="169">
        <v>1.7000000000000002</v>
      </c>
      <c r="AN318" s="167">
        <v>0.09</v>
      </c>
      <c r="AO318" s="170">
        <f t="shared" si="79"/>
        <v>-36.636112161983782</v>
      </c>
      <c r="AP318" s="171">
        <f t="shared" si="80"/>
        <v>17.292459266587642</v>
      </c>
      <c r="AQ318" s="172">
        <f t="shared" si="81"/>
        <v>25.773795438666845</v>
      </c>
      <c r="AR318" s="157">
        <f>INDEX([1]Historical!$C$7:$C$1231,MATCH(B318,[1]Historical!$B$7:$B$1253,0))*IF(AH318="n/a",1.03,IF(AH318&lt;0,1.01,IF(AH318&gt;10,1.1,(1+AH318/100))))</f>
        <v>0.81400000000000006</v>
      </c>
      <c r="AS318" s="166">
        <f t="shared" si="82"/>
        <v>0.89540000000000008</v>
      </c>
      <c r="AT318" s="166">
        <f t="shared" si="89"/>
        <v>0.98494000000000015</v>
      </c>
      <c r="AU318" s="166">
        <f t="shared" si="89"/>
        <v>1.0834340000000002</v>
      </c>
      <c r="AV318" s="166">
        <f t="shared" si="89"/>
        <v>1.1917774000000003</v>
      </c>
      <c r="AW318" s="157">
        <f t="shared" si="84"/>
        <v>4.9695514000000012</v>
      </c>
      <c r="AX318" s="173">
        <f t="shared" si="85"/>
        <v>32.910936423841072</v>
      </c>
      <c r="AY318" s="174">
        <v>0.92</v>
      </c>
      <c r="AZ318" s="169">
        <v>17.05</v>
      </c>
      <c r="BA318" s="169">
        <v>-44.51</v>
      </c>
      <c r="BB318" s="169">
        <v>3.2800000000000002</v>
      </c>
      <c r="BC318" s="169">
        <v>-13.209999999999999</v>
      </c>
      <c r="BE318" s="77">
        <v>2016</v>
      </c>
      <c r="BF318" s="77">
        <f t="shared" si="86"/>
        <v>1</v>
      </c>
      <c r="BG318" s="175">
        <v>0.89999999999999991</v>
      </c>
      <c r="BH318" t="s">
        <v>939</v>
      </c>
      <c r="BI318" t="s">
        <v>940</v>
      </c>
      <c r="BJ318" s="112"/>
      <c r="BK318" s="112"/>
      <c r="BL318" s="112"/>
    </row>
    <row r="319" spans="1:64" ht="11.25" customHeight="1" x14ac:dyDescent="0.2">
      <c r="A319" s="112" t="s">
        <v>1441</v>
      </c>
      <c r="B319" s="153" t="s">
        <v>536</v>
      </c>
      <c r="C319" s="154" t="s">
        <v>90</v>
      </c>
      <c r="D319" s="154" t="s">
        <v>969</v>
      </c>
      <c r="E319" s="155">
        <v>12</v>
      </c>
      <c r="F319" s="298">
        <v>334</v>
      </c>
      <c r="G319" s="298" t="s">
        <v>88</v>
      </c>
      <c r="H319" s="298" t="s">
        <v>88</v>
      </c>
      <c r="I319" s="156">
        <v>25.49</v>
      </c>
      <c r="J319" s="157">
        <f t="shared" si="72"/>
        <v>2.589250686543743</v>
      </c>
      <c r="K319" s="158">
        <v>0.16500000000000001</v>
      </c>
      <c r="L319" s="126">
        <v>4</v>
      </c>
      <c r="M319" s="82">
        <f t="shared" si="73"/>
        <v>0.66</v>
      </c>
      <c r="N319" s="159" t="s">
        <v>461</v>
      </c>
      <c r="O319" s="160">
        <v>0.14000000000000001</v>
      </c>
      <c r="P319" s="161">
        <v>44607</v>
      </c>
      <c r="Q319" s="161">
        <v>44629</v>
      </c>
      <c r="R319" s="82">
        <f t="shared" si="74"/>
        <v>17.857142857142851</v>
      </c>
      <c r="S319" s="162">
        <f>IF(INDEX([1]Historical!$D$7:$D$1229,MATCH(B319,[1]Historical!$B$7:$B$1253,0))=0,"n/a",(INDEX([1]Historical!$C$7:$C$1231,MATCH(B319,[1]Historical!$B$7:$B$1253,0))/INDEX([1]Historical!$D$7:$D$1229,MATCH(B319,[1]Historical!$B$7:$B$1253,0))-1)*100)</f>
        <v>5.6603773584905648</v>
      </c>
      <c r="T319" s="162">
        <f>IF(INDEX([1]Historical!$F$7:$F$1222,MATCH(B319,[1]Historical!$B$7:$B$1253,0))=0,"n/a",((INDEX([1]Historical!$C$7:$C$1231,MATCH(B319,[1]Historical!$B$7:$B$1253,0))/INDEX([1]Historical!$F$7:$F$1222,MATCH(B319,[1]Historical!$B$7:$B$1253,0)))^(1/3)-1)*100)</f>
        <v>6.7767583149812571</v>
      </c>
      <c r="U319" s="162">
        <f>IF(INDEX([1]Historical!$H$7:$H$1222,MATCH(B319,[1]Historical!$B$7:$B$1253,0))=0,"n/a",((INDEX([1]Historical!$C$7:$C$1231,MATCH(B319,[1]Historical!$B$7:$B$1253,0))/INDEX([1]Historical!$H$7:$H$1222,MATCH(B319,[1]Historical!$B$7:$B$1253,0)))^(1/5)-1)*100)</f>
        <v>10.333016068581657</v>
      </c>
      <c r="V319" s="162">
        <f>IF(INDEX([1]Historical!$N$7:$N$1222,MATCH(B319,[1]Historical!$B$7:$B$1253,0))=0,"n/a",((INDEX([1]Historical!$C$7:$C$1231,MATCH(B319,[1]Historical!$B$7:$B$1253,0))/INDEX([1]Historical!$N$7:$N$1222,MATCH(B319,[1]Historical!$B$7:$B$1253,0)))^(1/10)-1)*100)</f>
        <v>23.654897682391752</v>
      </c>
      <c r="W319" s="163">
        <f t="shared" si="75"/>
        <v>0.43682353681340813</v>
      </c>
      <c r="X319" s="164">
        <f t="shared" si="76"/>
        <v>1.148112896509073</v>
      </c>
      <c r="Y319" s="180" t="s">
        <v>1751</v>
      </c>
      <c r="Z319" s="157">
        <f t="shared" si="77"/>
        <v>45.517241379310349</v>
      </c>
      <c r="AA319" s="166">
        <f t="shared" si="78"/>
        <v>17.579310344827586</v>
      </c>
      <c r="AB319" s="126">
        <v>12</v>
      </c>
      <c r="AC319" s="167">
        <v>1.45</v>
      </c>
      <c r="AD319" s="167">
        <v>3.5</v>
      </c>
      <c r="AE319" s="167">
        <v>6.63</v>
      </c>
      <c r="AF319" s="167">
        <v>1.49</v>
      </c>
      <c r="AG319" s="167">
        <v>10</v>
      </c>
      <c r="AH319" s="167">
        <v>49.2</v>
      </c>
      <c r="AI319" s="167">
        <v>40.589999999999996</v>
      </c>
      <c r="AJ319" s="167">
        <v>9</v>
      </c>
      <c r="AK319" s="167">
        <v>5</v>
      </c>
      <c r="AL319" s="168">
        <v>5010</v>
      </c>
      <c r="AM319" s="169">
        <v>0.6</v>
      </c>
      <c r="AN319" s="167">
        <v>0</v>
      </c>
      <c r="AO319" s="170">
        <f t="shared" si="79"/>
        <v>-4.6570435897021873</v>
      </c>
      <c r="AP319" s="171">
        <f t="shared" si="80"/>
        <v>12.922266755125399</v>
      </c>
      <c r="AQ319" s="172">
        <f t="shared" si="81"/>
        <v>7.8953658026415185</v>
      </c>
      <c r="AR319" s="157">
        <f>INDEX([1]Historical!$C$7:$C$1231,MATCH(B319,[1]Historical!$B$7:$B$1253,0))*IF(AH319="n/a",1.03,IF(AH319&lt;0,1.01,IF(AH319&gt;10,1.1,(1+AH319/100))))</f>
        <v>0.6160000000000001</v>
      </c>
      <c r="AS319" s="166">
        <f t="shared" si="82"/>
        <v>0.6776000000000002</v>
      </c>
      <c r="AT319" s="166">
        <f t="shared" si="89"/>
        <v>0.71148000000000022</v>
      </c>
      <c r="AU319" s="166">
        <f t="shared" si="89"/>
        <v>0.74705400000000022</v>
      </c>
      <c r="AV319" s="166">
        <f t="shared" si="89"/>
        <v>0.78440670000000023</v>
      </c>
      <c r="AW319" s="157">
        <f t="shared" si="84"/>
        <v>3.5365407000000011</v>
      </c>
      <c r="AX319" s="173">
        <f t="shared" si="85"/>
        <v>13.874227932522562</v>
      </c>
      <c r="AY319" s="174">
        <v>1.18</v>
      </c>
      <c r="AZ319" s="169">
        <v>28.54</v>
      </c>
      <c r="BA319" s="169">
        <v>-4.32</v>
      </c>
      <c r="BB319" s="169">
        <v>7.1</v>
      </c>
      <c r="BC319" s="169">
        <v>11.48</v>
      </c>
      <c r="BE319" s="77">
        <v>2011</v>
      </c>
      <c r="BF319" s="77">
        <f t="shared" si="86"/>
        <v>1</v>
      </c>
      <c r="BG319" s="175">
        <v>1.5</v>
      </c>
      <c r="BH319" t="s">
        <v>939</v>
      </c>
      <c r="BI319" t="s">
        <v>940</v>
      </c>
    </row>
    <row r="320" spans="1:64" ht="11.25" customHeight="1" x14ac:dyDescent="0.2">
      <c r="A320" s="176" t="s">
        <v>670</v>
      </c>
      <c r="B320" s="153" t="s">
        <v>671</v>
      </c>
      <c r="C320" s="154" t="s">
        <v>94</v>
      </c>
      <c r="D320" s="154" t="s">
        <v>1033</v>
      </c>
      <c r="E320" s="155">
        <v>12</v>
      </c>
      <c r="F320" s="298">
        <v>388</v>
      </c>
      <c r="G320" s="298" t="s">
        <v>30</v>
      </c>
      <c r="H320" s="298" t="s">
        <v>30</v>
      </c>
      <c r="I320" s="156">
        <v>204.02</v>
      </c>
      <c r="J320" s="157">
        <f t="shared" si="72"/>
        <v>2.0194098617782568</v>
      </c>
      <c r="K320" s="158">
        <v>1.03</v>
      </c>
      <c r="L320" s="126">
        <v>4</v>
      </c>
      <c r="M320" s="82">
        <f t="shared" si="73"/>
        <v>4.12</v>
      </c>
      <c r="N320" s="159" t="s">
        <v>251</v>
      </c>
      <c r="O320" s="160">
        <v>0.98</v>
      </c>
      <c r="P320" s="161">
        <v>44874</v>
      </c>
      <c r="Q320" s="161">
        <v>44897</v>
      </c>
      <c r="R320" s="82">
        <f t="shared" si="74"/>
        <v>5.1020408163265358</v>
      </c>
      <c r="S320" s="162">
        <f>IF(INDEX([1]Historical!$D$7:$D$1229,MATCH(B320,[1]Historical!$B$7:$B$1253,0))=0,"n/a",(INDEX([1]Historical!$C$7:$C$1231,MATCH(B320,[1]Historical!$B$7:$B$1253,0))/INDEX([1]Historical!$D$7:$D$1229,MATCH(B320,[1]Historical!$B$7:$B$1253,0))-1)*100)</f>
        <v>3.8567493112947604</v>
      </c>
      <c r="T320" s="162">
        <f>IF(INDEX([1]Historical!$F$7:$F$1222,MATCH(B320,[1]Historical!$B$7:$B$1253,0))=0,"n/a",((INDEX([1]Historical!$C$7:$C$1231,MATCH(B320,[1]Historical!$B$7:$B$1253,0))/INDEX([1]Historical!$F$7:$F$1222,MATCH(B320,[1]Historical!$B$7:$B$1253,0)))^(1/3)-1)*100)</f>
        <v>7.2613795918652579</v>
      </c>
      <c r="U320" s="162">
        <f>IF(INDEX([1]Historical!$H$7:$H$1222,MATCH(B320,[1]Historical!$B$7:$B$1253,0))=0,"n/a",((INDEX([1]Historical!$C$7:$C$1231,MATCH(B320,[1]Historical!$B$7:$B$1253,0))/INDEX([1]Historical!$H$7:$H$1222,MATCH(B320,[1]Historical!$B$7:$B$1253,0)))^(1/5)-1)*100)</f>
        <v>9.0021472273660752</v>
      </c>
      <c r="V320" s="162">
        <f>IF(INDEX([1]Historical!$N$7:$N$1222,MATCH(B320,[1]Historical!$B$7:$B$1253,0))=0,"n/a",((INDEX([1]Historical!$C$7:$C$1231,MATCH(B320,[1]Historical!$B$7:$B$1253,0))/INDEX([1]Historical!$N$7:$N$1222,MATCH(B320,[1]Historical!$B$7:$B$1253,0)))^(1/10)-1)*100)</f>
        <v>10.652716009839791</v>
      </c>
      <c r="W320" s="163">
        <f t="shared" si="75"/>
        <v>0.84505653009531989</v>
      </c>
      <c r="X320" s="164">
        <f t="shared" si="76"/>
        <v>1.800429445473215</v>
      </c>
      <c r="Y320" s="211"/>
      <c r="Z320" s="157">
        <f t="shared" si="77"/>
        <v>56.207366984993179</v>
      </c>
      <c r="AA320" s="166">
        <f t="shared" si="78"/>
        <v>27.833560709413369</v>
      </c>
      <c r="AB320" s="126">
        <v>12</v>
      </c>
      <c r="AC320" s="167">
        <v>7.33</v>
      </c>
      <c r="AD320" s="167">
        <v>3.78</v>
      </c>
      <c r="AE320" s="167">
        <v>3.84</v>
      </c>
      <c r="AF320" s="167">
        <v>7.8</v>
      </c>
      <c r="AG320" s="167">
        <v>29.799999999999997</v>
      </c>
      <c r="AH320" s="167">
        <v>17.8</v>
      </c>
      <c r="AI320" s="167">
        <v>7.76</v>
      </c>
      <c r="AJ320" s="167">
        <v>5</v>
      </c>
      <c r="AK320" s="167">
        <v>7.3999999999999995</v>
      </c>
      <c r="AL320" s="168">
        <v>132370</v>
      </c>
      <c r="AM320" s="169">
        <v>0.1</v>
      </c>
      <c r="AN320" s="167">
        <v>0.96</v>
      </c>
      <c r="AO320" s="170">
        <f t="shared" si="79"/>
        <v>-16.812003620269039</v>
      </c>
      <c r="AP320" s="171">
        <f t="shared" si="80"/>
        <v>11.021557089144332</v>
      </c>
      <c r="AQ320" s="172">
        <f t="shared" si="81"/>
        <v>210.62787564216822</v>
      </c>
      <c r="AR320" s="157">
        <f>INDEX([1]Historical!$C$7:$C$1231,MATCH(B320,[1]Historical!$B$7:$B$1253,0))*IF(AH320="n/a",1.03,IF(AH320&lt;0,1.01,IF(AH320&gt;10,1.1,(1+AH320/100))))</f>
        <v>4.1470000000000002</v>
      </c>
      <c r="AS320" s="166">
        <f t="shared" si="82"/>
        <v>4.4688071999999996</v>
      </c>
      <c r="AT320" s="166">
        <f t="shared" si="89"/>
        <v>4.7994989327999997</v>
      </c>
      <c r="AU320" s="166">
        <f t="shared" si="89"/>
        <v>5.1546618538272</v>
      </c>
      <c r="AV320" s="166">
        <f t="shared" si="89"/>
        <v>5.5361068310104136</v>
      </c>
      <c r="AW320" s="157">
        <f t="shared" si="84"/>
        <v>24.106074817637612</v>
      </c>
      <c r="AX320" s="173">
        <f t="shared" si="85"/>
        <v>11.815544955218906</v>
      </c>
      <c r="AY320" s="174">
        <v>1.1100000000000001</v>
      </c>
      <c r="AZ320" s="169">
        <v>22.439999999999998</v>
      </c>
      <c r="BA320" s="169">
        <v>-10.620000000000001</v>
      </c>
      <c r="BB320" s="169">
        <v>11.61</v>
      </c>
      <c r="BC320" s="169">
        <v>8.17</v>
      </c>
      <c r="BE320" s="77">
        <v>2012</v>
      </c>
      <c r="BF320" s="77">
        <f t="shared" si="86"/>
        <v>1</v>
      </c>
      <c r="BG320" s="175">
        <v>8.6</v>
      </c>
      <c r="BH320" t="s">
        <v>939</v>
      </c>
      <c r="BI320" t="s">
        <v>940</v>
      </c>
    </row>
    <row r="321" spans="1:64" ht="11.25" customHeight="1" x14ac:dyDescent="0.2">
      <c r="A321" s="112" t="s">
        <v>1442</v>
      </c>
      <c r="B321" s="153" t="s">
        <v>329</v>
      </c>
      <c r="C321" s="154" t="s">
        <v>90</v>
      </c>
      <c r="D321" s="154" t="s">
        <v>969</v>
      </c>
      <c r="E321" s="155">
        <v>17</v>
      </c>
      <c r="F321" s="298">
        <v>230</v>
      </c>
      <c r="G321" s="298" t="s">
        <v>88</v>
      </c>
      <c r="H321" s="298" t="s">
        <v>88</v>
      </c>
      <c r="I321" s="156">
        <v>123.89</v>
      </c>
      <c r="J321" s="157">
        <f t="shared" si="72"/>
        <v>2.0017757688271853</v>
      </c>
      <c r="K321" s="158">
        <v>0.62</v>
      </c>
      <c r="L321" s="126">
        <v>4</v>
      </c>
      <c r="M321" s="82">
        <f t="shared" si="73"/>
        <v>2.48</v>
      </c>
      <c r="N321" s="159" t="s">
        <v>677</v>
      </c>
      <c r="O321" s="160">
        <v>0.48</v>
      </c>
      <c r="P321" s="224">
        <v>44512</v>
      </c>
      <c r="Q321" s="224">
        <v>44530</v>
      </c>
      <c r="R321" s="82">
        <f t="shared" si="74"/>
        <v>29.166666666666668</v>
      </c>
      <c r="S321" s="162">
        <f>IF(INDEX([1]Historical!$D$7:$D$1229,MATCH(B321,[1]Historical!$B$7:$B$1253,0))=0,"n/a",(INDEX([1]Historical!$C$7:$C$1231,MATCH(B321,[1]Historical!$B$7:$B$1253,0))/INDEX([1]Historical!$D$7:$D$1229,MATCH(B321,[1]Historical!$B$7:$B$1253,0))-1)*100)</f>
        <v>10.752688172043001</v>
      </c>
      <c r="T321" s="162">
        <f>IF(INDEX([1]Historical!$F$7:$F$1222,MATCH(B321,[1]Historical!$B$7:$B$1253,0))=0,"n/a",((INDEX([1]Historical!$C$7:$C$1231,MATCH(B321,[1]Historical!$B$7:$B$1253,0))/INDEX([1]Historical!$F$7:$F$1222,MATCH(B321,[1]Historical!$B$7:$B$1253,0)))^(1/3)-1)*100)</f>
        <v>7.2466124161307821</v>
      </c>
      <c r="U321" s="162">
        <f>IF(INDEX([1]Historical!$H$7:$H$1222,MATCH(B321,[1]Historical!$B$7:$B$1253,0))=0,"n/a",((INDEX([1]Historical!$C$7:$C$1231,MATCH(B321,[1]Historical!$B$7:$B$1253,0))/INDEX([1]Historical!$H$7:$H$1222,MATCH(B321,[1]Historical!$B$7:$B$1253,0)))^(1/5)-1)*100)</f>
        <v>11.413340246469872</v>
      </c>
      <c r="V321" s="162">
        <f>IF(INDEX([1]Historical!$N$7:$N$1222,MATCH(B321,[1]Historical!$B$7:$B$1253,0))=0,"n/a",((INDEX([1]Historical!$C$7:$C$1231,MATCH(B321,[1]Historical!$B$7:$B$1253,0))/INDEX([1]Historical!$N$7:$N$1222,MATCH(B321,[1]Historical!$B$7:$B$1253,0)))^(1/10)-1)*100)</f>
        <v>11.942718117077501</v>
      </c>
      <c r="W321" s="163">
        <f t="shared" si="75"/>
        <v>0.95567358574337913</v>
      </c>
      <c r="X321" s="164" t="str">
        <f t="shared" si="76"/>
        <v>n/a</v>
      </c>
      <c r="Y321" s="214"/>
      <c r="Z321" s="157" t="str">
        <f t="shared" si="77"/>
        <v>n/a</v>
      </c>
      <c r="AA321" s="166" t="str">
        <f t="shared" si="78"/>
        <v>n/a</v>
      </c>
      <c r="AB321" s="126">
        <v>12</v>
      </c>
      <c r="AC321" s="167" t="s">
        <v>95</v>
      </c>
      <c r="AD321" s="167" t="s">
        <v>95</v>
      </c>
      <c r="AE321" s="167" t="s">
        <v>95</v>
      </c>
      <c r="AF321" s="167" t="s">
        <v>95</v>
      </c>
      <c r="AG321" s="167" t="s">
        <v>95</v>
      </c>
      <c r="AH321" s="167" t="s">
        <v>95</v>
      </c>
      <c r="AI321" s="167" t="s">
        <v>95</v>
      </c>
      <c r="AJ321" s="167" t="s">
        <v>95</v>
      </c>
      <c r="AK321" s="167" t="s">
        <v>95</v>
      </c>
      <c r="AL321" s="168" t="s">
        <v>95</v>
      </c>
      <c r="AM321" s="169" t="s">
        <v>95</v>
      </c>
      <c r="AN321" s="167" t="s">
        <v>95</v>
      </c>
      <c r="AO321" s="170" t="str">
        <f t="shared" si="79"/>
        <v>n/a</v>
      </c>
      <c r="AP321" s="171">
        <f t="shared" si="80"/>
        <v>13.415116015297057</v>
      </c>
      <c r="AQ321" s="172" t="str">
        <f t="shared" si="81"/>
        <v>n/a</v>
      </c>
      <c r="AR321" s="157">
        <f>INDEX([1]Historical!$C$7:$C$1231,MATCH(B321,[1]Historical!$B$7:$B$1253,0))*IF(AH321="n/a",1.03,IF(AH321&lt;0,1.01,IF(AH321&gt;10,1.1,(1+AH321/100))))</f>
        <v>2.1217999999999999</v>
      </c>
      <c r="AS321" s="166">
        <f t="shared" si="82"/>
        <v>2.185454</v>
      </c>
      <c r="AT321" s="166">
        <f t="shared" si="89"/>
        <v>2.2510176200000003</v>
      </c>
      <c r="AU321" s="166">
        <f t="shared" si="89"/>
        <v>2.3185481486000001</v>
      </c>
      <c r="AV321" s="166">
        <f t="shared" si="89"/>
        <v>2.3881045930580003</v>
      </c>
      <c r="AW321" s="157">
        <f t="shared" si="84"/>
        <v>11.264924361658</v>
      </c>
      <c r="AX321" s="173">
        <f t="shared" si="85"/>
        <v>9.0926825100153366</v>
      </c>
      <c r="AY321" s="174" t="s">
        <v>95</v>
      </c>
      <c r="AZ321" s="169" t="s">
        <v>95</v>
      </c>
      <c r="BA321" s="169" t="s">
        <v>95</v>
      </c>
      <c r="BB321" s="169" t="s">
        <v>95</v>
      </c>
      <c r="BC321" s="169" t="s">
        <v>95</v>
      </c>
      <c r="BD321" s="100" t="s">
        <v>932</v>
      </c>
      <c r="BE321" s="77">
        <v>2005</v>
      </c>
      <c r="BF321" s="77">
        <f t="shared" si="86"/>
        <v>2</v>
      </c>
      <c r="BG321" s="175" t="s">
        <v>95</v>
      </c>
      <c r="BH321" t="s">
        <v>939</v>
      </c>
      <c r="BI321" t="s">
        <v>940</v>
      </c>
    </row>
    <row r="322" spans="1:64" s="252" customFormat="1" ht="11.25" customHeight="1" x14ac:dyDescent="0.2">
      <c r="A322" s="183" t="s">
        <v>672</v>
      </c>
      <c r="B322" s="184" t="s">
        <v>622</v>
      </c>
      <c r="C322" s="154" t="s">
        <v>922</v>
      </c>
      <c r="D322" s="154" t="s">
        <v>941</v>
      </c>
      <c r="E322" s="185">
        <v>12</v>
      </c>
      <c r="F322" s="298">
        <v>318</v>
      </c>
      <c r="G322" s="297" t="s">
        <v>88</v>
      </c>
      <c r="H322" s="297" t="s">
        <v>88</v>
      </c>
      <c r="I322" s="186">
        <v>27.62</v>
      </c>
      <c r="J322" s="187">
        <f t="shared" si="72"/>
        <v>3.6205648081100645</v>
      </c>
      <c r="K322" s="188">
        <v>0.25</v>
      </c>
      <c r="L322" s="189">
        <v>4</v>
      </c>
      <c r="M322" s="190">
        <f t="shared" si="73"/>
        <v>1</v>
      </c>
      <c r="N322" s="191" t="s">
        <v>99</v>
      </c>
      <c r="O322" s="192">
        <v>0.1938</v>
      </c>
      <c r="P322" s="193">
        <v>44537</v>
      </c>
      <c r="Q322" s="193">
        <v>44566</v>
      </c>
      <c r="R322" s="190">
        <f t="shared" si="74"/>
        <v>28.998968008255932</v>
      </c>
      <c r="S322" s="162">
        <f>IF(INDEX([1]Historical!$D$7:$D$1229,MATCH(B322,[1]Historical!$B$7:$B$1253,0))=0,"n/a",(INDEX([1]Historical!$C$7:$C$1231,MATCH(B322,[1]Historical!$B$7:$B$1253,0))/INDEX([1]Historical!$D$7:$D$1229,MATCH(B322,[1]Historical!$B$7:$B$1253,0))-1)*100)</f>
        <v>9.988649262202042</v>
      </c>
      <c r="T322" s="162">
        <f>IF(INDEX([1]Historical!$F$7:$F$1222,MATCH(B322,[1]Historical!$B$7:$B$1253,0))=0,"n/a",((INDEX([1]Historical!$C$7:$C$1231,MATCH(B322,[1]Historical!$B$7:$B$1253,0))/INDEX([1]Historical!$F$7:$F$1222,MATCH(B322,[1]Historical!$B$7:$B$1253,0)))^(1/3)-1)*100)</f>
        <v>11.635130764998248</v>
      </c>
      <c r="U322" s="162">
        <f>IF(INDEX([1]Historical!$H$7:$H$1222,MATCH(B322,[1]Historical!$B$7:$B$1253,0))=0,"n/a",((INDEX([1]Historical!$C$7:$C$1231,MATCH(B322,[1]Historical!$B$7:$B$1253,0))/INDEX([1]Historical!$H$7:$H$1222,MATCH(B322,[1]Historical!$B$7:$B$1253,0)))^(1/5)-1)*100)</f>
        <v>9.5190662172671701</v>
      </c>
      <c r="V322" s="162">
        <f>IF(INDEX([1]Historical!$N$7:$N$1222,MATCH(B322,[1]Historical!$B$7:$B$1253,0))=0,"n/a",((INDEX([1]Historical!$C$7:$C$1231,MATCH(B322,[1]Historical!$B$7:$B$1253,0))/INDEX([1]Historical!$N$7:$N$1222,MATCH(B322,[1]Historical!$B$7:$B$1253,0)))^(1/10)-1)*100)</f>
        <v>15.18268752022205</v>
      </c>
      <c r="W322" s="163">
        <f t="shared" si="75"/>
        <v>0.62696846026690478</v>
      </c>
      <c r="X322" s="164">
        <f t="shared" si="76"/>
        <v>0.3351783879319426</v>
      </c>
      <c r="Y322" s="206"/>
      <c r="Z322" s="187">
        <f t="shared" si="77"/>
        <v>17.421602787456443</v>
      </c>
      <c r="AA322" s="194">
        <f t="shared" si="78"/>
        <v>4.8118466898954706</v>
      </c>
      <c r="AB322" s="189">
        <v>10</v>
      </c>
      <c r="AC322" s="195">
        <v>5.74</v>
      </c>
      <c r="AD322" s="195">
        <v>3.98</v>
      </c>
      <c r="AE322" s="195">
        <v>0.42</v>
      </c>
      <c r="AF322" s="215" t="s">
        <v>95</v>
      </c>
      <c r="AG322" s="291">
        <v>-307.7</v>
      </c>
      <c r="AH322" s="195">
        <v>166.1</v>
      </c>
      <c r="AI322" s="195">
        <v>-8.7900000000000009</v>
      </c>
      <c r="AJ322" s="195">
        <v>28.4</v>
      </c>
      <c r="AK322" s="195">
        <v>1.23</v>
      </c>
      <c r="AL322" s="196">
        <v>27380</v>
      </c>
      <c r="AM322" s="197">
        <v>0.1</v>
      </c>
      <c r="AN322" s="195" t="s">
        <v>95</v>
      </c>
      <c r="AO322" s="198">
        <f t="shared" si="79"/>
        <v>8.3277843354817627</v>
      </c>
      <c r="AP322" s="199">
        <f t="shared" si="80"/>
        <v>13.139631025377234</v>
      </c>
      <c r="AQ322" s="172" t="str">
        <f t="shared" si="81"/>
        <v>n/a</v>
      </c>
      <c r="AR322" s="157">
        <f>INDEX([1]Historical!$C$7:$C$1231,MATCH(B322,[1]Historical!$B$7:$B$1253,0))*IF(AH322="n/a",1.03,IF(AH322&lt;0,1.01,IF(AH322&gt;10,1.1,(1+AH322/100))))</f>
        <v>0.85272000000000003</v>
      </c>
      <c r="AS322" s="194">
        <f t="shared" si="82"/>
        <v>0.86124719999999999</v>
      </c>
      <c r="AT322" s="194">
        <f t="shared" si="89"/>
        <v>0.87184054055999993</v>
      </c>
      <c r="AU322" s="194">
        <f t="shared" si="89"/>
        <v>0.88256417920888797</v>
      </c>
      <c r="AV322" s="194">
        <f t="shared" si="89"/>
        <v>0.89341971861315728</v>
      </c>
      <c r="AW322" s="187">
        <f t="shared" si="84"/>
        <v>4.3617916383820452</v>
      </c>
      <c r="AX322" s="200">
        <f t="shared" si="85"/>
        <v>15.792149306234776</v>
      </c>
      <c r="AY322" s="201">
        <v>1</v>
      </c>
      <c r="AZ322" s="197">
        <v>14.719999999999999</v>
      </c>
      <c r="BA322" s="197">
        <v>-33.4</v>
      </c>
      <c r="BB322" s="197">
        <v>0.53</v>
      </c>
      <c r="BC322" s="197">
        <v>-18.09</v>
      </c>
      <c r="BD322" s="202"/>
      <c r="BE322" s="77">
        <v>2011</v>
      </c>
      <c r="BF322" s="77">
        <f t="shared" si="86"/>
        <v>1</v>
      </c>
      <c r="BG322" s="203">
        <v>16.100000000000001</v>
      </c>
      <c r="BH322" t="s">
        <v>939</v>
      </c>
      <c r="BI322" t="s">
        <v>940</v>
      </c>
    </row>
    <row r="323" spans="1:64" ht="11.25" customHeight="1" x14ac:dyDescent="0.2">
      <c r="A323" s="204" t="s">
        <v>1838</v>
      </c>
      <c r="B323" s="153" t="s">
        <v>1839</v>
      </c>
      <c r="C323" s="154" t="s">
        <v>947</v>
      </c>
      <c r="D323" s="154" t="s">
        <v>948</v>
      </c>
      <c r="E323" s="155">
        <v>10</v>
      </c>
      <c r="F323" s="298">
        <v>447</v>
      </c>
      <c r="G323" s="298" t="s">
        <v>88</v>
      </c>
      <c r="H323" s="298" t="s">
        <v>88</v>
      </c>
      <c r="I323" s="156">
        <v>20.329999999999998</v>
      </c>
      <c r="J323" s="157">
        <f t="shared" si="72"/>
        <v>6.3944909001475665</v>
      </c>
      <c r="K323" s="158">
        <v>0.32500000000000001</v>
      </c>
      <c r="L323" s="126">
        <v>4</v>
      </c>
      <c r="M323" s="82">
        <f t="shared" si="73"/>
        <v>1.3</v>
      </c>
      <c r="N323" s="159" t="s">
        <v>393</v>
      </c>
      <c r="O323" s="160">
        <v>0.32</v>
      </c>
      <c r="P323" s="182">
        <v>44470</v>
      </c>
      <c r="Q323" s="182">
        <v>44480</v>
      </c>
      <c r="R323" s="82">
        <f t="shared" si="74"/>
        <v>1.5625000000000013</v>
      </c>
      <c r="S323" s="162">
        <f>IF(INDEX([1]Historical!$D$7:$D$1229,MATCH(B323,[1]Historical!$B$7:$B$1253,0))=0,"n/a",(INDEX([1]Historical!$C$7:$C$1231,MATCH(B323,[1]Historical!$B$7:$B$1253,0))/INDEX([1]Historical!$D$7:$D$1229,MATCH(B323,[1]Historical!$B$7:$B$1253,0))-1)*100)</f>
        <v>1.5810276679841806</v>
      </c>
      <c r="T323" s="162">
        <f>IF(INDEX([1]Historical!$F$7:$F$1222,MATCH(B323,[1]Historical!$B$7:$B$1253,0))=0,"n/a",((INDEX([1]Historical!$C$7:$C$1231,MATCH(B323,[1]Historical!$B$7:$B$1253,0))/INDEX([1]Historical!$F$7:$F$1222,MATCH(B323,[1]Historical!$B$7:$B$1253,0)))^(1/3)-1)*100)</f>
        <v>1.6066999579604779</v>
      </c>
      <c r="U323" s="162">
        <f>IF(INDEX([1]Historical!$H$7:$H$1222,MATCH(B323,[1]Historical!$B$7:$B$1253,0))=0,"n/a",((INDEX([1]Historical!$C$7:$C$1231,MATCH(B323,[1]Historical!$B$7:$B$1253,0))/INDEX([1]Historical!$H$7:$H$1222,MATCH(B323,[1]Historical!$B$7:$B$1253,0)))^(1/5)-1)*100)</f>
        <v>1.633517230276893</v>
      </c>
      <c r="V323" s="162" t="str">
        <f>IF(INDEX([1]Historical!$N$7:$N$1222,MATCH(B323,[1]Historical!$B$7:$B$1253,0))=0,"n/a",((INDEX([1]Historical!$C$7:$C$1231,MATCH(B323,[1]Historical!$B$7:$B$1253,0))/INDEX([1]Historical!$N$7:$N$1222,MATCH(B323,[1]Historical!$B$7:$B$1253,0)))^(1/10)-1)*100)</f>
        <v>n/a</v>
      </c>
      <c r="W323" s="163" t="str">
        <f t="shared" si="75"/>
        <v>n/a</v>
      </c>
      <c r="X323" s="164">
        <f t="shared" si="76"/>
        <v>0.27225287171281548</v>
      </c>
      <c r="Y323" s="223"/>
      <c r="Z323" s="157">
        <f t="shared" si="77"/>
        <v>265.30612244897964</v>
      </c>
      <c r="AA323" s="166">
        <f t="shared" si="78"/>
        <v>41.489795918367342</v>
      </c>
      <c r="AB323" s="126">
        <v>12</v>
      </c>
      <c r="AC323" s="167">
        <v>0.49</v>
      </c>
      <c r="AD323" s="167" t="s">
        <v>95</v>
      </c>
      <c r="AE323" s="167">
        <v>11.35</v>
      </c>
      <c r="AF323" s="167">
        <v>1.41</v>
      </c>
      <c r="AG323" s="167">
        <v>2.9000000000000004</v>
      </c>
      <c r="AH323" s="167">
        <v>84.2</v>
      </c>
      <c r="AI323" s="167">
        <v>-17.07</v>
      </c>
      <c r="AJ323" s="167">
        <v>6</v>
      </c>
      <c r="AK323" s="167" t="s">
        <v>95</v>
      </c>
      <c r="AL323" s="168">
        <v>7660</v>
      </c>
      <c r="AM323" s="169">
        <v>0.2</v>
      </c>
      <c r="AN323" s="167">
        <v>0.98</v>
      </c>
      <c r="AO323" s="170">
        <f t="shared" si="79"/>
        <v>-33.461787787942882</v>
      </c>
      <c r="AP323" s="171">
        <f t="shared" si="80"/>
        <v>8.0280081304244604</v>
      </c>
      <c r="AQ323" s="172">
        <f t="shared" si="81"/>
        <v>61.245998737467986</v>
      </c>
      <c r="AR323" s="157">
        <f>INDEX([1]Historical!$C$7:$C$1231,MATCH(B323,[1]Historical!$B$7:$B$1253,0))*IF(AH323="n/a",1.03,IF(AH323&lt;0,1.01,IF(AH323&gt;10,1.1,(1+AH323/100))))</f>
        <v>1.4135</v>
      </c>
      <c r="AS323" s="166">
        <f t="shared" si="82"/>
        <v>1.427635</v>
      </c>
      <c r="AT323" s="166">
        <f t="shared" si="89"/>
        <v>1.4704640500000001</v>
      </c>
      <c r="AU323" s="166">
        <f t="shared" si="89"/>
        <v>1.5145779715000003</v>
      </c>
      <c r="AV323" s="166">
        <f t="shared" si="89"/>
        <v>1.5600153106450003</v>
      </c>
      <c r="AW323" s="157">
        <f t="shared" si="84"/>
        <v>7.3861923321450007</v>
      </c>
      <c r="AX323" s="173">
        <f t="shared" si="85"/>
        <v>36.331492042031485</v>
      </c>
      <c r="AY323" s="174">
        <v>0.71</v>
      </c>
      <c r="AZ323" s="169">
        <v>10.489999999999998</v>
      </c>
      <c r="BA323" s="169">
        <v>-30.080000000000002</v>
      </c>
      <c r="BB323" s="169">
        <v>-8.2199999999999989</v>
      </c>
      <c r="BC323" s="169">
        <v>-17.100000000000001</v>
      </c>
      <c r="BE323" s="77">
        <v>2012</v>
      </c>
      <c r="BF323" s="77">
        <f t="shared" si="86"/>
        <v>1</v>
      </c>
      <c r="BG323" s="175">
        <v>1.4000000000000001</v>
      </c>
      <c r="BH323" t="s">
        <v>939</v>
      </c>
      <c r="BI323" t="s">
        <v>945</v>
      </c>
    </row>
    <row r="324" spans="1:64" ht="11.25" customHeight="1" x14ac:dyDescent="0.2">
      <c r="A324" s="205" t="s">
        <v>1102</v>
      </c>
      <c r="B324" s="153" t="s">
        <v>1103</v>
      </c>
      <c r="C324" s="154" t="s">
        <v>100</v>
      </c>
      <c r="D324" s="154" t="s">
        <v>1084</v>
      </c>
      <c r="E324" s="155">
        <v>7</v>
      </c>
      <c r="F324" s="298">
        <v>638</v>
      </c>
      <c r="G324" s="298" t="s">
        <v>88</v>
      </c>
      <c r="H324" s="298" t="s">
        <v>88</v>
      </c>
      <c r="I324" s="156">
        <v>41.15</v>
      </c>
      <c r="J324" s="157">
        <f t="shared" si="72"/>
        <v>2.8189550425273389</v>
      </c>
      <c r="K324" s="158">
        <v>0.28999999999999998</v>
      </c>
      <c r="L324" s="126">
        <v>4</v>
      </c>
      <c r="M324" s="82">
        <f t="shared" si="73"/>
        <v>1.1599999999999999</v>
      </c>
      <c r="N324" s="159" t="s">
        <v>988</v>
      </c>
      <c r="O324" s="160">
        <v>0.27</v>
      </c>
      <c r="P324" s="161">
        <v>44811</v>
      </c>
      <c r="Q324" s="161">
        <v>44837</v>
      </c>
      <c r="R324" s="82">
        <f t="shared" si="74"/>
        <v>7.4074074074073932</v>
      </c>
      <c r="S324" s="162">
        <f>IF(INDEX([1]Historical!$D$7:$D$1229,MATCH(B324,[1]Historical!$B$7:$B$1253,0))=0,"n/a",(INDEX([1]Historical!$C$7:$C$1231,MATCH(B324,[1]Historical!$B$7:$B$1253,0))/INDEX([1]Historical!$D$7:$D$1229,MATCH(B324,[1]Historical!$B$7:$B$1253,0))-1)*100)</f>
        <v>1.9230769230769162</v>
      </c>
      <c r="T324" s="162">
        <f>IF(INDEX([1]Historical!$F$7:$F$1222,MATCH(B324,[1]Historical!$B$7:$B$1253,0))=0,"n/a",((INDEX([1]Historical!$C$7:$C$1231,MATCH(B324,[1]Historical!$B$7:$B$1253,0))/INDEX([1]Historical!$F$7:$F$1222,MATCH(B324,[1]Historical!$B$7:$B$1253,0)))^(1/3)-1)*100)</f>
        <v>2.6502307236170086</v>
      </c>
      <c r="U324" s="162">
        <f>IF(INDEX([1]Historical!$H$7:$H$1222,MATCH(B324,[1]Historical!$B$7:$B$1253,0))=0,"n/a",((INDEX([1]Historical!$C$7:$C$1231,MATCH(B324,[1]Historical!$B$7:$B$1253,0))/INDEX([1]Historical!$H$7:$H$1222,MATCH(B324,[1]Historical!$B$7:$B$1253,0)))^(1/5)-1)*100)</f>
        <v>4.762370263962179</v>
      </c>
      <c r="V324" s="162">
        <f>IF(INDEX([1]Historical!$N$7:$N$1222,MATCH(B324,[1]Historical!$B$7:$B$1253,0))=0,"n/a",((INDEX([1]Historical!$C$7:$C$1231,MATCH(B324,[1]Historical!$B$7:$B$1253,0))/INDEX([1]Historical!$N$7:$N$1222,MATCH(B324,[1]Historical!$B$7:$B$1253,0)))^(1/10)-1)*100)</f>
        <v>5.8559956827601622</v>
      </c>
      <c r="W324" s="163">
        <f t="shared" si="75"/>
        <v>0.81324688779782117</v>
      </c>
      <c r="X324" s="164">
        <f t="shared" si="76"/>
        <v>2.2677953637915138</v>
      </c>
      <c r="Y324" s="180"/>
      <c r="Z324" s="157">
        <f t="shared" si="77"/>
        <v>33.623188405797102</v>
      </c>
      <c r="AA324" s="166">
        <f t="shared" si="78"/>
        <v>11.927536231884057</v>
      </c>
      <c r="AB324" s="126">
        <v>4</v>
      </c>
      <c r="AC324" s="167">
        <v>3.45</v>
      </c>
      <c r="AD324" s="167">
        <v>0.8</v>
      </c>
      <c r="AE324" s="167">
        <v>1.89</v>
      </c>
      <c r="AF324" s="167">
        <v>31.32</v>
      </c>
      <c r="AG324" s="167" t="s">
        <v>95</v>
      </c>
      <c r="AH324" s="167">
        <v>571.79999999999995</v>
      </c>
      <c r="AI324" s="167">
        <v>19.37</v>
      </c>
      <c r="AJ324" s="167">
        <v>2.1</v>
      </c>
      <c r="AK324" s="167">
        <v>15</v>
      </c>
      <c r="AL324" s="168">
        <v>6540</v>
      </c>
      <c r="AM324" s="169">
        <v>0.6</v>
      </c>
      <c r="AN324" s="167">
        <v>0</v>
      </c>
      <c r="AO324" s="170">
        <f t="shared" si="79"/>
        <v>-4.3462109253945389</v>
      </c>
      <c r="AP324" s="171">
        <f t="shared" si="80"/>
        <v>7.5813253064895179</v>
      </c>
      <c r="AQ324" s="172">
        <f t="shared" si="81"/>
        <v>307.46939068821615</v>
      </c>
      <c r="AR324" s="157">
        <f>INDEX([1]Historical!$C$7:$C$1231,MATCH(B324,[1]Historical!$B$7:$B$1253,0))*IF(AH324="n/a",1.03,IF(AH324&lt;0,1.01,IF(AH324&gt;10,1.1,(1+AH324/100))))</f>
        <v>1.1660000000000001</v>
      </c>
      <c r="AS324" s="166">
        <f t="shared" si="82"/>
        <v>1.2826000000000002</v>
      </c>
      <c r="AT324" s="166">
        <f t="shared" si="89"/>
        <v>1.4108600000000002</v>
      </c>
      <c r="AU324" s="166">
        <f t="shared" si="89"/>
        <v>1.5519460000000003</v>
      </c>
      <c r="AV324" s="166">
        <f t="shared" si="89"/>
        <v>1.7071406000000005</v>
      </c>
      <c r="AW324" s="157">
        <f t="shared" si="84"/>
        <v>7.1185466000000011</v>
      </c>
      <c r="AX324" s="173">
        <f t="shared" si="85"/>
        <v>17.29901968408263</v>
      </c>
      <c r="AY324" s="174">
        <v>0.63</v>
      </c>
      <c r="AZ324" s="169">
        <v>95.21</v>
      </c>
      <c r="BA324" s="169">
        <v>-15.61</v>
      </c>
      <c r="BB324" s="169">
        <v>-4.5600000000000005</v>
      </c>
      <c r="BC324" s="169">
        <v>22.040000000000003</v>
      </c>
      <c r="BE324" s="77">
        <v>2016</v>
      </c>
      <c r="BF324" s="77">
        <f t="shared" si="86"/>
        <v>1</v>
      </c>
      <c r="BG324" s="175">
        <v>16.3</v>
      </c>
      <c r="BH324" t="s">
        <v>939</v>
      </c>
      <c r="BI324" t="s">
        <v>940</v>
      </c>
      <c r="BJ324" s="112"/>
      <c r="BK324" s="112"/>
      <c r="BL324" s="112"/>
    </row>
    <row r="325" spans="1:64" ht="11.25" customHeight="1" x14ac:dyDescent="0.2">
      <c r="A325" s="112" t="s">
        <v>1443</v>
      </c>
      <c r="B325" s="153" t="s">
        <v>331</v>
      </c>
      <c r="C325" s="154" t="s">
        <v>127</v>
      </c>
      <c r="D325" s="154" t="s">
        <v>951</v>
      </c>
      <c r="E325" s="155">
        <v>54</v>
      </c>
      <c r="F325" s="298">
        <v>24</v>
      </c>
      <c r="G325" s="298" t="s">
        <v>30</v>
      </c>
      <c r="H325" s="298" t="s">
        <v>30</v>
      </c>
      <c r="I325" s="167">
        <v>46.45</v>
      </c>
      <c r="J325" s="157">
        <f t="shared" si="72"/>
        <v>2.2389666307857912</v>
      </c>
      <c r="K325" s="158">
        <v>0.26</v>
      </c>
      <c r="L325" s="126">
        <v>4</v>
      </c>
      <c r="M325" s="82">
        <f t="shared" si="73"/>
        <v>1.04</v>
      </c>
      <c r="N325" s="159" t="s">
        <v>89</v>
      </c>
      <c r="O325" s="160">
        <v>0.245</v>
      </c>
      <c r="P325" s="161">
        <v>44575</v>
      </c>
      <c r="Q325" s="161">
        <v>44607</v>
      </c>
      <c r="R325" s="82">
        <f t="shared" si="74"/>
        <v>6.1224489795918418</v>
      </c>
      <c r="S325" s="162">
        <f>IF(INDEX([1]Historical!$D$7:$D$1229,MATCH(B325,[1]Historical!$B$7:$B$1253,0))=0,"n/a",(INDEX([1]Historical!$C$7:$C$1231,MATCH(B325,[1]Historical!$B$7:$B$1253,0))/INDEX([1]Historical!$D$7:$D$1229,MATCH(B325,[1]Historical!$B$7:$B$1253,0))-1)*100)</f>
        <v>5.3763440860215006</v>
      </c>
      <c r="T325" s="162">
        <f>IF(INDEX([1]Historical!$F$7:$F$1222,MATCH(B325,[1]Historical!$B$7:$B$1253,0))=0,"n/a",((INDEX([1]Historical!$C$7:$C$1231,MATCH(B325,[1]Historical!$B$7:$B$1253,0))/INDEX([1]Historical!$F$7:$F$1222,MATCH(B325,[1]Historical!$B$7:$B$1253,0)))^(1/3)-1)*100)</f>
        <v>9.3255331866711977</v>
      </c>
      <c r="U325" s="162">
        <f>IF(INDEX([1]Historical!$H$7:$H$1222,MATCH(B325,[1]Historical!$B$7:$B$1253,0))=0,"n/a",((INDEX([1]Historical!$C$7:$C$1231,MATCH(B325,[1]Historical!$B$7:$B$1253,0))/INDEX([1]Historical!$H$7:$H$1222,MATCH(B325,[1]Historical!$B$7:$B$1253,0)))^(1/5)-1)*100)</f>
        <v>11.060497971884509</v>
      </c>
      <c r="V325" s="162">
        <f>IF(INDEX([1]Historical!$N$7:$N$1222,MATCH(B325,[1]Historical!$B$7:$B$1253,0))=0,"n/a",((INDEX([1]Historical!$C$7:$C$1231,MATCH(B325,[1]Historical!$B$7:$B$1253,0))/INDEX([1]Historical!$N$7:$N$1222,MATCH(B325,[1]Historical!$B$7:$B$1253,0)))^(1/10)-1)*100)</f>
        <v>14.411212858356116</v>
      </c>
      <c r="W325" s="163">
        <f t="shared" si="75"/>
        <v>0.7674925129893736</v>
      </c>
      <c r="X325" s="164">
        <f t="shared" si="76"/>
        <v>55.302489859422543</v>
      </c>
      <c r="Y325" s="165"/>
      <c r="Z325" s="157">
        <f t="shared" si="77"/>
        <v>56.830601092896174</v>
      </c>
      <c r="AA325" s="166">
        <f t="shared" si="78"/>
        <v>25.382513661202186</v>
      </c>
      <c r="AB325" s="126">
        <v>10</v>
      </c>
      <c r="AC325" s="167">
        <v>1.83</v>
      </c>
      <c r="AD325" s="167">
        <v>2.94</v>
      </c>
      <c r="AE325" s="167">
        <v>1.99</v>
      </c>
      <c r="AF325" s="167">
        <v>3.48</v>
      </c>
      <c r="AG325" s="167">
        <v>13.900000000000002</v>
      </c>
      <c r="AH325" s="167">
        <v>-0.1</v>
      </c>
      <c r="AI325" s="167">
        <v>10.07</v>
      </c>
      <c r="AJ325" s="167">
        <v>0.2</v>
      </c>
      <c r="AK325" s="167">
        <v>8.75</v>
      </c>
      <c r="AL325" s="168">
        <v>25140</v>
      </c>
      <c r="AM325" s="169">
        <v>0.1</v>
      </c>
      <c r="AN325" s="167">
        <v>0.45</v>
      </c>
      <c r="AO325" s="170">
        <f t="shared" si="79"/>
        <v>-12.083049058531886</v>
      </c>
      <c r="AP325" s="171">
        <f t="shared" si="80"/>
        <v>13.2994646026703</v>
      </c>
      <c r="AQ325" s="172">
        <f t="shared" si="81"/>
        <v>98.137042967721499</v>
      </c>
      <c r="AR325" s="157">
        <f>INDEX([1]Historical!$C$7:$C$1231,MATCH(B325,[1]Historical!$B$7:$B$1253,0))*IF(AH325="n/a",1.03,IF(AH325&lt;0,1.01,IF(AH325&gt;10,1.1,(1+AH325/100))))</f>
        <v>0.98980000000000001</v>
      </c>
      <c r="AS325" s="166">
        <f t="shared" si="82"/>
        <v>1.0887800000000001</v>
      </c>
      <c r="AT325" s="166">
        <f t="shared" si="89"/>
        <v>1.18404825</v>
      </c>
      <c r="AU325" s="166">
        <f t="shared" si="89"/>
        <v>1.287652471875</v>
      </c>
      <c r="AV325" s="166">
        <f t="shared" si="89"/>
        <v>1.4003220631640623</v>
      </c>
      <c r="AW325" s="157">
        <f t="shared" si="84"/>
        <v>5.9506027850390621</v>
      </c>
      <c r="AX325" s="173">
        <f t="shared" si="85"/>
        <v>12.810770258426398</v>
      </c>
      <c r="AY325" s="174">
        <v>0.17</v>
      </c>
      <c r="AZ325" s="169">
        <v>12.61</v>
      </c>
      <c r="BA325" s="169">
        <v>-15.709999999999999</v>
      </c>
      <c r="BB325" s="169">
        <v>-1.0900000000000001</v>
      </c>
      <c r="BC325" s="169">
        <v>-4.6100000000000003</v>
      </c>
      <c r="BE325" s="77">
        <v>1967</v>
      </c>
      <c r="BF325" s="77">
        <f t="shared" si="86"/>
        <v>7</v>
      </c>
      <c r="BG325" s="175">
        <v>7.7</v>
      </c>
      <c r="BH325" t="s">
        <v>939</v>
      </c>
      <c r="BI325" t="s">
        <v>940</v>
      </c>
    </row>
    <row r="326" spans="1:64" ht="11.25" customHeight="1" x14ac:dyDescent="0.2">
      <c r="A326" s="112" t="s">
        <v>1444</v>
      </c>
      <c r="B326" s="153" t="s">
        <v>324</v>
      </c>
      <c r="C326" s="154" t="s">
        <v>127</v>
      </c>
      <c r="D326" s="154" t="s">
        <v>951</v>
      </c>
      <c r="E326" s="155">
        <v>13</v>
      </c>
      <c r="F326" s="298">
        <v>297</v>
      </c>
      <c r="G326" s="298" t="s">
        <v>104</v>
      </c>
      <c r="H326" s="298" t="s">
        <v>104</v>
      </c>
      <c r="I326" s="156">
        <v>238.77</v>
      </c>
      <c r="J326" s="157">
        <f t="shared" si="72"/>
        <v>1.7355614189387274</v>
      </c>
      <c r="K326" s="158">
        <v>1.036</v>
      </c>
      <c r="L326" s="126">
        <v>4</v>
      </c>
      <c r="M326" s="82">
        <f t="shared" si="73"/>
        <v>4.1440000000000001</v>
      </c>
      <c r="N326" s="159" t="s">
        <v>167</v>
      </c>
      <c r="O326" s="160">
        <v>0.90100000000000002</v>
      </c>
      <c r="P326" s="161">
        <v>44791</v>
      </c>
      <c r="Q326" s="161">
        <v>44819</v>
      </c>
      <c r="R326" s="82">
        <f t="shared" si="74"/>
        <v>14.983351831298558</v>
      </c>
      <c r="S326" s="162">
        <f>IF(INDEX([1]Historical!$D$7:$D$1229,MATCH(B326,[1]Historical!$B$7:$B$1253,0))=0,"n/a",(INDEX([1]Historical!$C$7:$C$1231,MATCH(B326,[1]Historical!$B$7:$B$1253,0))/INDEX([1]Historical!$D$7:$D$1229,MATCH(B326,[1]Historical!$B$7:$B$1253,0))-1)*100)</f>
        <v>8.1166772352568195</v>
      </c>
      <c r="T326" s="162">
        <f>IF(INDEX([1]Historical!$F$7:$F$1222,MATCH(B326,[1]Historical!$B$7:$B$1253,0))=0,"n/a",((INDEX([1]Historical!$C$7:$C$1231,MATCH(B326,[1]Historical!$B$7:$B$1253,0))/INDEX([1]Historical!$F$7:$F$1222,MATCH(B326,[1]Historical!$B$7:$B$1253,0)))^(1/3)-1)*100)</f>
        <v>7.3556869501053335</v>
      </c>
      <c r="U326" s="162">
        <f>IF(INDEX([1]Historical!$H$7:$H$1222,MATCH(B326,[1]Historical!$B$7:$B$1253,0))=0,"n/a",((INDEX([1]Historical!$C$7:$C$1231,MATCH(B326,[1]Historical!$B$7:$B$1253,0))/INDEX([1]Historical!$H$7:$H$1222,MATCH(B326,[1]Historical!$B$7:$B$1253,0)))^(1/5)-1)*100)</f>
        <v>7.2596252300143105</v>
      </c>
      <c r="V326" s="162">
        <f>IF(INDEX([1]Historical!$N$7:$N$1222,MATCH(B326,[1]Historical!$B$7:$B$1253,0))=0,"n/a",((INDEX([1]Historical!$C$7:$C$1231,MATCH(B326,[1]Historical!$B$7:$B$1253,0))/INDEX([1]Historical!$N$7:$N$1222,MATCH(B326,[1]Historical!$B$7:$B$1253,0)))^(1/10)-1)*100)</f>
        <v>9.4680871471561456</v>
      </c>
      <c r="W326" s="163">
        <f t="shared" si="75"/>
        <v>0.76674676913961726</v>
      </c>
      <c r="X326" s="164">
        <f t="shared" si="76"/>
        <v>0.69139287904898195</v>
      </c>
      <c r="Y326" s="249"/>
      <c r="Z326" s="157">
        <f t="shared" si="77"/>
        <v>57.877094972067042</v>
      </c>
      <c r="AA326" s="166">
        <f t="shared" si="78"/>
        <v>33.347765363128495</v>
      </c>
      <c r="AB326" s="126">
        <v>12</v>
      </c>
      <c r="AC326" s="167">
        <v>7.16</v>
      </c>
      <c r="AD326" s="167">
        <v>3.24</v>
      </c>
      <c r="AE326" s="167">
        <v>4.9400000000000004</v>
      </c>
      <c r="AF326" s="167">
        <v>17.05</v>
      </c>
      <c r="AG326" s="179">
        <v>58.8</v>
      </c>
      <c r="AH326" s="167">
        <v>-9.8000000000000007</v>
      </c>
      <c r="AI326" s="167">
        <v>8.36</v>
      </c>
      <c r="AJ326" s="167">
        <v>10.5</v>
      </c>
      <c r="AK326" s="167">
        <v>10.33</v>
      </c>
      <c r="AL326" s="168">
        <v>48050</v>
      </c>
      <c r="AM326" s="213">
        <v>0.4</v>
      </c>
      <c r="AN326" s="167">
        <v>1.73</v>
      </c>
      <c r="AO326" s="170">
        <f t="shared" si="79"/>
        <v>-24.352578714175458</v>
      </c>
      <c r="AP326" s="171">
        <f t="shared" si="80"/>
        <v>8.9951866489530374</v>
      </c>
      <c r="AQ326" s="172">
        <f t="shared" si="81"/>
        <v>402.69469393187609</v>
      </c>
      <c r="AR326" s="157">
        <f>INDEX([1]Historical!$C$7:$C$1231,MATCH(B326,[1]Historical!$B$7:$B$1253,0))*IF(AH326="n/a",1.03,IF(AH326&lt;0,1.01,IF(AH326&gt;10,1.1,(1+AH326/100))))</f>
        <v>3.4441000000000002</v>
      </c>
      <c r="AS326" s="166">
        <f t="shared" si="82"/>
        <v>3.7320267599999997</v>
      </c>
      <c r="AT326" s="166">
        <f t="shared" si="89"/>
        <v>4.1052294360000001</v>
      </c>
      <c r="AU326" s="166">
        <f t="shared" si="89"/>
        <v>4.5157523796000003</v>
      </c>
      <c r="AV326" s="166">
        <f t="shared" si="89"/>
        <v>4.9673276175600005</v>
      </c>
      <c r="AW326" s="157">
        <f t="shared" si="84"/>
        <v>20.764436193160002</v>
      </c>
      <c r="AX326" s="173">
        <f t="shared" si="85"/>
        <v>8.6964175537797885</v>
      </c>
      <c r="AY326" s="174">
        <v>0.35</v>
      </c>
      <c r="AZ326" s="169">
        <v>38.24</v>
      </c>
      <c r="BA326" s="169">
        <v>-0.74</v>
      </c>
      <c r="BB326" s="169">
        <v>5.4899999999999993</v>
      </c>
      <c r="BC326" s="169">
        <v>9.9500000000000011</v>
      </c>
      <c r="BE326" s="77">
        <v>2010</v>
      </c>
      <c r="BF326" s="77">
        <f t="shared" si="86"/>
        <v>1</v>
      </c>
      <c r="BG326" s="175">
        <v>15.9</v>
      </c>
      <c r="BH326" t="s">
        <v>939</v>
      </c>
      <c r="BI326" t="s">
        <v>940</v>
      </c>
    </row>
    <row r="327" spans="1:64" ht="11.25" customHeight="1" x14ac:dyDescent="0.2">
      <c r="A327" s="205" t="s">
        <v>1840</v>
      </c>
      <c r="B327" s="153" t="s">
        <v>1841</v>
      </c>
      <c r="C327" s="154" t="s">
        <v>90</v>
      </c>
      <c r="D327" s="154" t="s">
        <v>969</v>
      </c>
      <c r="E327" s="155">
        <v>5</v>
      </c>
      <c r="F327" s="298"/>
      <c r="G327" s="298" t="s">
        <v>88</v>
      </c>
      <c r="H327" s="298" t="s">
        <v>88</v>
      </c>
      <c r="I327" s="156">
        <v>24.03</v>
      </c>
      <c r="J327" s="157">
        <f t="shared" ref="J327:J390" si="90">(M327/I327)*100</f>
        <v>1.6645859342488558</v>
      </c>
      <c r="K327" s="158">
        <v>0.1</v>
      </c>
      <c r="L327" s="126">
        <v>4</v>
      </c>
      <c r="M327" s="82">
        <f t="shared" ref="M327:M390" si="91">K327*L327</f>
        <v>0.4</v>
      </c>
      <c r="N327" s="159" t="s">
        <v>1017</v>
      </c>
      <c r="O327" s="160">
        <v>0.09</v>
      </c>
      <c r="P327" s="161">
        <v>44881</v>
      </c>
      <c r="Q327" s="161">
        <v>44896</v>
      </c>
      <c r="R327" s="82">
        <f t="shared" ref="R327:R390" si="92">(K327-O327)/O327*100</f>
        <v>11.111111111111121</v>
      </c>
      <c r="S327" s="162">
        <f>IF(INDEX([1]Historical!$D$7:$D$1229,MATCH(B327,[1]Historical!$B$7:$B$1253,0))=0,"n/a",(INDEX([1]Historical!$C$7:$C$1231,MATCH(B327,[1]Historical!$B$7:$B$1253,0))/INDEX([1]Historical!$D$7:$D$1229,MATCH(B327,[1]Historical!$B$7:$B$1253,0))-1)*100)</f>
        <v>13.793103448275845</v>
      </c>
      <c r="T327" s="162">
        <f>IF(INDEX([1]Historical!$F$7:$F$1222,MATCH(B327,[1]Historical!$B$7:$B$1253,0))=0,"n/a",((INDEX([1]Historical!$C$7:$C$1231,MATCH(B327,[1]Historical!$B$7:$B$1253,0))/INDEX([1]Historical!$F$7:$F$1222,MATCH(B327,[1]Historical!$B$7:$B$1253,0)))^(1/3)-1)*100)</f>
        <v>76.517416766303143</v>
      </c>
      <c r="U327" s="162" t="str">
        <f>IF(INDEX([1]Historical!$H$7:$H$1222,MATCH(B327,[1]Historical!$B$7:$B$1253,0))=0,"n/a",((INDEX([1]Historical!$C$7:$C$1231,MATCH(B327,[1]Historical!$B$7:$B$1253,0))/INDEX([1]Historical!$H$7:$H$1222,MATCH(B327,[1]Historical!$B$7:$B$1253,0)))^(1/5)-1)*100)</f>
        <v>n/a</v>
      </c>
      <c r="V327" s="162" t="str">
        <f>IF(INDEX([1]Historical!$N$7:$N$1222,MATCH(B327,[1]Historical!$B$7:$B$1253,0))=0,"n/a",((INDEX([1]Historical!$C$7:$C$1231,MATCH(B327,[1]Historical!$B$7:$B$1253,0))/INDEX([1]Historical!$N$7:$N$1222,MATCH(B327,[1]Historical!$B$7:$B$1253,0)))^(1/10)-1)*100)</f>
        <v>n/a</v>
      </c>
      <c r="W327" s="163" t="str">
        <f t="shared" ref="W327:W390" si="93">IF(OR(U327&lt;=0,U327="n/a",V327&lt;=0,V327="n/a"),"n/a",U327/V327)</f>
        <v>n/a</v>
      </c>
      <c r="X327" s="164" t="str">
        <f t="shared" ref="X327:X390" si="94">IF(OR(AJ327&lt;=0,AJ327="n/a",U327&lt;=0,U327="n/a"),"n/a",U327/AJ327)</f>
        <v>n/a</v>
      </c>
      <c r="Y327" s="180"/>
      <c r="Z327" s="157">
        <f t="shared" ref="Z327:Z390" si="95">IF(OR(AC327&lt;0.01,AC327="n/a"),"n/a",M327/AC327*100)</f>
        <v>16</v>
      </c>
      <c r="AA327" s="166">
        <f t="shared" ref="AA327:AA390" si="96">IF(OR(AC327&lt;0.01,AC327="n/a"),"n/a",I327/AC327)</f>
        <v>9.6120000000000001</v>
      </c>
      <c r="AB327" s="126">
        <v>12</v>
      </c>
      <c r="AC327" s="167">
        <v>2.5</v>
      </c>
      <c r="AD327" s="167">
        <v>1.2</v>
      </c>
      <c r="AE327" s="167">
        <v>3.22</v>
      </c>
      <c r="AF327" s="167">
        <v>0.93</v>
      </c>
      <c r="AG327" s="167">
        <v>10.100000000000001</v>
      </c>
      <c r="AH327" s="167">
        <v>137.4</v>
      </c>
      <c r="AI327" s="167">
        <v>13.62</v>
      </c>
      <c r="AJ327" s="167">
        <v>27.900000000000002</v>
      </c>
      <c r="AK327" s="167">
        <v>8</v>
      </c>
      <c r="AL327" s="168">
        <v>370.85</v>
      </c>
      <c r="AM327" s="169">
        <v>2.8000000000000003</v>
      </c>
      <c r="AN327" s="167">
        <v>0</v>
      </c>
      <c r="AO327" s="170" t="str">
        <f t="shared" ref="AO327:AO390" si="97">IF(U327="n/a","n/a",IF(AA327&lt;0,"n/a",IF(AA327="n/a","n/a",J327+U327-AA327)))</f>
        <v>n/a</v>
      </c>
      <c r="AP327" s="171" t="str">
        <f t="shared" ref="AP327:AP390" si="98">IF(U327="n/a","n/a",J327+U327)</f>
        <v>n/a</v>
      </c>
      <c r="AQ327" s="172">
        <f t="shared" ref="AQ327:AQ390" si="99">IF(OR(AC327&lt;0.01,AC327="n/a",AF327="n/a"),"n/a",(I327/SQRT(22.5*AC327*(I327/AF327))-1)*100)</f>
        <v>-36.968579263989298</v>
      </c>
      <c r="AR327" s="157">
        <f>INDEX([1]Historical!$C$7:$C$1231,MATCH(B327,[1]Historical!$B$7:$B$1253,0))*IF(AH327="n/a",1.03,IF(AH327&lt;0,1.01,IF(AH327&gt;10,1.1,(1+AH327/100))))</f>
        <v>0.36300000000000004</v>
      </c>
      <c r="AS327" s="166">
        <f t="shared" ref="AS327:AS390" si="100">IF($AI327="n/a",1.03*AR327,IF($AI327&lt;0,1.01*AR327,IF($AI327&gt;10,1.1*AR327,(1+$AI327/100)*AR327)))</f>
        <v>0.3993000000000001</v>
      </c>
      <c r="AT327" s="166">
        <f t="shared" ref="AT327:AV342" si="101">IF($AK327="n/a",1.03*AS327,IF($AK327&lt;0,1.01*AS327,IF($AK327&gt;10,1.1*AS327,(1+$AK327/100)*AS327)))</f>
        <v>0.43124400000000013</v>
      </c>
      <c r="AU327" s="166">
        <f t="shared" si="101"/>
        <v>0.46574352000000019</v>
      </c>
      <c r="AV327" s="166">
        <f t="shared" si="101"/>
        <v>0.50300300160000022</v>
      </c>
      <c r="AW327" s="157">
        <f t="shared" ref="AW327:AW390" si="102">SUM(AR327:AV327)</f>
        <v>2.162290521600001</v>
      </c>
      <c r="AX327" s="173">
        <f t="shared" ref="AX327:AX390" si="103">AW327/I327*100</f>
        <v>8.9982959700374572</v>
      </c>
      <c r="AY327" s="174">
        <v>0.6</v>
      </c>
      <c r="AZ327" s="169">
        <v>11.51</v>
      </c>
      <c r="BA327" s="169">
        <v>-26.290000000000003</v>
      </c>
      <c r="BB327" s="169">
        <v>4.33</v>
      </c>
      <c r="BC327" s="169">
        <v>-9.83</v>
      </c>
      <c r="BE327" s="77">
        <v>2018</v>
      </c>
      <c r="BF327" s="77">
        <f t="shared" ref="BF327:BF390" si="104">IF(BE327&gt;2020,0,IF(BE327&gt;2008,1,IF(BE327&gt;2001,2,IF(BE327&gt;1990,3,IF(BE327&gt;1980,4,IF(BE327&gt;1973,5,IF(BE327&gt;1970,6,IF(BE327&gt;1960,7,IF(BE327&gt;1958,8,IF(BE327&gt;1953,9,10))))))))))</f>
        <v>1</v>
      </c>
      <c r="BG327" s="175">
        <v>1.0999999999999999</v>
      </c>
      <c r="BH327" t="s">
        <v>939</v>
      </c>
      <c r="BI327" t="s">
        <v>940</v>
      </c>
      <c r="BJ327" s="112"/>
      <c r="BK327" s="112"/>
      <c r="BL327" s="112"/>
    </row>
    <row r="328" spans="1:64" ht="11.25" customHeight="1" x14ac:dyDescent="0.2">
      <c r="A328" s="205" t="s">
        <v>1104</v>
      </c>
      <c r="B328" s="153" t="s">
        <v>1105</v>
      </c>
      <c r="C328" s="154" t="s">
        <v>90</v>
      </c>
      <c r="D328" s="154" t="s">
        <v>969</v>
      </c>
      <c r="E328" s="155">
        <v>7</v>
      </c>
      <c r="F328" s="298">
        <v>619</v>
      </c>
      <c r="G328" s="298" t="s">
        <v>88</v>
      </c>
      <c r="H328" s="298" t="s">
        <v>88</v>
      </c>
      <c r="I328" s="156">
        <v>28.95</v>
      </c>
      <c r="J328" s="157">
        <f t="shared" si="90"/>
        <v>2.0725388601036272</v>
      </c>
      <c r="K328" s="158">
        <v>0.15</v>
      </c>
      <c r="L328" s="126">
        <v>4</v>
      </c>
      <c r="M328" s="82">
        <f t="shared" si="91"/>
        <v>0.6</v>
      </c>
      <c r="N328" s="159" t="s">
        <v>677</v>
      </c>
      <c r="O328" s="160">
        <v>0.12</v>
      </c>
      <c r="P328" s="161">
        <v>44606</v>
      </c>
      <c r="Q328" s="161">
        <v>44620</v>
      </c>
      <c r="R328" s="82">
        <f t="shared" si="92"/>
        <v>25</v>
      </c>
      <c r="S328" s="162">
        <f>IF(INDEX([1]Historical!$D$7:$D$1229,MATCH(B328,[1]Historical!$B$7:$B$1253,0))=0,"n/a",(INDEX([1]Historical!$C$7:$C$1231,MATCH(B328,[1]Historical!$B$7:$B$1253,0))/INDEX([1]Historical!$D$7:$D$1229,MATCH(B328,[1]Historical!$B$7:$B$1253,0))-1)*100)</f>
        <v>33.333333333333329</v>
      </c>
      <c r="T328" s="162">
        <f>IF(INDEX([1]Historical!$F$7:$F$1222,MATCH(B328,[1]Historical!$B$7:$B$1253,0))=0,"n/a",((INDEX([1]Historical!$C$7:$C$1231,MATCH(B328,[1]Historical!$B$7:$B$1253,0))/INDEX([1]Historical!$F$7:$F$1222,MATCH(B328,[1]Historical!$B$7:$B$1253,0)))^(1/3)-1)*100)</f>
        <v>19.681696117715084</v>
      </c>
      <c r="U328" s="162">
        <f>IF(INDEX([1]Historical!$H$7:$H$1222,MATCH(B328,[1]Historical!$B$7:$B$1253,0))=0,"n/a",((INDEX([1]Historical!$C$7:$C$1231,MATCH(B328,[1]Historical!$B$7:$B$1253,0))/INDEX([1]Historical!$H$7:$H$1222,MATCH(B328,[1]Historical!$B$7:$B$1253,0)))^(1/5)-1)*100)</f>
        <v>51.571656651039802</v>
      </c>
      <c r="V328" s="162" t="str">
        <f>IF(INDEX([1]Historical!$N$7:$N$1222,MATCH(B328,[1]Historical!$B$7:$B$1253,0))=0,"n/a",((INDEX([1]Historical!$C$7:$C$1231,MATCH(B328,[1]Historical!$B$7:$B$1253,0))/INDEX([1]Historical!$N$7:$N$1222,MATCH(B328,[1]Historical!$B$7:$B$1253,0)))^(1/10)-1)*100)</f>
        <v>n/a</v>
      </c>
      <c r="W328" s="163" t="str">
        <f t="shared" si="93"/>
        <v>n/a</v>
      </c>
      <c r="X328" s="164">
        <f t="shared" si="94"/>
        <v>2.0224179078839137</v>
      </c>
      <c r="Y328" s="178"/>
      <c r="Z328" s="157">
        <f t="shared" si="95"/>
        <v>29.850746268656721</v>
      </c>
      <c r="AA328" s="166">
        <f t="shared" si="96"/>
        <v>14.402985074626868</v>
      </c>
      <c r="AB328" s="126">
        <v>12</v>
      </c>
      <c r="AC328" s="167">
        <v>2.0099999999999998</v>
      </c>
      <c r="AD328" s="167">
        <v>0.97</v>
      </c>
      <c r="AE328" s="167">
        <v>3.46</v>
      </c>
      <c r="AF328" s="167">
        <v>0.93</v>
      </c>
      <c r="AG328" s="167">
        <v>6.6000000000000005</v>
      </c>
      <c r="AH328" s="167">
        <v>0.6</v>
      </c>
      <c r="AI328" s="167">
        <v>4.25</v>
      </c>
      <c r="AJ328" s="167">
        <v>25.5</v>
      </c>
      <c r="AK328" s="167">
        <v>15</v>
      </c>
      <c r="AL328" s="168">
        <v>1850</v>
      </c>
      <c r="AM328" s="169">
        <v>2.1</v>
      </c>
      <c r="AN328" s="167">
        <v>0.71</v>
      </c>
      <c r="AO328" s="170">
        <f t="shared" si="97"/>
        <v>39.24121043651656</v>
      </c>
      <c r="AP328" s="171">
        <f t="shared" si="98"/>
        <v>53.64419551114343</v>
      </c>
      <c r="AQ328" s="172">
        <f t="shared" si="99"/>
        <v>-22.842797932754376</v>
      </c>
      <c r="AR328" s="157">
        <f>INDEX([1]Historical!$C$7:$C$1231,MATCH(B328,[1]Historical!$B$7:$B$1253,0))*IF(AH328="n/a",1.03,IF(AH328&lt;0,1.01,IF(AH328&gt;10,1.1,(1+AH328/100))))</f>
        <v>0.48287999999999998</v>
      </c>
      <c r="AS328" s="166">
        <f t="shared" si="100"/>
        <v>0.50340239999999992</v>
      </c>
      <c r="AT328" s="166">
        <f t="shared" si="101"/>
        <v>0.55374263999999995</v>
      </c>
      <c r="AU328" s="166">
        <f t="shared" si="101"/>
        <v>0.60911690399999996</v>
      </c>
      <c r="AV328" s="166">
        <f t="shared" si="101"/>
        <v>0.67002859439999995</v>
      </c>
      <c r="AW328" s="157">
        <f t="shared" si="102"/>
        <v>2.8191705383999999</v>
      </c>
      <c r="AX328" s="173">
        <f t="shared" si="103"/>
        <v>9.7380674901554407</v>
      </c>
      <c r="AY328" s="174">
        <v>1.1100000000000001</v>
      </c>
      <c r="AZ328" s="169">
        <v>19.73</v>
      </c>
      <c r="BA328" s="169">
        <v>-24.75</v>
      </c>
      <c r="BB328" s="169">
        <v>9.4700000000000006</v>
      </c>
      <c r="BC328" s="169">
        <v>0.27</v>
      </c>
      <c r="BE328" s="77">
        <v>2016</v>
      </c>
      <c r="BF328" s="77">
        <f t="shared" si="104"/>
        <v>1</v>
      </c>
      <c r="BG328" s="175">
        <v>0.89999999999999991</v>
      </c>
      <c r="BH328" t="s">
        <v>939</v>
      </c>
      <c r="BI328" t="s">
        <v>940</v>
      </c>
      <c r="BJ328" s="112"/>
      <c r="BK328" s="112"/>
      <c r="BL328" s="112"/>
    </row>
    <row r="329" spans="1:64" s="252" customFormat="1" ht="11.25" customHeight="1" x14ac:dyDescent="0.2">
      <c r="A329" s="236" t="s">
        <v>1106</v>
      </c>
      <c r="B329" s="184" t="s">
        <v>1107</v>
      </c>
      <c r="C329" s="154" t="s">
        <v>90</v>
      </c>
      <c r="D329" s="154" t="s">
        <v>969</v>
      </c>
      <c r="E329" s="185">
        <v>6</v>
      </c>
      <c r="F329" s="298">
        <v>691</v>
      </c>
      <c r="G329" s="297" t="s">
        <v>88</v>
      </c>
      <c r="H329" s="297" t="s">
        <v>88</v>
      </c>
      <c r="I329" s="186">
        <v>49.32</v>
      </c>
      <c r="J329" s="187">
        <f t="shared" si="90"/>
        <v>2.2708840227088403</v>
      </c>
      <c r="K329" s="188">
        <v>0.28000000000000003</v>
      </c>
      <c r="L329" s="189">
        <v>4</v>
      </c>
      <c r="M329" s="190">
        <f t="shared" si="91"/>
        <v>1.1200000000000001</v>
      </c>
      <c r="N329" s="191" t="s">
        <v>677</v>
      </c>
      <c r="O329" s="192">
        <v>0.27</v>
      </c>
      <c r="P329" s="193">
        <v>44875</v>
      </c>
      <c r="Q329" s="193">
        <v>44894</v>
      </c>
      <c r="R329" s="190">
        <f t="shared" si="92"/>
        <v>3.7037037037037068</v>
      </c>
      <c r="S329" s="162">
        <f>IF(INDEX([1]Historical!$D$7:$D$1229,MATCH(B329,[1]Historical!$B$7:$B$1253,0))=0,"n/a",(INDEX([1]Historical!$C$7:$C$1231,MATCH(B329,[1]Historical!$B$7:$B$1253,0))/INDEX([1]Historical!$D$7:$D$1229,MATCH(B329,[1]Historical!$B$7:$B$1253,0))-1)*100)</f>
        <v>19.999999999999996</v>
      </c>
      <c r="T329" s="162">
        <f>IF(INDEX([1]Historical!$F$7:$F$1222,MATCH(B329,[1]Historical!$B$7:$B$1253,0))=0,"n/a",((INDEX([1]Historical!$C$7:$C$1231,MATCH(B329,[1]Historical!$B$7:$B$1253,0))/INDEX([1]Historical!$F$7:$F$1222,MATCH(B329,[1]Historical!$B$7:$B$1253,0)))^(1/3)-1)*100)</f>
        <v>21.141372855475971</v>
      </c>
      <c r="U329" s="162">
        <f>IF(INDEX([1]Historical!$H$7:$H$1222,MATCH(B329,[1]Historical!$B$7:$B$1253,0))=0,"n/a",((INDEX([1]Historical!$C$7:$C$1231,MATCH(B329,[1]Historical!$B$7:$B$1253,0))/INDEX([1]Historical!$H$7:$H$1222,MATCH(B329,[1]Historical!$B$7:$B$1253,0)))^(1/5)-1)*100)</f>
        <v>19.13578981670916</v>
      </c>
      <c r="V329" s="162">
        <f>IF(INDEX([1]Historical!$N$7:$N$1222,MATCH(B329,[1]Historical!$B$7:$B$1253,0))=0,"n/a",((INDEX([1]Historical!$C$7:$C$1231,MATCH(B329,[1]Historical!$B$7:$B$1253,0))/INDEX([1]Historical!$N$7:$N$1222,MATCH(B329,[1]Historical!$B$7:$B$1253,0)))^(1/10)-1)*100)</f>
        <v>9.1493425617896982</v>
      </c>
      <c r="W329" s="163">
        <f t="shared" si="93"/>
        <v>2.0914934256178968</v>
      </c>
      <c r="X329" s="164">
        <f t="shared" si="94"/>
        <v>2.0799771539901264</v>
      </c>
      <c r="Y329" s="227"/>
      <c r="Z329" s="187">
        <f t="shared" si="95"/>
        <v>24.724061810154527</v>
      </c>
      <c r="AA329" s="194">
        <f t="shared" si="96"/>
        <v>10.887417218543046</v>
      </c>
      <c r="AB329" s="189">
        <v>12</v>
      </c>
      <c r="AC329" s="195">
        <v>4.53</v>
      </c>
      <c r="AD329" s="195">
        <v>1.0900000000000001</v>
      </c>
      <c r="AE329" s="195">
        <v>3.46</v>
      </c>
      <c r="AF329" s="195">
        <v>1.26</v>
      </c>
      <c r="AG329" s="195">
        <v>10.100000000000001</v>
      </c>
      <c r="AH329" s="195">
        <v>39.800000000000004</v>
      </c>
      <c r="AI329" s="195">
        <v>15</v>
      </c>
      <c r="AJ329" s="195">
        <v>9.1999999999999993</v>
      </c>
      <c r="AK329" s="195">
        <v>10</v>
      </c>
      <c r="AL329" s="196">
        <v>2029.9999999999998</v>
      </c>
      <c r="AM329" s="197">
        <v>1.6</v>
      </c>
      <c r="AN329" s="195">
        <v>0.22</v>
      </c>
      <c r="AO329" s="198">
        <f t="shared" si="97"/>
        <v>10.519256620874955</v>
      </c>
      <c r="AP329" s="199">
        <f t="shared" si="98"/>
        <v>21.406673839418001</v>
      </c>
      <c r="AQ329" s="172">
        <f t="shared" si="99"/>
        <v>-21.917007982633606</v>
      </c>
      <c r="AR329" s="157">
        <f>INDEX([1]Historical!$C$7:$C$1231,MATCH(B329,[1]Historical!$B$7:$B$1253,0))*IF(AH329="n/a",1.03,IF(AH329&lt;0,1.01,IF(AH329&gt;10,1.1,(1+AH329/100))))</f>
        <v>1.056</v>
      </c>
      <c r="AS329" s="194">
        <f t="shared" si="100"/>
        <v>1.1616000000000002</v>
      </c>
      <c r="AT329" s="194">
        <f t="shared" si="101"/>
        <v>1.2777600000000002</v>
      </c>
      <c r="AU329" s="194">
        <f t="shared" si="101"/>
        <v>1.4055360000000003</v>
      </c>
      <c r="AV329" s="194">
        <f t="shared" si="101"/>
        <v>1.5460896000000004</v>
      </c>
      <c r="AW329" s="187">
        <f t="shared" si="102"/>
        <v>6.4469856000000005</v>
      </c>
      <c r="AX329" s="200">
        <f t="shared" si="103"/>
        <v>13.071746958637471</v>
      </c>
      <c r="AY329" s="201">
        <v>1.07</v>
      </c>
      <c r="AZ329" s="197">
        <v>25.590000000000003</v>
      </c>
      <c r="BA329" s="197">
        <v>-8.6300000000000008</v>
      </c>
      <c r="BB329" s="197">
        <v>9.3000000000000007</v>
      </c>
      <c r="BC329" s="197">
        <v>7.31</v>
      </c>
      <c r="BD329" s="202"/>
      <c r="BE329" s="77">
        <v>2017</v>
      </c>
      <c r="BF329" s="77">
        <f t="shared" si="104"/>
        <v>1</v>
      </c>
      <c r="BG329" s="203">
        <v>1</v>
      </c>
      <c r="BH329" t="s">
        <v>939</v>
      </c>
      <c r="BI329" t="s">
        <v>940</v>
      </c>
      <c r="BJ329" s="208"/>
      <c r="BK329" s="208"/>
      <c r="BL329" s="208"/>
    </row>
    <row r="330" spans="1:64" ht="11.25" customHeight="1" x14ac:dyDescent="0.2">
      <c r="A330" s="176" t="s">
        <v>1445</v>
      </c>
      <c r="B330" s="178" t="s">
        <v>673</v>
      </c>
      <c r="C330" s="154" t="s">
        <v>94</v>
      </c>
      <c r="D330" s="154" t="s">
        <v>1048</v>
      </c>
      <c r="E330" s="155">
        <v>15</v>
      </c>
      <c r="F330" s="298">
        <v>261</v>
      </c>
      <c r="G330" s="298" t="s">
        <v>30</v>
      </c>
      <c r="H330" s="298" t="s">
        <v>30</v>
      </c>
      <c r="I330" s="156">
        <v>237.48</v>
      </c>
      <c r="J330" s="157">
        <f t="shared" si="90"/>
        <v>1.8864746504968843</v>
      </c>
      <c r="K330" s="158">
        <v>1.1200000000000001</v>
      </c>
      <c r="L330" s="126">
        <v>4</v>
      </c>
      <c r="M330" s="82">
        <f t="shared" si="91"/>
        <v>4.4800000000000004</v>
      </c>
      <c r="N330" s="159" t="s">
        <v>167</v>
      </c>
      <c r="O330" s="160">
        <v>1.05</v>
      </c>
      <c r="P330" s="161">
        <v>44894</v>
      </c>
      <c r="Q330" s="161">
        <v>44910</v>
      </c>
      <c r="R330" s="82">
        <f t="shared" si="92"/>
        <v>6.6666666666666723</v>
      </c>
      <c r="S330" s="162">
        <f>IF(INDEX([1]Historical!$D$7:$D$1229,MATCH(B330,[1]Historical!$B$7:$B$1253,0))=0,"n/a",(INDEX([1]Historical!$C$7:$C$1231,MATCH(B330,[1]Historical!$B$7:$B$1253,0))/INDEX([1]Historical!$D$7:$D$1229,MATCH(B330,[1]Historical!$B$7:$B$1253,0))-1)*100)</f>
        <v>7.547169811320753</v>
      </c>
      <c r="T330" s="162">
        <f>IF(INDEX([1]Historical!$F$7:$F$1222,MATCH(B330,[1]Historical!$B$7:$B$1253,0))=0,"n/a",((INDEX([1]Historical!$C$7:$C$1231,MATCH(B330,[1]Historical!$B$7:$B$1253,0))/INDEX([1]Historical!$F$7:$F$1222,MATCH(B330,[1]Historical!$B$7:$B$1253,0)))^(1/3)-1)*100)</f>
        <v>8.1983855523197757</v>
      </c>
      <c r="U330" s="162">
        <f>IF(INDEX([1]Historical!$H$7:$H$1222,MATCH(B330,[1]Historical!$B$7:$B$1253,0))=0,"n/a",((INDEX([1]Historical!$C$7:$C$1231,MATCH(B330,[1]Historical!$B$7:$B$1253,0))/INDEX([1]Historical!$H$7:$H$1222,MATCH(B330,[1]Historical!$B$7:$B$1253,0)))^(1/5)-1)*100)</f>
        <v>9.0271416315252928</v>
      </c>
      <c r="V330" s="162">
        <f>IF(INDEX([1]Historical!$N$7:$N$1222,MATCH(B330,[1]Historical!$B$7:$B$1253,0))=0,"n/a",((INDEX([1]Historical!$C$7:$C$1231,MATCH(B330,[1]Historical!$B$7:$B$1253,0))/INDEX([1]Historical!$N$7:$N$1222,MATCH(B330,[1]Historical!$B$7:$B$1253,0)))^(1/10)-1)*100)</f>
        <v>10.131849033861794</v>
      </c>
      <c r="W330" s="163">
        <f t="shared" si="93"/>
        <v>0.89096685129787823</v>
      </c>
      <c r="X330" s="164">
        <f t="shared" si="94"/>
        <v>1.8422738023521004</v>
      </c>
      <c r="Y330" s="178"/>
      <c r="Z330" s="157">
        <f t="shared" si="95"/>
        <v>51.6724336793541</v>
      </c>
      <c r="AA330" s="166">
        <f t="shared" si="96"/>
        <v>27.39100346020761</v>
      </c>
      <c r="AB330" s="126">
        <v>12</v>
      </c>
      <c r="AC330" s="167">
        <v>8.67</v>
      </c>
      <c r="AD330" s="167">
        <v>2.73</v>
      </c>
      <c r="AE330" s="167">
        <v>2.9</v>
      </c>
      <c r="AF330" s="167">
        <v>5.49</v>
      </c>
      <c r="AG330" s="167">
        <v>24.7</v>
      </c>
      <c r="AH330" s="167">
        <v>10.199999999999999</v>
      </c>
      <c r="AI330" s="167">
        <v>6.9599999999999991</v>
      </c>
      <c r="AJ330" s="167">
        <v>4.9000000000000004</v>
      </c>
      <c r="AK330" s="167">
        <v>10</v>
      </c>
      <c r="AL330" s="168">
        <v>12860</v>
      </c>
      <c r="AM330" s="169">
        <v>0.3</v>
      </c>
      <c r="AN330" s="167">
        <v>0.62</v>
      </c>
      <c r="AO330" s="170">
        <f t="shared" si="97"/>
        <v>-16.477387178185431</v>
      </c>
      <c r="AP330" s="171">
        <f t="shared" si="98"/>
        <v>10.913616282022177</v>
      </c>
      <c r="AQ330" s="172">
        <f t="shared" si="99"/>
        <v>158.52281996548504</v>
      </c>
      <c r="AR330" s="157">
        <f>INDEX([1]Historical!$C$7:$C$1231,MATCH(B330,[1]Historical!$B$7:$B$1253,0))*IF(AH330="n/a",1.03,IF(AH330&lt;0,1.01,IF(AH330&gt;10,1.1,(1+AH330/100))))</f>
        <v>4.3890000000000002</v>
      </c>
      <c r="AS330" s="166">
        <f t="shared" si="100"/>
        <v>4.6944743999999998</v>
      </c>
      <c r="AT330" s="166">
        <f t="shared" si="101"/>
        <v>5.1639218400000004</v>
      </c>
      <c r="AU330" s="166">
        <f t="shared" si="101"/>
        <v>5.6803140240000012</v>
      </c>
      <c r="AV330" s="166">
        <f t="shared" si="101"/>
        <v>6.248345426400002</v>
      </c>
      <c r="AW330" s="157">
        <f t="shared" si="102"/>
        <v>26.176055690400005</v>
      </c>
      <c r="AX330" s="173">
        <f t="shared" si="103"/>
        <v>11.022425337038912</v>
      </c>
      <c r="AY330" s="174">
        <v>1.05</v>
      </c>
      <c r="AZ330" s="169">
        <v>39.519999999999996</v>
      </c>
      <c r="BA330" s="169">
        <v>-2.16</v>
      </c>
      <c r="BB330" s="169">
        <v>6.8500000000000005</v>
      </c>
      <c r="BC330" s="169">
        <v>19.63</v>
      </c>
      <c r="BE330" s="77">
        <v>2009</v>
      </c>
      <c r="BF330" s="77">
        <f t="shared" si="104"/>
        <v>1</v>
      </c>
      <c r="BG330" s="175">
        <v>10.6</v>
      </c>
      <c r="BH330" t="s">
        <v>939</v>
      </c>
      <c r="BI330" t="s">
        <v>940</v>
      </c>
    </row>
    <row r="331" spans="1:64" ht="11.25" customHeight="1" x14ac:dyDescent="0.2">
      <c r="A331" s="112" t="s">
        <v>624</v>
      </c>
      <c r="B331" s="153" t="s">
        <v>625</v>
      </c>
      <c r="C331" s="154" t="s">
        <v>137</v>
      </c>
      <c r="D331" s="154" t="s">
        <v>942</v>
      </c>
      <c r="E331" s="155">
        <v>12</v>
      </c>
      <c r="F331" s="298">
        <v>355</v>
      </c>
      <c r="G331" s="298" t="s">
        <v>88</v>
      </c>
      <c r="H331" s="298" t="s">
        <v>88</v>
      </c>
      <c r="I331" s="156">
        <v>558.08000000000004</v>
      </c>
      <c r="J331" s="157">
        <f t="shared" si="90"/>
        <v>0.56443520642201828</v>
      </c>
      <c r="K331" s="158">
        <v>0.78749999999999998</v>
      </c>
      <c r="L331" s="126">
        <v>4</v>
      </c>
      <c r="M331" s="82">
        <f t="shared" si="91"/>
        <v>3.15</v>
      </c>
      <c r="N331" s="159" t="s">
        <v>843</v>
      </c>
      <c r="O331" s="160">
        <v>0.7</v>
      </c>
      <c r="P331" s="161">
        <v>44650</v>
      </c>
      <c r="Q331" s="161">
        <v>44680</v>
      </c>
      <c r="R331" s="82">
        <f t="shared" si="92"/>
        <v>12.500000000000004</v>
      </c>
      <c r="S331" s="162">
        <f>IF(INDEX([1]Historical!$D$7:$D$1229,MATCH(B331,[1]Historical!$B$7:$B$1253,0))=0,"n/a",(INDEX([1]Historical!$C$7:$C$1231,MATCH(B331,[1]Historical!$B$7:$B$1253,0))/INDEX([1]Historical!$D$7:$D$1229,MATCH(B331,[1]Historical!$B$7:$B$1253,0))-1)*100)</f>
        <v>12.37113402061858</v>
      </c>
      <c r="T331" s="162">
        <f>IF(INDEX([1]Historical!$F$7:$F$1222,MATCH(B331,[1]Historical!$B$7:$B$1253,0))=0,"n/a",((INDEX([1]Historical!$C$7:$C$1231,MATCH(B331,[1]Historical!$B$7:$B$1253,0))/INDEX([1]Historical!$F$7:$F$1222,MATCH(B331,[1]Historical!$B$7:$B$1253,0)))^(1/3)-1)*100)</f>
        <v>12.772783993913549</v>
      </c>
      <c r="U331" s="162">
        <f>IF(INDEX([1]Historical!$H$7:$H$1222,MATCH(B331,[1]Historical!$B$7:$B$1253,0))=0,"n/a",((INDEX([1]Historical!$C$7:$C$1231,MATCH(B331,[1]Historical!$B$7:$B$1253,0))/INDEX([1]Historical!$H$7:$H$1222,MATCH(B331,[1]Historical!$B$7:$B$1253,0)))^(1/5)-1)*100)</f>
        <v>18.626496304544361</v>
      </c>
      <c r="V331" s="162">
        <f>IF(INDEX([1]Historical!$N$7:$N$1222,MATCH(B331,[1]Historical!$B$7:$B$1253,0))=0,"n/a",((INDEX([1]Historical!$C$7:$C$1231,MATCH(B331,[1]Historical!$B$7:$B$1253,0))/INDEX([1]Historical!$N$7:$N$1222,MATCH(B331,[1]Historical!$B$7:$B$1253,0)))^(1/10)-1)*100)</f>
        <v>18.478528119788251</v>
      </c>
      <c r="W331" s="163">
        <f t="shared" si="93"/>
        <v>1.0080075741853949</v>
      </c>
      <c r="X331" s="164">
        <f t="shared" si="94"/>
        <v>0.4543047879157161</v>
      </c>
      <c r="Y331" s="212"/>
      <c r="Z331" s="157">
        <f t="shared" si="95"/>
        <v>12.851897184822519</v>
      </c>
      <c r="AA331" s="166">
        <f t="shared" si="96"/>
        <v>22.769481844145247</v>
      </c>
      <c r="AB331" s="126">
        <v>12</v>
      </c>
      <c r="AC331" s="167">
        <v>24.51</v>
      </c>
      <c r="AD331" s="167">
        <v>1.53</v>
      </c>
      <c r="AE331" s="167">
        <v>0.77</v>
      </c>
      <c r="AF331" s="167">
        <v>4.53</v>
      </c>
      <c r="AG331" s="167">
        <v>19.900000000000002</v>
      </c>
      <c r="AH331" s="167">
        <v>-10.5</v>
      </c>
      <c r="AI331" s="167">
        <v>11.68</v>
      </c>
      <c r="AJ331" s="167">
        <v>41</v>
      </c>
      <c r="AK331" s="167">
        <v>14.75</v>
      </c>
      <c r="AL331" s="168">
        <v>68910</v>
      </c>
      <c r="AM331" s="169">
        <v>0.2</v>
      </c>
      <c r="AN331" s="167">
        <v>0.85</v>
      </c>
      <c r="AO331" s="170">
        <f t="shared" si="97"/>
        <v>-3.5785503331788675</v>
      </c>
      <c r="AP331" s="171">
        <f t="shared" si="98"/>
        <v>19.190931510966379</v>
      </c>
      <c r="AQ331" s="172">
        <f t="shared" si="99"/>
        <v>114.10874989020363</v>
      </c>
      <c r="AR331" s="157">
        <f>INDEX([1]Historical!$C$7:$C$1231,MATCH(B331,[1]Historical!$B$7:$B$1253,0))*IF(AH331="n/a",1.03,IF(AH331&lt;0,1.01,IF(AH331&gt;10,1.1,(1+AH331/100))))</f>
        <v>2.7522500000000001</v>
      </c>
      <c r="AS331" s="166">
        <f t="shared" si="100"/>
        <v>3.0274750000000004</v>
      </c>
      <c r="AT331" s="166">
        <f t="shared" si="101"/>
        <v>3.3302225000000005</v>
      </c>
      <c r="AU331" s="166">
        <f t="shared" si="101"/>
        <v>3.6632447500000009</v>
      </c>
      <c r="AV331" s="166">
        <f t="shared" si="101"/>
        <v>4.0295692250000013</v>
      </c>
      <c r="AW331" s="157">
        <f t="shared" si="102"/>
        <v>16.802761475000004</v>
      </c>
      <c r="AX331" s="173">
        <f t="shared" si="103"/>
        <v>3.0108159179687504</v>
      </c>
      <c r="AY331" s="174">
        <v>0.75</v>
      </c>
      <c r="AZ331" s="169">
        <v>58.91</v>
      </c>
      <c r="BA331" s="169">
        <v>-0.35000000000000003</v>
      </c>
      <c r="BB331" s="169">
        <v>12.26</v>
      </c>
      <c r="BC331" s="169">
        <v>21.88</v>
      </c>
      <c r="BE331" s="77">
        <v>2011</v>
      </c>
      <c r="BF331" s="77">
        <f t="shared" si="104"/>
        <v>1</v>
      </c>
      <c r="BG331" s="175">
        <v>6.9</v>
      </c>
      <c r="BH331" t="s">
        <v>939</v>
      </c>
      <c r="BI331" t="s">
        <v>940</v>
      </c>
    </row>
    <row r="332" spans="1:64" ht="11.25" customHeight="1" x14ac:dyDescent="0.2">
      <c r="A332" s="176" t="s">
        <v>1446</v>
      </c>
      <c r="B332" s="153" t="s">
        <v>810</v>
      </c>
      <c r="C332" s="154" t="s">
        <v>94</v>
      </c>
      <c r="D332" s="154" t="s">
        <v>101</v>
      </c>
      <c r="E332" s="155">
        <v>10</v>
      </c>
      <c r="F332" s="298">
        <v>483</v>
      </c>
      <c r="G332" s="298" t="s">
        <v>88</v>
      </c>
      <c r="H332" s="298" t="s">
        <v>88</v>
      </c>
      <c r="I332" s="156">
        <v>23.15</v>
      </c>
      <c r="J332" s="157">
        <f t="shared" si="90"/>
        <v>2.5917926565874732</v>
      </c>
      <c r="K332" s="158">
        <v>0.15</v>
      </c>
      <c r="L332" s="126">
        <v>4</v>
      </c>
      <c r="M332" s="82">
        <f t="shared" si="91"/>
        <v>0.6</v>
      </c>
      <c r="N332" s="159" t="s">
        <v>112</v>
      </c>
      <c r="O332" s="160">
        <v>0.14000000000000001</v>
      </c>
      <c r="P332" s="161">
        <v>44645</v>
      </c>
      <c r="Q332" s="161">
        <v>44662</v>
      </c>
      <c r="R332" s="82">
        <f t="shared" si="92"/>
        <v>7.1428571428571281</v>
      </c>
      <c r="S332" s="162">
        <f>IF(INDEX([1]Historical!$D$7:$D$1229,MATCH(B332,[1]Historical!$B$7:$B$1253,0))=0,"n/a",(INDEX([1]Historical!$C$7:$C$1231,MATCH(B332,[1]Historical!$B$7:$B$1253,0))/INDEX([1]Historical!$D$7:$D$1229,MATCH(B332,[1]Historical!$B$7:$B$1253,0))-1)*100)</f>
        <v>7.8431372549019773</v>
      </c>
      <c r="T332" s="162">
        <f>IF(INDEX([1]Historical!$F$7:$F$1222,MATCH(B332,[1]Historical!$B$7:$B$1253,0))=0,"n/a",((INDEX([1]Historical!$C$7:$C$1231,MATCH(B332,[1]Historical!$B$7:$B$1253,0))/INDEX([1]Historical!$F$7:$F$1222,MATCH(B332,[1]Historical!$B$7:$B$1253,0)))^(1/3)-1)*100)</f>
        <v>8.5503957932088639</v>
      </c>
      <c r="U332" s="162">
        <f>IF(INDEX([1]Historical!$H$7:$H$1222,MATCH(B332,[1]Historical!$B$7:$B$1253,0))=0,"n/a",((INDEX([1]Historical!$C$7:$C$1231,MATCH(B332,[1]Historical!$B$7:$B$1253,0))/INDEX([1]Historical!$H$7:$H$1222,MATCH(B332,[1]Historical!$B$7:$B$1253,0)))^(1/5)-1)*100)</f>
        <v>9.4608784223157549</v>
      </c>
      <c r="V332" s="162" t="str">
        <f>IF(INDEX([1]Historical!$N$7:$N$1222,MATCH(B332,[1]Historical!$B$7:$B$1253,0))=0,"n/a",((INDEX([1]Historical!$C$7:$C$1231,MATCH(B332,[1]Historical!$B$7:$B$1253,0))/INDEX([1]Historical!$N$7:$N$1222,MATCH(B332,[1]Historical!$B$7:$B$1253,0)))^(1/10)-1)*100)</f>
        <v>n/a</v>
      </c>
      <c r="W332" s="163" t="str">
        <f t="shared" si="93"/>
        <v>n/a</v>
      </c>
      <c r="X332" s="164" t="str">
        <f t="shared" si="94"/>
        <v>n/a</v>
      </c>
      <c r="Y332" s="212"/>
      <c r="Z332" s="157">
        <f t="shared" si="95"/>
        <v>45.112781954887218</v>
      </c>
      <c r="AA332" s="166">
        <f t="shared" si="96"/>
        <v>17.406015037593981</v>
      </c>
      <c r="AB332" s="126">
        <v>6</v>
      </c>
      <c r="AC332" s="167">
        <v>1.33</v>
      </c>
      <c r="AD332" s="167" t="s">
        <v>95</v>
      </c>
      <c r="AE332" s="167">
        <v>0.62</v>
      </c>
      <c r="AF332" s="167">
        <v>0.68</v>
      </c>
      <c r="AG332" s="167">
        <v>3.6999999999999997</v>
      </c>
      <c r="AH332" s="167">
        <v>209.20000000000002</v>
      </c>
      <c r="AI332" s="167" t="s">
        <v>95</v>
      </c>
      <c r="AJ332" s="167">
        <v>-12.6</v>
      </c>
      <c r="AK332" s="167" t="s">
        <v>95</v>
      </c>
      <c r="AL332" s="168">
        <v>158.85</v>
      </c>
      <c r="AM332" s="169">
        <v>5.4</v>
      </c>
      <c r="AN332" s="167">
        <v>0</v>
      </c>
      <c r="AO332" s="170">
        <f t="shared" si="97"/>
        <v>-5.3533439586907541</v>
      </c>
      <c r="AP332" s="171">
        <f t="shared" si="98"/>
        <v>12.052671078903227</v>
      </c>
      <c r="AQ332" s="172">
        <f t="shared" si="99"/>
        <v>-27.470802122903137</v>
      </c>
      <c r="AR332" s="157">
        <f>INDEX([1]Historical!$C$7:$C$1231,MATCH(B332,[1]Historical!$B$7:$B$1253,0))*IF(AH332="n/a",1.03,IF(AH332&lt;0,1.01,IF(AH332&gt;10,1.1,(1+AH332/100))))</f>
        <v>0.60500000000000009</v>
      </c>
      <c r="AS332" s="166">
        <f t="shared" si="100"/>
        <v>0.62315000000000009</v>
      </c>
      <c r="AT332" s="166">
        <f t="shared" si="101"/>
        <v>0.64184450000000015</v>
      </c>
      <c r="AU332" s="166">
        <f t="shared" si="101"/>
        <v>0.66109983500000014</v>
      </c>
      <c r="AV332" s="166">
        <f t="shared" si="101"/>
        <v>0.68093283005000016</v>
      </c>
      <c r="AW332" s="157">
        <f t="shared" si="102"/>
        <v>3.2120271650500007</v>
      </c>
      <c r="AX332" s="173">
        <f t="shared" si="103"/>
        <v>13.874847365226787</v>
      </c>
      <c r="AY332" s="174">
        <v>0.52</v>
      </c>
      <c r="AZ332" s="169">
        <v>6.4399999999999995</v>
      </c>
      <c r="BA332" s="169">
        <v>-34.14</v>
      </c>
      <c r="BB332" s="169">
        <v>-3.1300000000000003</v>
      </c>
      <c r="BC332" s="169">
        <v>-16.34</v>
      </c>
      <c r="BE332" s="77">
        <v>2013</v>
      </c>
      <c r="BF332" s="77">
        <f t="shared" si="104"/>
        <v>1</v>
      </c>
      <c r="BG332" s="175">
        <v>2.7</v>
      </c>
      <c r="BH332" t="s">
        <v>939</v>
      </c>
      <c r="BI332" t="s">
        <v>940</v>
      </c>
    </row>
    <row r="333" spans="1:64" ht="11.25" customHeight="1" x14ac:dyDescent="0.2">
      <c r="A333" s="176" t="s">
        <v>1447</v>
      </c>
      <c r="B333" s="153" t="s">
        <v>764</v>
      </c>
      <c r="C333" s="154" t="s">
        <v>90</v>
      </c>
      <c r="D333" s="154" t="s">
        <v>969</v>
      </c>
      <c r="E333" s="155">
        <v>10</v>
      </c>
      <c r="F333" s="298">
        <v>497</v>
      </c>
      <c r="G333" s="298" t="s">
        <v>30</v>
      </c>
      <c r="H333" s="298" t="s">
        <v>30</v>
      </c>
      <c r="I333" s="156">
        <v>22.93</v>
      </c>
      <c r="J333" s="157">
        <f t="shared" si="90"/>
        <v>2.9655473179241172</v>
      </c>
      <c r="K333" s="158">
        <v>0.17</v>
      </c>
      <c r="L333" s="126">
        <v>4</v>
      </c>
      <c r="M333" s="82">
        <f t="shared" si="91"/>
        <v>0.68</v>
      </c>
      <c r="N333" s="159" t="s">
        <v>121</v>
      </c>
      <c r="O333" s="160">
        <v>0.15</v>
      </c>
      <c r="P333" s="161">
        <v>44726</v>
      </c>
      <c r="Q333" s="161">
        <v>44743</v>
      </c>
      <c r="R333" s="82">
        <f t="shared" si="92"/>
        <v>13.333333333333346</v>
      </c>
      <c r="S333" s="162">
        <f>IF(INDEX([1]Historical!$D$7:$D$1229,MATCH(B333,[1]Historical!$B$7:$B$1253,0))=0,"n/a",(INDEX([1]Historical!$C$7:$C$1231,MATCH(B333,[1]Historical!$B$7:$B$1253,0))/INDEX([1]Historical!$D$7:$D$1229,MATCH(B333,[1]Historical!$B$7:$B$1253,0))-1)*100)</f>
        <v>16.666666666666675</v>
      </c>
      <c r="T333" s="162">
        <f>IF(INDEX([1]Historical!$F$7:$F$1222,MATCH(B333,[1]Historical!$B$7:$B$1253,0))=0,"n/a",((INDEX([1]Historical!$C$7:$C$1231,MATCH(B333,[1]Historical!$B$7:$B$1253,0))/INDEX([1]Historical!$F$7:$F$1222,MATCH(B333,[1]Historical!$B$7:$B$1253,0)))^(1/3)-1)*100)</f>
        <v>18.096321418390858</v>
      </c>
      <c r="U333" s="162">
        <f>IF(INDEX([1]Historical!$H$7:$H$1222,MATCH(B333,[1]Historical!$B$7:$B$1253,0))=0,"n/a",((INDEX([1]Historical!$C$7:$C$1231,MATCH(B333,[1]Historical!$B$7:$B$1253,0))/INDEX([1]Historical!$H$7:$H$1222,MATCH(B333,[1]Historical!$B$7:$B$1253,0)))^(1/5)-1)*100)</f>
        <v>22.865967908314722</v>
      </c>
      <c r="V333" s="162">
        <f>IF(INDEX([1]Historical!$N$7:$N$1222,MATCH(B333,[1]Historical!$B$7:$B$1253,0))=0,"n/a",((INDEX([1]Historical!$C$7:$C$1231,MATCH(B333,[1]Historical!$B$7:$B$1253,0))/INDEX([1]Historical!$N$7:$N$1222,MATCH(B333,[1]Historical!$B$7:$B$1253,0)))^(1/10)-1)*100)</f>
        <v>13.374533737670568</v>
      </c>
      <c r="W333" s="163">
        <f t="shared" si="93"/>
        <v>1.7096646774242816</v>
      </c>
      <c r="X333" s="164">
        <f t="shared" si="94"/>
        <v>0.87274686672956947</v>
      </c>
      <c r="Y333" s="218"/>
      <c r="Z333" s="157">
        <f t="shared" si="95"/>
        <v>21.05263157894737</v>
      </c>
      <c r="AA333" s="166">
        <f t="shared" si="96"/>
        <v>7.0990712074303408</v>
      </c>
      <c r="AB333" s="126">
        <v>12</v>
      </c>
      <c r="AC333" s="167">
        <v>3.23</v>
      </c>
      <c r="AD333" s="167" t="s">
        <v>95</v>
      </c>
      <c r="AE333" s="167">
        <v>2.41</v>
      </c>
      <c r="AF333" s="167">
        <v>1.25</v>
      </c>
      <c r="AG333" s="167">
        <v>17</v>
      </c>
      <c r="AH333" s="167">
        <v>60.6</v>
      </c>
      <c r="AI333" s="167" t="s">
        <v>95</v>
      </c>
      <c r="AJ333" s="167">
        <v>26.200000000000003</v>
      </c>
      <c r="AK333" s="167" t="s">
        <v>95</v>
      </c>
      <c r="AL333" s="168">
        <v>158.44999999999999</v>
      </c>
      <c r="AM333" s="169">
        <v>0.3</v>
      </c>
      <c r="AN333" s="167">
        <v>0.4</v>
      </c>
      <c r="AO333" s="170">
        <f t="shared" si="97"/>
        <v>18.732444018808497</v>
      </c>
      <c r="AP333" s="171">
        <f t="shared" si="98"/>
        <v>25.831515226238839</v>
      </c>
      <c r="AQ333" s="172">
        <f t="shared" si="99"/>
        <v>-37.199295795569206</v>
      </c>
      <c r="AR333" s="157">
        <f>INDEX([1]Historical!$C$7:$C$1231,MATCH(B333,[1]Historical!$B$7:$B$1253,0))*IF(AH333="n/a",1.03,IF(AH333&lt;0,1.01,IF(AH333&gt;10,1.1,(1+AH333/100))))</f>
        <v>0.6160000000000001</v>
      </c>
      <c r="AS333" s="166">
        <f t="shared" si="100"/>
        <v>0.63448000000000015</v>
      </c>
      <c r="AT333" s="166">
        <f t="shared" si="101"/>
        <v>0.65351440000000016</v>
      </c>
      <c r="AU333" s="166">
        <f t="shared" si="101"/>
        <v>0.67311983200000014</v>
      </c>
      <c r="AV333" s="166">
        <f t="shared" si="101"/>
        <v>0.6933134269600002</v>
      </c>
      <c r="AW333" s="157">
        <f t="shared" si="102"/>
        <v>3.2704276589600005</v>
      </c>
      <c r="AX333" s="173">
        <f t="shared" si="103"/>
        <v>14.262658783078939</v>
      </c>
      <c r="AY333" s="174">
        <v>0.48</v>
      </c>
      <c r="AZ333" s="169">
        <v>5.16</v>
      </c>
      <c r="BA333" s="169">
        <v>-13.780000000000001</v>
      </c>
      <c r="BB333" s="169">
        <v>-2.15</v>
      </c>
      <c r="BC333" s="169">
        <v>-7.32</v>
      </c>
      <c r="BE333" s="77">
        <v>2012</v>
      </c>
      <c r="BF333" s="77">
        <f t="shared" si="104"/>
        <v>1</v>
      </c>
      <c r="BG333" s="175">
        <v>1.3</v>
      </c>
      <c r="BH333" t="s">
        <v>939</v>
      </c>
      <c r="BI333" t="s">
        <v>940</v>
      </c>
    </row>
    <row r="334" spans="1:64" ht="11.25" customHeight="1" x14ac:dyDescent="0.2">
      <c r="A334" s="176" t="s">
        <v>1448</v>
      </c>
      <c r="B334" s="153" t="s">
        <v>320</v>
      </c>
      <c r="C334" s="154" t="s">
        <v>96</v>
      </c>
      <c r="D334" s="154" t="s">
        <v>911</v>
      </c>
      <c r="E334" s="155">
        <v>18</v>
      </c>
      <c r="F334" s="298">
        <v>210</v>
      </c>
      <c r="G334" s="298" t="s">
        <v>30</v>
      </c>
      <c r="H334" s="298" t="s">
        <v>30</v>
      </c>
      <c r="I334" s="156">
        <v>45.03</v>
      </c>
      <c r="J334" s="157">
        <f t="shared" si="90"/>
        <v>1.2436153675327559</v>
      </c>
      <c r="K334" s="158">
        <v>0.14000000000000001</v>
      </c>
      <c r="L334" s="126">
        <v>4</v>
      </c>
      <c r="M334" s="82">
        <f t="shared" si="91"/>
        <v>0.56000000000000005</v>
      </c>
      <c r="N334" s="159" t="s">
        <v>635</v>
      </c>
      <c r="O334" s="226">
        <v>0.13</v>
      </c>
      <c r="P334" s="161">
        <v>44609</v>
      </c>
      <c r="Q334" s="161">
        <v>44624</v>
      </c>
      <c r="R334" s="82">
        <f t="shared" si="92"/>
        <v>7.6923076923076987</v>
      </c>
      <c r="S334" s="162">
        <f>IF(INDEX([1]Historical!$D$7:$D$1229,MATCH(B334,[1]Historical!$B$7:$B$1253,0))=0,"n/a",(INDEX([1]Historical!$C$7:$C$1231,MATCH(B334,[1]Historical!$B$7:$B$1253,0))/INDEX([1]Historical!$D$7:$D$1229,MATCH(B334,[1]Historical!$B$7:$B$1253,0))-1)*100)</f>
        <v>8.602150537634401</v>
      </c>
      <c r="T334" s="162">
        <f>IF(INDEX([1]Historical!$F$7:$F$1222,MATCH(B334,[1]Historical!$B$7:$B$1253,0))=0,"n/a",((INDEX([1]Historical!$C$7:$C$1231,MATCH(B334,[1]Historical!$B$7:$B$1253,0))/INDEX([1]Historical!$F$7:$F$1222,MATCH(B334,[1]Historical!$B$7:$B$1253,0)))^(1/3)-1)*100)</f>
        <v>4.3062797114540752</v>
      </c>
      <c r="U334" s="162">
        <f>IF(INDEX([1]Historical!$H$7:$H$1222,MATCH(B334,[1]Historical!$B$7:$B$1253,0))=0,"n/a",((INDEX([1]Historical!$C$7:$C$1231,MATCH(B334,[1]Historical!$B$7:$B$1253,0))/INDEX([1]Historical!$H$7:$H$1222,MATCH(B334,[1]Historical!$B$7:$B$1253,0)))^(1/5)-1)*100)</f>
        <v>4.2561070630344089</v>
      </c>
      <c r="V334" s="162">
        <f>IF(INDEX([1]Historical!$N$7:$N$1222,MATCH(B334,[1]Historical!$B$7:$B$1253,0))=0,"n/a",((INDEX([1]Historical!$C$7:$C$1231,MATCH(B334,[1]Historical!$B$7:$B$1253,0))/INDEX([1]Historical!$N$7:$N$1222,MATCH(B334,[1]Historical!$B$7:$B$1253,0)))^(1/10)-1)*100)</f>
        <v>4.6680516352221479</v>
      </c>
      <c r="W334" s="163">
        <f t="shared" si="93"/>
        <v>0.91175235314890968</v>
      </c>
      <c r="X334" s="164">
        <f t="shared" si="94"/>
        <v>0.1195535691863598</v>
      </c>
      <c r="Y334" s="178" t="s">
        <v>1108</v>
      </c>
      <c r="Z334" s="157">
        <f t="shared" si="95"/>
        <v>21.621621621621625</v>
      </c>
      <c r="AA334" s="166">
        <f t="shared" si="96"/>
        <v>17.386100386100388</v>
      </c>
      <c r="AB334" s="126">
        <v>3</v>
      </c>
      <c r="AC334" s="167">
        <v>2.59</v>
      </c>
      <c r="AD334" s="167" t="s">
        <v>95</v>
      </c>
      <c r="AE334" s="167">
        <v>1.1100000000000001</v>
      </c>
      <c r="AF334" s="167">
        <v>3.04</v>
      </c>
      <c r="AG334" s="167">
        <v>18.3</v>
      </c>
      <c r="AH334" s="167">
        <v>26.5</v>
      </c>
      <c r="AI334" s="167">
        <v>-3.7800000000000002</v>
      </c>
      <c r="AJ334" s="167">
        <v>35.6</v>
      </c>
      <c r="AK334" s="167" t="s">
        <v>95</v>
      </c>
      <c r="AL334" s="168">
        <v>934.98</v>
      </c>
      <c r="AM334" s="169">
        <v>3.5000000000000004</v>
      </c>
      <c r="AN334" s="167">
        <v>0.51</v>
      </c>
      <c r="AO334" s="170">
        <f t="shared" si="97"/>
        <v>-11.886377955533224</v>
      </c>
      <c r="AP334" s="171">
        <f t="shared" si="98"/>
        <v>5.4997224305671644</v>
      </c>
      <c r="AQ334" s="172">
        <f t="shared" si="99"/>
        <v>53.266282693074452</v>
      </c>
      <c r="AR334" s="157">
        <f>INDEX([1]Historical!$C$7:$C$1231,MATCH(B334,[1]Historical!$B$7:$B$1253,0))*IF(AH334="n/a",1.03,IF(AH334&lt;0,1.01,IF(AH334&gt;10,1.1,(1+AH334/100))))</f>
        <v>0.5555000000000001</v>
      </c>
      <c r="AS334" s="166">
        <f t="shared" si="100"/>
        <v>0.56105500000000008</v>
      </c>
      <c r="AT334" s="166">
        <f t="shared" si="101"/>
        <v>0.57788665000000006</v>
      </c>
      <c r="AU334" s="166">
        <f t="shared" si="101"/>
        <v>0.59522324950000005</v>
      </c>
      <c r="AV334" s="166">
        <f t="shared" si="101"/>
        <v>0.61307994698500012</v>
      </c>
      <c r="AW334" s="157">
        <f t="shared" si="102"/>
        <v>2.9027448464850005</v>
      </c>
      <c r="AX334" s="173">
        <f t="shared" si="103"/>
        <v>6.4462466055629593</v>
      </c>
      <c r="AY334" s="174">
        <v>0.85</v>
      </c>
      <c r="AZ334" s="169">
        <v>37.43</v>
      </c>
      <c r="BA334" s="169">
        <v>-6.419999999999999</v>
      </c>
      <c r="BB334" s="169">
        <v>12.690000000000001</v>
      </c>
      <c r="BC334" s="169">
        <v>13.48</v>
      </c>
      <c r="BE334" s="77">
        <v>2005</v>
      </c>
      <c r="BF334" s="77">
        <f t="shared" si="104"/>
        <v>2</v>
      </c>
      <c r="BG334" s="175">
        <v>10.100000000000001</v>
      </c>
      <c r="BH334" t="s">
        <v>939</v>
      </c>
      <c r="BI334" t="s">
        <v>940</v>
      </c>
    </row>
    <row r="335" spans="1:64" s="252" customFormat="1" ht="11.25" customHeight="1" x14ac:dyDescent="0.2">
      <c r="A335" s="183" t="s">
        <v>1449</v>
      </c>
      <c r="B335" s="184" t="s">
        <v>725</v>
      </c>
      <c r="C335" s="154" t="s">
        <v>94</v>
      </c>
      <c r="D335" s="154" t="s">
        <v>101</v>
      </c>
      <c r="E335" s="185">
        <v>10</v>
      </c>
      <c r="F335" s="298">
        <v>442</v>
      </c>
      <c r="G335" s="297" t="s">
        <v>88</v>
      </c>
      <c r="H335" s="297" t="s">
        <v>88</v>
      </c>
      <c r="I335" s="186">
        <v>29.16</v>
      </c>
      <c r="J335" s="187">
        <f t="shared" si="90"/>
        <v>4.423868312757202</v>
      </c>
      <c r="K335" s="188">
        <v>0.32250000000000001</v>
      </c>
      <c r="L335" s="189">
        <v>4</v>
      </c>
      <c r="M335" s="190">
        <f t="shared" si="91"/>
        <v>1.29</v>
      </c>
      <c r="N335" s="191" t="s">
        <v>167</v>
      </c>
      <c r="O335" s="192">
        <v>0.3175</v>
      </c>
      <c r="P335" s="293">
        <v>44344</v>
      </c>
      <c r="Q335" s="293">
        <v>44362</v>
      </c>
      <c r="R335" s="190">
        <f t="shared" si="92"/>
        <v>1.5748031496063006</v>
      </c>
      <c r="S335" s="162">
        <f>IF(INDEX([1]Historical!$D$7:$D$1229,MATCH(B335,[1]Historical!$B$7:$B$1253,0))=0,"n/a",(INDEX([1]Historical!$C$7:$C$1231,MATCH(B335,[1]Historical!$B$7:$B$1253,0))/INDEX([1]Historical!$D$7:$D$1229,MATCH(B335,[1]Historical!$B$7:$B$1253,0))-1)*100)</f>
        <v>1.1811023622047223</v>
      </c>
      <c r="T335" s="162">
        <f>IF(INDEX([1]Historical!$F$7:$F$1222,MATCH(B335,[1]Historical!$B$7:$B$1253,0))=0,"n/a",((INDEX([1]Historical!$C$7:$C$1231,MATCH(B335,[1]Historical!$B$7:$B$1253,0))/INDEX([1]Historical!$F$7:$F$1222,MATCH(B335,[1]Historical!$B$7:$B$1253,0)))^(1/3)-1)*100)</f>
        <v>1.4001817057687216</v>
      </c>
      <c r="U335" s="162">
        <f>IF(INDEX([1]Historical!$H$7:$H$1222,MATCH(B335,[1]Historical!$B$7:$B$1253,0))=0,"n/a",((INDEX([1]Historical!$C$7:$C$1231,MATCH(B335,[1]Historical!$B$7:$B$1253,0))/INDEX([1]Historical!$H$7:$H$1222,MATCH(B335,[1]Historical!$B$7:$B$1253,0)))^(1/5)-1)*100)</f>
        <v>1.8927897771606306</v>
      </c>
      <c r="V335" s="162" t="str">
        <f>IF(INDEX([1]Historical!$N$7:$N$1222,MATCH(B335,[1]Historical!$B$7:$B$1253,0))=0,"n/a",((INDEX([1]Historical!$C$7:$C$1231,MATCH(B335,[1]Historical!$B$7:$B$1253,0))/INDEX([1]Historical!$N$7:$N$1222,MATCH(B335,[1]Historical!$B$7:$B$1253,0)))^(1/10)-1)*100)</f>
        <v>n/a</v>
      </c>
      <c r="W335" s="163" t="str">
        <f t="shared" si="93"/>
        <v>n/a</v>
      </c>
      <c r="X335" s="164" t="str">
        <f t="shared" si="94"/>
        <v>n/a</v>
      </c>
      <c r="Y335" s="227"/>
      <c r="Z335" s="187" t="str">
        <f t="shared" si="95"/>
        <v>n/a</v>
      </c>
      <c r="AA335" s="194" t="str">
        <f t="shared" si="96"/>
        <v>n/a</v>
      </c>
      <c r="AB335" s="189">
        <v>12</v>
      </c>
      <c r="AC335" s="195">
        <v>-13.36</v>
      </c>
      <c r="AD335" s="195" t="s">
        <v>95</v>
      </c>
      <c r="AE335" s="195">
        <v>0.15</v>
      </c>
      <c r="AF335" s="195">
        <v>2.48</v>
      </c>
      <c r="AG335" s="195">
        <v>-66.3</v>
      </c>
      <c r="AH335" s="195">
        <v>-565.80000000000007</v>
      </c>
      <c r="AI335" s="195">
        <v>145.79999999999998</v>
      </c>
      <c r="AJ335" s="195">
        <v>-42.8</v>
      </c>
      <c r="AK335" s="195">
        <v>15</v>
      </c>
      <c r="AL335" s="196">
        <v>482.92</v>
      </c>
      <c r="AM335" s="197">
        <v>0.89999999999999991</v>
      </c>
      <c r="AN335" s="195">
        <v>2.91</v>
      </c>
      <c r="AO335" s="198" t="str">
        <f t="shared" si="97"/>
        <v>n/a</v>
      </c>
      <c r="AP335" s="199">
        <f t="shared" si="98"/>
        <v>6.3166580899178326</v>
      </c>
      <c r="AQ335" s="172" t="str">
        <f t="shared" si="99"/>
        <v>n/a</v>
      </c>
      <c r="AR335" s="157">
        <f>INDEX([1]Historical!$C$7:$C$1231,MATCH(B335,[1]Historical!$B$7:$B$1253,0))*IF(AH335="n/a",1.03,IF(AH335&lt;0,1.01,IF(AH335&gt;10,1.1,(1+AH335/100))))</f>
        <v>1.2978499999999999</v>
      </c>
      <c r="AS335" s="194">
        <f t="shared" si="100"/>
        <v>1.427635</v>
      </c>
      <c r="AT335" s="194">
        <f t="shared" si="101"/>
        <v>1.5703985</v>
      </c>
      <c r="AU335" s="194">
        <f t="shared" si="101"/>
        <v>1.7274383500000001</v>
      </c>
      <c r="AV335" s="194">
        <f t="shared" si="101"/>
        <v>1.9001821850000002</v>
      </c>
      <c r="AW335" s="187">
        <f t="shared" si="102"/>
        <v>7.9235040350000006</v>
      </c>
      <c r="AX335" s="200">
        <f t="shared" si="103"/>
        <v>27.172510408093281</v>
      </c>
      <c r="AY335" s="201">
        <v>1.22</v>
      </c>
      <c r="AZ335" s="197">
        <v>38.92</v>
      </c>
      <c r="BA335" s="197">
        <v>-42.86</v>
      </c>
      <c r="BB335" s="197">
        <v>7.37</v>
      </c>
      <c r="BC335" s="197">
        <v>-12.97</v>
      </c>
      <c r="BD335" s="202"/>
      <c r="BE335" s="77">
        <v>2012</v>
      </c>
      <c r="BF335" s="77">
        <f t="shared" si="104"/>
        <v>1</v>
      </c>
      <c r="BG335" s="203">
        <v>-11.1</v>
      </c>
      <c r="BH335" t="s">
        <v>939</v>
      </c>
      <c r="BI335" t="s">
        <v>940</v>
      </c>
    </row>
    <row r="336" spans="1:64" ht="11.25" customHeight="1" x14ac:dyDescent="0.2">
      <c r="A336" s="176" t="s">
        <v>1450</v>
      </c>
      <c r="B336" s="153" t="s">
        <v>852</v>
      </c>
      <c r="C336" s="154" t="s">
        <v>90</v>
      </c>
      <c r="D336" s="154" t="s">
        <v>969</v>
      </c>
      <c r="E336" s="155">
        <v>9</v>
      </c>
      <c r="F336" s="298">
        <v>518</v>
      </c>
      <c r="G336" s="298" t="s">
        <v>104</v>
      </c>
      <c r="H336" s="298" t="s">
        <v>104</v>
      </c>
      <c r="I336" s="156">
        <v>23.13</v>
      </c>
      <c r="J336" s="157">
        <f t="shared" si="90"/>
        <v>3.8045827929096414</v>
      </c>
      <c r="K336" s="158">
        <v>0.22</v>
      </c>
      <c r="L336" s="126">
        <v>4</v>
      </c>
      <c r="M336" s="82">
        <f t="shared" si="91"/>
        <v>0.88</v>
      </c>
      <c r="N336" s="159" t="s">
        <v>89</v>
      </c>
      <c r="O336" s="160">
        <v>0.21</v>
      </c>
      <c r="P336" s="161">
        <v>44595</v>
      </c>
      <c r="Q336" s="161">
        <v>44607</v>
      </c>
      <c r="R336" s="82">
        <f t="shared" si="92"/>
        <v>4.7619047619047663</v>
      </c>
      <c r="S336" s="162">
        <f>IF(INDEX([1]Historical!$D$7:$D$1229,MATCH(B336,[1]Historical!$B$7:$B$1253,0))=0,"n/a",(INDEX([1]Historical!$C$7:$C$1231,MATCH(B336,[1]Historical!$B$7:$B$1253,0))/INDEX([1]Historical!$D$7:$D$1229,MATCH(B336,[1]Historical!$B$7:$B$1253,0))-1)*100)</f>
        <v>4.9999999999999822</v>
      </c>
      <c r="T336" s="162">
        <f>IF(INDEX([1]Historical!$F$7:$F$1222,MATCH(B336,[1]Historical!$B$7:$B$1253,0))=0,"n/a",((INDEX([1]Historical!$C$7:$C$1231,MATCH(B336,[1]Historical!$B$7:$B$1253,0))/INDEX([1]Historical!$F$7:$F$1222,MATCH(B336,[1]Historical!$B$7:$B$1253,0)))^(1/3)-1)*100)</f>
        <v>11.868894208139679</v>
      </c>
      <c r="U336" s="162">
        <f>IF(INDEX([1]Historical!$H$7:$H$1222,MATCH(B336,[1]Historical!$B$7:$B$1253,0))=0,"n/a",((INDEX([1]Historical!$C$7:$C$1231,MATCH(B336,[1]Historical!$B$7:$B$1253,0))/INDEX([1]Historical!$H$7:$H$1222,MATCH(B336,[1]Historical!$B$7:$B$1253,0)))^(1/5)-1)*100)</f>
        <v>19.828486453496662</v>
      </c>
      <c r="V336" s="162" t="str">
        <f>IF(INDEX([1]Historical!$N$7:$N$1222,MATCH(B336,[1]Historical!$B$7:$B$1253,0))=0,"n/a",((INDEX([1]Historical!$C$7:$C$1231,MATCH(B336,[1]Historical!$B$7:$B$1253,0))/INDEX([1]Historical!$N$7:$N$1222,MATCH(B336,[1]Historical!$B$7:$B$1253,0)))^(1/10)-1)*100)</f>
        <v>n/a</v>
      </c>
      <c r="W336" s="163" t="str">
        <f t="shared" si="93"/>
        <v>n/a</v>
      </c>
      <c r="X336" s="164">
        <f t="shared" si="94"/>
        <v>0.88520028810252949</v>
      </c>
      <c r="Y336" s="178"/>
      <c r="Z336" s="157">
        <f t="shared" si="95"/>
        <v>30.87719298245614</v>
      </c>
      <c r="AA336" s="166">
        <f t="shared" si="96"/>
        <v>8.1157894736842096</v>
      </c>
      <c r="AB336" s="126">
        <v>12</v>
      </c>
      <c r="AC336" s="167">
        <v>2.85</v>
      </c>
      <c r="AD336" s="167">
        <v>1.02</v>
      </c>
      <c r="AE336" s="167">
        <v>3.06</v>
      </c>
      <c r="AF336" s="167">
        <v>1.48</v>
      </c>
      <c r="AG336" s="167">
        <v>15.8</v>
      </c>
      <c r="AH336" s="167">
        <v>14.099999999999998</v>
      </c>
      <c r="AI336" s="167">
        <v>-4.6399999999999997</v>
      </c>
      <c r="AJ336" s="167">
        <v>22.400000000000002</v>
      </c>
      <c r="AK336" s="167">
        <v>8</v>
      </c>
      <c r="AL336" s="168">
        <v>472.76</v>
      </c>
      <c r="AM336" s="169">
        <v>0.6</v>
      </c>
      <c r="AN336" s="167">
        <v>0.24</v>
      </c>
      <c r="AO336" s="170">
        <f t="shared" si="97"/>
        <v>15.517279772722095</v>
      </c>
      <c r="AP336" s="171">
        <f t="shared" si="98"/>
        <v>23.633069246406304</v>
      </c>
      <c r="AQ336" s="172">
        <f t="shared" si="99"/>
        <v>-26.93574085154712</v>
      </c>
      <c r="AR336" s="157">
        <f>INDEX([1]Historical!$C$7:$C$1231,MATCH(B336,[1]Historical!$B$7:$B$1253,0))*IF(AH336="n/a",1.03,IF(AH336&lt;0,1.01,IF(AH336&gt;10,1.1,(1+AH336/100))))</f>
        <v>0.92400000000000004</v>
      </c>
      <c r="AS336" s="166">
        <f t="shared" si="100"/>
        <v>0.93324000000000007</v>
      </c>
      <c r="AT336" s="166">
        <f t="shared" si="101"/>
        <v>1.0078992000000002</v>
      </c>
      <c r="AU336" s="166">
        <f t="shared" si="101"/>
        <v>1.0885311360000003</v>
      </c>
      <c r="AV336" s="166">
        <f t="shared" si="101"/>
        <v>1.1756136268800004</v>
      </c>
      <c r="AW336" s="157">
        <f t="shared" si="102"/>
        <v>5.1292839628800007</v>
      </c>
      <c r="AX336" s="173">
        <f t="shared" si="103"/>
        <v>22.175892619455258</v>
      </c>
      <c r="AY336" s="174">
        <v>0.97</v>
      </c>
      <c r="AZ336" s="169">
        <v>29.43</v>
      </c>
      <c r="BA336" s="169">
        <v>-11.04</v>
      </c>
      <c r="BB336" s="169">
        <v>13.65</v>
      </c>
      <c r="BC336" s="169">
        <v>9.36</v>
      </c>
      <c r="BE336" s="77">
        <v>2014</v>
      </c>
      <c r="BF336" s="77">
        <f t="shared" si="104"/>
        <v>1</v>
      </c>
      <c r="BG336" s="175">
        <v>1.2</v>
      </c>
      <c r="BH336" t="s">
        <v>939</v>
      </c>
      <c r="BI336" t="s">
        <v>940</v>
      </c>
      <c r="BJ336" s="112"/>
      <c r="BK336" s="112"/>
      <c r="BL336" s="112"/>
    </row>
    <row r="337" spans="1:64" ht="11.25" customHeight="1" x14ac:dyDescent="0.2">
      <c r="A337" s="112" t="s">
        <v>1451</v>
      </c>
      <c r="B337" s="153" t="s">
        <v>336</v>
      </c>
      <c r="C337" s="154" t="s">
        <v>922</v>
      </c>
      <c r="D337" s="154" t="s">
        <v>949</v>
      </c>
      <c r="E337" s="155">
        <v>27</v>
      </c>
      <c r="F337" s="298">
        <v>132</v>
      </c>
      <c r="G337" s="298" t="s">
        <v>104</v>
      </c>
      <c r="H337" s="298" t="s">
        <v>104</v>
      </c>
      <c r="I337" s="167">
        <v>138.29</v>
      </c>
      <c r="J337" s="157">
        <f t="shared" si="90"/>
        <v>4.7725793622098482</v>
      </c>
      <c r="K337" s="209">
        <v>1.65</v>
      </c>
      <c r="L337" s="126">
        <v>4</v>
      </c>
      <c r="M337" s="82">
        <f t="shared" si="91"/>
        <v>6.6</v>
      </c>
      <c r="N337" s="159" t="s">
        <v>153</v>
      </c>
      <c r="O337" s="210">
        <v>1.64</v>
      </c>
      <c r="P337" s="161">
        <v>44690</v>
      </c>
      <c r="Q337" s="161">
        <v>44722</v>
      </c>
      <c r="R337" s="82">
        <f t="shared" si="92"/>
        <v>0.60975609756097615</v>
      </c>
      <c r="S337" s="162">
        <f>IF(INDEX([1]Historical!$D$7:$D$1229,MATCH(B337,[1]Historical!$B$7:$B$1253,0))=0,"n/a",(INDEX([1]Historical!$C$7:$C$1231,MATCH(B337,[1]Historical!$B$7:$B$1253,0))/INDEX([1]Historical!$D$7:$D$1229,MATCH(B337,[1]Historical!$B$7:$B$1253,0))-1)*100)</f>
        <v>0.61443932411673341</v>
      </c>
      <c r="T337" s="162">
        <f>IF(INDEX([1]Historical!$F$7:$F$1222,MATCH(B337,[1]Historical!$B$7:$B$1253,0))=0,"n/a",((INDEX([1]Historical!$C$7:$C$1231,MATCH(B337,[1]Historical!$B$7:$B$1253,0))/INDEX([1]Historical!$F$7:$F$1222,MATCH(B337,[1]Historical!$B$7:$B$1253,0)))^(1/3)-1)*100)</f>
        <v>1.7926842130340015</v>
      </c>
      <c r="U337" s="162">
        <f>IF(INDEX([1]Historical!$H$7:$H$1222,MATCH(B337,[1]Historical!$B$7:$B$1253,0))=0,"n/a",((INDEX([1]Historical!$C$7:$C$1231,MATCH(B337,[1]Historical!$B$7:$B$1253,0))/INDEX([1]Historical!$H$7:$H$1222,MATCH(B337,[1]Historical!$B$7:$B$1253,0)))^(1/5)-1)*100)</f>
        <v>3.5561085561737649</v>
      </c>
      <c r="V337" s="162">
        <f>IF(INDEX([1]Historical!$N$7:$N$1222,MATCH(B337,[1]Historical!$B$7:$B$1253,0))=0,"n/a",((INDEX([1]Historical!$C$7:$C$1231,MATCH(B337,[1]Historical!$B$7:$B$1253,0))/INDEX([1]Historical!$N$7:$N$1222,MATCH(B337,[1]Historical!$B$7:$B$1253,0)))^(1/10)-1)*100)</f>
        <v>8.4886562966608672</v>
      </c>
      <c r="W337" s="163">
        <f t="shared" si="93"/>
        <v>0.41892478996618232</v>
      </c>
      <c r="X337" s="164" t="str">
        <f t="shared" si="94"/>
        <v>n/a</v>
      </c>
      <c r="Y337" s="153"/>
      <c r="Z337" s="157">
        <f t="shared" si="95"/>
        <v>407.40740740740733</v>
      </c>
      <c r="AA337" s="166">
        <f t="shared" si="96"/>
        <v>85.364197530864189</v>
      </c>
      <c r="AB337" s="126">
        <v>12</v>
      </c>
      <c r="AC337" s="167">
        <v>1.62</v>
      </c>
      <c r="AD337" s="167">
        <v>9.2799999999999994</v>
      </c>
      <c r="AE337" s="167">
        <v>2.0099999999999998</v>
      </c>
      <c r="AF337" s="167">
        <v>6.24</v>
      </c>
      <c r="AG337" s="179">
        <v>6.5</v>
      </c>
      <c r="AH337" s="167">
        <v>13.4</v>
      </c>
      <c r="AI337" s="167">
        <v>5.81</v>
      </c>
      <c r="AJ337" s="167">
        <v>-16.2</v>
      </c>
      <c r="AK337" s="167">
        <v>9.2200000000000006</v>
      </c>
      <c r="AL337" s="168">
        <v>121850</v>
      </c>
      <c r="AM337" s="169">
        <v>0.1</v>
      </c>
      <c r="AN337" s="167">
        <v>2.5299999999999998</v>
      </c>
      <c r="AO337" s="170">
        <f t="shared" si="97"/>
        <v>-77.035509612480581</v>
      </c>
      <c r="AP337" s="171">
        <f t="shared" si="98"/>
        <v>8.3286879183836131</v>
      </c>
      <c r="AQ337" s="172">
        <f t="shared" si="99"/>
        <v>386.56281658753653</v>
      </c>
      <c r="AR337" s="157">
        <f>INDEX([1]Historical!$C$7:$C$1231,MATCH(B337,[1]Historical!$B$7:$B$1253,0))*IF(AH337="n/a",1.03,IF(AH337&lt;0,1.01,IF(AH337&gt;10,1.1,(1+AH337/100))))</f>
        <v>7.2050000000000001</v>
      </c>
      <c r="AS337" s="166">
        <f t="shared" si="100"/>
        <v>7.6236105000000007</v>
      </c>
      <c r="AT337" s="166">
        <f t="shared" si="101"/>
        <v>8.3265073881000014</v>
      </c>
      <c r="AU337" s="166">
        <f t="shared" si="101"/>
        <v>9.0942113692828226</v>
      </c>
      <c r="AV337" s="166">
        <f t="shared" si="101"/>
        <v>9.9326976575306993</v>
      </c>
      <c r="AW337" s="157">
        <f t="shared" si="102"/>
        <v>42.182026914913521</v>
      </c>
      <c r="AX337" s="173">
        <f t="shared" si="103"/>
        <v>30.50258653186313</v>
      </c>
      <c r="AY337" s="174">
        <v>0.86</v>
      </c>
      <c r="AZ337" s="169">
        <v>20.71</v>
      </c>
      <c r="BA337" s="169">
        <v>-4.45</v>
      </c>
      <c r="BB337" s="169">
        <v>8.99</v>
      </c>
      <c r="BC337" s="169">
        <v>5.26</v>
      </c>
      <c r="BE337" s="77">
        <v>1996</v>
      </c>
      <c r="BF337" s="77">
        <f t="shared" si="104"/>
        <v>3</v>
      </c>
      <c r="BG337" s="175">
        <v>1</v>
      </c>
      <c r="BH337" t="s">
        <v>939</v>
      </c>
      <c r="BI337" t="s">
        <v>940</v>
      </c>
    </row>
    <row r="338" spans="1:64" ht="11.25" customHeight="1" x14ac:dyDescent="0.2">
      <c r="A338" s="112" t="s">
        <v>1452</v>
      </c>
      <c r="B338" s="153" t="s">
        <v>335</v>
      </c>
      <c r="C338" s="154" t="s">
        <v>90</v>
      </c>
      <c r="D338" s="154" t="s">
        <v>969</v>
      </c>
      <c r="E338" s="155">
        <v>12</v>
      </c>
      <c r="F338" s="298">
        <v>310</v>
      </c>
      <c r="G338" s="298" t="s">
        <v>88</v>
      </c>
      <c r="H338" s="298" t="s">
        <v>88</v>
      </c>
      <c r="I338" s="156">
        <v>49.6</v>
      </c>
      <c r="J338" s="157">
        <f t="shared" si="90"/>
        <v>2.4193548387096775</v>
      </c>
      <c r="K338" s="158">
        <v>0.6</v>
      </c>
      <c r="L338" s="126">
        <v>2</v>
      </c>
      <c r="M338" s="82">
        <f t="shared" si="91"/>
        <v>1.2</v>
      </c>
      <c r="N338" s="159" t="s">
        <v>321</v>
      </c>
      <c r="O338" s="160">
        <v>0.55000000000000004</v>
      </c>
      <c r="P338" s="182">
        <v>44427</v>
      </c>
      <c r="Q338" s="182">
        <v>44442</v>
      </c>
      <c r="R338" s="82">
        <f t="shared" si="92"/>
        <v>9.0909090909090793</v>
      </c>
      <c r="S338" s="162">
        <f>IF(INDEX([1]Historical!$D$7:$D$1229,MATCH(B338,[1]Historical!$B$7:$B$1253,0))=0,"n/a",(INDEX([1]Historical!$C$7:$C$1231,MATCH(B338,[1]Historical!$B$7:$B$1253,0))/INDEX([1]Historical!$D$7:$D$1229,MATCH(B338,[1]Historical!$B$7:$B$1253,0))-1)*100)</f>
        <v>4.5454545454545192</v>
      </c>
      <c r="T338" s="162">
        <f>IF(INDEX([1]Historical!$F$7:$F$1222,MATCH(B338,[1]Historical!$B$7:$B$1253,0))=0,"n/a",((INDEX([1]Historical!$C$7:$C$1231,MATCH(B338,[1]Historical!$B$7:$B$1253,0))/INDEX([1]Historical!$F$7:$F$1222,MATCH(B338,[1]Historical!$B$7:$B$1253,0)))^(1/3)-1)*100)</f>
        <v>15.313156133323268</v>
      </c>
      <c r="U338" s="162">
        <f>IF(INDEX([1]Historical!$H$7:$H$1222,MATCH(B338,[1]Historical!$B$7:$B$1253,0))=0,"n/a",((INDEX([1]Historical!$C$7:$C$1231,MATCH(B338,[1]Historical!$B$7:$B$1253,0))/INDEX([1]Historical!$H$7:$H$1222,MATCH(B338,[1]Historical!$B$7:$B$1253,0)))^(1/5)-1)*100)</f>
        <v>14.279719502029863</v>
      </c>
      <c r="V338" s="162">
        <f>IF(INDEX([1]Historical!$N$7:$N$1222,MATCH(B338,[1]Historical!$B$7:$B$1253,0))=0,"n/a",((INDEX([1]Historical!$C$7:$C$1231,MATCH(B338,[1]Historical!$B$7:$B$1253,0))/INDEX([1]Historical!$N$7:$N$1222,MATCH(B338,[1]Historical!$B$7:$B$1253,0)))^(1/10)-1)*100)</f>
        <v>11.709838609218902</v>
      </c>
      <c r="W338" s="163">
        <f t="shared" si="93"/>
        <v>1.2194633913047912</v>
      </c>
      <c r="X338" s="164">
        <f t="shared" si="94"/>
        <v>0.97806297959108657</v>
      </c>
      <c r="Y338" s="180"/>
      <c r="Z338" s="157">
        <f t="shared" si="95"/>
        <v>34.188034188034187</v>
      </c>
      <c r="AA338" s="166">
        <f t="shared" si="96"/>
        <v>14.131054131054132</v>
      </c>
      <c r="AB338" s="126">
        <v>12</v>
      </c>
      <c r="AC338" s="167">
        <v>3.51</v>
      </c>
      <c r="AD338" s="167">
        <v>1.4</v>
      </c>
      <c r="AE338" s="167">
        <v>7.32</v>
      </c>
      <c r="AF338" s="167">
        <v>1.48</v>
      </c>
      <c r="AG338" s="167">
        <v>10.100000000000001</v>
      </c>
      <c r="AH338" s="167">
        <v>52.6</v>
      </c>
      <c r="AI338" s="167" t="s">
        <v>95</v>
      </c>
      <c r="AJ338" s="167">
        <v>14.6</v>
      </c>
      <c r="AK338" s="167">
        <v>10</v>
      </c>
      <c r="AL338" s="168">
        <v>2990</v>
      </c>
      <c r="AM338" s="169">
        <v>4.1000000000000005</v>
      </c>
      <c r="AN338" s="167">
        <v>0.06</v>
      </c>
      <c r="AO338" s="170">
        <f t="shared" si="97"/>
        <v>2.5680202096854075</v>
      </c>
      <c r="AP338" s="171">
        <f t="shared" si="98"/>
        <v>16.699074340739539</v>
      </c>
      <c r="AQ338" s="172">
        <f t="shared" si="99"/>
        <v>-3.5889353653727474</v>
      </c>
      <c r="AR338" s="157">
        <f>INDEX([1]Historical!$C$7:$C$1231,MATCH(B338,[1]Historical!$B$7:$B$1253,0))*IF(AH338="n/a",1.03,IF(AH338&lt;0,1.01,IF(AH338&gt;10,1.1,(1+AH338/100))))</f>
        <v>1.2649999999999999</v>
      </c>
      <c r="AS338" s="166">
        <f t="shared" si="100"/>
        <v>1.3029499999999998</v>
      </c>
      <c r="AT338" s="166">
        <f t="shared" si="101"/>
        <v>1.4332449999999999</v>
      </c>
      <c r="AU338" s="166">
        <f t="shared" si="101"/>
        <v>1.5765695</v>
      </c>
      <c r="AV338" s="166">
        <f t="shared" si="101"/>
        <v>1.7342264500000002</v>
      </c>
      <c r="AW338" s="157">
        <f t="shared" si="102"/>
        <v>7.3119909499999993</v>
      </c>
      <c r="AX338" s="173">
        <f t="shared" si="103"/>
        <v>14.741917237903223</v>
      </c>
      <c r="AY338" s="174">
        <v>1.01</v>
      </c>
      <c r="AZ338" s="169">
        <v>30.53</v>
      </c>
      <c r="BA338" s="169">
        <v>0.44</v>
      </c>
      <c r="BB338" s="169">
        <v>12.64</v>
      </c>
      <c r="BC338" s="169">
        <v>16.900000000000002</v>
      </c>
      <c r="BE338" s="77">
        <v>2010</v>
      </c>
      <c r="BF338" s="77">
        <f t="shared" si="104"/>
        <v>1</v>
      </c>
      <c r="BG338" s="175">
        <v>1.4000000000000001</v>
      </c>
      <c r="BH338" t="s">
        <v>939</v>
      </c>
      <c r="BI338" t="s">
        <v>940</v>
      </c>
    </row>
    <row r="339" spans="1:64" ht="11.25" customHeight="1" x14ac:dyDescent="0.2">
      <c r="A339" s="204" t="s">
        <v>1453</v>
      </c>
      <c r="B339" s="153" t="s">
        <v>853</v>
      </c>
      <c r="C339" s="154" t="s">
        <v>90</v>
      </c>
      <c r="D339" s="154" t="s">
        <v>969</v>
      </c>
      <c r="E339" s="155">
        <v>9</v>
      </c>
      <c r="F339" s="298">
        <v>520</v>
      </c>
      <c r="G339" s="298" t="s">
        <v>88</v>
      </c>
      <c r="H339" s="298" t="s">
        <v>88</v>
      </c>
      <c r="I339" s="156">
        <v>63.09</v>
      </c>
      <c r="J339" s="157">
        <f t="shared" si="90"/>
        <v>2.4092566175305117</v>
      </c>
      <c r="K339" s="158">
        <v>0.38</v>
      </c>
      <c r="L339" s="126">
        <v>4</v>
      </c>
      <c r="M339" s="82">
        <f t="shared" si="91"/>
        <v>1.52</v>
      </c>
      <c r="N339" s="159" t="s">
        <v>381</v>
      </c>
      <c r="O339" s="160">
        <v>0.36</v>
      </c>
      <c r="P339" s="161">
        <v>44601</v>
      </c>
      <c r="Q339" s="161">
        <v>44609</v>
      </c>
      <c r="R339" s="82">
        <f t="shared" si="92"/>
        <v>5.5555555555555607</v>
      </c>
      <c r="S339" s="162">
        <f>IF(INDEX([1]Historical!$D$7:$D$1229,MATCH(B339,[1]Historical!$B$7:$B$1253,0))=0,"n/a",(INDEX([1]Historical!$C$7:$C$1231,MATCH(B339,[1]Historical!$B$7:$B$1253,0))/INDEX([1]Historical!$D$7:$D$1229,MATCH(B339,[1]Historical!$B$7:$B$1253,0))-1)*100)</f>
        <v>25.714285714285712</v>
      </c>
      <c r="T339" s="162">
        <f>IF(INDEX([1]Historical!$F$7:$F$1222,MATCH(B339,[1]Historical!$B$7:$B$1253,0))=0,"n/a",((INDEX([1]Historical!$C$7:$C$1231,MATCH(B339,[1]Historical!$B$7:$B$1253,0))/INDEX([1]Historical!$F$7:$F$1222,MATCH(B339,[1]Historical!$B$7:$B$1253,0)))^(1/3)-1)*100)</f>
        <v>34.70800068740634</v>
      </c>
      <c r="U339" s="162">
        <f>IF(INDEX([1]Historical!$H$7:$H$1222,MATCH(B339,[1]Historical!$B$7:$B$1253,0))=0,"n/a",((INDEX([1]Historical!$C$7:$C$1231,MATCH(B339,[1]Historical!$B$7:$B$1253,0))/INDEX([1]Historical!$H$7:$H$1222,MATCH(B339,[1]Historical!$B$7:$B$1253,0)))^(1/5)-1)*100)</f>
        <v>31.165313872163082</v>
      </c>
      <c r="V339" s="162" t="str">
        <f>IF(INDEX([1]Historical!$N$7:$N$1222,MATCH(B339,[1]Historical!$B$7:$B$1253,0))=0,"n/a",((INDEX([1]Historical!$C$7:$C$1231,MATCH(B339,[1]Historical!$B$7:$B$1253,0))/INDEX([1]Historical!$N$7:$N$1222,MATCH(B339,[1]Historical!$B$7:$B$1253,0)))^(1/10)-1)*100)</f>
        <v>n/a</v>
      </c>
      <c r="W339" s="163" t="str">
        <f t="shared" si="93"/>
        <v>n/a</v>
      </c>
      <c r="X339" s="164">
        <f t="shared" si="94"/>
        <v>2.4734376089018322</v>
      </c>
      <c r="Y339" s="178"/>
      <c r="Z339" s="157">
        <f t="shared" si="95"/>
        <v>30.583501006036219</v>
      </c>
      <c r="AA339" s="166">
        <f t="shared" si="96"/>
        <v>12.694164989939638</v>
      </c>
      <c r="AB339" s="126">
        <v>12</v>
      </c>
      <c r="AC339" s="167">
        <v>4.97</v>
      </c>
      <c r="AD339" s="167">
        <v>1.28</v>
      </c>
      <c r="AE339" s="167">
        <v>4.2</v>
      </c>
      <c r="AF339" s="167">
        <v>1.1000000000000001</v>
      </c>
      <c r="AG339" s="167">
        <v>8.5</v>
      </c>
      <c r="AH339" s="167">
        <v>11.700000000000001</v>
      </c>
      <c r="AI339" s="167">
        <v>2.9899999999999998</v>
      </c>
      <c r="AJ339" s="167">
        <v>12.6</v>
      </c>
      <c r="AK339" s="167">
        <v>10</v>
      </c>
      <c r="AL339" s="168">
        <v>2570</v>
      </c>
      <c r="AM339" s="169">
        <v>1.6</v>
      </c>
      <c r="AN339" s="167">
        <v>0.14000000000000001</v>
      </c>
      <c r="AO339" s="170">
        <f t="shared" si="97"/>
        <v>20.880405499753955</v>
      </c>
      <c r="AP339" s="171">
        <f t="shared" si="98"/>
        <v>33.574570489693592</v>
      </c>
      <c r="AQ339" s="172">
        <f t="shared" si="99"/>
        <v>-21.221600566501575</v>
      </c>
      <c r="AR339" s="157">
        <f>INDEX([1]Historical!$C$7:$C$1231,MATCH(B339,[1]Historical!$B$7:$B$1253,0))*IF(AH339="n/a",1.03,IF(AH339&lt;0,1.01,IF(AH339&gt;10,1.1,(1+AH339/100))))</f>
        <v>1.4520000000000002</v>
      </c>
      <c r="AS339" s="166">
        <f t="shared" si="100"/>
        <v>1.4954148000000003</v>
      </c>
      <c r="AT339" s="166">
        <f t="shared" si="101"/>
        <v>1.6449562800000004</v>
      </c>
      <c r="AU339" s="166">
        <f t="shared" si="101"/>
        <v>1.8094519080000007</v>
      </c>
      <c r="AV339" s="166">
        <f t="shared" si="101"/>
        <v>1.9903970988000008</v>
      </c>
      <c r="AW339" s="157">
        <f t="shared" si="102"/>
        <v>8.3922200868000019</v>
      </c>
      <c r="AX339" s="173">
        <f t="shared" si="103"/>
        <v>13.301981434141705</v>
      </c>
      <c r="AY339" s="174">
        <v>1.43</v>
      </c>
      <c r="AZ339" s="169">
        <v>3.16</v>
      </c>
      <c r="BA339" s="169">
        <v>-20.8</v>
      </c>
      <c r="BB339" s="169">
        <v>-4.66</v>
      </c>
      <c r="BC339" s="169">
        <v>-10.82</v>
      </c>
      <c r="BE339" s="77">
        <v>2014</v>
      </c>
      <c r="BF339" s="77">
        <f t="shared" si="104"/>
        <v>1</v>
      </c>
      <c r="BG339" s="175">
        <v>1.0999999999999999</v>
      </c>
      <c r="BH339" t="s">
        <v>939</v>
      </c>
      <c r="BI339" t="s">
        <v>940</v>
      </c>
      <c r="BJ339" s="112"/>
      <c r="BK339" s="112"/>
      <c r="BL339" s="112"/>
    </row>
    <row r="340" spans="1:64" ht="11.25" customHeight="1" x14ac:dyDescent="0.2">
      <c r="A340" s="176" t="s">
        <v>1454</v>
      </c>
      <c r="B340" s="153" t="s">
        <v>811</v>
      </c>
      <c r="C340" s="154" t="s">
        <v>90</v>
      </c>
      <c r="D340" s="154" t="s">
        <v>972</v>
      </c>
      <c r="E340" s="155">
        <v>10</v>
      </c>
      <c r="F340" s="298">
        <v>480</v>
      </c>
      <c r="G340" s="298" t="s">
        <v>88</v>
      </c>
      <c r="H340" s="298" t="s">
        <v>88</v>
      </c>
      <c r="I340" s="156">
        <v>95.57</v>
      </c>
      <c r="J340" s="157">
        <f t="shared" si="90"/>
        <v>1.5904572564612327</v>
      </c>
      <c r="K340" s="158">
        <v>0.38</v>
      </c>
      <c r="L340" s="126">
        <v>4</v>
      </c>
      <c r="M340" s="82">
        <f t="shared" si="91"/>
        <v>1.52</v>
      </c>
      <c r="N340" s="159" t="s">
        <v>628</v>
      </c>
      <c r="O340" s="160">
        <v>0.33</v>
      </c>
      <c r="P340" s="161">
        <v>44636</v>
      </c>
      <c r="Q340" s="161">
        <v>44651</v>
      </c>
      <c r="R340" s="82">
        <f t="shared" si="92"/>
        <v>15.151515151515147</v>
      </c>
      <c r="S340" s="162">
        <f>IF(INDEX([1]Historical!$D$7:$D$1229,MATCH(B340,[1]Historical!$B$7:$B$1253,0))=0,"n/a",(INDEX([1]Historical!$C$7:$C$1231,MATCH(B340,[1]Historical!$B$7:$B$1253,0))/INDEX([1]Historical!$D$7:$D$1229,MATCH(B340,[1]Historical!$B$7:$B$1253,0))-1)*100)</f>
        <v>10.000000000000009</v>
      </c>
      <c r="T340" s="162">
        <f>IF(INDEX([1]Historical!$F$7:$F$1222,MATCH(B340,[1]Historical!$B$7:$B$1253,0))=0,"n/a",((INDEX([1]Historical!$C$7:$C$1231,MATCH(B340,[1]Historical!$B$7:$B$1253,0))/INDEX([1]Historical!$F$7:$F$1222,MATCH(B340,[1]Historical!$B$7:$B$1253,0)))^(1/3)-1)*100)</f>
        <v>11.199004528465784</v>
      </c>
      <c r="U340" s="162">
        <f>IF(INDEX([1]Historical!$H$7:$H$1222,MATCH(B340,[1]Historical!$B$7:$B$1253,0))=0,"n/a",((INDEX([1]Historical!$C$7:$C$1231,MATCH(B340,[1]Historical!$B$7:$B$1253,0))/INDEX([1]Historical!$H$7:$H$1222,MATCH(B340,[1]Historical!$B$7:$B$1253,0)))^(1/5)-1)*100)</f>
        <v>14.186037876324487</v>
      </c>
      <c r="V340" s="162" t="str">
        <f>IF(INDEX([1]Historical!$N$7:$N$1222,MATCH(B340,[1]Historical!$B$7:$B$1253,0))=0,"n/a",((INDEX([1]Historical!$C$7:$C$1231,MATCH(B340,[1]Historical!$B$7:$B$1253,0))/INDEX([1]Historical!$N$7:$N$1222,MATCH(B340,[1]Historical!$B$7:$B$1253,0)))^(1/10)-1)*100)</f>
        <v>n/a</v>
      </c>
      <c r="W340" s="163" t="str">
        <f t="shared" si="93"/>
        <v>n/a</v>
      </c>
      <c r="X340" s="164">
        <f t="shared" si="94"/>
        <v>0.57666820635465388</v>
      </c>
      <c r="Y340" s="165"/>
      <c r="Z340" s="157">
        <f t="shared" si="95"/>
        <v>25.418060200668897</v>
      </c>
      <c r="AA340" s="166">
        <f t="shared" si="96"/>
        <v>15.981605351170566</v>
      </c>
      <c r="AB340" s="126">
        <v>12</v>
      </c>
      <c r="AC340" s="167">
        <v>5.98</v>
      </c>
      <c r="AD340" s="167">
        <v>2.52</v>
      </c>
      <c r="AE340" s="167">
        <v>5.64</v>
      </c>
      <c r="AF340" s="167">
        <v>2.36</v>
      </c>
      <c r="AG340" s="167">
        <v>15</v>
      </c>
      <c r="AH340" s="167">
        <v>90.8</v>
      </c>
      <c r="AI340" s="167">
        <v>7.17</v>
      </c>
      <c r="AJ340" s="167">
        <v>24.6</v>
      </c>
      <c r="AK340" s="167">
        <v>6.419999999999999</v>
      </c>
      <c r="AL340" s="168">
        <v>53410</v>
      </c>
      <c r="AM340" s="169">
        <v>0.3</v>
      </c>
      <c r="AN340" s="167">
        <v>0.79</v>
      </c>
      <c r="AO340" s="170">
        <f t="shared" si="97"/>
        <v>-0.20511021838484567</v>
      </c>
      <c r="AP340" s="171">
        <f t="shared" si="98"/>
        <v>15.776495132785721</v>
      </c>
      <c r="AQ340" s="172">
        <f t="shared" si="99"/>
        <v>29.471727722503239</v>
      </c>
      <c r="AR340" s="157">
        <f>INDEX([1]Historical!$C$7:$C$1231,MATCH(B340,[1]Historical!$B$7:$B$1253,0))*IF(AH340="n/a",1.03,IF(AH340&lt;0,1.01,IF(AH340&gt;10,1.1,(1+AH340/100))))</f>
        <v>1.4520000000000002</v>
      </c>
      <c r="AS340" s="166">
        <f t="shared" si="100"/>
        <v>1.5561084000000003</v>
      </c>
      <c r="AT340" s="166">
        <f t="shared" si="101"/>
        <v>1.6560105592800003</v>
      </c>
      <c r="AU340" s="166">
        <f t="shared" si="101"/>
        <v>1.7623264371857763</v>
      </c>
      <c r="AV340" s="166">
        <f t="shared" si="101"/>
        <v>1.8754677944531033</v>
      </c>
      <c r="AW340" s="157">
        <f t="shared" si="102"/>
        <v>8.3019131909188797</v>
      </c>
      <c r="AX340" s="173">
        <f t="shared" si="103"/>
        <v>8.6867355769790517</v>
      </c>
      <c r="AY340" s="174">
        <v>0.91</v>
      </c>
      <c r="AZ340" s="169">
        <v>7.870000000000001</v>
      </c>
      <c r="BA340" s="169">
        <v>-31.630000000000003</v>
      </c>
      <c r="BB340" s="169">
        <v>-1.22</v>
      </c>
      <c r="BC340" s="169">
        <v>-12.49</v>
      </c>
      <c r="BE340" s="77">
        <v>2013</v>
      </c>
      <c r="BF340" s="77">
        <f t="shared" si="104"/>
        <v>1</v>
      </c>
      <c r="BG340" s="175">
        <v>1.7999999999999998</v>
      </c>
      <c r="BH340" t="s">
        <v>939</v>
      </c>
      <c r="BI340" t="s">
        <v>940</v>
      </c>
    </row>
    <row r="341" spans="1:64" ht="11.25" customHeight="1" x14ac:dyDescent="0.2">
      <c r="A341" s="176" t="s">
        <v>1455</v>
      </c>
      <c r="B341" s="153" t="s">
        <v>767</v>
      </c>
      <c r="C341" s="154" t="s">
        <v>117</v>
      </c>
      <c r="D341" s="154" t="s">
        <v>957</v>
      </c>
      <c r="E341" s="155">
        <v>11</v>
      </c>
      <c r="F341" s="298">
        <v>449</v>
      </c>
      <c r="G341" s="298" t="s">
        <v>30</v>
      </c>
      <c r="H341" s="298" t="s">
        <v>30</v>
      </c>
      <c r="I341" s="156">
        <v>104.7</v>
      </c>
      <c r="J341" s="157">
        <f t="shared" si="90"/>
        <v>3.0181470869149951</v>
      </c>
      <c r="K341" s="158">
        <v>0.79</v>
      </c>
      <c r="L341" s="126">
        <v>4</v>
      </c>
      <c r="M341" s="82">
        <f t="shared" si="91"/>
        <v>3.16</v>
      </c>
      <c r="N341" s="159" t="s">
        <v>677</v>
      </c>
      <c r="O341" s="160">
        <v>0.75</v>
      </c>
      <c r="P341" s="161">
        <v>44866</v>
      </c>
      <c r="Q341" s="161">
        <v>44895</v>
      </c>
      <c r="R341" s="82">
        <f t="shared" si="92"/>
        <v>5.3333333333333375</v>
      </c>
      <c r="S341" s="162">
        <f>IF(INDEX([1]Historical!$D$7:$D$1229,MATCH(B341,[1]Historical!$B$7:$B$1253,0))=0,"n/a",(INDEX([1]Historical!$C$7:$C$1231,MATCH(B341,[1]Historical!$B$7:$B$1253,0))/INDEX([1]Historical!$D$7:$D$1229,MATCH(B341,[1]Historical!$B$7:$B$1253,0))-1)*100)</f>
        <v>5.8823529411764497</v>
      </c>
      <c r="T341" s="162">
        <f>IF(INDEX([1]Historical!$F$7:$F$1222,MATCH(B341,[1]Historical!$B$7:$B$1253,0))=0,"n/a",((INDEX([1]Historical!$C$7:$C$1231,MATCH(B341,[1]Historical!$B$7:$B$1253,0))/INDEX([1]Historical!$F$7:$F$1222,MATCH(B341,[1]Historical!$B$7:$B$1253,0)))^(1/3)-1)*100)</f>
        <v>6.2658569182611146</v>
      </c>
      <c r="U341" s="162">
        <f>IF(INDEX([1]Historical!$H$7:$H$1222,MATCH(B341,[1]Historical!$B$7:$B$1253,0))=0,"n/a",((INDEX([1]Historical!$C$7:$C$1231,MATCH(B341,[1]Historical!$B$7:$B$1253,0))/INDEX([1]Historical!$H$7:$H$1222,MATCH(B341,[1]Historical!$B$7:$B$1253,0)))^(1/5)-1)*100)</f>
        <v>6.7249181879538877</v>
      </c>
      <c r="V341" s="162">
        <f>IF(INDEX([1]Historical!$N$7:$N$1222,MATCH(B341,[1]Historical!$B$7:$B$1253,0))=0,"n/a",((INDEX([1]Historical!$C$7:$C$1231,MATCH(B341,[1]Historical!$B$7:$B$1253,0))/INDEX([1]Historical!$N$7:$N$1222,MATCH(B341,[1]Historical!$B$7:$B$1253,0)))^(1/10)-1)*100)</f>
        <v>9.1493425617896982</v>
      </c>
      <c r="W341" s="163">
        <f t="shared" si="93"/>
        <v>0.73501654818774542</v>
      </c>
      <c r="X341" s="164">
        <f t="shared" si="94"/>
        <v>1.5639344623148577</v>
      </c>
      <c r="Y341" s="212"/>
      <c r="Z341" s="157">
        <f t="shared" si="95"/>
        <v>66.386554621848745</v>
      </c>
      <c r="AA341" s="166">
        <f t="shared" si="96"/>
        <v>21.995798319327733</v>
      </c>
      <c r="AB341" s="126">
        <v>12</v>
      </c>
      <c r="AC341" s="167">
        <v>4.76</v>
      </c>
      <c r="AD341" s="167">
        <v>8.11</v>
      </c>
      <c r="AE341" s="167">
        <v>3.46</v>
      </c>
      <c r="AF341" s="167">
        <v>1.95</v>
      </c>
      <c r="AG341" s="167">
        <v>9</v>
      </c>
      <c r="AH341" s="167">
        <v>3.3000000000000003</v>
      </c>
      <c r="AI341" s="167">
        <v>4.5600000000000005</v>
      </c>
      <c r="AJ341" s="167">
        <v>4.3</v>
      </c>
      <c r="AK341" s="167">
        <v>2.7</v>
      </c>
      <c r="AL341" s="168">
        <v>5150</v>
      </c>
      <c r="AM341" s="169">
        <v>0.64</v>
      </c>
      <c r="AN341" s="167">
        <v>0.79</v>
      </c>
      <c r="AO341" s="170">
        <f t="shared" si="97"/>
        <v>-12.25273304445885</v>
      </c>
      <c r="AP341" s="171">
        <f t="shared" si="98"/>
        <v>9.7430652748688829</v>
      </c>
      <c r="AQ341" s="172">
        <f t="shared" si="99"/>
        <v>38.068914713211363</v>
      </c>
      <c r="AR341" s="157">
        <f>INDEX([1]Historical!$C$7:$C$1231,MATCH(B341,[1]Historical!$B$7:$B$1253,0))*IF(AH341="n/a",1.03,IF(AH341&lt;0,1.01,IF(AH341&gt;10,1.1,(1+AH341/100))))</f>
        <v>2.9750399999999995</v>
      </c>
      <c r="AS341" s="166">
        <f t="shared" si="100"/>
        <v>3.1107018239999995</v>
      </c>
      <c r="AT341" s="166">
        <f t="shared" si="101"/>
        <v>3.1946907732479994</v>
      </c>
      <c r="AU341" s="166">
        <f t="shared" si="101"/>
        <v>3.2809474241256953</v>
      </c>
      <c r="AV341" s="166">
        <f t="shared" si="101"/>
        <v>3.3695330045770886</v>
      </c>
      <c r="AW341" s="157">
        <f t="shared" si="102"/>
        <v>15.930913025950783</v>
      </c>
      <c r="AX341" s="173">
        <f t="shared" si="103"/>
        <v>15.215771753534653</v>
      </c>
      <c r="AY341" s="174">
        <v>0.59</v>
      </c>
      <c r="AZ341" s="169">
        <v>11.940000000000001</v>
      </c>
      <c r="BA341" s="169">
        <v>-11.959999999999999</v>
      </c>
      <c r="BB341" s="169">
        <v>-0.2</v>
      </c>
      <c r="BC341" s="169">
        <v>-2.6100000000000003</v>
      </c>
      <c r="BE341" s="77">
        <v>2013</v>
      </c>
      <c r="BF341" s="77">
        <f t="shared" si="104"/>
        <v>1</v>
      </c>
      <c r="BG341" s="175">
        <v>3.3000000000000003</v>
      </c>
      <c r="BH341" t="s">
        <v>939</v>
      </c>
      <c r="BI341" t="s">
        <v>940</v>
      </c>
    </row>
    <row r="342" spans="1:64" ht="11.25" customHeight="1" x14ac:dyDescent="0.2">
      <c r="A342" s="112" t="s">
        <v>1456</v>
      </c>
      <c r="B342" s="153" t="s">
        <v>332</v>
      </c>
      <c r="C342" s="154" t="s">
        <v>94</v>
      </c>
      <c r="D342" s="154" t="s">
        <v>101</v>
      </c>
      <c r="E342" s="155">
        <v>13</v>
      </c>
      <c r="F342" s="298">
        <v>291</v>
      </c>
      <c r="G342" s="298" t="s">
        <v>88</v>
      </c>
      <c r="H342" s="298" t="s">
        <v>88</v>
      </c>
      <c r="I342" s="156">
        <v>222.31</v>
      </c>
      <c r="J342" s="157">
        <f t="shared" si="90"/>
        <v>1.0795735684404661</v>
      </c>
      <c r="K342" s="158">
        <v>0.6</v>
      </c>
      <c r="L342" s="126">
        <v>4</v>
      </c>
      <c r="M342" s="82">
        <f t="shared" si="91"/>
        <v>2.4</v>
      </c>
      <c r="N342" s="159" t="s">
        <v>635</v>
      </c>
      <c r="O342" s="160">
        <v>0.54</v>
      </c>
      <c r="P342" s="161">
        <v>44697</v>
      </c>
      <c r="Q342" s="161">
        <v>44708</v>
      </c>
      <c r="R342" s="82">
        <f t="shared" si="92"/>
        <v>11.1111111111111</v>
      </c>
      <c r="S342" s="162">
        <f>IF(INDEX([1]Historical!$D$7:$D$1229,MATCH(B342,[1]Historical!$B$7:$B$1253,0))=0,"n/a",(INDEX([1]Historical!$C$7:$C$1231,MATCH(B342,[1]Historical!$B$7:$B$1253,0))/INDEX([1]Historical!$D$7:$D$1229,MATCH(B342,[1]Historical!$B$7:$B$1253,0))-1)*100)</f>
        <v>6.0000000000000053</v>
      </c>
      <c r="T342" s="162">
        <f>IF(INDEX([1]Historical!$F$7:$F$1222,MATCH(B342,[1]Historical!$B$7:$B$1253,0))=0,"n/a",((INDEX([1]Historical!$C$7:$C$1231,MATCH(B342,[1]Historical!$B$7:$B$1253,0))/INDEX([1]Historical!$F$7:$F$1222,MATCH(B342,[1]Historical!$B$7:$B$1253,0)))^(1/3)-1)*100)</f>
        <v>8.4948834537094786</v>
      </c>
      <c r="U342" s="162">
        <f>IF(INDEX([1]Historical!$H$7:$H$1222,MATCH(B342,[1]Historical!$B$7:$B$1253,0))=0,"n/a",((INDEX([1]Historical!$C$7:$C$1231,MATCH(B342,[1]Historical!$B$7:$B$1253,0))/INDEX([1]Historical!$H$7:$H$1222,MATCH(B342,[1]Historical!$B$7:$B$1253,0)))^(1/5)-1)*100)</f>
        <v>9.608999232898574</v>
      </c>
      <c r="V342" s="162">
        <f>IF(INDEX([1]Historical!$N$7:$N$1222,MATCH(B342,[1]Historical!$B$7:$B$1253,0))=0,"n/a",((INDEX([1]Historical!$C$7:$C$1231,MATCH(B342,[1]Historical!$B$7:$B$1253,0))/INDEX([1]Historical!$N$7:$N$1222,MATCH(B342,[1]Historical!$B$7:$B$1253,0)))^(1/10)-1)*100)</f>
        <v>12.377455022856477</v>
      </c>
      <c r="W342" s="163">
        <f t="shared" si="93"/>
        <v>0.77633077358426172</v>
      </c>
      <c r="X342" s="164">
        <f t="shared" si="94"/>
        <v>0.89803731148584809</v>
      </c>
      <c r="Y342" s="180"/>
      <c r="Z342" s="157">
        <f t="shared" si="95"/>
        <v>31.746031746031743</v>
      </c>
      <c r="AA342" s="166">
        <f t="shared" si="96"/>
        <v>29.406084656084658</v>
      </c>
      <c r="AB342" s="126">
        <v>12</v>
      </c>
      <c r="AC342" s="167">
        <v>7.56</v>
      </c>
      <c r="AD342" s="167">
        <v>2.46</v>
      </c>
      <c r="AE342" s="167">
        <v>5.32</v>
      </c>
      <c r="AF342" s="167">
        <v>6</v>
      </c>
      <c r="AG342" s="167">
        <v>20.399999999999999</v>
      </c>
      <c r="AH342" s="167">
        <v>19</v>
      </c>
      <c r="AI342" s="167">
        <v>5.46</v>
      </c>
      <c r="AJ342" s="167">
        <v>10.7</v>
      </c>
      <c r="AK342" s="167">
        <v>12</v>
      </c>
      <c r="AL342" s="168">
        <v>16410</v>
      </c>
      <c r="AM342" s="169">
        <v>0.1</v>
      </c>
      <c r="AN342" s="167">
        <v>0</v>
      </c>
      <c r="AO342" s="170">
        <f t="shared" si="97"/>
        <v>-18.717511854745617</v>
      </c>
      <c r="AP342" s="171">
        <f t="shared" si="98"/>
        <v>10.68857280133904</v>
      </c>
      <c r="AQ342" s="172">
        <f t="shared" si="99"/>
        <v>180.02897305378792</v>
      </c>
      <c r="AR342" s="157">
        <f>INDEX([1]Historical!$C$7:$C$1231,MATCH(B342,[1]Historical!$B$7:$B$1253,0))*IF(AH342="n/a",1.03,IF(AH342&lt;0,1.01,IF(AH342&gt;10,1.1,(1+AH342/100))))</f>
        <v>2.3320000000000003</v>
      </c>
      <c r="AS342" s="166">
        <f t="shared" si="100"/>
        <v>2.4593272000000002</v>
      </c>
      <c r="AT342" s="166">
        <f t="shared" si="101"/>
        <v>2.7052599200000005</v>
      </c>
      <c r="AU342" s="166">
        <f t="shared" si="101"/>
        <v>2.975785912000001</v>
      </c>
      <c r="AV342" s="166">
        <f t="shared" si="101"/>
        <v>3.2733645032000012</v>
      </c>
      <c r="AW342" s="157">
        <f t="shared" si="102"/>
        <v>13.745737535200004</v>
      </c>
      <c r="AX342" s="173">
        <f t="shared" si="103"/>
        <v>6.1831395507174678</v>
      </c>
      <c r="AY342" s="174">
        <v>1</v>
      </c>
      <c r="AZ342" s="169">
        <v>29.110000000000003</v>
      </c>
      <c r="BA342" s="169">
        <v>-7.5</v>
      </c>
      <c r="BB342" s="169">
        <v>7.84</v>
      </c>
      <c r="BC342" s="169">
        <v>12.55</v>
      </c>
      <c r="BE342" s="77">
        <v>2010</v>
      </c>
      <c r="BF342" s="77">
        <f t="shared" si="104"/>
        <v>1</v>
      </c>
      <c r="BG342" s="175">
        <v>11.700000000000001</v>
      </c>
      <c r="BH342" t="s">
        <v>939</v>
      </c>
      <c r="BI342" t="s">
        <v>940</v>
      </c>
    </row>
    <row r="343" spans="1:64" ht="11.25" customHeight="1" x14ac:dyDescent="0.2">
      <c r="A343" s="176" t="s">
        <v>1457</v>
      </c>
      <c r="B343" s="153" t="s">
        <v>337</v>
      </c>
      <c r="C343" s="154" t="s">
        <v>96</v>
      </c>
      <c r="D343" s="154" t="s">
        <v>911</v>
      </c>
      <c r="E343" s="155">
        <v>20</v>
      </c>
      <c r="F343" s="298">
        <v>183</v>
      </c>
      <c r="G343" s="298" t="s">
        <v>30</v>
      </c>
      <c r="H343" s="298" t="s">
        <v>30</v>
      </c>
      <c r="I343" s="156">
        <v>97.61</v>
      </c>
      <c r="J343" s="157">
        <f t="shared" si="90"/>
        <v>3.3193320356520855</v>
      </c>
      <c r="K343" s="158">
        <v>0.81</v>
      </c>
      <c r="L343" s="126">
        <v>4</v>
      </c>
      <c r="M343" s="82">
        <f t="shared" si="91"/>
        <v>3.24</v>
      </c>
      <c r="N343" s="159" t="s">
        <v>393</v>
      </c>
      <c r="O343" s="160">
        <v>0.79</v>
      </c>
      <c r="P343" s="161">
        <v>44826</v>
      </c>
      <c r="Q343" s="161">
        <v>44839</v>
      </c>
      <c r="R343" s="82">
        <f t="shared" si="92"/>
        <v>2.5316455696202551</v>
      </c>
      <c r="S343" s="162">
        <f>IF(INDEX([1]Historical!$D$7:$D$1229,MATCH(B343,[1]Historical!$B$7:$B$1253,0))=0,"n/a",(INDEX([1]Historical!$C$7:$C$1231,MATCH(B343,[1]Historical!$B$7:$B$1253,0))/INDEX([1]Historical!$D$7:$D$1229,MATCH(B343,[1]Historical!$B$7:$B$1253,0))-1)*100)</f>
        <v>2.6490066225165476</v>
      </c>
      <c r="T343" s="162">
        <f>IF(INDEX([1]Historical!$F$7:$F$1222,MATCH(B343,[1]Historical!$B$7:$B$1253,0))=0,"n/a",((INDEX([1]Historical!$C$7:$C$1231,MATCH(B343,[1]Historical!$B$7:$B$1253,0))/INDEX([1]Historical!$F$7:$F$1222,MATCH(B343,[1]Historical!$B$7:$B$1253,0)))^(1/3)-1)*100)</f>
        <v>3.450966906825137</v>
      </c>
      <c r="U343" s="162">
        <f>IF(INDEX([1]Historical!$H$7:$H$1222,MATCH(B343,[1]Historical!$B$7:$B$1253,0))=0,"n/a",((INDEX([1]Historical!$C$7:$C$1231,MATCH(B343,[1]Historical!$B$7:$B$1253,0))/INDEX([1]Historical!$H$7:$H$1222,MATCH(B343,[1]Historical!$B$7:$B$1253,0)))^(1/5)-1)*100)</f>
        <v>5.9680009969516279</v>
      </c>
      <c r="V343" s="162">
        <f>IF(INDEX([1]Historical!$N$7:$N$1222,MATCH(B343,[1]Historical!$B$7:$B$1253,0))=0,"n/a",((INDEX([1]Historical!$C$7:$C$1231,MATCH(B343,[1]Historical!$B$7:$B$1253,0))/INDEX([1]Historical!$N$7:$N$1222,MATCH(B343,[1]Historical!$B$7:$B$1253,0)))^(1/10)-1)*100)</f>
        <v>10.717014667783653</v>
      </c>
      <c r="W343" s="163">
        <f t="shared" si="93"/>
        <v>0.55687158989265884</v>
      </c>
      <c r="X343" s="164" t="str">
        <f t="shared" si="94"/>
        <v>n/a</v>
      </c>
      <c r="Y343" s="165"/>
      <c r="Z343" s="157">
        <f t="shared" si="95"/>
        <v>130.12048192771084</v>
      </c>
      <c r="AA343" s="166">
        <f t="shared" si="96"/>
        <v>39.200803212851405</v>
      </c>
      <c r="AB343" s="126">
        <v>12</v>
      </c>
      <c r="AC343" s="167">
        <v>2.4900000000000002</v>
      </c>
      <c r="AD343" s="167">
        <v>7.26</v>
      </c>
      <c r="AE343" s="167">
        <v>1.93</v>
      </c>
      <c r="AF343" s="167">
        <v>1.22</v>
      </c>
      <c r="AG343" s="167">
        <v>3</v>
      </c>
      <c r="AH343" s="167">
        <v>-65.2</v>
      </c>
      <c r="AI343" s="167">
        <v>10.130000000000001</v>
      </c>
      <c r="AJ343" s="167">
        <v>-26.200000000000003</v>
      </c>
      <c r="AK343" s="167">
        <v>5.35</v>
      </c>
      <c r="AL343" s="168">
        <v>24330</v>
      </c>
      <c r="AM343" s="169">
        <v>0.1</v>
      </c>
      <c r="AN343" s="167">
        <v>0.6</v>
      </c>
      <c r="AO343" s="170">
        <f t="shared" si="97"/>
        <v>-29.913470180247693</v>
      </c>
      <c r="AP343" s="171">
        <f t="shared" si="98"/>
        <v>9.2873330326037138</v>
      </c>
      <c r="AQ343" s="172">
        <f t="shared" si="99"/>
        <v>45.792820917109346</v>
      </c>
      <c r="AR343" s="157">
        <f>INDEX([1]Historical!$C$7:$C$1231,MATCH(B343,[1]Historical!$B$7:$B$1253,0))*IF(AH343="n/a",1.03,IF(AH343&lt;0,1.01,IF(AH343&gt;10,1.1,(1+AH343/100))))</f>
        <v>3.1310000000000002</v>
      </c>
      <c r="AS343" s="166">
        <f t="shared" si="100"/>
        <v>3.4441000000000006</v>
      </c>
      <c r="AT343" s="166">
        <f t="shared" ref="AT343:AV358" si="105">IF($AK343="n/a",1.03*AS343,IF($AK343&lt;0,1.01*AS343,IF($AK343&gt;10,1.1*AS343,(1+$AK343/100)*AS343)))</f>
        <v>3.6283593500000011</v>
      </c>
      <c r="AU343" s="166">
        <f t="shared" si="105"/>
        <v>3.8224765752250014</v>
      </c>
      <c r="AV343" s="166">
        <f t="shared" si="105"/>
        <v>4.0269790719995395</v>
      </c>
      <c r="AW343" s="157">
        <f t="shared" si="102"/>
        <v>18.052914997224544</v>
      </c>
      <c r="AX343" s="173">
        <f t="shared" si="103"/>
        <v>18.494944162713395</v>
      </c>
      <c r="AY343" s="174">
        <v>1.07</v>
      </c>
      <c r="AZ343" s="169">
        <v>17.399999999999999</v>
      </c>
      <c r="BA343" s="169">
        <v>-37.03</v>
      </c>
      <c r="BB343" s="169">
        <v>-3.2800000000000002</v>
      </c>
      <c r="BC343" s="169">
        <v>-18.61</v>
      </c>
      <c r="BE343" s="77">
        <v>2003</v>
      </c>
      <c r="BF343" s="77">
        <f t="shared" si="104"/>
        <v>2</v>
      </c>
      <c r="BG343" s="175">
        <v>1.6</v>
      </c>
      <c r="BH343" t="s">
        <v>939</v>
      </c>
      <c r="BI343" t="s">
        <v>940</v>
      </c>
    </row>
    <row r="344" spans="1:64" ht="11.25" customHeight="1" x14ac:dyDescent="0.2">
      <c r="A344" s="205" t="s">
        <v>1109</v>
      </c>
      <c r="B344" s="153" t="s">
        <v>1110</v>
      </c>
      <c r="C344" s="154" t="s">
        <v>947</v>
      </c>
      <c r="D344" s="154" t="s">
        <v>948</v>
      </c>
      <c r="E344" s="155">
        <v>6</v>
      </c>
      <c r="F344" s="298">
        <v>686</v>
      </c>
      <c r="G344" s="298" t="s">
        <v>88</v>
      </c>
      <c r="H344" s="298" t="s">
        <v>88</v>
      </c>
      <c r="I344" s="156">
        <v>108.1</v>
      </c>
      <c r="J344" s="157">
        <f t="shared" si="90"/>
        <v>6.6604995374653102</v>
      </c>
      <c r="K344" s="158">
        <v>1.8</v>
      </c>
      <c r="L344" s="126">
        <v>4</v>
      </c>
      <c r="M344" s="82">
        <f t="shared" si="91"/>
        <v>7.2</v>
      </c>
      <c r="N344" s="159" t="s">
        <v>167</v>
      </c>
      <c r="O344" s="160">
        <v>1.75</v>
      </c>
      <c r="P344" s="161">
        <v>44833</v>
      </c>
      <c r="Q344" s="161">
        <v>44848</v>
      </c>
      <c r="R344" s="82">
        <f t="shared" si="92"/>
        <v>2.8571428571428599</v>
      </c>
      <c r="S344" s="162">
        <f>IF(INDEX([1]Historical!$D$7:$D$1229,MATCH(B344,[1]Historical!$B$7:$B$1253,0))=0,"n/a",(INDEX([1]Historical!$C$7:$C$1231,MATCH(B344,[1]Historical!$B$7:$B$1253,0))/INDEX([1]Historical!$D$7:$D$1229,MATCH(B344,[1]Historical!$B$7:$B$1253,0))-1)*100)</f>
        <v>29.078014184397148</v>
      </c>
      <c r="T344" s="162">
        <f>IF(INDEX([1]Historical!$F$7:$F$1222,MATCH(B344,[1]Historical!$B$7:$B$1253,0))=0,"n/a",((INDEX([1]Historical!$C$7:$C$1231,MATCH(B344,[1]Historical!$B$7:$B$1253,0))/INDEX([1]Historical!$F$7:$F$1222,MATCH(B344,[1]Historical!$B$7:$B$1253,0)))^(1/3)-1)*100)</f>
        <v>70.582046019516966</v>
      </c>
      <c r="U344" s="162" t="str">
        <f>IF(INDEX([1]Historical!$H$7:$H$1222,MATCH(B344,[1]Historical!$B$7:$B$1253,0))=0,"n/a",((INDEX([1]Historical!$C$7:$C$1231,MATCH(B344,[1]Historical!$B$7:$B$1253,0))/INDEX([1]Historical!$H$7:$H$1222,MATCH(B344,[1]Historical!$B$7:$B$1253,0)))^(1/5)-1)*100)</f>
        <v>n/a</v>
      </c>
      <c r="V344" s="162" t="str">
        <f>IF(INDEX([1]Historical!$N$7:$N$1222,MATCH(B344,[1]Historical!$B$7:$B$1253,0))=0,"n/a",((INDEX([1]Historical!$C$7:$C$1231,MATCH(B344,[1]Historical!$B$7:$B$1253,0))/INDEX([1]Historical!$N$7:$N$1222,MATCH(B344,[1]Historical!$B$7:$B$1253,0)))^(1/10)-1)*100)</f>
        <v>n/a</v>
      </c>
      <c r="W344" s="163" t="str">
        <f t="shared" si="93"/>
        <v>n/a</v>
      </c>
      <c r="X344" s="164" t="str">
        <f t="shared" si="94"/>
        <v>n/a</v>
      </c>
      <c r="Y344" s="180"/>
      <c r="Z344" s="157">
        <f t="shared" si="95"/>
        <v>141.73228346456693</v>
      </c>
      <c r="AA344" s="166">
        <f t="shared" si="96"/>
        <v>21.279527559055115</v>
      </c>
      <c r="AB344" s="126">
        <v>12</v>
      </c>
      <c r="AC344" s="167">
        <v>5.08</v>
      </c>
      <c r="AD344" s="167" t="s">
        <v>95</v>
      </c>
      <c r="AE344" s="167">
        <v>11.36</v>
      </c>
      <c r="AF344" s="167">
        <v>1.48</v>
      </c>
      <c r="AG344" s="167">
        <v>7.9</v>
      </c>
      <c r="AH344" s="167">
        <v>39.5</v>
      </c>
      <c r="AI344" s="167">
        <v>9.89</v>
      </c>
      <c r="AJ344" s="167">
        <v>65.5</v>
      </c>
      <c r="AK344" s="167" t="s">
        <v>95</v>
      </c>
      <c r="AL344" s="168">
        <v>2820</v>
      </c>
      <c r="AM344" s="169">
        <v>1</v>
      </c>
      <c r="AN344" s="167">
        <v>0.15</v>
      </c>
      <c r="AO344" s="170" t="str">
        <f t="shared" si="97"/>
        <v>n/a</v>
      </c>
      <c r="AP344" s="171" t="str">
        <f t="shared" si="98"/>
        <v>n/a</v>
      </c>
      <c r="AQ344" s="172">
        <f t="shared" si="99"/>
        <v>18.309764389741968</v>
      </c>
      <c r="AR344" s="157">
        <f>INDEX([1]Historical!$C$7:$C$1231,MATCH(B344,[1]Historical!$B$7:$B$1253,0))*IF(AH344="n/a",1.03,IF(AH344&lt;0,1.01,IF(AH344&gt;10,1.1,(1+AH344/100))))</f>
        <v>6.0060000000000002</v>
      </c>
      <c r="AS344" s="166">
        <f t="shared" si="100"/>
        <v>6.5999933999999998</v>
      </c>
      <c r="AT344" s="166">
        <f t="shared" si="105"/>
        <v>6.7979932019999998</v>
      </c>
      <c r="AU344" s="166">
        <f t="shared" si="105"/>
        <v>7.00193299806</v>
      </c>
      <c r="AV344" s="166">
        <f t="shared" si="105"/>
        <v>7.2119909880018005</v>
      </c>
      <c r="AW344" s="157">
        <f t="shared" si="102"/>
        <v>33.617910588061797</v>
      </c>
      <c r="AX344" s="173">
        <f t="shared" si="103"/>
        <v>31.098899711435525</v>
      </c>
      <c r="AY344" s="174">
        <v>1.58</v>
      </c>
      <c r="AZ344" s="169">
        <v>23.59</v>
      </c>
      <c r="BA344" s="169">
        <v>-62.470000000000006</v>
      </c>
      <c r="BB344" s="169">
        <v>14.89</v>
      </c>
      <c r="BC344" s="169">
        <v>-20.82</v>
      </c>
      <c r="BE344" s="77">
        <v>2017</v>
      </c>
      <c r="BF344" s="77">
        <f t="shared" si="104"/>
        <v>1</v>
      </c>
      <c r="BG344" s="175">
        <v>6.1</v>
      </c>
      <c r="BH344" t="s">
        <v>939</v>
      </c>
      <c r="BI344" t="s">
        <v>945</v>
      </c>
      <c r="BJ344" s="112"/>
      <c r="BK344" s="112"/>
      <c r="BL344" s="112"/>
    </row>
    <row r="345" spans="1:64" ht="11.25" customHeight="1" x14ac:dyDescent="0.2">
      <c r="A345" s="176" t="s">
        <v>1458</v>
      </c>
      <c r="B345" s="153" t="s">
        <v>626</v>
      </c>
      <c r="C345" s="154" t="s">
        <v>90</v>
      </c>
      <c r="D345" s="154" t="s">
        <v>969</v>
      </c>
      <c r="E345" s="155">
        <v>12</v>
      </c>
      <c r="F345" s="298">
        <v>353</v>
      </c>
      <c r="G345" s="298" t="s">
        <v>30</v>
      </c>
      <c r="H345" s="298" t="s">
        <v>30</v>
      </c>
      <c r="I345" s="156">
        <v>87.01</v>
      </c>
      <c r="J345" s="157">
        <f t="shared" si="90"/>
        <v>2.344558096770486</v>
      </c>
      <c r="K345" s="158">
        <v>0.51</v>
      </c>
      <c r="L345" s="126">
        <v>4</v>
      </c>
      <c r="M345" s="82">
        <f t="shared" si="91"/>
        <v>2.04</v>
      </c>
      <c r="N345" s="159" t="s">
        <v>393</v>
      </c>
      <c r="O345" s="160">
        <v>0.48</v>
      </c>
      <c r="P345" s="161">
        <v>44645</v>
      </c>
      <c r="Q345" s="161">
        <v>44659</v>
      </c>
      <c r="R345" s="82">
        <f t="shared" si="92"/>
        <v>6.2500000000000053</v>
      </c>
      <c r="S345" s="162">
        <f>IF(INDEX([1]Historical!$D$7:$D$1229,MATCH(B345,[1]Historical!$B$7:$B$1253,0))=0,"n/a",(INDEX([1]Historical!$C$7:$C$1231,MATCH(B345,[1]Historical!$B$7:$B$1253,0))/INDEX([1]Historical!$D$7:$D$1229,MATCH(B345,[1]Historical!$B$7:$B$1253,0))-1)*100)</f>
        <v>4.39560439560438</v>
      </c>
      <c r="T345" s="162">
        <f>IF(INDEX([1]Historical!$F$7:$F$1222,MATCH(B345,[1]Historical!$B$7:$B$1253,0))=0,"n/a",((INDEX([1]Historical!$C$7:$C$1231,MATCH(B345,[1]Historical!$B$7:$B$1253,0))/INDEX([1]Historical!$F$7:$F$1222,MATCH(B345,[1]Historical!$B$7:$B$1253,0)))^(1/3)-1)*100)</f>
        <v>9.1776096885807021</v>
      </c>
      <c r="U345" s="162">
        <f>IF(INDEX([1]Historical!$H$7:$H$1222,MATCH(B345,[1]Historical!$B$7:$B$1253,0))=0,"n/a",((INDEX([1]Historical!$C$7:$C$1231,MATCH(B345,[1]Historical!$B$7:$B$1253,0))/INDEX([1]Historical!$H$7:$H$1222,MATCH(B345,[1]Historical!$B$7:$B$1253,0)))^(1/5)-1)*100)</f>
        <v>10.951973518388836</v>
      </c>
      <c r="V345" s="162">
        <f>IF(INDEX([1]Historical!$N$7:$N$1222,MATCH(B345,[1]Historical!$B$7:$B$1253,0))=0,"n/a",((INDEX([1]Historical!$C$7:$C$1231,MATCH(B345,[1]Historical!$B$7:$B$1253,0))/INDEX([1]Historical!$N$7:$N$1222,MATCH(B345,[1]Historical!$B$7:$B$1253,0)))^(1/10)-1)*100)</f>
        <v>9.7410809684315147</v>
      </c>
      <c r="W345" s="163">
        <f t="shared" si="93"/>
        <v>1.1243078210602633</v>
      </c>
      <c r="X345" s="164">
        <f t="shared" si="94"/>
        <v>2.959992842807794</v>
      </c>
      <c r="Y345" s="211"/>
      <c r="Z345" s="157">
        <f t="shared" si="95"/>
        <v>50.370370370370374</v>
      </c>
      <c r="AA345" s="166">
        <f t="shared" si="96"/>
        <v>21.483950617283952</v>
      </c>
      <c r="AB345" s="126">
        <v>12</v>
      </c>
      <c r="AC345" s="167">
        <v>4.05</v>
      </c>
      <c r="AD345" s="167">
        <v>8.57</v>
      </c>
      <c r="AE345" s="167">
        <v>6.7</v>
      </c>
      <c r="AF345" s="167">
        <v>1.41</v>
      </c>
      <c r="AG345" s="167">
        <v>5</v>
      </c>
      <c r="AH345" s="167">
        <v>-0.8</v>
      </c>
      <c r="AI345" s="167">
        <v>16.37</v>
      </c>
      <c r="AJ345" s="167">
        <v>3.6999999999999997</v>
      </c>
      <c r="AK345" s="167">
        <v>2.5</v>
      </c>
      <c r="AL345" s="168">
        <v>3910</v>
      </c>
      <c r="AM345" s="169">
        <v>0.6</v>
      </c>
      <c r="AN345" s="167">
        <v>0.04</v>
      </c>
      <c r="AO345" s="170">
        <f t="shared" si="97"/>
        <v>-8.1874190021246296</v>
      </c>
      <c r="AP345" s="171">
        <f t="shared" si="98"/>
        <v>13.296531615159322</v>
      </c>
      <c r="AQ345" s="172">
        <f t="shared" si="99"/>
        <v>16.031356624684044</v>
      </c>
      <c r="AR345" s="157">
        <f>INDEX([1]Historical!$C$7:$C$1231,MATCH(B345,[1]Historical!$B$7:$B$1253,0))*IF(AH345="n/a",1.03,IF(AH345&lt;0,1.01,IF(AH345&gt;10,1.1,(1+AH345/100))))</f>
        <v>1.9189999999999998</v>
      </c>
      <c r="AS345" s="166">
        <f t="shared" si="100"/>
        <v>2.1109</v>
      </c>
      <c r="AT345" s="166">
        <f t="shared" si="105"/>
        <v>2.1636724999999997</v>
      </c>
      <c r="AU345" s="166">
        <f t="shared" si="105"/>
        <v>2.2177643124999995</v>
      </c>
      <c r="AV345" s="166">
        <f t="shared" si="105"/>
        <v>2.2732084203124994</v>
      </c>
      <c r="AW345" s="157">
        <f t="shared" si="102"/>
        <v>10.684545232812498</v>
      </c>
      <c r="AX345" s="173">
        <f t="shared" si="103"/>
        <v>12.279675017598549</v>
      </c>
      <c r="AY345" s="174">
        <v>0.85</v>
      </c>
      <c r="AZ345" s="169">
        <v>17.14</v>
      </c>
      <c r="BA345" s="169">
        <v>-6.9599999999999991</v>
      </c>
      <c r="BB345" s="169">
        <v>9.42</v>
      </c>
      <c r="BC345" s="169">
        <v>6.94</v>
      </c>
      <c r="BE345" s="77">
        <v>2011</v>
      </c>
      <c r="BF345" s="77">
        <f t="shared" si="104"/>
        <v>1</v>
      </c>
      <c r="BG345" s="175">
        <v>0.70000000000000007</v>
      </c>
      <c r="BH345" t="s">
        <v>939</v>
      </c>
      <c r="BI345" t="s">
        <v>940</v>
      </c>
    </row>
    <row r="346" spans="1:64" ht="11.25" customHeight="1" x14ac:dyDescent="0.2">
      <c r="A346" s="176" t="s">
        <v>1459</v>
      </c>
      <c r="B346" s="153" t="s">
        <v>654</v>
      </c>
      <c r="C346" s="154" t="s">
        <v>127</v>
      </c>
      <c r="D346" s="154" t="s">
        <v>951</v>
      </c>
      <c r="E346" s="155">
        <v>12</v>
      </c>
      <c r="F346" s="298">
        <v>384</v>
      </c>
      <c r="G346" s="298" t="s">
        <v>104</v>
      </c>
      <c r="H346" s="298" t="s">
        <v>104</v>
      </c>
      <c r="I346" s="167">
        <v>89.12</v>
      </c>
      <c r="J346" s="157">
        <f t="shared" si="90"/>
        <v>3.1867145421903045</v>
      </c>
      <c r="K346" s="158">
        <v>0.71</v>
      </c>
      <c r="L346" s="126">
        <v>4</v>
      </c>
      <c r="M346" s="82">
        <f t="shared" si="91"/>
        <v>2.84</v>
      </c>
      <c r="N346" s="159" t="s">
        <v>662</v>
      </c>
      <c r="O346" s="160">
        <v>0.65</v>
      </c>
      <c r="P346" s="161">
        <v>44839</v>
      </c>
      <c r="Q346" s="161">
        <v>44859</v>
      </c>
      <c r="R346" s="82">
        <f t="shared" si="92"/>
        <v>9.2307692307692211</v>
      </c>
      <c r="S346" s="162">
        <f>IF(INDEX([1]Historical!$D$7:$D$1229,MATCH(B346,[1]Historical!$B$7:$B$1253,0))=0,"n/a",(INDEX([1]Historical!$C$7:$C$1231,MATCH(B346,[1]Historical!$B$7:$B$1253,0))/INDEX([1]Historical!$D$7:$D$1229,MATCH(B346,[1]Historical!$B$7:$B$1253,0))-1)*100)</f>
        <v>1.5810276679841806</v>
      </c>
      <c r="T346" s="162">
        <f>IF(INDEX([1]Historical!$F$7:$F$1222,MATCH(B346,[1]Historical!$B$7:$B$1253,0))=0,"n/a",((INDEX([1]Historical!$C$7:$C$1231,MATCH(B346,[1]Historical!$B$7:$B$1253,0))/INDEX([1]Historical!$F$7:$F$1222,MATCH(B346,[1]Historical!$B$7:$B$1253,0)))^(1/3)-1)*100)</f>
        <v>1.9546708246021227</v>
      </c>
      <c r="U346" s="162">
        <f>IF(INDEX([1]Historical!$H$7:$H$1222,MATCH(B346,[1]Historical!$B$7:$B$1253,0))=0,"n/a",((INDEX([1]Historical!$C$7:$C$1231,MATCH(B346,[1]Historical!$B$7:$B$1253,0))/INDEX([1]Historical!$H$7:$H$1222,MATCH(B346,[1]Historical!$B$7:$B$1253,0)))^(1/5)-1)*100)</f>
        <v>6.7953341621527885</v>
      </c>
      <c r="V346" s="162">
        <f>IF(INDEX([1]Historical!$N$7:$N$1222,MATCH(B346,[1]Historical!$B$7:$B$1253,0))=0,"n/a",((INDEX([1]Historical!$C$7:$C$1231,MATCH(B346,[1]Historical!$B$7:$B$1253,0))/INDEX([1]Historical!$N$7:$N$1222,MATCH(B346,[1]Historical!$B$7:$B$1253,0)))^(1/10)-1)*100)</f>
        <v>15.658668243527041</v>
      </c>
      <c r="W346" s="163">
        <f t="shared" si="93"/>
        <v>0.4339662898830387</v>
      </c>
      <c r="X346" s="164" t="str">
        <f t="shared" si="94"/>
        <v>n/a</v>
      </c>
      <c r="Y346" s="211"/>
      <c r="Z346" s="157">
        <f t="shared" si="95"/>
        <v>41.949778434268836</v>
      </c>
      <c r="AA346" s="166">
        <f t="shared" si="96"/>
        <v>13.163958641063518</v>
      </c>
      <c r="AB346" s="126">
        <v>12</v>
      </c>
      <c r="AC346" s="167">
        <v>6.77</v>
      </c>
      <c r="AD346" s="167">
        <v>1.53</v>
      </c>
      <c r="AE346" s="167">
        <v>0.77</v>
      </c>
      <c r="AF346" s="167">
        <v>1.87</v>
      </c>
      <c r="AG346" s="167">
        <v>14.499999999999998</v>
      </c>
      <c r="AH346" s="167">
        <v>-66.5</v>
      </c>
      <c r="AI346" s="167">
        <v>10.040000000000001</v>
      </c>
      <c r="AJ346" s="167">
        <v>-23.400000000000002</v>
      </c>
      <c r="AK346" s="167">
        <v>8.5400000000000009</v>
      </c>
      <c r="AL346" s="168">
        <v>5730</v>
      </c>
      <c r="AM346" s="169">
        <v>0.4</v>
      </c>
      <c r="AN346" s="167">
        <v>0.76</v>
      </c>
      <c r="AO346" s="170">
        <f t="shared" si="97"/>
        <v>-3.1819099367204249</v>
      </c>
      <c r="AP346" s="171">
        <f t="shared" si="98"/>
        <v>9.982048704343093</v>
      </c>
      <c r="AQ346" s="172">
        <f t="shared" si="99"/>
        <v>4.5978598863046116</v>
      </c>
      <c r="AR346" s="157">
        <f>INDEX([1]Historical!$C$7:$C$1231,MATCH(B346,[1]Historical!$B$7:$B$1253,0))*IF(AH346="n/a",1.03,IF(AH346&lt;0,1.01,IF(AH346&gt;10,1.1,(1+AH346/100))))</f>
        <v>2.5956999999999999</v>
      </c>
      <c r="AS346" s="166">
        <f t="shared" si="100"/>
        <v>2.85527</v>
      </c>
      <c r="AT346" s="166">
        <f t="shared" si="105"/>
        <v>3.0991100579999999</v>
      </c>
      <c r="AU346" s="166">
        <f t="shared" si="105"/>
        <v>3.3637740569531998</v>
      </c>
      <c r="AV346" s="166">
        <f t="shared" si="105"/>
        <v>3.6510403614170026</v>
      </c>
      <c r="AW346" s="157">
        <f t="shared" si="102"/>
        <v>15.564894476370203</v>
      </c>
      <c r="AX346" s="173">
        <f t="shared" si="103"/>
        <v>17.465097033629043</v>
      </c>
      <c r="AY346" s="174">
        <v>0.77</v>
      </c>
      <c r="AZ346" s="169">
        <v>13.08</v>
      </c>
      <c r="BA346" s="169">
        <v>-12.53</v>
      </c>
      <c r="BB346" s="169">
        <v>5.27</v>
      </c>
      <c r="BC346" s="169">
        <v>0.95</v>
      </c>
      <c r="BE346" s="77">
        <v>2011</v>
      </c>
      <c r="BF346" s="77">
        <f t="shared" si="104"/>
        <v>1</v>
      </c>
      <c r="BG346" s="175">
        <v>6.3</v>
      </c>
      <c r="BH346" t="s">
        <v>939</v>
      </c>
      <c r="BI346" t="s">
        <v>940</v>
      </c>
    </row>
    <row r="347" spans="1:64" ht="11.25" customHeight="1" x14ac:dyDescent="0.2">
      <c r="A347" s="176" t="s">
        <v>1460</v>
      </c>
      <c r="B347" s="153" t="s">
        <v>1111</v>
      </c>
      <c r="C347" s="154" t="s">
        <v>922</v>
      </c>
      <c r="D347" s="154" t="s">
        <v>950</v>
      </c>
      <c r="E347" s="155">
        <v>8</v>
      </c>
      <c r="F347" s="298">
        <v>577</v>
      </c>
      <c r="G347" s="298" t="s">
        <v>88</v>
      </c>
      <c r="H347" s="298" t="s">
        <v>88</v>
      </c>
      <c r="I347" s="156">
        <v>28.43</v>
      </c>
      <c r="J347" s="157">
        <f t="shared" si="90"/>
        <v>5.1354203306366513</v>
      </c>
      <c r="K347" s="158">
        <v>0.36499999999999999</v>
      </c>
      <c r="L347" s="126">
        <v>4</v>
      </c>
      <c r="M347" s="82">
        <f t="shared" si="91"/>
        <v>1.46</v>
      </c>
      <c r="N347" s="159" t="s">
        <v>1112</v>
      </c>
      <c r="O347" s="160">
        <v>0.34749999999999998</v>
      </c>
      <c r="P347" s="161">
        <v>44596</v>
      </c>
      <c r="Q347" s="161">
        <v>44621</v>
      </c>
      <c r="R347" s="82">
        <f t="shared" si="92"/>
        <v>5.0359712230215878</v>
      </c>
      <c r="S347" s="162">
        <f>IF(INDEX([1]Historical!$D$7:$D$1229,MATCH(B347,[1]Historical!$B$7:$B$1253,0))=0,"n/a",(INDEX([1]Historical!$C$7:$C$1231,MATCH(B347,[1]Historical!$B$7:$B$1253,0))/INDEX([1]Historical!$D$7:$D$1229,MATCH(B347,[1]Historical!$B$7:$B$1253,0))-1)*100)</f>
        <v>5.3030303030302983</v>
      </c>
      <c r="T347" s="162">
        <f>IF(INDEX([1]Historical!$F$7:$F$1222,MATCH(B347,[1]Historical!$B$7:$B$1253,0))=0,"n/a",((INDEX([1]Historical!$C$7:$C$1231,MATCH(B347,[1]Historical!$B$7:$B$1253,0))/INDEX([1]Historical!$F$7:$F$1222,MATCH(B347,[1]Historical!$B$7:$B$1253,0)))^(1/3)-1)*100)</f>
        <v>5.0214116072436976</v>
      </c>
      <c r="U347" s="162">
        <f>IF(INDEX([1]Historical!$H$7:$H$1222,MATCH(B347,[1]Historical!$B$7:$B$1253,0))=0,"n/a",((INDEX([1]Historical!$C$7:$C$1231,MATCH(B347,[1]Historical!$B$7:$B$1253,0))/INDEX([1]Historical!$H$7:$H$1222,MATCH(B347,[1]Historical!$B$7:$B$1253,0)))^(1/5)-1)*100)</f>
        <v>5.9732594329142463</v>
      </c>
      <c r="V347" s="162">
        <f>IF(INDEX([1]Historical!$N$7:$N$1222,MATCH(B347,[1]Historical!$B$7:$B$1253,0))=0,"n/a",((INDEX([1]Historical!$C$7:$C$1231,MATCH(B347,[1]Historical!$B$7:$B$1253,0))/INDEX([1]Historical!$N$7:$N$1222,MATCH(B347,[1]Historical!$B$7:$B$1253,0)))^(1/10)-1)*100)</f>
        <v>5.913920808194395</v>
      </c>
      <c r="W347" s="163">
        <f t="shared" si="93"/>
        <v>1.0100337198695037</v>
      </c>
      <c r="X347" s="164">
        <f t="shared" si="94"/>
        <v>0.33001433331017938</v>
      </c>
      <c r="Y347" s="178"/>
      <c r="Z347" s="157">
        <f t="shared" si="95"/>
        <v>31.330472103004293</v>
      </c>
      <c r="AA347" s="166">
        <f t="shared" si="96"/>
        <v>6.1008583690987122</v>
      </c>
      <c r="AB347" s="126">
        <v>12</v>
      </c>
      <c r="AC347" s="167">
        <v>4.66</v>
      </c>
      <c r="AD347" s="167" t="s">
        <v>95</v>
      </c>
      <c r="AE347" s="167">
        <v>1.47</v>
      </c>
      <c r="AF347" s="167">
        <v>1.2</v>
      </c>
      <c r="AG347" s="167">
        <v>13.3</v>
      </c>
      <c r="AH347" s="167">
        <v>-1.6</v>
      </c>
      <c r="AI347" s="167">
        <v>0.54999999999999993</v>
      </c>
      <c r="AJ347" s="167">
        <v>18.099999999999998</v>
      </c>
      <c r="AK347" s="167" t="s">
        <v>95</v>
      </c>
      <c r="AL347" s="168">
        <v>107860</v>
      </c>
      <c r="AM347" s="169">
        <v>0.06</v>
      </c>
      <c r="AN347" s="167">
        <v>0.4</v>
      </c>
      <c r="AO347" s="170">
        <f t="shared" si="97"/>
        <v>5.0078213944521854</v>
      </c>
      <c r="AP347" s="171">
        <f t="shared" si="98"/>
        <v>11.108679763550898</v>
      </c>
      <c r="AQ347" s="172">
        <f t="shared" si="99"/>
        <v>-42.957988024737595</v>
      </c>
      <c r="AR347" s="157">
        <f>INDEX([1]Historical!$C$7:$C$1231,MATCH(B347,[1]Historical!$B$7:$B$1253,0))*IF(AH347="n/a",1.03,IF(AH347&lt;0,1.01,IF(AH347&gt;10,1.1,(1+AH347/100))))</f>
        <v>1.4038999999999999</v>
      </c>
      <c r="AS347" s="166">
        <f t="shared" si="100"/>
        <v>1.4116214499999999</v>
      </c>
      <c r="AT347" s="166">
        <f t="shared" si="105"/>
        <v>1.4539700934999999</v>
      </c>
      <c r="AU347" s="166">
        <f t="shared" si="105"/>
        <v>1.4975891963050001</v>
      </c>
      <c r="AV347" s="166">
        <f t="shared" si="105"/>
        <v>1.5425168721941502</v>
      </c>
      <c r="AW347" s="157">
        <f t="shared" si="102"/>
        <v>7.3095976119991501</v>
      </c>
      <c r="AX347" s="173">
        <f t="shared" si="103"/>
        <v>25.71086040098189</v>
      </c>
      <c r="AY347" s="174">
        <v>0.7</v>
      </c>
      <c r="AZ347" s="169">
        <v>15.620000000000001</v>
      </c>
      <c r="BA347" s="169">
        <v>-49.480000000000004</v>
      </c>
      <c r="BB347" s="169">
        <v>-1.55</v>
      </c>
      <c r="BC347" s="169">
        <v>-29.23</v>
      </c>
      <c r="BE347" s="77">
        <v>2015</v>
      </c>
      <c r="BF347" s="77">
        <f t="shared" si="104"/>
        <v>1</v>
      </c>
      <c r="BG347" s="175">
        <v>7.7</v>
      </c>
      <c r="BH347" t="s">
        <v>939</v>
      </c>
      <c r="BI347" t="s">
        <v>940</v>
      </c>
      <c r="BJ347" s="112"/>
      <c r="BK347" s="112"/>
      <c r="BL347" s="112"/>
    </row>
    <row r="348" spans="1:64" ht="11.25" customHeight="1" x14ac:dyDescent="0.2">
      <c r="A348" s="112" t="s">
        <v>655</v>
      </c>
      <c r="B348" s="153" t="s">
        <v>656</v>
      </c>
      <c r="C348" s="154" t="s">
        <v>922</v>
      </c>
      <c r="D348" s="154" t="s">
        <v>1113</v>
      </c>
      <c r="E348" s="155">
        <v>12</v>
      </c>
      <c r="F348" s="298">
        <v>385</v>
      </c>
      <c r="G348" s="298" t="s">
        <v>88</v>
      </c>
      <c r="H348" s="298" t="s">
        <v>88</v>
      </c>
      <c r="I348" s="156">
        <v>427.5</v>
      </c>
      <c r="J348" s="157">
        <f t="shared" si="90"/>
        <v>0.72982456140350871</v>
      </c>
      <c r="K348" s="158">
        <v>0.78</v>
      </c>
      <c r="L348" s="126">
        <v>4</v>
      </c>
      <c r="M348" s="82">
        <f t="shared" si="91"/>
        <v>3.12</v>
      </c>
      <c r="N348" s="159" t="s">
        <v>236</v>
      </c>
      <c r="O348" s="160">
        <v>0.68</v>
      </c>
      <c r="P348" s="161">
        <v>44840</v>
      </c>
      <c r="Q348" s="161">
        <v>44852</v>
      </c>
      <c r="R348" s="82">
        <f t="shared" si="92"/>
        <v>14.705882352941172</v>
      </c>
      <c r="S348" s="162">
        <f>IF(INDEX([1]Historical!$D$7:$D$1229,MATCH(B348,[1]Historical!$B$7:$B$1253,0))=0,"n/a",(INDEX([1]Historical!$C$7:$C$1231,MATCH(B348,[1]Historical!$B$7:$B$1253,0))/INDEX([1]Historical!$D$7:$D$1229,MATCH(B348,[1]Historical!$B$7:$B$1253,0))-1)*100)</f>
        <v>12.385321100917434</v>
      </c>
      <c r="T348" s="162">
        <f>IF(INDEX([1]Historical!$F$7:$F$1222,MATCH(B348,[1]Historical!$B$7:$B$1253,0))=0,"n/a",((INDEX([1]Historical!$C$7:$C$1231,MATCH(B348,[1]Historical!$B$7:$B$1253,0))/INDEX([1]Historical!$F$7:$F$1222,MATCH(B348,[1]Historical!$B$7:$B$1253,0)))^(1/3)-1)*100)</f>
        <v>14.316103271819935</v>
      </c>
      <c r="U348" s="162">
        <f>IF(INDEX([1]Historical!$H$7:$H$1222,MATCH(B348,[1]Historical!$B$7:$B$1253,0))=0,"n/a",((INDEX([1]Historical!$C$7:$C$1231,MATCH(B348,[1]Historical!$B$7:$B$1253,0))/INDEX([1]Historical!$H$7:$H$1222,MATCH(B348,[1]Historical!$B$7:$B$1253,0)))^(1/5)-1)*100)</f>
        <v>14.590570033689731</v>
      </c>
      <c r="V348" s="162">
        <f>IF(INDEX([1]Historical!$N$7:$N$1222,MATCH(B348,[1]Historical!$B$7:$B$1253,0))=0,"n/a",((INDEX([1]Historical!$C$7:$C$1231,MATCH(B348,[1]Historical!$B$7:$B$1253,0))/INDEX([1]Historical!$N$7:$N$1222,MATCH(B348,[1]Historical!$B$7:$B$1253,0)))^(1/10)-1)*100)</f>
        <v>32.22314489365872</v>
      </c>
      <c r="W348" s="163">
        <f t="shared" si="93"/>
        <v>0.45279782845035244</v>
      </c>
      <c r="X348" s="164">
        <f t="shared" si="94"/>
        <v>1.0421835738349807</v>
      </c>
      <c r="Y348" s="222"/>
      <c r="Z348" s="157">
        <f t="shared" si="95"/>
        <v>43.03448275862069</v>
      </c>
      <c r="AA348" s="166">
        <f t="shared" si="96"/>
        <v>58.96551724137931</v>
      </c>
      <c r="AB348" s="126">
        <v>7</v>
      </c>
      <c r="AC348" s="167">
        <v>7.25</v>
      </c>
      <c r="AD348" s="167">
        <v>3.49</v>
      </c>
      <c r="AE348" s="167">
        <v>9.35</v>
      </c>
      <c r="AF348" s="167">
        <v>7.43</v>
      </c>
      <c r="AG348" s="167">
        <v>14.099999999999998</v>
      </c>
      <c r="AH348" s="167">
        <v>-3.6999999999999997</v>
      </c>
      <c r="AI348" s="167">
        <v>15.629999999999999</v>
      </c>
      <c r="AJ348" s="167">
        <v>14.000000000000002</v>
      </c>
      <c r="AK348" s="167">
        <v>17.07</v>
      </c>
      <c r="AL348" s="168">
        <v>118950</v>
      </c>
      <c r="AM348" s="169">
        <v>0.2</v>
      </c>
      <c r="AN348" s="167">
        <v>0.42</v>
      </c>
      <c r="AO348" s="170">
        <f t="shared" si="97"/>
        <v>-43.645122646286069</v>
      </c>
      <c r="AP348" s="171">
        <f t="shared" si="98"/>
        <v>15.320394595093241</v>
      </c>
      <c r="AQ348" s="172">
        <f t="shared" si="99"/>
        <v>341.26776607782074</v>
      </c>
      <c r="AR348" s="157">
        <f>INDEX([1]Historical!$C$7:$C$1231,MATCH(B348,[1]Historical!$B$7:$B$1253,0))*IF(AH348="n/a",1.03,IF(AH348&lt;0,1.01,IF(AH348&gt;10,1.1,(1+AH348/100))))</f>
        <v>2.4745000000000004</v>
      </c>
      <c r="AS348" s="166">
        <f t="shared" si="100"/>
        <v>2.7219500000000005</v>
      </c>
      <c r="AT348" s="166">
        <f t="shared" si="105"/>
        <v>2.9941450000000009</v>
      </c>
      <c r="AU348" s="166">
        <f t="shared" si="105"/>
        <v>3.2935595000000011</v>
      </c>
      <c r="AV348" s="166">
        <f t="shared" si="105"/>
        <v>3.6229154500000016</v>
      </c>
      <c r="AW348" s="157">
        <f t="shared" si="102"/>
        <v>15.107069950000003</v>
      </c>
      <c r="AX348" s="173">
        <f t="shared" si="103"/>
        <v>3.5338175321637433</v>
      </c>
      <c r="AY348" s="174">
        <v>1.18</v>
      </c>
      <c r="AZ348" s="169">
        <v>25.97</v>
      </c>
      <c r="BA348" s="169">
        <v>-40.36</v>
      </c>
      <c r="BB348" s="169">
        <v>2.0299999999999998</v>
      </c>
      <c r="BC348" s="169">
        <v>-3.35</v>
      </c>
      <c r="BE348" s="77">
        <v>2011</v>
      </c>
      <c r="BF348" s="77">
        <f t="shared" si="104"/>
        <v>1</v>
      </c>
      <c r="BG348" s="175">
        <v>8.5</v>
      </c>
      <c r="BH348" t="s">
        <v>939</v>
      </c>
      <c r="BI348" t="s">
        <v>940</v>
      </c>
    </row>
    <row r="349" spans="1:64" ht="11.25" customHeight="1" x14ac:dyDescent="0.2">
      <c r="A349" s="238" t="s">
        <v>909</v>
      </c>
      <c r="B349" s="153" t="s">
        <v>910</v>
      </c>
      <c r="C349" s="154" t="s">
        <v>96</v>
      </c>
      <c r="D349" s="154" t="s">
        <v>911</v>
      </c>
      <c r="E349" s="155">
        <v>9</v>
      </c>
      <c r="F349" s="298">
        <v>543</v>
      </c>
      <c r="G349" s="298" t="s">
        <v>88</v>
      </c>
      <c r="H349" s="298" t="s">
        <v>88</v>
      </c>
      <c r="I349" s="116">
        <v>99.99</v>
      </c>
      <c r="J349" s="157">
        <f t="shared" si="90"/>
        <v>1.2601260126012603</v>
      </c>
      <c r="K349" s="112">
        <v>0.63</v>
      </c>
      <c r="L349" s="298">
        <v>2</v>
      </c>
      <c r="M349" s="82">
        <f t="shared" si="91"/>
        <v>1.26</v>
      </c>
      <c r="N349" s="298" t="s">
        <v>107</v>
      </c>
      <c r="O349" s="239">
        <v>0.59</v>
      </c>
      <c r="P349" s="161">
        <v>44697</v>
      </c>
      <c r="Q349" s="161">
        <v>44707</v>
      </c>
      <c r="R349" s="82">
        <f t="shared" si="92"/>
        <v>6.7796610169491593</v>
      </c>
      <c r="S349" s="162">
        <f>IF(INDEX([1]Historical!$D$7:$D$1229,MATCH(B349,[1]Historical!$B$7:$B$1253,0))=0,"n/a",(INDEX([1]Historical!$C$7:$C$1231,MATCH(B349,[1]Historical!$B$7:$B$1253,0))/INDEX([1]Historical!$D$7:$D$1229,MATCH(B349,[1]Historical!$B$7:$B$1253,0))-1)*100)</f>
        <v>11.538461538461519</v>
      </c>
      <c r="T349" s="162">
        <f>IF(INDEX([1]Historical!$F$7:$F$1222,MATCH(B349,[1]Historical!$B$7:$B$1253,0))=0,"n/a",((INDEX([1]Historical!$C$7:$C$1231,MATCH(B349,[1]Historical!$B$7:$B$1253,0))/INDEX([1]Historical!$F$7:$F$1222,MATCH(B349,[1]Historical!$B$7:$B$1253,0)))^(1/3)-1)*100)</f>
        <v>9.2335364430206504</v>
      </c>
      <c r="U349" s="162">
        <f>IF(INDEX([1]Historical!$H$7:$H$1222,MATCH(B349,[1]Historical!$B$7:$B$1253,0))=0,"n/a",((INDEX([1]Historical!$C$7:$C$1231,MATCH(B349,[1]Historical!$B$7:$B$1253,0))/INDEX([1]Historical!$H$7:$H$1222,MATCH(B349,[1]Historical!$B$7:$B$1253,0)))^(1/5)-1)*100)</f>
        <v>11.603197428653544</v>
      </c>
      <c r="V349" s="162" t="str">
        <f>IF(INDEX([1]Historical!$N$7:$N$1222,MATCH(B349,[1]Historical!$B$7:$B$1253,0))=0,"n/a",((INDEX([1]Historical!$C$7:$C$1231,MATCH(B349,[1]Historical!$B$7:$B$1253,0))/INDEX([1]Historical!$N$7:$N$1222,MATCH(B349,[1]Historical!$B$7:$B$1253,0)))^(1/10)-1)*100)</f>
        <v>n/a</v>
      </c>
      <c r="W349" s="163" t="str">
        <f t="shared" si="93"/>
        <v>n/a</v>
      </c>
      <c r="X349" s="164">
        <f t="shared" si="94"/>
        <v>4.8346655952723108</v>
      </c>
      <c r="Y349" s="220"/>
      <c r="Z349" s="157">
        <f t="shared" si="95"/>
        <v>27.038626609442058</v>
      </c>
      <c r="AA349" s="166">
        <f t="shared" si="96"/>
        <v>21.457081545064376</v>
      </c>
      <c r="AB349" s="126">
        <v>12</v>
      </c>
      <c r="AC349" s="175">
        <v>4.66</v>
      </c>
      <c r="AD349" s="175">
        <v>2.82</v>
      </c>
      <c r="AE349" s="167">
        <v>1.38</v>
      </c>
      <c r="AF349" s="167">
        <v>2.29</v>
      </c>
      <c r="AG349" s="167">
        <v>11.200000000000001</v>
      </c>
      <c r="AH349" s="167">
        <v>223.4</v>
      </c>
      <c r="AI349" s="167">
        <v>11.52</v>
      </c>
      <c r="AJ349" s="241">
        <v>2.4</v>
      </c>
      <c r="AK349" s="241">
        <v>7.5</v>
      </c>
      <c r="AL349" s="175">
        <v>2380</v>
      </c>
      <c r="AM349" s="175">
        <v>1.21</v>
      </c>
      <c r="AN349" s="175">
        <v>0</v>
      </c>
      <c r="AO349" s="170">
        <f t="shared" si="97"/>
        <v>-8.5937581038095718</v>
      </c>
      <c r="AP349" s="171">
        <f t="shared" si="98"/>
        <v>12.863323441254805</v>
      </c>
      <c r="AQ349" s="172">
        <f t="shared" si="99"/>
        <v>47.778688492394551</v>
      </c>
      <c r="AR349" s="157">
        <f>INDEX([1]Historical!$C$7:$C$1231,MATCH(B349,[1]Historical!$B$7:$B$1253,0))*IF(AH349="n/a",1.03,IF(AH349&lt;0,1.01,IF(AH349&gt;10,1.1,(1+AH349/100))))</f>
        <v>1.276</v>
      </c>
      <c r="AS349" s="166">
        <f t="shared" si="100"/>
        <v>1.4036000000000002</v>
      </c>
      <c r="AT349" s="166">
        <f t="shared" si="105"/>
        <v>1.5088700000000002</v>
      </c>
      <c r="AU349" s="166">
        <f t="shared" si="105"/>
        <v>1.6220352500000002</v>
      </c>
      <c r="AV349" s="166">
        <f t="shared" si="105"/>
        <v>1.74368789375</v>
      </c>
      <c r="AW349" s="157">
        <f t="shared" si="102"/>
        <v>7.5541931437500001</v>
      </c>
      <c r="AX349" s="173">
        <f t="shared" si="103"/>
        <v>7.5549486386138618</v>
      </c>
      <c r="AY349" s="225">
        <v>1.1399999999999999</v>
      </c>
      <c r="AZ349" s="167">
        <v>23.44</v>
      </c>
      <c r="BA349" s="167">
        <v>-6.4399999999999995</v>
      </c>
      <c r="BB349" s="167">
        <v>9.4</v>
      </c>
      <c r="BC349" s="167">
        <v>5.3199999999999994</v>
      </c>
      <c r="BE349" s="77">
        <v>2014</v>
      </c>
      <c r="BF349" s="77">
        <f t="shared" si="104"/>
        <v>1</v>
      </c>
      <c r="BG349" s="175">
        <v>7.3</v>
      </c>
      <c r="BH349" t="s">
        <v>939</v>
      </c>
      <c r="BI349" t="s">
        <v>940</v>
      </c>
      <c r="BJ349" s="112"/>
      <c r="BK349" s="112"/>
      <c r="BL349" s="112"/>
    </row>
    <row r="350" spans="1:64" ht="11.25" customHeight="1" x14ac:dyDescent="0.2">
      <c r="A350" s="176" t="s">
        <v>1461</v>
      </c>
      <c r="B350" s="153" t="s">
        <v>812</v>
      </c>
      <c r="C350" s="154" t="s">
        <v>981</v>
      </c>
      <c r="D350" s="154" t="s">
        <v>238</v>
      </c>
      <c r="E350" s="155">
        <v>10</v>
      </c>
      <c r="F350" s="298">
        <v>473</v>
      </c>
      <c r="G350" s="298" t="s">
        <v>104</v>
      </c>
      <c r="H350" s="298" t="s">
        <v>104</v>
      </c>
      <c r="I350" s="156">
        <v>29.79</v>
      </c>
      <c r="J350" s="157">
        <f t="shared" si="90"/>
        <v>3.8939241356159782</v>
      </c>
      <c r="K350" s="158">
        <v>0.28999999999999998</v>
      </c>
      <c r="L350" s="126">
        <v>4</v>
      </c>
      <c r="M350" s="82">
        <f t="shared" si="91"/>
        <v>1.1599999999999999</v>
      </c>
      <c r="N350" s="159" t="s">
        <v>167</v>
      </c>
      <c r="O350" s="160">
        <v>0.27</v>
      </c>
      <c r="P350" s="161">
        <v>44620</v>
      </c>
      <c r="Q350" s="161">
        <v>44635</v>
      </c>
      <c r="R350" s="82">
        <f t="shared" si="92"/>
        <v>7.4074074074073932</v>
      </c>
      <c r="S350" s="162">
        <f>IF(INDEX([1]Historical!$D$7:$D$1229,MATCH(B350,[1]Historical!$B$7:$B$1253,0))=0,"n/a",(INDEX([1]Historical!$C$7:$C$1231,MATCH(B350,[1]Historical!$B$7:$B$1253,0))/INDEX([1]Historical!$D$7:$D$1229,MATCH(B350,[1]Historical!$B$7:$B$1253,0))-1)*100)</f>
        <v>5.8823529411764719</v>
      </c>
      <c r="T350" s="162">
        <f>IF(INDEX([1]Historical!$F$7:$F$1222,MATCH(B350,[1]Historical!$B$7:$B$1253,0))=0,"n/a",((INDEX([1]Historical!$C$7:$C$1231,MATCH(B350,[1]Historical!$B$7:$B$1253,0))/INDEX([1]Historical!$F$7:$F$1222,MATCH(B350,[1]Historical!$B$7:$B$1253,0)))^(1/3)-1)*100)</f>
        <v>8.7380373002892142</v>
      </c>
      <c r="U350" s="162">
        <f>IF(INDEX([1]Historical!$H$7:$H$1222,MATCH(B350,[1]Historical!$B$7:$B$1253,0))=0,"n/a",((INDEX([1]Historical!$C$7:$C$1231,MATCH(B350,[1]Historical!$B$7:$B$1253,0))/INDEX([1]Historical!$H$7:$H$1222,MATCH(B350,[1]Historical!$B$7:$B$1253,0)))^(1/5)-1)*100)</f>
        <v>12.474611314209483</v>
      </c>
      <c r="V350" s="162">
        <f>IF(INDEX([1]Historical!$N$7:$N$1222,MATCH(B350,[1]Historical!$B$7:$B$1253,0))=0,"n/a",((INDEX([1]Historical!$C$7:$C$1231,MATCH(B350,[1]Historical!$B$7:$B$1253,0))/INDEX([1]Historical!$N$7:$N$1222,MATCH(B350,[1]Historical!$B$7:$B$1253,0)))^(1/10)-1)*100)</f>
        <v>16.23080652394242</v>
      </c>
      <c r="W350" s="163">
        <f t="shared" si="93"/>
        <v>0.76857618232389802</v>
      </c>
      <c r="X350" s="164">
        <f t="shared" si="94"/>
        <v>1.2474611314209483</v>
      </c>
      <c r="Y350" s="153"/>
      <c r="Z350" s="157">
        <f t="shared" si="95"/>
        <v>46.031746031746032</v>
      </c>
      <c r="AA350" s="166">
        <f t="shared" si="96"/>
        <v>11.821428571428571</v>
      </c>
      <c r="AB350" s="126">
        <v>12</v>
      </c>
      <c r="AC350" s="167">
        <v>2.52</v>
      </c>
      <c r="AD350" s="167">
        <v>2.67</v>
      </c>
      <c r="AE350" s="167">
        <v>1.05</v>
      </c>
      <c r="AF350" s="167">
        <v>3.47</v>
      </c>
      <c r="AG350" s="167">
        <v>28.799999999999997</v>
      </c>
      <c r="AH350" s="167">
        <v>167.79999999999998</v>
      </c>
      <c r="AI350" s="167">
        <v>-4.1000000000000005</v>
      </c>
      <c r="AJ350" s="167">
        <v>10</v>
      </c>
      <c r="AK350" s="167">
        <v>4.5</v>
      </c>
      <c r="AL350" s="168">
        <v>11470</v>
      </c>
      <c r="AM350" s="169">
        <v>0.1</v>
      </c>
      <c r="AN350" s="167">
        <v>0.87</v>
      </c>
      <c r="AO350" s="170">
        <f t="shared" si="97"/>
        <v>4.5471068783968907</v>
      </c>
      <c r="AP350" s="171">
        <f t="shared" si="98"/>
        <v>16.368535449825462</v>
      </c>
      <c r="AQ350" s="172">
        <f t="shared" si="99"/>
        <v>35.023219637475101</v>
      </c>
      <c r="AR350" s="157">
        <f>INDEX([1]Historical!$C$7:$C$1231,MATCH(B350,[1]Historical!$B$7:$B$1253,0))*IF(AH350="n/a",1.03,IF(AH350&lt;0,1.01,IF(AH350&gt;10,1.1,(1+AH350/100))))</f>
        <v>1.1880000000000002</v>
      </c>
      <c r="AS350" s="166">
        <f t="shared" si="100"/>
        <v>1.1998800000000003</v>
      </c>
      <c r="AT350" s="166">
        <f t="shared" si="105"/>
        <v>1.2538746000000003</v>
      </c>
      <c r="AU350" s="166">
        <f t="shared" si="105"/>
        <v>1.3102989570000001</v>
      </c>
      <c r="AV350" s="166">
        <f t="shared" si="105"/>
        <v>1.3692624100649999</v>
      </c>
      <c r="AW350" s="157">
        <f t="shared" si="102"/>
        <v>6.3213159670650008</v>
      </c>
      <c r="AX350" s="173">
        <f t="shared" si="103"/>
        <v>21.2195903560423</v>
      </c>
      <c r="AY350" s="174">
        <v>1.06</v>
      </c>
      <c r="AZ350" s="169">
        <v>18.5</v>
      </c>
      <c r="BA350" s="169">
        <v>-25.490000000000002</v>
      </c>
      <c r="BB350" s="169">
        <v>7.5600000000000005</v>
      </c>
      <c r="BC350" s="169">
        <v>-5.07</v>
      </c>
      <c r="BE350" s="77">
        <v>2013</v>
      </c>
      <c r="BF350" s="77">
        <f t="shared" si="104"/>
        <v>1</v>
      </c>
      <c r="BG350" s="175">
        <v>5.6000000000000005</v>
      </c>
      <c r="BH350" t="s">
        <v>939</v>
      </c>
      <c r="BI350" t="s">
        <v>940</v>
      </c>
    </row>
    <row r="351" spans="1:64" ht="11.25" customHeight="1" x14ac:dyDescent="0.2">
      <c r="A351" s="205" t="s">
        <v>1462</v>
      </c>
      <c r="B351" s="153" t="s">
        <v>1225</v>
      </c>
      <c r="C351" s="154" t="s">
        <v>90</v>
      </c>
      <c r="D351" s="154" t="s">
        <v>959</v>
      </c>
      <c r="E351" s="155">
        <v>7</v>
      </c>
      <c r="F351" s="298">
        <v>639</v>
      </c>
      <c r="G351" s="298" t="s">
        <v>88</v>
      </c>
      <c r="H351" s="298" t="s">
        <v>88</v>
      </c>
      <c r="I351" s="156">
        <v>18.68</v>
      </c>
      <c r="J351" s="157">
        <f t="shared" si="90"/>
        <v>2.1413276231263385</v>
      </c>
      <c r="K351" s="158">
        <v>0.2</v>
      </c>
      <c r="L351" s="126">
        <v>2</v>
      </c>
      <c r="M351" s="82">
        <f t="shared" si="91"/>
        <v>0.4</v>
      </c>
      <c r="N351" s="159" t="s">
        <v>1226</v>
      </c>
      <c r="O351" s="160">
        <v>0.17499999999999999</v>
      </c>
      <c r="P351" s="161">
        <v>44826</v>
      </c>
      <c r="Q351" s="161">
        <v>44848</v>
      </c>
      <c r="R351" s="82">
        <f t="shared" si="92"/>
        <v>14.285714285714299</v>
      </c>
      <c r="S351" s="162">
        <f>IF(INDEX([1]Historical!$D$7:$D$1229,MATCH(B351,[1]Historical!$B$7:$B$1253,0))=0,"n/a",(INDEX([1]Historical!$C$7:$C$1231,MATCH(B351,[1]Historical!$B$7:$B$1253,0))/INDEX([1]Historical!$D$7:$D$1229,MATCH(B351,[1]Historical!$B$7:$B$1253,0))-1)*100)</f>
        <v>8.3333333333333481</v>
      </c>
      <c r="T351" s="162">
        <f>IF(INDEX([1]Historical!$F$7:$F$1222,MATCH(B351,[1]Historical!$B$7:$B$1253,0))=0,"n/a",((INDEX([1]Historical!$C$7:$C$1231,MATCH(B351,[1]Historical!$B$7:$B$1253,0))/INDEX([1]Historical!$F$7:$F$1222,MATCH(B351,[1]Historical!$B$7:$B$1253,0)))^(1/3)-1)*100)</f>
        <v>13.040381433805548</v>
      </c>
      <c r="U351" s="162">
        <f>IF(INDEX([1]Historical!$H$7:$H$1222,MATCH(B351,[1]Historical!$B$7:$B$1253,0))=0,"n/a",((INDEX([1]Historical!$C$7:$C$1231,MATCH(B351,[1]Historical!$B$7:$B$1253,0))/INDEX([1]Historical!$H$7:$H$1222,MATCH(B351,[1]Historical!$B$7:$B$1253,0)))^(1/5)-1)*100)</f>
        <v>15.226580990107031</v>
      </c>
      <c r="V351" s="162" t="str">
        <f>IF(INDEX([1]Historical!$N$7:$N$1222,MATCH(B351,[1]Historical!$B$7:$B$1253,0))=0,"n/a",((INDEX([1]Historical!$C$7:$C$1231,MATCH(B351,[1]Historical!$B$7:$B$1253,0))/INDEX([1]Historical!$N$7:$N$1222,MATCH(B351,[1]Historical!$B$7:$B$1253,0)))^(1/10)-1)*100)</f>
        <v>n/a</v>
      </c>
      <c r="W351" s="163" t="str">
        <f t="shared" si="93"/>
        <v>n/a</v>
      </c>
      <c r="X351" s="164">
        <f t="shared" si="94"/>
        <v>1.290388219500596</v>
      </c>
      <c r="Y351" s="180"/>
      <c r="Z351" s="157">
        <f t="shared" si="95"/>
        <v>21.621621621621621</v>
      </c>
      <c r="AA351" s="166">
        <f t="shared" si="96"/>
        <v>10.097297297297297</v>
      </c>
      <c r="AB351" s="126">
        <v>6</v>
      </c>
      <c r="AC351" s="167">
        <v>1.85</v>
      </c>
      <c r="AD351" s="167" t="s">
        <v>95</v>
      </c>
      <c r="AE351" s="167">
        <v>2.56</v>
      </c>
      <c r="AF351" s="167">
        <v>0.82</v>
      </c>
      <c r="AG351" s="167">
        <v>7.1999999999999993</v>
      </c>
      <c r="AH351" s="167">
        <v>6.2</v>
      </c>
      <c r="AI351" s="167" t="s">
        <v>95</v>
      </c>
      <c r="AJ351" s="167">
        <v>11.799999999999999</v>
      </c>
      <c r="AK351" s="167" t="s">
        <v>95</v>
      </c>
      <c r="AL351" s="168">
        <v>63.41</v>
      </c>
      <c r="AM351" s="169">
        <v>4.7</v>
      </c>
      <c r="AN351" s="167">
        <v>0</v>
      </c>
      <c r="AO351" s="170">
        <f t="shared" si="97"/>
        <v>7.2706113159360708</v>
      </c>
      <c r="AP351" s="171">
        <f t="shared" si="98"/>
        <v>17.367908613233368</v>
      </c>
      <c r="AQ351" s="172">
        <f t="shared" si="99"/>
        <v>-39.337788501375059</v>
      </c>
      <c r="AR351" s="157">
        <f>INDEX([1]Historical!$C$7:$C$1231,MATCH(B351,[1]Historical!$B$7:$B$1253,0))*IF(AH351="n/a",1.03,IF(AH351&lt;0,1.01,IF(AH351&gt;10,1.1,(1+AH351/100))))</f>
        <v>0.34515000000000001</v>
      </c>
      <c r="AS351" s="166">
        <f t="shared" si="100"/>
        <v>0.3555045</v>
      </c>
      <c r="AT351" s="166">
        <f t="shared" si="105"/>
        <v>0.36616963499999999</v>
      </c>
      <c r="AU351" s="166">
        <f t="shared" si="105"/>
        <v>0.37715472405</v>
      </c>
      <c r="AV351" s="166">
        <f t="shared" si="105"/>
        <v>0.38846936577149999</v>
      </c>
      <c r="AW351" s="157">
        <f t="shared" si="102"/>
        <v>1.8324482248214999</v>
      </c>
      <c r="AX351" s="173">
        <f t="shared" si="103"/>
        <v>9.8096800043977517</v>
      </c>
      <c r="AY351" s="174">
        <v>0.56999999999999995</v>
      </c>
      <c r="AZ351" s="169">
        <v>9.24</v>
      </c>
      <c r="BA351" s="169">
        <v>-30.869999999999997</v>
      </c>
      <c r="BB351" s="169">
        <v>-2.59</v>
      </c>
      <c r="BC351" s="169">
        <v>-14.24</v>
      </c>
      <c r="BE351" s="77">
        <v>2016</v>
      </c>
      <c r="BF351" s="77">
        <f t="shared" si="104"/>
        <v>1</v>
      </c>
      <c r="BG351" s="175">
        <v>0.70000000000000007</v>
      </c>
      <c r="BH351" t="s">
        <v>939</v>
      </c>
      <c r="BI351" t="s">
        <v>940</v>
      </c>
      <c r="BJ351" s="112"/>
      <c r="BK351" s="112"/>
      <c r="BL351" s="112"/>
    </row>
    <row r="352" spans="1:64" s="252" customFormat="1" ht="11.25" customHeight="1" x14ac:dyDescent="0.2">
      <c r="A352" s="243" t="s">
        <v>1463</v>
      </c>
      <c r="B352" s="184" t="s">
        <v>813</v>
      </c>
      <c r="C352" s="154" t="s">
        <v>90</v>
      </c>
      <c r="D352" s="154" t="s">
        <v>969</v>
      </c>
      <c r="E352" s="185">
        <v>9</v>
      </c>
      <c r="F352" s="298">
        <v>563</v>
      </c>
      <c r="G352" s="297" t="s">
        <v>88</v>
      </c>
      <c r="H352" s="297" t="s">
        <v>88</v>
      </c>
      <c r="I352" s="186">
        <v>21.54</v>
      </c>
      <c r="J352" s="187">
        <f t="shared" si="90"/>
        <v>1.7641597028783658</v>
      </c>
      <c r="K352" s="188">
        <v>9.5000000000000001E-2</v>
      </c>
      <c r="L352" s="189">
        <v>4</v>
      </c>
      <c r="M352" s="190">
        <f t="shared" si="91"/>
        <v>0.38</v>
      </c>
      <c r="N352" s="191" t="s">
        <v>309</v>
      </c>
      <c r="O352" s="192">
        <v>0.09</v>
      </c>
      <c r="P352" s="193">
        <v>44833</v>
      </c>
      <c r="Q352" s="193">
        <v>44865</v>
      </c>
      <c r="R352" s="190">
        <f t="shared" si="92"/>
        <v>5.5555555555555607</v>
      </c>
      <c r="S352" s="162">
        <f>IF(INDEX([1]Historical!$D$7:$D$1229,MATCH(B352,[1]Historical!$B$7:$B$1253,0))=0,"n/a",(INDEX([1]Historical!$C$7:$C$1231,MATCH(B352,[1]Historical!$B$7:$B$1253,0))/INDEX([1]Historical!$D$7:$D$1229,MATCH(B352,[1]Historical!$B$7:$B$1253,0))-1)*100)</f>
        <v>20.408163265306122</v>
      </c>
      <c r="T352" s="162">
        <f>IF(INDEX([1]Historical!$F$7:$F$1222,MATCH(B352,[1]Historical!$B$7:$B$1253,0))=0,"n/a",((INDEX([1]Historical!$C$7:$C$1231,MATCH(B352,[1]Historical!$B$7:$B$1253,0))/INDEX([1]Historical!$F$7:$F$1222,MATCH(B352,[1]Historical!$B$7:$B$1253,0)))^(1/3)-1)*100)</f>
        <v>24.873359088700763</v>
      </c>
      <c r="U352" s="162">
        <f>IF(INDEX([1]Historical!$H$7:$H$1222,MATCH(B352,[1]Historical!$B$7:$B$1253,0))=0,"n/a",((INDEX([1]Historical!$C$7:$C$1231,MATCH(B352,[1]Historical!$B$7:$B$1253,0))/INDEX([1]Historical!$H$7:$H$1222,MATCH(B352,[1]Historical!$B$7:$B$1253,0)))^(1/5)-1)*100)</f>
        <v>50.192049017759864</v>
      </c>
      <c r="V352" s="162" t="str">
        <f>IF(INDEX([1]Historical!$N$7:$N$1222,MATCH(B352,[1]Historical!$B$7:$B$1253,0))=0,"n/a",((INDEX([1]Historical!$C$7:$C$1231,MATCH(B352,[1]Historical!$B$7:$B$1253,0))/INDEX([1]Historical!$N$7:$N$1222,MATCH(B352,[1]Historical!$B$7:$B$1253,0)))^(1/10)-1)*100)</f>
        <v>n/a</v>
      </c>
      <c r="W352" s="163" t="str">
        <f t="shared" si="93"/>
        <v>n/a</v>
      </c>
      <c r="X352" s="164" t="str">
        <f t="shared" si="94"/>
        <v>n/a</v>
      </c>
      <c r="Y352" s="221"/>
      <c r="Z352" s="187">
        <f t="shared" si="95"/>
        <v>21.839080459770116</v>
      </c>
      <c r="AA352" s="194">
        <f t="shared" si="96"/>
        <v>12.379310344827585</v>
      </c>
      <c r="AB352" s="189">
        <v>12</v>
      </c>
      <c r="AC352" s="195">
        <v>1.74</v>
      </c>
      <c r="AD352" s="195" t="s">
        <v>95</v>
      </c>
      <c r="AE352" s="195">
        <v>2.52</v>
      </c>
      <c r="AF352" s="195">
        <v>0.96</v>
      </c>
      <c r="AG352" s="195" t="s">
        <v>95</v>
      </c>
      <c r="AH352" s="195">
        <v>-40.200000000000003</v>
      </c>
      <c r="AI352" s="195">
        <v>2.68</v>
      </c>
      <c r="AJ352" s="195">
        <v>-7.1999999999999993</v>
      </c>
      <c r="AK352" s="195" t="s">
        <v>95</v>
      </c>
      <c r="AL352" s="196">
        <v>206.5</v>
      </c>
      <c r="AM352" s="197">
        <v>0.6</v>
      </c>
      <c r="AN352" s="195">
        <v>0.24</v>
      </c>
      <c r="AO352" s="198">
        <f t="shared" si="97"/>
        <v>39.576898375810643</v>
      </c>
      <c r="AP352" s="199">
        <f t="shared" si="98"/>
        <v>51.95620872063823</v>
      </c>
      <c r="AQ352" s="172">
        <f t="shared" si="99"/>
        <v>-27.323737847494044</v>
      </c>
      <c r="AR352" s="157">
        <f>INDEX([1]Historical!$C$7:$C$1231,MATCH(B352,[1]Historical!$B$7:$B$1253,0))*IF(AH352="n/a",1.03,IF(AH352&lt;0,1.01,IF(AH352&gt;10,1.1,(1+AH352/100))))</f>
        <v>0.29794999999999999</v>
      </c>
      <c r="AS352" s="194">
        <f t="shared" si="100"/>
        <v>0.30593505999999998</v>
      </c>
      <c r="AT352" s="194">
        <f t="shared" si="105"/>
        <v>0.31511311180000001</v>
      </c>
      <c r="AU352" s="194">
        <f t="shared" si="105"/>
        <v>0.32456650515400004</v>
      </c>
      <c r="AV352" s="194">
        <f t="shared" si="105"/>
        <v>0.33430350030862005</v>
      </c>
      <c r="AW352" s="187">
        <f t="shared" si="102"/>
        <v>1.5778681772626202</v>
      </c>
      <c r="AX352" s="200">
        <f t="shared" si="103"/>
        <v>7.3252933020548765</v>
      </c>
      <c r="AY352" s="201">
        <v>0.48</v>
      </c>
      <c r="AZ352" s="197">
        <v>26.150000000000002</v>
      </c>
      <c r="BA352" s="197">
        <v>-9.19</v>
      </c>
      <c r="BB352" s="197">
        <v>3.1</v>
      </c>
      <c r="BC352" s="197">
        <v>4.24</v>
      </c>
      <c r="BD352" s="202"/>
      <c r="BE352" s="77">
        <v>2014</v>
      </c>
      <c r="BF352" s="77">
        <f t="shared" si="104"/>
        <v>1</v>
      </c>
      <c r="BG352" s="203" t="s">
        <v>95</v>
      </c>
      <c r="BH352" t="s">
        <v>939</v>
      </c>
      <c r="BI352" t="s">
        <v>940</v>
      </c>
      <c r="BJ352" s="208"/>
      <c r="BK352" s="208"/>
      <c r="BL352" s="208"/>
    </row>
    <row r="353" spans="1:64" ht="11.25" customHeight="1" x14ac:dyDescent="0.2">
      <c r="A353" s="176" t="s">
        <v>1464</v>
      </c>
      <c r="B353" s="153" t="s">
        <v>814</v>
      </c>
      <c r="C353" s="154" t="s">
        <v>94</v>
      </c>
      <c r="D353" s="154" t="s">
        <v>101</v>
      </c>
      <c r="E353" s="155">
        <v>10</v>
      </c>
      <c r="F353" s="298">
        <v>475</v>
      </c>
      <c r="G353" s="298" t="s">
        <v>30</v>
      </c>
      <c r="H353" s="298" t="s">
        <v>30</v>
      </c>
      <c r="I353" s="156">
        <v>76.39</v>
      </c>
      <c r="J353" s="157">
        <f t="shared" si="90"/>
        <v>1.3823798926561068</v>
      </c>
      <c r="K353" s="158">
        <v>0.26400000000000001</v>
      </c>
      <c r="L353" s="126">
        <v>4</v>
      </c>
      <c r="M353" s="82">
        <f t="shared" si="91"/>
        <v>1.056</v>
      </c>
      <c r="N353" s="159" t="s">
        <v>183</v>
      </c>
      <c r="O353" s="160">
        <v>0.22</v>
      </c>
      <c r="P353" s="161">
        <v>44628</v>
      </c>
      <c r="Q353" s="161">
        <v>44655</v>
      </c>
      <c r="R353" s="82">
        <f t="shared" si="92"/>
        <v>20.000000000000004</v>
      </c>
      <c r="S353" s="162">
        <f>IF(INDEX([1]Historical!$D$7:$D$1229,MATCH(B353,[1]Historical!$B$7:$B$1253,0))=0,"n/a",(INDEX([1]Historical!$C$7:$C$1231,MATCH(B353,[1]Historical!$B$7:$B$1253,0))/INDEX([1]Historical!$D$7:$D$1229,MATCH(B353,[1]Historical!$B$7:$B$1253,0))-1)*100)</f>
        <v>30.177514792899409</v>
      </c>
      <c r="T353" s="162">
        <f>IF(INDEX([1]Historical!$F$7:$F$1222,MATCH(B353,[1]Historical!$B$7:$B$1253,0))=0,"n/a",((INDEX([1]Historical!$C$7:$C$1231,MATCH(B353,[1]Historical!$B$7:$B$1253,0))/INDEX([1]Historical!$F$7:$F$1222,MATCH(B353,[1]Historical!$B$7:$B$1253,0)))^(1/3)-1)*100)</f>
        <v>17.970284693587992</v>
      </c>
      <c r="U353" s="162">
        <f>IF(INDEX([1]Historical!$H$7:$H$1222,MATCH(B353,[1]Historical!$B$7:$B$1253,0))=0,"n/a",((INDEX([1]Historical!$C$7:$C$1231,MATCH(B353,[1]Historical!$B$7:$B$1253,0))/INDEX([1]Historical!$H$7:$H$1222,MATCH(B353,[1]Historical!$B$7:$B$1253,0)))^(1/5)-1)*100)</f>
        <v>12.150237889617976</v>
      </c>
      <c r="V353" s="162">
        <f>IF(INDEX([1]Historical!$N$7:$N$1222,MATCH(B353,[1]Historical!$B$7:$B$1253,0))=0,"n/a",((INDEX([1]Historical!$C$7:$C$1231,MATCH(B353,[1]Historical!$B$7:$B$1253,0))/INDEX([1]Historical!$N$7:$N$1222,MATCH(B353,[1]Historical!$B$7:$B$1253,0)))^(1/10)-1)*100)</f>
        <v>8.8103916629037151</v>
      </c>
      <c r="W353" s="163">
        <f t="shared" si="93"/>
        <v>1.3790803354153633</v>
      </c>
      <c r="X353" s="164">
        <f t="shared" si="94"/>
        <v>0.97201903116943811</v>
      </c>
      <c r="Y353" s="220"/>
      <c r="Z353" s="157">
        <f t="shared" si="95"/>
        <v>26.532663316582916</v>
      </c>
      <c r="AA353" s="166">
        <f t="shared" si="96"/>
        <v>19.193467336683419</v>
      </c>
      <c r="AB353" s="126">
        <v>12</v>
      </c>
      <c r="AC353" s="167">
        <v>3.98</v>
      </c>
      <c r="AD353" s="167">
        <v>1.83</v>
      </c>
      <c r="AE353" s="167">
        <v>2.17</v>
      </c>
      <c r="AF353" s="167">
        <v>3.18</v>
      </c>
      <c r="AG353" s="167">
        <v>16.100000000000001</v>
      </c>
      <c r="AH353" s="167">
        <v>449.7</v>
      </c>
      <c r="AI353" s="167">
        <v>14.719999999999999</v>
      </c>
      <c r="AJ353" s="167">
        <v>12.5</v>
      </c>
      <c r="AK353" s="167">
        <v>10.6</v>
      </c>
      <c r="AL353" s="168">
        <v>6140</v>
      </c>
      <c r="AM353" s="169">
        <v>0.5</v>
      </c>
      <c r="AN353" s="167">
        <v>0.28000000000000003</v>
      </c>
      <c r="AO353" s="170">
        <f t="shared" si="97"/>
        <v>-5.6608495544093351</v>
      </c>
      <c r="AP353" s="171">
        <f t="shared" si="98"/>
        <v>13.532617782274084</v>
      </c>
      <c r="AQ353" s="172">
        <f t="shared" si="99"/>
        <v>64.7020557527417</v>
      </c>
      <c r="AR353" s="157">
        <f>INDEX([1]Historical!$C$7:$C$1231,MATCH(B353,[1]Historical!$B$7:$B$1253,0))*IF(AH353="n/a",1.03,IF(AH353&lt;0,1.01,IF(AH353&gt;10,1.1,(1+AH353/100))))</f>
        <v>0.96800000000000008</v>
      </c>
      <c r="AS353" s="166">
        <f t="shared" si="100"/>
        <v>1.0648000000000002</v>
      </c>
      <c r="AT353" s="166">
        <f t="shared" si="105"/>
        <v>1.1712800000000003</v>
      </c>
      <c r="AU353" s="166">
        <f t="shared" si="105"/>
        <v>1.2884080000000004</v>
      </c>
      <c r="AV353" s="166">
        <f t="shared" si="105"/>
        <v>1.4172488000000005</v>
      </c>
      <c r="AW353" s="157">
        <f t="shared" si="102"/>
        <v>5.9097368000000019</v>
      </c>
      <c r="AX353" s="173">
        <f t="shared" si="103"/>
        <v>7.7362701924335671</v>
      </c>
      <c r="AY353" s="174">
        <v>1.45</v>
      </c>
      <c r="AZ353" s="169">
        <v>19.79</v>
      </c>
      <c r="BA353" s="169">
        <v>-27.62</v>
      </c>
      <c r="BB353" s="169">
        <v>6.45</v>
      </c>
      <c r="BC353" s="169">
        <v>0.8</v>
      </c>
      <c r="BD353" s="125"/>
      <c r="BE353" s="77">
        <v>2013</v>
      </c>
      <c r="BF353" s="77">
        <f t="shared" si="104"/>
        <v>1</v>
      </c>
      <c r="BG353" s="175">
        <v>9.4</v>
      </c>
      <c r="BH353" t="s">
        <v>939</v>
      </c>
      <c r="BI353" t="s">
        <v>940</v>
      </c>
    </row>
    <row r="354" spans="1:64" ht="11.25" customHeight="1" x14ac:dyDescent="0.2">
      <c r="A354" s="112" t="s">
        <v>1465</v>
      </c>
      <c r="B354" s="153" t="s">
        <v>333</v>
      </c>
      <c r="C354" s="154" t="s">
        <v>94</v>
      </c>
      <c r="D354" s="154" t="s">
        <v>101</v>
      </c>
      <c r="E354" s="155">
        <v>48</v>
      </c>
      <c r="F354" s="298">
        <v>51</v>
      </c>
      <c r="G354" s="298" t="s">
        <v>30</v>
      </c>
      <c r="H354" s="298" t="s">
        <v>30</v>
      </c>
      <c r="I354" s="167">
        <v>213.53</v>
      </c>
      <c r="J354" s="157">
        <f t="shared" si="90"/>
        <v>2.4539877300613497</v>
      </c>
      <c r="K354" s="158">
        <v>1.31</v>
      </c>
      <c r="L354" s="126">
        <v>4</v>
      </c>
      <c r="M354" s="82">
        <f t="shared" si="91"/>
        <v>5.24</v>
      </c>
      <c r="N354" s="159" t="s">
        <v>126</v>
      </c>
      <c r="O354" s="160">
        <v>1.22</v>
      </c>
      <c r="P354" s="161">
        <v>44833</v>
      </c>
      <c r="Q354" s="161">
        <v>44848</v>
      </c>
      <c r="R354" s="82">
        <f t="shared" si="92"/>
        <v>7.3770491803278757</v>
      </c>
      <c r="S354" s="162">
        <f>IF(INDEX([1]Historical!$D$7:$D$1229,MATCH(B354,[1]Historical!$B$7:$B$1253,0))=0,"n/a",(INDEX([1]Historical!$C$7:$C$1231,MATCH(B354,[1]Historical!$B$7:$B$1253,0))/INDEX([1]Historical!$D$7:$D$1229,MATCH(B354,[1]Historical!$B$7:$B$1253,0))-1)*100)</f>
        <v>6.6666666666666652</v>
      </c>
      <c r="T354" s="162">
        <f>IF(INDEX([1]Historical!$F$7:$F$1222,MATCH(B354,[1]Historical!$B$7:$B$1253,0))=0,"n/a",((INDEX([1]Historical!$C$7:$C$1231,MATCH(B354,[1]Historical!$B$7:$B$1253,0))/INDEX([1]Historical!$F$7:$F$1222,MATCH(B354,[1]Historical!$B$7:$B$1253,0)))^(1/3)-1)*100)</f>
        <v>11.581065592663009</v>
      </c>
      <c r="U354" s="162">
        <f>IF(INDEX([1]Historical!$H$7:$H$1222,MATCH(B354,[1]Historical!$B$7:$B$1253,0))=0,"n/a",((INDEX([1]Historical!$C$7:$C$1231,MATCH(B354,[1]Historical!$B$7:$B$1253,0))/INDEX([1]Historical!$H$7:$H$1222,MATCH(B354,[1]Historical!$B$7:$B$1253,0)))^(1/5)-1)*100)</f>
        <v>15.06891786532889</v>
      </c>
      <c r="V354" s="162">
        <f>IF(INDEX([1]Historical!$N$7:$N$1222,MATCH(B354,[1]Historical!$B$7:$B$1253,0))=0,"n/a",((INDEX([1]Historical!$C$7:$C$1231,MATCH(B354,[1]Historical!$B$7:$B$1253,0))/INDEX([1]Historical!$N$7:$N$1222,MATCH(B354,[1]Historical!$B$7:$B$1253,0)))^(1/10)-1)*100)</f>
        <v>12.892187764096485</v>
      </c>
      <c r="W354" s="163">
        <f t="shared" si="93"/>
        <v>1.16884101760404</v>
      </c>
      <c r="X354" s="164">
        <f t="shared" si="94"/>
        <v>1.7939187934915344</v>
      </c>
      <c r="Y354" s="181"/>
      <c r="Z354" s="157">
        <f t="shared" si="95"/>
        <v>59.817351598173516</v>
      </c>
      <c r="AA354" s="166">
        <f t="shared" si="96"/>
        <v>24.37557077625571</v>
      </c>
      <c r="AB354" s="126">
        <v>12</v>
      </c>
      <c r="AC354" s="167">
        <v>8.76</v>
      </c>
      <c r="AD354" s="167">
        <v>5.45</v>
      </c>
      <c r="AE354" s="167">
        <v>4.0999999999999996</v>
      </c>
      <c r="AF354" s="167">
        <v>21.93</v>
      </c>
      <c r="AG354" s="167">
        <v>80.5</v>
      </c>
      <c r="AH354" s="167">
        <v>28.499999999999996</v>
      </c>
      <c r="AI354" s="167">
        <v>-6.9999999999999993E-2</v>
      </c>
      <c r="AJ354" s="167">
        <v>8.4</v>
      </c>
      <c r="AK354" s="167">
        <v>4.4799999999999995</v>
      </c>
      <c r="AL354" s="168">
        <v>64050</v>
      </c>
      <c r="AM354" s="169">
        <v>0.2</v>
      </c>
      <c r="AN354" s="167">
        <v>2.5299999999999998</v>
      </c>
      <c r="AO354" s="170">
        <f t="shared" si="97"/>
        <v>-6.8526651808654684</v>
      </c>
      <c r="AP354" s="171">
        <f t="shared" si="98"/>
        <v>17.522905595390242</v>
      </c>
      <c r="AQ354" s="172">
        <f t="shared" si="99"/>
        <v>387.42236629632174</v>
      </c>
      <c r="AR354" s="157">
        <f>INDEX([1]Historical!$C$7:$C$1231,MATCH(B354,[1]Historical!$B$7:$B$1253,0))*IF(AH354="n/a",1.03,IF(AH354&lt;0,1.01,IF(AH354&gt;10,1.1,(1+AH354/100))))</f>
        <v>5.1040000000000001</v>
      </c>
      <c r="AS354" s="166">
        <f t="shared" si="100"/>
        <v>5.1550400000000005</v>
      </c>
      <c r="AT354" s="166">
        <f t="shared" si="105"/>
        <v>5.3859857920000005</v>
      </c>
      <c r="AU354" s="166">
        <f t="shared" si="105"/>
        <v>5.6272779554815999</v>
      </c>
      <c r="AV354" s="166">
        <f t="shared" si="105"/>
        <v>5.8793800078871756</v>
      </c>
      <c r="AW354" s="157">
        <f t="shared" si="102"/>
        <v>27.151683755368776</v>
      </c>
      <c r="AX354" s="173">
        <f t="shared" si="103"/>
        <v>12.715629539347528</v>
      </c>
      <c r="AY354" s="174">
        <v>1.1200000000000001</v>
      </c>
      <c r="AZ354" s="169">
        <v>23.06</v>
      </c>
      <c r="BA354" s="169">
        <v>-14.52</v>
      </c>
      <c r="BB354" s="169">
        <v>9.02</v>
      </c>
      <c r="BC354" s="169">
        <v>4.5900000000000007</v>
      </c>
      <c r="BE354" s="77">
        <v>1975</v>
      </c>
      <c r="BF354" s="77">
        <f t="shared" si="104"/>
        <v>5</v>
      </c>
      <c r="BG354" s="175">
        <v>17.299999999999997</v>
      </c>
      <c r="BH354" t="s">
        <v>939</v>
      </c>
      <c r="BI354" t="s">
        <v>940</v>
      </c>
    </row>
    <row r="355" spans="1:64" ht="11.25" customHeight="1" x14ac:dyDescent="0.2">
      <c r="A355" s="176" t="s">
        <v>1466</v>
      </c>
      <c r="B355" s="153" t="s">
        <v>341</v>
      </c>
      <c r="C355" s="154" t="s">
        <v>94</v>
      </c>
      <c r="D355" s="154" t="s">
        <v>1022</v>
      </c>
      <c r="E355" s="155">
        <v>19</v>
      </c>
      <c r="F355" s="298">
        <v>190</v>
      </c>
      <c r="G355" s="298" t="s">
        <v>88</v>
      </c>
      <c r="H355" s="298" t="s">
        <v>88</v>
      </c>
      <c r="I355" s="156">
        <v>171.07</v>
      </c>
      <c r="J355" s="157">
        <f t="shared" si="90"/>
        <v>0.93528964751271415</v>
      </c>
      <c r="K355" s="158">
        <v>0.4</v>
      </c>
      <c r="L355" s="126">
        <v>4</v>
      </c>
      <c r="M355" s="82">
        <f t="shared" si="91"/>
        <v>1.6</v>
      </c>
      <c r="N355" s="159" t="s">
        <v>135</v>
      </c>
      <c r="O355" s="160">
        <v>0.3</v>
      </c>
      <c r="P355" s="161">
        <v>44595</v>
      </c>
      <c r="Q355" s="161">
        <v>44610</v>
      </c>
      <c r="R355" s="82">
        <f t="shared" si="92"/>
        <v>33.33333333333335</v>
      </c>
      <c r="S355" s="162">
        <f>IF(INDEX([1]Historical!$D$7:$D$1229,MATCH(B355,[1]Historical!$B$7:$B$1253,0))=0,"n/a",(INDEX([1]Historical!$C$7:$C$1231,MATCH(B355,[1]Historical!$B$7:$B$1253,0))/INDEX([1]Historical!$D$7:$D$1229,MATCH(B355,[1]Historical!$B$7:$B$1253,0))-1)*100)</f>
        <v>9.259259259259256</v>
      </c>
      <c r="T355" s="162">
        <f>IF(INDEX([1]Historical!$F$7:$F$1222,MATCH(B355,[1]Historical!$B$7:$B$1253,0))=0,"n/a",((INDEX([1]Historical!$C$7:$C$1231,MATCH(B355,[1]Historical!$B$7:$B$1253,0))/INDEX([1]Historical!$F$7:$F$1222,MATCH(B355,[1]Historical!$B$7:$B$1253,0)))^(1/3)-1)*100)</f>
        <v>7.1199245451753157</v>
      </c>
      <c r="U355" s="162">
        <f>IF(INDEX([1]Historical!$H$7:$H$1222,MATCH(B355,[1]Historical!$B$7:$B$1253,0))=0,"n/a",((INDEX([1]Historical!$C$7:$C$1231,MATCH(B355,[1]Historical!$B$7:$B$1253,0))/INDEX([1]Historical!$H$7:$H$1222,MATCH(B355,[1]Historical!$B$7:$B$1253,0)))^(1/5)-1)*100)</f>
        <v>6.042477819475911</v>
      </c>
      <c r="V355" s="162">
        <f>IF(INDEX([1]Historical!$N$7:$N$1222,MATCH(B355,[1]Historical!$B$7:$B$1253,0))=0,"n/a",((INDEX([1]Historical!$C$7:$C$1231,MATCH(B355,[1]Historical!$B$7:$B$1253,0))/INDEX([1]Historical!$N$7:$N$1222,MATCH(B355,[1]Historical!$B$7:$B$1253,0)))^(1/10)-1)*100)</f>
        <v>8.5395124330390537</v>
      </c>
      <c r="W355" s="163">
        <f t="shared" si="93"/>
        <v>0.70759049381997396</v>
      </c>
      <c r="X355" s="164">
        <f t="shared" si="94"/>
        <v>0.45093118055790382</v>
      </c>
      <c r="Y355" s="165"/>
      <c r="Z355" s="157">
        <f t="shared" si="95"/>
        <v>16.736401673640167</v>
      </c>
      <c r="AA355" s="166">
        <f t="shared" si="96"/>
        <v>17.894351464435143</v>
      </c>
      <c r="AB355" s="126">
        <v>12</v>
      </c>
      <c r="AC355" s="167">
        <v>9.56</v>
      </c>
      <c r="AD355" s="167">
        <v>1.21</v>
      </c>
      <c r="AE355" s="167">
        <v>1.17</v>
      </c>
      <c r="AF355" s="167">
        <v>5.3</v>
      </c>
      <c r="AG355" s="167">
        <v>27.200000000000003</v>
      </c>
      <c r="AH355" s="167">
        <v>50.6</v>
      </c>
      <c r="AI355" s="167">
        <v>-1.71</v>
      </c>
      <c r="AJ355" s="167">
        <v>13.4</v>
      </c>
      <c r="AK355" s="167">
        <v>14.6</v>
      </c>
      <c r="AL355" s="168">
        <v>17200</v>
      </c>
      <c r="AM355" s="169">
        <v>0.4</v>
      </c>
      <c r="AN355" s="167">
        <v>0.39</v>
      </c>
      <c r="AO355" s="170">
        <f t="shared" si="97"/>
        <v>-10.916583997446518</v>
      </c>
      <c r="AP355" s="171">
        <f t="shared" si="98"/>
        <v>6.9777674669886256</v>
      </c>
      <c r="AQ355" s="172">
        <f t="shared" si="99"/>
        <v>105.30742559662545</v>
      </c>
      <c r="AR355" s="157">
        <f>INDEX([1]Historical!$C$7:$C$1231,MATCH(B355,[1]Historical!$B$7:$B$1253,0))*IF(AH355="n/a",1.03,IF(AH355&lt;0,1.01,IF(AH355&gt;10,1.1,(1+AH355/100))))</f>
        <v>1.298</v>
      </c>
      <c r="AS355" s="166">
        <f t="shared" si="100"/>
        <v>1.31098</v>
      </c>
      <c r="AT355" s="166">
        <f t="shared" si="105"/>
        <v>1.4420780000000002</v>
      </c>
      <c r="AU355" s="166">
        <f t="shared" si="105"/>
        <v>1.5862858000000004</v>
      </c>
      <c r="AV355" s="166">
        <f t="shared" si="105"/>
        <v>1.7449143800000007</v>
      </c>
      <c r="AW355" s="157">
        <f t="shared" si="102"/>
        <v>7.3822581800000018</v>
      </c>
      <c r="AX355" s="173">
        <f t="shared" si="103"/>
        <v>4.3153435318875326</v>
      </c>
      <c r="AY355" s="174">
        <v>1.1200000000000001</v>
      </c>
      <c r="AZ355" s="169">
        <v>11.14</v>
      </c>
      <c r="BA355" s="169">
        <v>-21.59</v>
      </c>
      <c r="BB355" s="169">
        <v>0.84</v>
      </c>
      <c r="BC355" s="169">
        <v>-4.21</v>
      </c>
      <c r="BE355" s="77">
        <v>2004</v>
      </c>
      <c r="BF355" s="77">
        <f t="shared" si="104"/>
        <v>2</v>
      </c>
      <c r="BG355" s="175">
        <v>12.4</v>
      </c>
      <c r="BH355" t="s">
        <v>939</v>
      </c>
      <c r="BI355" t="s">
        <v>940</v>
      </c>
    </row>
    <row r="356" spans="1:64" ht="11.25" customHeight="1" x14ac:dyDescent="0.2">
      <c r="A356" s="205" t="s">
        <v>1767</v>
      </c>
      <c r="B356" s="153" t="s">
        <v>1768</v>
      </c>
      <c r="C356" s="154" t="s">
        <v>127</v>
      </c>
      <c r="D356" s="154" t="s">
        <v>951</v>
      </c>
      <c r="E356" s="155">
        <v>6</v>
      </c>
      <c r="F356" s="298">
        <v>682</v>
      </c>
      <c r="G356" s="298" t="s">
        <v>88</v>
      </c>
      <c r="H356" s="298" t="s">
        <v>88</v>
      </c>
      <c r="I356" s="156">
        <v>83.41</v>
      </c>
      <c r="J356" s="157">
        <f t="shared" si="90"/>
        <v>0.89917276105982502</v>
      </c>
      <c r="K356" s="158">
        <v>0.75</v>
      </c>
      <c r="L356" s="126">
        <v>1</v>
      </c>
      <c r="M356" s="82">
        <f t="shared" si="91"/>
        <v>0.75</v>
      </c>
      <c r="N356" s="159" t="s">
        <v>1769</v>
      </c>
      <c r="O356" s="160">
        <v>0.7</v>
      </c>
      <c r="P356" s="161">
        <v>44784</v>
      </c>
      <c r="Q356" s="161">
        <v>44804</v>
      </c>
      <c r="R356" s="82">
        <f t="shared" si="92"/>
        <v>7.1428571428571495</v>
      </c>
      <c r="S356" s="162">
        <f>IF(INDEX([1]Historical!$D$7:$D$1229,MATCH(B356,[1]Historical!$B$7:$B$1253,0))=0,"n/a",(INDEX([1]Historical!$C$7:$C$1231,MATCH(B356,[1]Historical!$B$7:$B$1253,0))/INDEX([1]Historical!$D$7:$D$1229,MATCH(B356,[1]Historical!$B$7:$B$1253,0))-1)*100)</f>
        <v>7.6923076923076872</v>
      </c>
      <c r="T356" s="162">
        <f>IF(INDEX([1]Historical!$F$7:$F$1222,MATCH(B356,[1]Historical!$B$7:$B$1253,0))=0,"n/a",((INDEX([1]Historical!$C$7:$C$1231,MATCH(B356,[1]Historical!$B$7:$B$1253,0))/INDEX([1]Historical!$F$7:$F$1222,MATCH(B356,[1]Historical!$B$7:$B$1253,0)))^(1/3)-1)*100)</f>
        <v>8.3706762661827092</v>
      </c>
      <c r="U356" s="162" t="str">
        <f>IF(INDEX([1]Historical!$H$7:$H$1222,MATCH(B356,[1]Historical!$B$7:$B$1253,0))=0,"n/a",((INDEX([1]Historical!$C$7:$C$1231,MATCH(B356,[1]Historical!$B$7:$B$1253,0))/INDEX([1]Historical!$H$7:$H$1222,MATCH(B356,[1]Historical!$B$7:$B$1253,0)))^(1/5)-1)*100)</f>
        <v>n/a</v>
      </c>
      <c r="V356" s="162" t="str">
        <f>IF(INDEX([1]Historical!$N$7:$N$1222,MATCH(B356,[1]Historical!$B$7:$B$1253,0))=0,"n/a",((INDEX([1]Historical!$C$7:$C$1231,MATCH(B356,[1]Historical!$B$7:$B$1253,0))/INDEX([1]Historical!$N$7:$N$1222,MATCH(B356,[1]Historical!$B$7:$B$1253,0)))^(1/10)-1)*100)</f>
        <v>n/a</v>
      </c>
      <c r="W356" s="163" t="str">
        <f t="shared" si="93"/>
        <v>n/a</v>
      </c>
      <c r="X356" s="164" t="str">
        <f t="shared" si="94"/>
        <v>n/a</v>
      </c>
      <c r="Y356" s="180"/>
      <c r="Z356" s="157">
        <f t="shared" si="95"/>
        <v>14.071294559099437</v>
      </c>
      <c r="AA356" s="166">
        <f t="shared" si="96"/>
        <v>15.649155722326453</v>
      </c>
      <c r="AB356" s="126">
        <v>5</v>
      </c>
      <c r="AC356" s="167">
        <v>5.33</v>
      </c>
      <c r="AD356" s="167" t="s">
        <v>95</v>
      </c>
      <c r="AE356" s="167">
        <v>0.98</v>
      </c>
      <c r="AF356" s="167">
        <v>3.45</v>
      </c>
      <c r="AG356" s="167">
        <v>24.6</v>
      </c>
      <c r="AH356" s="167">
        <v>3.1</v>
      </c>
      <c r="AI356" s="167">
        <v>1.3</v>
      </c>
      <c r="AJ356" s="167">
        <v>11</v>
      </c>
      <c r="AK356" s="167" t="s">
        <v>95</v>
      </c>
      <c r="AL356" s="168">
        <v>935.75</v>
      </c>
      <c r="AM356" s="169">
        <v>0.1</v>
      </c>
      <c r="AN356" s="167">
        <v>0.19</v>
      </c>
      <c r="AO356" s="170" t="str">
        <f t="shared" si="97"/>
        <v>n/a</v>
      </c>
      <c r="AP356" s="171" t="str">
        <f t="shared" si="98"/>
        <v>n/a</v>
      </c>
      <c r="AQ356" s="172">
        <f t="shared" si="99"/>
        <v>54.90439666958207</v>
      </c>
      <c r="AR356" s="157">
        <f>INDEX([1]Historical!$C$7:$C$1231,MATCH(B356,[1]Historical!$B$7:$B$1253,0))*IF(AH356="n/a",1.03,IF(AH356&lt;0,1.01,IF(AH356&gt;10,1.1,(1+AH356/100))))</f>
        <v>0.7216999999999999</v>
      </c>
      <c r="AS356" s="166">
        <f t="shared" si="100"/>
        <v>0.73108209999999985</v>
      </c>
      <c r="AT356" s="166">
        <f t="shared" si="105"/>
        <v>0.75301456299999991</v>
      </c>
      <c r="AU356" s="166">
        <f t="shared" si="105"/>
        <v>0.77560499988999998</v>
      </c>
      <c r="AV356" s="166">
        <f t="shared" si="105"/>
        <v>0.7988731498867</v>
      </c>
      <c r="AW356" s="157">
        <f t="shared" si="102"/>
        <v>3.7802748127766996</v>
      </c>
      <c r="AX356" s="173">
        <f t="shared" si="103"/>
        <v>4.5321601879591178</v>
      </c>
      <c r="AY356" s="174">
        <v>0.31</v>
      </c>
      <c r="AZ356" s="169">
        <v>27.029999999999998</v>
      </c>
      <c r="BA356" s="169">
        <v>-7.5600000000000005</v>
      </c>
      <c r="BB356" s="169">
        <v>7.37</v>
      </c>
      <c r="BC356" s="169">
        <v>8.83</v>
      </c>
      <c r="BE356" s="77">
        <v>2017</v>
      </c>
      <c r="BF356" s="77">
        <f t="shared" si="104"/>
        <v>1</v>
      </c>
      <c r="BG356" s="175">
        <v>14.2</v>
      </c>
      <c r="BH356" t="s">
        <v>939</v>
      </c>
      <c r="BI356" t="s">
        <v>940</v>
      </c>
      <c r="BJ356" s="112"/>
      <c r="BK356" s="112"/>
      <c r="BL356" s="112"/>
    </row>
    <row r="357" spans="1:64" ht="11.25" customHeight="1" x14ac:dyDescent="0.2">
      <c r="A357" s="205" t="s">
        <v>1114</v>
      </c>
      <c r="B357" s="153" t="s">
        <v>1115</v>
      </c>
      <c r="C357" s="154" t="s">
        <v>90</v>
      </c>
      <c r="D357" s="154" t="s">
        <v>968</v>
      </c>
      <c r="E357" s="155">
        <v>6</v>
      </c>
      <c r="F357" s="298">
        <v>658</v>
      </c>
      <c r="G357" s="298" t="s">
        <v>88</v>
      </c>
      <c r="H357" s="298" t="s">
        <v>88</v>
      </c>
      <c r="I357" s="156">
        <v>34.409999999999997</v>
      </c>
      <c r="J357" s="157">
        <f t="shared" si="90"/>
        <v>3.4873583260680041</v>
      </c>
      <c r="K357" s="158">
        <v>0.3</v>
      </c>
      <c r="L357" s="126">
        <v>4</v>
      </c>
      <c r="M357" s="82">
        <f t="shared" si="91"/>
        <v>1.2</v>
      </c>
      <c r="N357" s="159" t="s">
        <v>143</v>
      </c>
      <c r="O357" s="160">
        <v>0.25</v>
      </c>
      <c r="P357" s="161">
        <v>44603</v>
      </c>
      <c r="Q357" s="161">
        <v>44617</v>
      </c>
      <c r="R357" s="82">
        <f t="shared" si="92"/>
        <v>19.999999999999996</v>
      </c>
      <c r="S357" s="162">
        <f>IF(INDEX([1]Historical!$D$7:$D$1229,MATCH(B357,[1]Historical!$B$7:$B$1253,0))=0,"n/a",(INDEX([1]Historical!$C$7:$C$1231,MATCH(B357,[1]Historical!$B$7:$B$1253,0))/INDEX([1]Historical!$D$7:$D$1229,MATCH(B357,[1]Historical!$B$7:$B$1253,0))-1)*100)</f>
        <v>50</v>
      </c>
      <c r="T357" s="162">
        <f>IF(INDEX([1]Historical!$F$7:$F$1222,MATCH(B357,[1]Historical!$B$7:$B$1253,0))=0,"n/a",((INDEX([1]Historical!$C$7:$C$1231,MATCH(B357,[1]Historical!$B$7:$B$1253,0))/INDEX([1]Historical!$F$7:$F$1222,MATCH(B357,[1]Historical!$B$7:$B$1253,0)))^(1/3)-1)*100)</f>
        <v>25.99210498948732</v>
      </c>
      <c r="U357" s="162">
        <f>IF(INDEX([1]Historical!$H$7:$H$1222,MATCH(B357,[1]Historical!$B$7:$B$1253,0))=0,"n/a",((INDEX([1]Historical!$C$7:$C$1231,MATCH(B357,[1]Historical!$B$7:$B$1253,0))/INDEX([1]Historical!$H$7:$H$1222,MATCH(B357,[1]Historical!$B$7:$B$1253,0)))^(1/5)-1)*100)</f>
        <v>29.19940099556333</v>
      </c>
      <c r="V357" s="162">
        <f>IF(INDEX([1]Historical!$N$7:$N$1222,MATCH(B357,[1]Historical!$B$7:$B$1253,0))=0,"n/a",((INDEX([1]Historical!$C$7:$C$1231,MATCH(B357,[1]Historical!$B$7:$B$1253,0))/INDEX([1]Historical!$N$7:$N$1222,MATCH(B357,[1]Historical!$B$7:$B$1253,0)))^(1/10)-1)*100)</f>
        <v>13.665914413936475</v>
      </c>
      <c r="W357" s="163">
        <f t="shared" si="93"/>
        <v>2.1366591441393656</v>
      </c>
      <c r="X357" s="164">
        <f t="shared" si="94"/>
        <v>0.33408925624214336</v>
      </c>
      <c r="Y357" s="180"/>
      <c r="Z357" s="157">
        <f t="shared" si="95"/>
        <v>32.520325203252028</v>
      </c>
      <c r="AA357" s="166">
        <f t="shared" si="96"/>
        <v>9.3252032520325194</v>
      </c>
      <c r="AB357" s="126">
        <v>11</v>
      </c>
      <c r="AC357" s="167">
        <v>3.69</v>
      </c>
      <c r="AD357" s="167">
        <v>0.52</v>
      </c>
      <c r="AE357" s="167">
        <v>1.04</v>
      </c>
      <c r="AF357" s="167">
        <v>0.81</v>
      </c>
      <c r="AG357" s="167">
        <v>9.1999999999999993</v>
      </c>
      <c r="AH357" s="167">
        <v>131.9</v>
      </c>
      <c r="AI357" s="167">
        <v>16.07</v>
      </c>
      <c r="AJ357" s="167">
        <v>87.4</v>
      </c>
      <c r="AK357" s="167">
        <v>18</v>
      </c>
      <c r="AL357" s="168">
        <v>7750</v>
      </c>
      <c r="AM357" s="169">
        <v>11.5</v>
      </c>
      <c r="AN357" s="167">
        <v>3.11</v>
      </c>
      <c r="AO357" s="170">
        <f t="shared" si="97"/>
        <v>23.361556069598816</v>
      </c>
      <c r="AP357" s="171">
        <f t="shared" si="98"/>
        <v>32.686759321631335</v>
      </c>
      <c r="AQ357" s="172">
        <f t="shared" si="99"/>
        <v>-42.059744816477483</v>
      </c>
      <c r="AR357" s="157">
        <f>INDEX([1]Historical!$C$7:$C$1231,MATCH(B357,[1]Historical!$B$7:$B$1253,0))*IF(AH357="n/a",1.03,IF(AH357&lt;0,1.01,IF(AH357&gt;10,1.1,(1+AH357/100))))</f>
        <v>0.9900000000000001</v>
      </c>
      <c r="AS357" s="166">
        <f t="shared" si="100"/>
        <v>1.0890000000000002</v>
      </c>
      <c r="AT357" s="166">
        <f t="shared" si="105"/>
        <v>1.1979000000000004</v>
      </c>
      <c r="AU357" s="166">
        <f t="shared" si="105"/>
        <v>1.3176900000000005</v>
      </c>
      <c r="AV357" s="166">
        <f t="shared" si="105"/>
        <v>1.4494590000000007</v>
      </c>
      <c r="AW357" s="157">
        <f t="shared" si="102"/>
        <v>6.044049000000002</v>
      </c>
      <c r="AX357" s="173">
        <f t="shared" si="103"/>
        <v>17.564803836094168</v>
      </c>
      <c r="AY357" s="174">
        <v>1.38</v>
      </c>
      <c r="AZ357" s="169">
        <v>32.99</v>
      </c>
      <c r="BA357" s="169">
        <v>-22.62</v>
      </c>
      <c r="BB357" s="169">
        <v>6.9</v>
      </c>
      <c r="BC357" s="169">
        <v>6.34</v>
      </c>
      <c r="BE357" s="77">
        <v>2017</v>
      </c>
      <c r="BF357" s="77">
        <f t="shared" si="104"/>
        <v>1</v>
      </c>
      <c r="BG357" s="175">
        <v>1.6</v>
      </c>
      <c r="BH357" t="s">
        <v>939</v>
      </c>
      <c r="BI357" t="s">
        <v>940</v>
      </c>
      <c r="BJ357" s="112"/>
      <c r="BK357" s="112"/>
      <c r="BL357" s="112"/>
    </row>
    <row r="358" spans="1:64" ht="11.25" customHeight="1" x14ac:dyDescent="0.2">
      <c r="A358" s="176" t="s">
        <v>1467</v>
      </c>
      <c r="B358" s="153" t="s">
        <v>338</v>
      </c>
      <c r="C358" s="154" t="s">
        <v>127</v>
      </c>
      <c r="D358" s="154" t="s">
        <v>951</v>
      </c>
      <c r="E358" s="155">
        <v>18</v>
      </c>
      <c r="F358" s="298">
        <v>224</v>
      </c>
      <c r="G358" s="298" t="s">
        <v>88</v>
      </c>
      <c r="H358" s="298" t="s">
        <v>88</v>
      </c>
      <c r="I358" s="156">
        <v>147.61000000000001</v>
      </c>
      <c r="J358" s="157">
        <f t="shared" si="90"/>
        <v>1.8968904545762479</v>
      </c>
      <c r="K358" s="158">
        <v>0.7</v>
      </c>
      <c r="L358" s="126">
        <v>4</v>
      </c>
      <c r="M358" s="82">
        <f t="shared" si="91"/>
        <v>2.8</v>
      </c>
      <c r="N358" s="159" t="s">
        <v>261</v>
      </c>
      <c r="O358" s="160">
        <v>0.63300000000000001</v>
      </c>
      <c r="P358" s="161">
        <v>44820</v>
      </c>
      <c r="Q358" s="161">
        <v>44845</v>
      </c>
      <c r="R358" s="82">
        <f t="shared" si="92"/>
        <v>10.584518167456549</v>
      </c>
      <c r="S358" s="162">
        <f>IF(INDEX([1]Historical!$D$7:$D$1229,MATCH(B358,[1]Historical!$B$7:$B$1253,0))=0,"n/a",(INDEX([1]Historical!$C$7:$C$1231,MATCH(B358,[1]Historical!$B$7:$B$1253,0))/INDEX([1]Historical!$D$7:$D$1229,MATCH(B358,[1]Historical!$B$7:$B$1253,0))-1)*100)</f>
        <v>5.0434782608695716</v>
      </c>
      <c r="T358" s="162">
        <f>IF(INDEX([1]Historical!$F$7:$F$1222,MATCH(B358,[1]Historical!$B$7:$B$1253,0))=0,"n/a",((INDEX([1]Historical!$C$7:$C$1231,MATCH(B358,[1]Historical!$B$7:$B$1253,0))/INDEX([1]Historical!$F$7:$F$1222,MATCH(B358,[1]Historical!$B$7:$B$1253,0)))^(1/3)-1)*100)</f>
        <v>10.308287310483522</v>
      </c>
      <c r="U358" s="162">
        <f>IF(INDEX([1]Historical!$H$7:$H$1222,MATCH(B358,[1]Historical!$B$7:$B$1253,0))=0,"n/a",((INDEX([1]Historical!$C$7:$C$1231,MATCH(B358,[1]Historical!$B$7:$B$1253,0))/INDEX([1]Historical!$H$7:$H$1222,MATCH(B358,[1]Historical!$B$7:$B$1253,0)))^(1/5)-1)*100)</f>
        <v>9.1426429653928665</v>
      </c>
      <c r="V358" s="162">
        <f>IF(INDEX([1]Historical!$N$7:$N$1222,MATCH(B358,[1]Historical!$B$7:$B$1253,0))=0,"n/a",((INDEX([1]Historical!$C$7:$C$1231,MATCH(B358,[1]Historical!$B$7:$B$1253,0))/INDEX([1]Historical!$N$7:$N$1222,MATCH(B358,[1]Historical!$B$7:$B$1253,0)))^(1/10)-1)*100)</f>
        <v>18.041279899373784</v>
      </c>
      <c r="W358" s="163">
        <f t="shared" si="93"/>
        <v>0.50676243683299926</v>
      </c>
      <c r="X358" s="164" t="str">
        <f t="shared" si="94"/>
        <v>n/a</v>
      </c>
      <c r="Y358" s="286"/>
      <c r="Z358" s="157">
        <f t="shared" si="95"/>
        <v>110.23622047244092</v>
      </c>
      <c r="AA358" s="166">
        <f t="shared" si="96"/>
        <v>58.114173228346459</v>
      </c>
      <c r="AB358" s="126">
        <v>9</v>
      </c>
      <c r="AC358" s="167">
        <v>2.54</v>
      </c>
      <c r="AD358" s="167" t="s">
        <v>95</v>
      </c>
      <c r="AE358" s="167">
        <v>2.15</v>
      </c>
      <c r="AF358" s="167">
        <v>3.35</v>
      </c>
      <c r="AG358" s="167">
        <v>5.7</v>
      </c>
      <c r="AH358" s="167">
        <v>202.2</v>
      </c>
      <c r="AI358" s="167">
        <v>78.100000000000009</v>
      </c>
      <c r="AJ358" s="167">
        <v>-6.4</v>
      </c>
      <c r="AK358" s="167" t="s">
        <v>95</v>
      </c>
      <c r="AL358" s="168">
        <v>2800</v>
      </c>
      <c r="AM358" s="169">
        <v>18.8</v>
      </c>
      <c r="AN358" s="167">
        <v>0.15</v>
      </c>
      <c r="AO358" s="170">
        <f t="shared" si="97"/>
        <v>-47.074639808377341</v>
      </c>
      <c r="AP358" s="171">
        <f t="shared" si="98"/>
        <v>11.039533419969114</v>
      </c>
      <c r="AQ358" s="172">
        <f t="shared" si="99"/>
        <v>194.15225106507202</v>
      </c>
      <c r="AR358" s="157">
        <f>INDEX([1]Historical!$C$7:$C$1231,MATCH(B358,[1]Historical!$B$7:$B$1253,0))*IF(AH358="n/a",1.03,IF(AH358&lt;0,1.01,IF(AH358&gt;10,1.1,(1+AH358/100))))</f>
        <v>2.6576</v>
      </c>
      <c r="AS358" s="166">
        <f t="shared" si="100"/>
        <v>2.9233600000000002</v>
      </c>
      <c r="AT358" s="166">
        <f t="shared" si="105"/>
        <v>3.0110608000000001</v>
      </c>
      <c r="AU358" s="166">
        <f t="shared" si="105"/>
        <v>3.1013926240000003</v>
      </c>
      <c r="AV358" s="166">
        <f t="shared" si="105"/>
        <v>3.1944344027200002</v>
      </c>
      <c r="AW358" s="157">
        <f t="shared" si="102"/>
        <v>14.887847826720002</v>
      </c>
      <c r="AX358" s="173">
        <f t="shared" si="103"/>
        <v>10.085934439888897</v>
      </c>
      <c r="AY358" s="174">
        <v>0.49</v>
      </c>
      <c r="AZ358" s="169">
        <v>25.679999999999996</v>
      </c>
      <c r="BA358" s="169">
        <v>-10.96</v>
      </c>
      <c r="BB358" s="169">
        <v>4.62</v>
      </c>
      <c r="BC358" s="169">
        <v>2.8400000000000003</v>
      </c>
      <c r="BE358" s="77">
        <v>2005</v>
      </c>
      <c r="BF358" s="77">
        <f t="shared" si="104"/>
        <v>2</v>
      </c>
      <c r="BG358" s="175">
        <v>4.2</v>
      </c>
      <c r="BH358" t="s">
        <v>939</v>
      </c>
      <c r="BI358" t="s">
        <v>940</v>
      </c>
    </row>
    <row r="359" spans="1:64" ht="11.25" customHeight="1" x14ac:dyDescent="0.2">
      <c r="A359" s="176" t="s">
        <v>1468</v>
      </c>
      <c r="B359" s="153" t="s">
        <v>340</v>
      </c>
      <c r="C359" s="154" t="s">
        <v>922</v>
      </c>
      <c r="D359" s="154" t="s">
        <v>949</v>
      </c>
      <c r="E359" s="155">
        <v>32</v>
      </c>
      <c r="F359" s="298">
        <v>89</v>
      </c>
      <c r="G359" s="298" t="s">
        <v>30</v>
      </c>
      <c r="H359" s="298" t="s">
        <v>88</v>
      </c>
      <c r="I359" s="167">
        <v>199.06</v>
      </c>
      <c r="J359" s="157">
        <f t="shared" si="90"/>
        <v>0.9846277504270069</v>
      </c>
      <c r="K359" s="209">
        <v>0.49</v>
      </c>
      <c r="L359" s="126">
        <v>4</v>
      </c>
      <c r="M359" s="82">
        <f t="shared" si="91"/>
        <v>1.96</v>
      </c>
      <c r="N359" s="159" t="s">
        <v>186</v>
      </c>
      <c r="O359" s="210">
        <v>0.46</v>
      </c>
      <c r="P359" s="161">
        <v>44627</v>
      </c>
      <c r="Q359" s="161">
        <v>44645</v>
      </c>
      <c r="R359" s="82">
        <f t="shared" si="92"/>
        <v>6.5217391304347752</v>
      </c>
      <c r="S359" s="162">
        <f>IF(INDEX([1]Historical!$D$7:$D$1229,MATCH(B359,[1]Historical!$B$7:$B$1253,0))=0,"n/a",(INDEX([1]Historical!$C$7:$C$1231,MATCH(B359,[1]Historical!$B$7:$B$1253,0))/INDEX([1]Historical!$D$7:$D$1229,MATCH(B359,[1]Historical!$B$7:$B$1253,0))-1)*100)</f>
        <v>6.976744186046524</v>
      </c>
      <c r="T359" s="162">
        <f>IF(INDEX([1]Historical!$F$7:$F$1222,MATCH(B359,[1]Historical!$B$7:$B$1253,0))=0,"n/a",((INDEX([1]Historical!$C$7:$C$1231,MATCH(B359,[1]Historical!$B$7:$B$1253,0))/INDEX([1]Historical!$F$7:$F$1222,MATCH(B359,[1]Historical!$B$7:$B$1253,0)))^(1/3)-1)*100)</f>
        <v>7.5272905147686142</v>
      </c>
      <c r="U359" s="162">
        <f>IF(INDEX([1]Historical!$H$7:$H$1222,MATCH(B359,[1]Historical!$B$7:$B$1253,0))=0,"n/a",((INDEX([1]Historical!$C$7:$C$1231,MATCH(B359,[1]Historical!$B$7:$B$1253,0))/INDEX([1]Historical!$H$7:$H$1222,MATCH(B359,[1]Historical!$B$7:$B$1253,0)))^(1/5)-1)*100)</f>
        <v>10.438362870438155</v>
      </c>
      <c r="V359" s="162">
        <f>IF(INDEX([1]Historical!$N$7:$N$1222,MATCH(B359,[1]Historical!$B$7:$B$1253,0))=0,"n/a",((INDEX([1]Historical!$C$7:$C$1231,MATCH(B359,[1]Historical!$B$7:$B$1253,0))/INDEX([1]Historical!$N$7:$N$1222,MATCH(B359,[1]Historical!$B$7:$B$1253,0)))^(1/10)-1)*100)</f>
        <v>15.919594501910804</v>
      </c>
      <c r="W359" s="163">
        <f t="shared" si="93"/>
        <v>0.65569276084169448</v>
      </c>
      <c r="X359" s="164">
        <f t="shared" si="94"/>
        <v>0.94894207913074136</v>
      </c>
      <c r="Y359" s="178" t="s">
        <v>181</v>
      </c>
      <c r="Z359" s="157">
        <f t="shared" si="95"/>
        <v>39.676113360323882</v>
      </c>
      <c r="AA359" s="166">
        <f t="shared" si="96"/>
        <v>40.295546558704451</v>
      </c>
      <c r="AB359" s="126">
        <v>6</v>
      </c>
      <c r="AC359" s="167">
        <v>4.9400000000000004</v>
      </c>
      <c r="AD359" s="167">
        <v>2.92</v>
      </c>
      <c r="AE359" s="167">
        <v>7.37</v>
      </c>
      <c r="AF359" s="167">
        <v>10.64</v>
      </c>
      <c r="AG359" s="167">
        <v>27</v>
      </c>
      <c r="AH359" s="167">
        <v>20</v>
      </c>
      <c r="AI359" s="167">
        <v>10.870000000000001</v>
      </c>
      <c r="AJ359" s="167">
        <v>11</v>
      </c>
      <c r="AK359" s="167">
        <v>14.000000000000002</v>
      </c>
      <c r="AL359" s="168">
        <v>14310</v>
      </c>
      <c r="AM359" s="169">
        <v>0.4</v>
      </c>
      <c r="AN359" s="167">
        <v>0.08</v>
      </c>
      <c r="AO359" s="170">
        <f t="shared" si="97"/>
        <v>-28.872555937839287</v>
      </c>
      <c r="AP359" s="171">
        <f t="shared" si="98"/>
        <v>11.422990620865162</v>
      </c>
      <c r="AQ359" s="172">
        <f t="shared" si="99"/>
        <v>336.52395397407736</v>
      </c>
      <c r="AR359" s="157">
        <f>INDEX([1]Historical!$C$7:$C$1231,MATCH(B359,[1]Historical!$B$7:$B$1253,0))*IF(AH359="n/a",1.03,IF(AH359&lt;0,1.01,IF(AH359&gt;10,1.1,(1+AH359/100))))</f>
        <v>2.0240000000000005</v>
      </c>
      <c r="AS359" s="166">
        <f t="shared" si="100"/>
        <v>2.2264000000000008</v>
      </c>
      <c r="AT359" s="166">
        <f t="shared" ref="AT359:AV374" si="106">IF($AK359="n/a",1.03*AS359,IF($AK359&lt;0,1.01*AS359,IF($AK359&gt;10,1.1*AS359,(1+$AK359/100)*AS359)))</f>
        <v>2.449040000000001</v>
      </c>
      <c r="AU359" s="166">
        <f t="shared" si="106"/>
        <v>2.6939440000000014</v>
      </c>
      <c r="AV359" s="166">
        <f t="shared" si="106"/>
        <v>2.9633384000000018</v>
      </c>
      <c r="AW359" s="157">
        <f t="shared" si="102"/>
        <v>12.356722400000004</v>
      </c>
      <c r="AX359" s="173">
        <f t="shared" si="103"/>
        <v>6.2075366221239845</v>
      </c>
      <c r="AY359" s="174">
        <v>0.66</v>
      </c>
      <c r="AZ359" s="169">
        <v>34.96</v>
      </c>
      <c r="BA359" s="169">
        <v>-6.38</v>
      </c>
      <c r="BB359" s="169">
        <v>4.1399999999999997</v>
      </c>
      <c r="BC359" s="169">
        <v>6.45</v>
      </c>
      <c r="BE359" s="77">
        <v>1991</v>
      </c>
      <c r="BF359" s="77">
        <f t="shared" si="104"/>
        <v>3</v>
      </c>
      <c r="BG359" s="175">
        <v>15.6</v>
      </c>
      <c r="BH359" t="s">
        <v>939</v>
      </c>
      <c r="BI359" t="s">
        <v>940</v>
      </c>
    </row>
    <row r="360" spans="1:64" ht="11.25" customHeight="1" x14ac:dyDescent="0.2">
      <c r="A360" s="112" t="s">
        <v>344</v>
      </c>
      <c r="B360" s="153" t="s">
        <v>345</v>
      </c>
      <c r="C360" s="154" t="s">
        <v>137</v>
      </c>
      <c r="D360" s="154" t="s">
        <v>996</v>
      </c>
      <c r="E360" s="155">
        <v>60</v>
      </c>
      <c r="F360" s="298">
        <v>11</v>
      </c>
      <c r="G360" s="298" t="s">
        <v>30</v>
      </c>
      <c r="H360" s="298" t="s">
        <v>30</v>
      </c>
      <c r="I360" s="167">
        <v>173.97</v>
      </c>
      <c r="J360" s="157">
        <f t="shared" si="90"/>
        <v>2.59814910616773</v>
      </c>
      <c r="K360" s="158">
        <v>1.1299999999999999</v>
      </c>
      <c r="L360" s="126">
        <v>4</v>
      </c>
      <c r="M360" s="82">
        <f t="shared" si="91"/>
        <v>4.5199999999999996</v>
      </c>
      <c r="N360" s="159" t="s">
        <v>93</v>
      </c>
      <c r="O360" s="160">
        <v>1.06</v>
      </c>
      <c r="P360" s="161">
        <v>44704</v>
      </c>
      <c r="Q360" s="161">
        <v>44719</v>
      </c>
      <c r="R360" s="82">
        <f t="shared" si="92"/>
        <v>6.6037735849056451</v>
      </c>
      <c r="S360" s="162">
        <f>IF(INDEX([1]Historical!$D$7:$D$1229,MATCH(B360,[1]Historical!$B$7:$B$1253,0))=0,"n/a",(INDEX([1]Historical!$C$7:$C$1231,MATCH(B360,[1]Historical!$B$7:$B$1253,0))/INDEX([1]Historical!$D$7:$D$1229,MATCH(B360,[1]Historical!$B$7:$B$1253,0))-1)*100)</f>
        <v>5.276381909547756</v>
      </c>
      <c r="T360" s="162">
        <f>IF(INDEX([1]Historical!$F$7:$F$1222,MATCH(B360,[1]Historical!$B$7:$B$1253,0))=0,"n/a",((INDEX([1]Historical!$C$7:$C$1231,MATCH(B360,[1]Historical!$B$7:$B$1253,0))/INDEX([1]Historical!$F$7:$F$1222,MATCH(B360,[1]Historical!$B$7:$B$1253,0)))^(1/3)-1)*100)</f>
        <v>5.7800059180080909</v>
      </c>
      <c r="U360" s="162">
        <f>IF(INDEX([1]Historical!$H$7:$H$1222,MATCH(B360,[1]Historical!$B$7:$B$1253,0))=0,"n/a",((INDEX([1]Historical!$C$7:$C$1231,MATCH(B360,[1]Historical!$B$7:$B$1253,0))/INDEX([1]Historical!$H$7:$H$1222,MATCH(B360,[1]Historical!$B$7:$B$1253,0)))^(1/5)-1)*100)</f>
        <v>5.8718967682533041</v>
      </c>
      <c r="V360" s="162">
        <f>IF(INDEX([1]Historical!$N$7:$N$1222,MATCH(B360,[1]Historical!$B$7:$B$1253,0))=0,"n/a",((INDEX([1]Historical!$C$7:$C$1231,MATCH(B360,[1]Historical!$B$7:$B$1253,0))/INDEX([1]Historical!$N$7:$N$1222,MATCH(B360,[1]Historical!$B$7:$B$1253,0)))^(1/10)-1)*100)</f>
        <v>6.415073782343983</v>
      </c>
      <c r="W360" s="163">
        <f t="shared" si="93"/>
        <v>0.9153280176471783</v>
      </c>
      <c r="X360" s="164">
        <f t="shared" si="94"/>
        <v>1.0301573277637375</v>
      </c>
      <c r="Y360" s="153"/>
      <c r="Z360" s="157">
        <f t="shared" si="95"/>
        <v>62.952646239554312</v>
      </c>
      <c r="AA360" s="166">
        <f t="shared" si="96"/>
        <v>24.229805013927578</v>
      </c>
      <c r="AB360" s="126">
        <v>12</v>
      </c>
      <c r="AC360" s="167">
        <v>7.18</v>
      </c>
      <c r="AD360" s="167">
        <v>6.24</v>
      </c>
      <c r="AE360" s="167">
        <v>4.72</v>
      </c>
      <c r="AF360" s="167">
        <v>6.16</v>
      </c>
      <c r="AG360" s="167">
        <v>25.6</v>
      </c>
      <c r="AH360" s="167">
        <v>44.7</v>
      </c>
      <c r="AI360" s="167">
        <v>3.1399999999999997</v>
      </c>
      <c r="AJ360" s="167">
        <v>5.7</v>
      </c>
      <c r="AK360" s="167">
        <v>3.9</v>
      </c>
      <c r="AL360" s="168">
        <v>453030</v>
      </c>
      <c r="AM360" s="169">
        <v>0.09</v>
      </c>
      <c r="AN360" s="167">
        <v>0.43</v>
      </c>
      <c r="AO360" s="170">
        <f t="shared" si="97"/>
        <v>-15.759759139506544</v>
      </c>
      <c r="AP360" s="171">
        <f t="shared" si="98"/>
        <v>8.4700458744210341</v>
      </c>
      <c r="AQ360" s="172">
        <f t="shared" si="99"/>
        <v>157.55741442835517</v>
      </c>
      <c r="AR360" s="157">
        <f>INDEX([1]Historical!$C$7:$C$1231,MATCH(B360,[1]Historical!$B$7:$B$1253,0))*IF(AH360="n/a",1.03,IF(AH360&lt;0,1.01,IF(AH360&gt;10,1.1,(1+AH360/100))))</f>
        <v>4.6090000000000009</v>
      </c>
      <c r="AS360" s="166">
        <f t="shared" si="100"/>
        <v>4.7537226000000015</v>
      </c>
      <c r="AT360" s="166">
        <f t="shared" si="106"/>
        <v>4.9391177814000011</v>
      </c>
      <c r="AU360" s="166">
        <f t="shared" si="106"/>
        <v>5.1317433748746009</v>
      </c>
      <c r="AV360" s="166">
        <f t="shared" si="106"/>
        <v>5.3318813664947102</v>
      </c>
      <c r="AW360" s="157">
        <f t="shared" si="102"/>
        <v>24.76546512276931</v>
      </c>
      <c r="AX360" s="173">
        <f t="shared" si="103"/>
        <v>14.235480325785661</v>
      </c>
      <c r="AY360" s="174">
        <v>0.56999999999999995</v>
      </c>
      <c r="AZ360" s="169">
        <v>11.72</v>
      </c>
      <c r="BA360" s="169">
        <v>-6.81</v>
      </c>
      <c r="BB360" s="169">
        <v>5.1400000000000006</v>
      </c>
      <c r="BC360" s="169">
        <v>1.22</v>
      </c>
      <c r="BE360" s="77">
        <v>1963</v>
      </c>
      <c r="BF360" s="77">
        <f t="shared" si="104"/>
        <v>7</v>
      </c>
      <c r="BG360" s="175">
        <v>10.7</v>
      </c>
      <c r="BH360" t="s">
        <v>939</v>
      </c>
      <c r="BI360" t="s">
        <v>940</v>
      </c>
    </row>
    <row r="361" spans="1:64" ht="11.25" customHeight="1" x14ac:dyDescent="0.2">
      <c r="A361" s="176" t="s">
        <v>815</v>
      </c>
      <c r="B361" s="153" t="s">
        <v>816</v>
      </c>
      <c r="C361" s="154" t="s">
        <v>100</v>
      </c>
      <c r="D361" s="154" t="s">
        <v>990</v>
      </c>
      <c r="E361" s="155">
        <v>10</v>
      </c>
      <c r="F361" s="298">
        <v>506</v>
      </c>
      <c r="G361" s="298" t="s">
        <v>88</v>
      </c>
      <c r="H361" s="298" t="s">
        <v>88</v>
      </c>
      <c r="I361" s="156">
        <v>52.62</v>
      </c>
      <c r="J361" s="157">
        <f t="shared" si="90"/>
        <v>2.3565184340554923</v>
      </c>
      <c r="K361" s="158">
        <v>0.31</v>
      </c>
      <c r="L361" s="126">
        <v>4</v>
      </c>
      <c r="M361" s="82">
        <f t="shared" si="91"/>
        <v>1.24</v>
      </c>
      <c r="N361" s="159" t="s">
        <v>308</v>
      </c>
      <c r="O361" s="160">
        <v>0.3</v>
      </c>
      <c r="P361" s="161">
        <v>44846</v>
      </c>
      <c r="Q361" s="161">
        <v>44861</v>
      </c>
      <c r="R361" s="82">
        <f t="shared" si="92"/>
        <v>3.3333333333333366</v>
      </c>
      <c r="S361" s="162">
        <f>IF(INDEX([1]Historical!$D$7:$D$1229,MATCH(B361,[1]Historical!$B$7:$B$1253,0))=0,"n/a",(INDEX([1]Historical!$C$7:$C$1231,MATCH(B361,[1]Historical!$B$7:$B$1253,0))/INDEX([1]Historical!$D$7:$D$1229,MATCH(B361,[1]Historical!$B$7:$B$1253,0))-1)*100)</f>
        <v>29.166666666666675</v>
      </c>
      <c r="T361" s="162">
        <f>IF(INDEX([1]Historical!$F$7:$F$1222,MATCH(B361,[1]Historical!$B$7:$B$1253,0))=0,"n/a",((INDEX([1]Historical!$C$7:$C$1231,MATCH(B361,[1]Historical!$B$7:$B$1253,0))/INDEX([1]Historical!$F$7:$F$1222,MATCH(B361,[1]Historical!$B$7:$B$1253,0)))^(1/3)-1)*100)</f>
        <v>24.66577380596615</v>
      </c>
      <c r="U361" s="162">
        <f>IF(INDEX([1]Historical!$H$7:$H$1222,MATCH(B361,[1]Historical!$B$7:$B$1253,0))=0,"n/a",((INDEX([1]Historical!$C$7:$C$1231,MATCH(B361,[1]Historical!$B$7:$B$1253,0))/INDEX([1]Historical!$H$7:$H$1222,MATCH(B361,[1]Historical!$B$7:$B$1253,0)))^(1/5)-1)*100)</f>
        <v>23.025121250227865</v>
      </c>
      <c r="V361" s="162" t="str">
        <f>IF(INDEX([1]Historical!$N$7:$N$1222,MATCH(B361,[1]Historical!$B$7:$B$1253,0))=0,"n/a",((INDEX([1]Historical!$C$7:$C$1231,MATCH(B361,[1]Historical!$B$7:$B$1253,0))/INDEX([1]Historical!$N$7:$N$1222,MATCH(B361,[1]Historical!$B$7:$B$1253,0)))^(1/10)-1)*100)</f>
        <v>n/a</v>
      </c>
      <c r="W361" s="163" t="str">
        <f t="shared" si="93"/>
        <v>n/a</v>
      </c>
      <c r="X361" s="164">
        <f t="shared" si="94"/>
        <v>0.53298891782934865</v>
      </c>
      <c r="Y361" s="211"/>
      <c r="Z361" s="157">
        <f t="shared" si="95"/>
        <v>30.097087378640776</v>
      </c>
      <c r="AA361" s="166">
        <f t="shared" si="96"/>
        <v>12.771844660194175</v>
      </c>
      <c r="AB361" s="126">
        <v>9</v>
      </c>
      <c r="AC361" s="167">
        <v>4.12</v>
      </c>
      <c r="AD361" s="167">
        <v>0.91</v>
      </c>
      <c r="AE361" s="167">
        <v>0.72</v>
      </c>
      <c r="AF361" s="167">
        <v>1.1000000000000001</v>
      </c>
      <c r="AG361" s="167">
        <v>8.9</v>
      </c>
      <c r="AH361" s="167">
        <v>50.1</v>
      </c>
      <c r="AI361" s="167">
        <v>58.97</v>
      </c>
      <c r="AJ361" s="167">
        <v>43.2</v>
      </c>
      <c r="AK361" s="167">
        <v>14.000000000000002</v>
      </c>
      <c r="AL361" s="168">
        <v>515.05999999999995</v>
      </c>
      <c r="AM361" s="169">
        <v>0.2</v>
      </c>
      <c r="AN361" s="167">
        <v>0</v>
      </c>
      <c r="AO361" s="170">
        <f t="shared" si="97"/>
        <v>12.609795024089182</v>
      </c>
      <c r="AP361" s="171">
        <f t="shared" si="98"/>
        <v>25.381639684283357</v>
      </c>
      <c r="AQ361" s="172">
        <f t="shared" si="99"/>
        <v>-20.980933028895997</v>
      </c>
      <c r="AR361" s="157">
        <f>INDEX([1]Historical!$C$7:$C$1231,MATCH(B361,[1]Historical!$B$7:$B$1253,0))*IF(AH361="n/a",1.03,IF(AH361&lt;0,1.01,IF(AH361&gt;10,1.1,(1+AH361/100))))</f>
        <v>1.0230000000000001</v>
      </c>
      <c r="AS361" s="166">
        <f t="shared" si="100"/>
        <v>1.1253000000000002</v>
      </c>
      <c r="AT361" s="166">
        <f t="shared" si="106"/>
        <v>1.2378300000000002</v>
      </c>
      <c r="AU361" s="166">
        <f t="shared" si="106"/>
        <v>1.3616130000000004</v>
      </c>
      <c r="AV361" s="166">
        <f t="shared" si="106"/>
        <v>1.4977743000000006</v>
      </c>
      <c r="AW361" s="157">
        <f t="shared" si="102"/>
        <v>6.2455173000000013</v>
      </c>
      <c r="AX361" s="173">
        <f t="shared" si="103"/>
        <v>11.869094070695557</v>
      </c>
      <c r="AY361" s="174">
        <v>0.9</v>
      </c>
      <c r="AZ361" s="169">
        <v>13.639999999999999</v>
      </c>
      <c r="BA361" s="169">
        <v>-55.400000000000006</v>
      </c>
      <c r="BB361" s="169">
        <v>-3.6700000000000004</v>
      </c>
      <c r="BC361" s="169">
        <v>-23.48</v>
      </c>
      <c r="BE361" s="77">
        <v>2013</v>
      </c>
      <c r="BF361" s="77">
        <f t="shared" si="104"/>
        <v>1</v>
      </c>
      <c r="BG361" s="175">
        <v>6.2</v>
      </c>
      <c r="BH361" t="s">
        <v>939</v>
      </c>
      <c r="BI361" t="s">
        <v>940</v>
      </c>
    </row>
    <row r="362" spans="1:64" s="252" customFormat="1" ht="11.25" customHeight="1" x14ac:dyDescent="0.2">
      <c r="A362" s="183" t="s">
        <v>629</v>
      </c>
      <c r="B362" s="184" t="s">
        <v>630</v>
      </c>
      <c r="C362" s="154" t="s">
        <v>90</v>
      </c>
      <c r="D362" s="154" t="s">
        <v>969</v>
      </c>
      <c r="E362" s="185">
        <v>11</v>
      </c>
      <c r="F362" s="298">
        <v>391</v>
      </c>
      <c r="G362" s="297" t="s">
        <v>30</v>
      </c>
      <c r="H362" s="297" t="s">
        <v>30</v>
      </c>
      <c r="I362" s="186">
        <v>125.88</v>
      </c>
      <c r="J362" s="187">
        <f t="shared" si="90"/>
        <v>3.1776294884016525</v>
      </c>
      <c r="K362" s="188">
        <v>1</v>
      </c>
      <c r="L362" s="189">
        <v>4</v>
      </c>
      <c r="M362" s="190">
        <f t="shared" si="91"/>
        <v>4</v>
      </c>
      <c r="N362" s="191" t="s">
        <v>190</v>
      </c>
      <c r="O362" s="192">
        <v>0.9</v>
      </c>
      <c r="P362" s="293">
        <v>44474</v>
      </c>
      <c r="Q362" s="293">
        <v>44500</v>
      </c>
      <c r="R362" s="190">
        <f t="shared" si="92"/>
        <v>11.111111111111107</v>
      </c>
      <c r="S362" s="162">
        <f>IF(INDEX([1]Historical!$D$7:$D$1229,MATCH(B362,[1]Historical!$B$7:$B$1253,0))=0,"n/a",(INDEX([1]Historical!$C$7:$C$1231,MATCH(B362,[1]Historical!$B$7:$B$1253,0))/INDEX([1]Historical!$D$7:$D$1229,MATCH(B362,[1]Historical!$B$7:$B$1253,0))-1)*100)</f>
        <v>2.7777777777777901</v>
      </c>
      <c r="T362" s="162">
        <f>IF(INDEX([1]Historical!$F$7:$F$1222,MATCH(B362,[1]Historical!$B$7:$B$1253,0))=0,"n/a",((INDEX([1]Historical!$C$7:$C$1231,MATCH(B362,[1]Historical!$B$7:$B$1253,0))/INDEX([1]Historical!$F$7:$F$1222,MATCH(B362,[1]Historical!$B$7:$B$1253,0)))^(1/3)-1)*100)</f>
        <v>14.265909586653013</v>
      </c>
      <c r="U362" s="162">
        <f>IF(INDEX([1]Historical!$H$7:$H$1222,MATCH(B362,[1]Historical!$B$7:$B$1253,0))=0,"n/a",((INDEX([1]Historical!$C$7:$C$1231,MATCH(B362,[1]Historical!$B$7:$B$1253,0))/INDEX([1]Historical!$H$7:$H$1222,MATCH(B362,[1]Historical!$B$7:$B$1253,0)))^(1/5)-1)*100)</f>
        <v>14.994423466742157</v>
      </c>
      <c r="V362" s="162">
        <f>IF(INDEX([1]Historical!$N$7:$N$1222,MATCH(B362,[1]Historical!$B$7:$B$1253,0))=0,"n/a",((INDEX([1]Historical!$C$7:$C$1231,MATCH(B362,[1]Historical!$B$7:$B$1253,0))/INDEX([1]Historical!$N$7:$N$1222,MATCH(B362,[1]Historical!$B$7:$B$1253,0)))^(1/10)-1)*100)</f>
        <v>16.549703683978834</v>
      </c>
      <c r="W362" s="163">
        <f t="shared" si="93"/>
        <v>0.90602368193804661</v>
      </c>
      <c r="X362" s="164">
        <f t="shared" si="94"/>
        <v>0.75348861641920384</v>
      </c>
      <c r="Y362" s="227"/>
      <c r="Z362" s="187">
        <f t="shared" si="95"/>
        <v>33.755274261603375</v>
      </c>
      <c r="AA362" s="194">
        <f t="shared" si="96"/>
        <v>10.622784810126582</v>
      </c>
      <c r="AB362" s="189">
        <v>12</v>
      </c>
      <c r="AC362" s="195">
        <v>11.85</v>
      </c>
      <c r="AD362" s="195">
        <v>90.98</v>
      </c>
      <c r="AE362" s="195">
        <v>4.8899999999999997</v>
      </c>
      <c r="AF362" s="195">
        <v>1.47</v>
      </c>
      <c r="AG362" s="195">
        <v>15.9</v>
      </c>
      <c r="AH362" s="195">
        <v>73.099999999999994</v>
      </c>
      <c r="AI362" s="195">
        <v>9.67</v>
      </c>
      <c r="AJ362" s="195">
        <v>19.900000000000002</v>
      </c>
      <c r="AK362" s="195">
        <v>0.12</v>
      </c>
      <c r="AL362" s="196">
        <v>365960</v>
      </c>
      <c r="AM362" s="197">
        <v>0.1</v>
      </c>
      <c r="AN362" s="195">
        <v>1.1399999999999999</v>
      </c>
      <c r="AO362" s="198">
        <f t="shared" si="97"/>
        <v>7.5492681450172263</v>
      </c>
      <c r="AP362" s="199">
        <f t="shared" si="98"/>
        <v>18.172052955143808</v>
      </c>
      <c r="AQ362" s="172">
        <f t="shared" si="99"/>
        <v>-16.692020734609702</v>
      </c>
      <c r="AR362" s="157">
        <f>INDEX([1]Historical!$C$7:$C$1231,MATCH(B362,[1]Historical!$B$7:$B$1253,0))*IF(AH362="n/a",1.03,IF(AH362&lt;0,1.01,IF(AH362&gt;10,1.1,(1+AH362/100))))</f>
        <v>4.07</v>
      </c>
      <c r="AS362" s="194">
        <f t="shared" si="100"/>
        <v>4.4635690000000006</v>
      </c>
      <c r="AT362" s="194">
        <f t="shared" si="106"/>
        <v>4.4689252828000008</v>
      </c>
      <c r="AU362" s="194">
        <f t="shared" si="106"/>
        <v>4.4742879931393613</v>
      </c>
      <c r="AV362" s="194">
        <f t="shared" si="106"/>
        <v>4.4796571387311293</v>
      </c>
      <c r="AW362" s="187">
        <f t="shared" si="102"/>
        <v>21.956439414670491</v>
      </c>
      <c r="AX362" s="200">
        <f t="shared" si="103"/>
        <v>17.442357336090318</v>
      </c>
      <c r="AY362" s="201">
        <v>1.1100000000000001</v>
      </c>
      <c r="AZ362" s="197">
        <v>24.29</v>
      </c>
      <c r="BA362" s="197">
        <v>-26.950000000000003</v>
      </c>
      <c r="BB362" s="197">
        <v>10.23</v>
      </c>
      <c r="BC362" s="197">
        <v>0.16999999999999998</v>
      </c>
      <c r="BD362" s="202"/>
      <c r="BE362" s="77">
        <v>2011</v>
      </c>
      <c r="BF362" s="77">
        <f t="shared" si="104"/>
        <v>1</v>
      </c>
      <c r="BG362" s="203">
        <v>1.0999999999999999</v>
      </c>
      <c r="BH362" t="s">
        <v>939</v>
      </c>
      <c r="BI362" t="s">
        <v>940</v>
      </c>
    </row>
    <row r="363" spans="1:64" ht="11.25" customHeight="1" x14ac:dyDescent="0.2">
      <c r="A363" s="176" t="s">
        <v>346</v>
      </c>
      <c r="B363" s="153" t="s">
        <v>347</v>
      </c>
      <c r="C363" s="154" t="s">
        <v>127</v>
      </c>
      <c r="D363" s="154" t="s">
        <v>951</v>
      </c>
      <c r="E363" s="155">
        <v>19</v>
      </c>
      <c r="F363" s="298">
        <v>205</v>
      </c>
      <c r="G363" s="298" t="s">
        <v>30</v>
      </c>
      <c r="H363" s="298" t="s">
        <v>30</v>
      </c>
      <c r="I363" s="156">
        <v>76.819999999999993</v>
      </c>
      <c r="J363" s="157">
        <f t="shared" si="90"/>
        <v>3.0721166362926322</v>
      </c>
      <c r="K363" s="158">
        <v>0.59</v>
      </c>
      <c r="L363" s="126">
        <v>4</v>
      </c>
      <c r="M363" s="82">
        <f t="shared" si="91"/>
        <v>2.36</v>
      </c>
      <c r="N363" s="159" t="s">
        <v>167</v>
      </c>
      <c r="O363" s="160">
        <v>0.57999999999999996</v>
      </c>
      <c r="P363" s="161">
        <v>44804</v>
      </c>
      <c r="Q363" s="161">
        <v>44819</v>
      </c>
      <c r="R363" s="82">
        <f t="shared" si="92"/>
        <v>1.7241379310344844</v>
      </c>
      <c r="S363" s="162">
        <f>IF(INDEX([1]Historical!$D$7:$D$1229,MATCH(B363,[1]Historical!$B$7:$B$1253,0))=0,"n/a",(INDEX([1]Historical!$C$7:$C$1231,MATCH(B363,[1]Historical!$B$7:$B$1253,0))/INDEX([1]Historical!$D$7:$D$1229,MATCH(B363,[1]Historical!$B$7:$B$1253,0))-1)*100)</f>
        <v>1.3157894736842257</v>
      </c>
      <c r="T363" s="162">
        <f>IF(INDEX([1]Historical!$F$7:$F$1222,MATCH(B363,[1]Historical!$B$7:$B$1253,0))=0,"n/a",((INDEX([1]Historical!$C$7:$C$1231,MATCH(B363,[1]Historical!$B$7:$B$1253,0))/INDEX([1]Historical!$F$7:$F$1222,MATCH(B363,[1]Historical!$B$7:$B$1253,0)))^(1/3)-1)*100)</f>
        <v>1.6396356814853519</v>
      </c>
      <c r="U363" s="162">
        <f>IF(INDEX([1]Historical!$H$7:$H$1222,MATCH(B363,[1]Historical!$B$7:$B$1253,0))=0,"n/a",((INDEX([1]Historical!$C$7:$C$1231,MATCH(B363,[1]Historical!$B$7:$B$1253,0))/INDEX([1]Historical!$H$7:$H$1222,MATCH(B363,[1]Historical!$B$7:$B$1253,0)))^(1/5)-1)*100)</f>
        <v>2.517111829582741</v>
      </c>
      <c r="V363" s="162">
        <f>IF(INDEX([1]Historical!$N$7:$N$1222,MATCH(B363,[1]Historical!$B$7:$B$1253,0))=0,"n/a",((INDEX([1]Historical!$C$7:$C$1231,MATCH(B363,[1]Historical!$B$7:$B$1253,0))/INDEX([1]Historical!$N$7:$N$1222,MATCH(B363,[1]Historical!$B$7:$B$1253,0)))^(1/10)-1)*100)</f>
        <v>3.2974381579885303</v>
      </c>
      <c r="W363" s="163">
        <f t="shared" si="93"/>
        <v>0.76335376403789901</v>
      </c>
      <c r="X363" s="164">
        <f t="shared" si="94"/>
        <v>0.14806540174016125</v>
      </c>
      <c r="Y363" s="220"/>
      <c r="Z363" s="157">
        <f t="shared" si="95"/>
        <v>54.503464203233257</v>
      </c>
      <c r="AA363" s="166">
        <f t="shared" si="96"/>
        <v>17.741339491916857</v>
      </c>
      <c r="AB363" s="126">
        <v>12</v>
      </c>
      <c r="AC363" s="167">
        <v>4.33</v>
      </c>
      <c r="AD363" s="167">
        <v>7.71</v>
      </c>
      <c r="AE363" s="167">
        <v>1.76</v>
      </c>
      <c r="AF363" s="167">
        <v>6.38</v>
      </c>
      <c r="AG363" s="167">
        <v>39.5</v>
      </c>
      <c r="AH363" s="167">
        <v>16.400000000000002</v>
      </c>
      <c r="AI363" s="167">
        <v>3.09</v>
      </c>
      <c r="AJ363" s="167">
        <v>17</v>
      </c>
      <c r="AK363" s="167">
        <v>2.2999999999999998</v>
      </c>
      <c r="AL363" s="168">
        <v>25600</v>
      </c>
      <c r="AM363" s="169">
        <v>16.600000000000001</v>
      </c>
      <c r="AN363" s="167">
        <v>1.72</v>
      </c>
      <c r="AO363" s="170">
        <f t="shared" si="97"/>
        <v>-12.152111026041485</v>
      </c>
      <c r="AP363" s="171">
        <f t="shared" si="98"/>
        <v>5.5892284658753733</v>
      </c>
      <c r="AQ363" s="172">
        <f t="shared" si="99"/>
        <v>124.29122532837083</v>
      </c>
      <c r="AR363" s="157">
        <f>INDEX([1]Historical!$C$7:$C$1231,MATCH(B363,[1]Historical!$B$7:$B$1253,0))*IF(AH363="n/a",1.03,IF(AH363&lt;0,1.01,IF(AH363&gt;10,1.1,(1+AH363/100))))</f>
        <v>2.5410000000000004</v>
      </c>
      <c r="AS363" s="166">
        <f t="shared" si="100"/>
        <v>2.6195169000000003</v>
      </c>
      <c r="AT363" s="166">
        <f t="shared" si="106"/>
        <v>2.6797657887000002</v>
      </c>
      <c r="AU363" s="166">
        <f t="shared" si="106"/>
        <v>2.7414004018400999</v>
      </c>
      <c r="AV363" s="166">
        <f t="shared" si="106"/>
        <v>2.8044526110824219</v>
      </c>
      <c r="AW363" s="157">
        <f t="shared" si="102"/>
        <v>13.386135701622523</v>
      </c>
      <c r="AX363" s="173">
        <f t="shared" si="103"/>
        <v>17.425326349417499</v>
      </c>
      <c r="AY363" s="174">
        <v>0.45</v>
      </c>
      <c r="AZ363" s="169">
        <v>29.020000000000003</v>
      </c>
      <c r="BA363" s="169">
        <v>-0.22</v>
      </c>
      <c r="BB363" s="169">
        <v>5.59</v>
      </c>
      <c r="BC363" s="169">
        <v>10.780000000000001</v>
      </c>
      <c r="BE363" s="77">
        <v>2004</v>
      </c>
      <c r="BF363" s="77">
        <f t="shared" si="104"/>
        <v>2</v>
      </c>
      <c r="BG363" s="175">
        <v>8</v>
      </c>
      <c r="BH363" t="s">
        <v>939</v>
      </c>
      <c r="BI363" t="s">
        <v>940</v>
      </c>
    </row>
    <row r="364" spans="1:64" ht="11.25" customHeight="1" x14ac:dyDescent="0.2">
      <c r="A364" s="176" t="s">
        <v>817</v>
      </c>
      <c r="B364" s="153" t="s">
        <v>818</v>
      </c>
      <c r="C364" s="154" t="s">
        <v>94</v>
      </c>
      <c r="D364" s="154" t="s">
        <v>101</v>
      </c>
      <c r="E364" s="155">
        <v>10</v>
      </c>
      <c r="F364" s="298">
        <v>485</v>
      </c>
      <c r="G364" s="298" t="s">
        <v>88</v>
      </c>
      <c r="H364" s="298" t="s">
        <v>88</v>
      </c>
      <c r="I364" s="156">
        <v>177.95</v>
      </c>
      <c r="J364" s="157">
        <f t="shared" si="90"/>
        <v>0.58443382972745161</v>
      </c>
      <c r="K364" s="158">
        <v>0.26</v>
      </c>
      <c r="L364" s="126">
        <v>4</v>
      </c>
      <c r="M364" s="82">
        <f t="shared" si="91"/>
        <v>1.04</v>
      </c>
      <c r="N364" s="159" t="s">
        <v>700</v>
      </c>
      <c r="O364" s="160">
        <v>0.25</v>
      </c>
      <c r="P364" s="161">
        <v>44663</v>
      </c>
      <c r="Q364" s="161">
        <v>44692</v>
      </c>
      <c r="R364" s="82">
        <f t="shared" si="92"/>
        <v>4.0000000000000036</v>
      </c>
      <c r="S364" s="162">
        <f>IF(INDEX([1]Historical!$D$7:$D$1229,MATCH(B364,[1]Historical!$B$7:$B$1253,0))=0,"n/a",(INDEX([1]Historical!$C$7:$C$1231,MATCH(B364,[1]Historical!$B$7:$B$1253,0))/INDEX([1]Historical!$D$7:$D$1229,MATCH(B364,[1]Historical!$B$7:$B$1253,0))-1)*100)</f>
        <v>4.2105263157894868</v>
      </c>
      <c r="T364" s="162">
        <f>IF(INDEX([1]Historical!$F$7:$F$1222,MATCH(B364,[1]Historical!$B$7:$B$1253,0))=0,"n/a",((INDEX([1]Historical!$C$7:$C$1231,MATCH(B364,[1]Historical!$B$7:$B$1253,0))/INDEX([1]Historical!$F$7:$F$1222,MATCH(B364,[1]Historical!$B$7:$B$1253,0)))^(1/3)-1)*100)</f>
        <v>4.4011575622509014</v>
      </c>
      <c r="U364" s="162">
        <f>IF(INDEX([1]Historical!$H$7:$H$1222,MATCH(B364,[1]Historical!$B$7:$B$1253,0))=0,"n/a",((INDEX([1]Historical!$C$7:$C$1231,MATCH(B364,[1]Historical!$B$7:$B$1253,0))/INDEX([1]Historical!$H$7:$H$1222,MATCH(B364,[1]Historical!$B$7:$B$1253,0)))^(1/5)-1)*100)</f>
        <v>5.9938567638061713</v>
      </c>
      <c r="V364" s="162" t="str">
        <f>IF(INDEX([1]Historical!$N$7:$N$1222,MATCH(B364,[1]Historical!$B$7:$B$1253,0))=0,"n/a",((INDEX([1]Historical!$C$7:$C$1231,MATCH(B364,[1]Historical!$B$7:$B$1253,0))/INDEX([1]Historical!$N$7:$N$1222,MATCH(B364,[1]Historical!$B$7:$B$1253,0)))^(1/10)-1)*100)</f>
        <v>n/a</v>
      </c>
      <c r="W364" s="163" t="str">
        <f t="shared" si="93"/>
        <v>n/a</v>
      </c>
      <c r="X364" s="164">
        <f t="shared" si="94"/>
        <v>0.29672558236664209</v>
      </c>
      <c r="Y364" s="242"/>
      <c r="Z364" s="157">
        <f t="shared" si="95"/>
        <v>10.844629822732013</v>
      </c>
      <c r="AA364" s="166">
        <f t="shared" si="96"/>
        <v>18.555787278415014</v>
      </c>
      <c r="AB364" s="126">
        <v>12</v>
      </c>
      <c r="AC364" s="167">
        <v>9.59</v>
      </c>
      <c r="AD364" s="167">
        <v>2.3199999999999998</v>
      </c>
      <c r="AE364" s="167">
        <v>2.33</v>
      </c>
      <c r="AF364" s="167">
        <v>3.44</v>
      </c>
      <c r="AG364" s="167">
        <v>19.400000000000002</v>
      </c>
      <c r="AH364" s="179">
        <v>51.1</v>
      </c>
      <c r="AI364" s="179">
        <v>6.77</v>
      </c>
      <c r="AJ364" s="167">
        <v>20.200000000000003</v>
      </c>
      <c r="AK364" s="167">
        <v>8</v>
      </c>
      <c r="AL364" s="168">
        <v>2020</v>
      </c>
      <c r="AM364" s="169">
        <v>0.3</v>
      </c>
      <c r="AN364" s="167">
        <v>0.38</v>
      </c>
      <c r="AO364" s="170">
        <f t="shared" si="97"/>
        <v>-11.977496684881391</v>
      </c>
      <c r="AP364" s="171">
        <f t="shared" si="98"/>
        <v>6.5782905935336231</v>
      </c>
      <c r="AQ364" s="172">
        <f t="shared" si="99"/>
        <v>68.433182581564097</v>
      </c>
      <c r="AR364" s="157">
        <f>INDEX([1]Historical!$C$7:$C$1231,MATCH(B364,[1]Historical!$B$7:$B$1253,0))*IF(AH364="n/a",1.03,IF(AH364&lt;0,1.01,IF(AH364&gt;10,1.1,(1+AH364/100))))</f>
        <v>1.089</v>
      </c>
      <c r="AS364" s="166">
        <f t="shared" si="100"/>
        <v>1.1627253</v>
      </c>
      <c r="AT364" s="166">
        <f t="shared" si="106"/>
        <v>1.255743324</v>
      </c>
      <c r="AU364" s="166">
        <f t="shared" si="106"/>
        <v>1.35620278992</v>
      </c>
      <c r="AV364" s="166">
        <f t="shared" si="106"/>
        <v>1.4646990131136002</v>
      </c>
      <c r="AW364" s="157">
        <f t="shared" si="102"/>
        <v>6.3283704270336001</v>
      </c>
      <c r="AX364" s="173">
        <f t="shared" si="103"/>
        <v>3.5562632351973029</v>
      </c>
      <c r="AY364" s="174">
        <v>1.1499999999999999</v>
      </c>
      <c r="AZ364" s="169">
        <v>15.409999999999998</v>
      </c>
      <c r="BA364" s="169">
        <v>-26</v>
      </c>
      <c r="BB364" s="169">
        <v>1.97</v>
      </c>
      <c r="BC364" s="169">
        <v>-5.6800000000000006</v>
      </c>
      <c r="BE364" s="77">
        <v>2013</v>
      </c>
      <c r="BF364" s="77">
        <f t="shared" si="104"/>
        <v>1</v>
      </c>
      <c r="BG364" s="175">
        <v>9.9</v>
      </c>
      <c r="BH364" t="s">
        <v>939</v>
      </c>
      <c r="BI364" t="s">
        <v>940</v>
      </c>
    </row>
    <row r="365" spans="1:64" ht="11.25" customHeight="1" x14ac:dyDescent="0.2">
      <c r="A365" s="112" t="s">
        <v>1470</v>
      </c>
      <c r="B365" s="153" t="s">
        <v>697</v>
      </c>
      <c r="C365" s="154" t="s">
        <v>96</v>
      </c>
      <c r="D365" s="154" t="s">
        <v>956</v>
      </c>
      <c r="E365" s="155">
        <v>11</v>
      </c>
      <c r="F365" s="298">
        <v>403</v>
      </c>
      <c r="G365" s="298" t="s">
        <v>88</v>
      </c>
      <c r="H365" s="298" t="s">
        <v>88</v>
      </c>
      <c r="I365" s="156">
        <v>80.790000000000006</v>
      </c>
      <c r="J365" s="157">
        <f t="shared" si="90"/>
        <v>3.8123530139868791</v>
      </c>
      <c r="K365" s="158">
        <v>0.77</v>
      </c>
      <c r="L365" s="126">
        <v>4</v>
      </c>
      <c r="M365" s="82">
        <f t="shared" si="91"/>
        <v>3.08</v>
      </c>
      <c r="N365" s="159" t="s">
        <v>89</v>
      </c>
      <c r="O365" s="160">
        <v>0.72</v>
      </c>
      <c r="P365" s="161">
        <v>44582</v>
      </c>
      <c r="Q365" s="161">
        <v>44607</v>
      </c>
      <c r="R365" s="82">
        <f t="shared" si="92"/>
        <v>6.94444444444445</v>
      </c>
      <c r="S365" s="162">
        <f>IF(INDEX([1]Historical!$D$7:$D$1229,MATCH(B365,[1]Historical!$B$7:$B$1253,0))=0,"n/a",(INDEX([1]Historical!$C$7:$C$1231,MATCH(B365,[1]Historical!$B$7:$B$1253,0))/INDEX([1]Historical!$D$7:$D$1229,MATCH(B365,[1]Historical!$B$7:$B$1253,0))-1)*100)</f>
        <v>7.4626865671641784</v>
      </c>
      <c r="T365" s="162">
        <f>IF(INDEX([1]Historical!$F$7:$F$1222,MATCH(B365,[1]Historical!$B$7:$B$1253,0))=0,"n/a",((INDEX([1]Historical!$C$7:$C$1231,MATCH(B365,[1]Historical!$B$7:$B$1253,0))/INDEX([1]Historical!$F$7:$F$1222,MATCH(B365,[1]Historical!$B$7:$B$1253,0)))^(1/3)-1)*100)</f>
        <v>9.3931015185737543</v>
      </c>
      <c r="U365" s="162">
        <f>IF(INDEX([1]Historical!$H$7:$H$1222,MATCH(B365,[1]Historical!$B$7:$B$1253,0))=0,"n/a",((INDEX([1]Historical!$C$7:$C$1231,MATCH(B365,[1]Historical!$B$7:$B$1253,0))/INDEX([1]Historical!$H$7:$H$1222,MATCH(B365,[1]Historical!$B$7:$B$1253,0)))^(1/5)-1)*100)</f>
        <v>9.8560543306117623</v>
      </c>
      <c r="V365" s="162">
        <f>IF(INDEX([1]Historical!$N$7:$N$1222,MATCH(B365,[1]Historical!$B$7:$B$1253,0))=0,"n/a",((INDEX([1]Historical!$C$7:$C$1231,MATCH(B365,[1]Historical!$B$7:$B$1253,0))/INDEX([1]Historical!$N$7:$N$1222,MATCH(B365,[1]Historical!$B$7:$B$1253,0)))^(1/10)-1)*100)</f>
        <v>11.612317403390438</v>
      </c>
      <c r="W365" s="163">
        <f t="shared" si="93"/>
        <v>0.84875860590359842</v>
      </c>
      <c r="X365" s="164" t="str">
        <f t="shared" si="94"/>
        <v>n/a</v>
      </c>
      <c r="Y365" s="178"/>
      <c r="Z365" s="157" t="str">
        <f t="shared" si="95"/>
        <v>n/a</v>
      </c>
      <c r="AA365" s="166" t="str">
        <f t="shared" si="96"/>
        <v>n/a</v>
      </c>
      <c r="AB365" s="126">
        <v>12</v>
      </c>
      <c r="AC365" s="167">
        <v>-0.1</v>
      </c>
      <c r="AD365" s="167" t="s">
        <v>95</v>
      </c>
      <c r="AE365" s="167">
        <v>0.37</v>
      </c>
      <c r="AF365" s="167">
        <v>1.96</v>
      </c>
      <c r="AG365" s="167">
        <v>-0.2</v>
      </c>
      <c r="AH365" s="179">
        <v>-164.5</v>
      </c>
      <c r="AI365" s="179">
        <v>210.6</v>
      </c>
      <c r="AJ365" s="167">
        <v>-17.399999999999999</v>
      </c>
      <c r="AK365" s="167">
        <v>-2.62</v>
      </c>
      <c r="AL365" s="168">
        <v>1270</v>
      </c>
      <c r="AM365" s="169">
        <v>1.0999999999999999</v>
      </c>
      <c r="AN365" s="167">
        <v>0</v>
      </c>
      <c r="AO365" s="170" t="str">
        <f t="shared" si="97"/>
        <v>n/a</v>
      </c>
      <c r="AP365" s="171">
        <f t="shared" si="98"/>
        <v>13.668407344598641</v>
      </c>
      <c r="AQ365" s="172" t="str">
        <f t="shared" si="99"/>
        <v>n/a</v>
      </c>
      <c r="AR365" s="157">
        <f>INDEX([1]Historical!$C$7:$C$1231,MATCH(B365,[1]Historical!$B$7:$B$1253,0))*IF(AH365="n/a",1.03,IF(AH365&lt;0,1.01,IF(AH365&gt;10,1.1,(1+AH365/100))))</f>
        <v>2.9087999999999998</v>
      </c>
      <c r="AS365" s="166">
        <f t="shared" si="100"/>
        <v>3.1996799999999999</v>
      </c>
      <c r="AT365" s="166">
        <f t="shared" si="106"/>
        <v>3.2316767999999998</v>
      </c>
      <c r="AU365" s="166">
        <f t="shared" si="106"/>
        <v>3.2639935679999996</v>
      </c>
      <c r="AV365" s="166">
        <f t="shared" si="106"/>
        <v>3.2966335036799999</v>
      </c>
      <c r="AW365" s="157">
        <f t="shared" si="102"/>
        <v>15.900783871679998</v>
      </c>
      <c r="AX365" s="173">
        <f t="shared" si="103"/>
        <v>19.681623804530261</v>
      </c>
      <c r="AY365" s="174">
        <v>1.1599999999999999</v>
      </c>
      <c r="AZ365" s="169">
        <v>36.380000000000003</v>
      </c>
      <c r="BA365" s="169">
        <v>-27.139999999999997</v>
      </c>
      <c r="BB365" s="169">
        <v>12.41</v>
      </c>
      <c r="BC365" s="169">
        <v>-5.6899999999999995</v>
      </c>
      <c r="BE365" s="77">
        <v>2012</v>
      </c>
      <c r="BF365" s="77">
        <f t="shared" si="104"/>
        <v>1</v>
      </c>
      <c r="BG365" s="175">
        <v>-0.1</v>
      </c>
      <c r="BH365" t="s">
        <v>939</v>
      </c>
      <c r="BI365" t="s">
        <v>940</v>
      </c>
    </row>
    <row r="366" spans="1:64" ht="11.25" customHeight="1" x14ac:dyDescent="0.2">
      <c r="A366" s="112" t="s">
        <v>631</v>
      </c>
      <c r="B366" s="153" t="s">
        <v>632</v>
      </c>
      <c r="C366" s="154" t="s">
        <v>90</v>
      </c>
      <c r="D366" s="154" t="s">
        <v>969</v>
      </c>
      <c r="E366" s="155">
        <v>11</v>
      </c>
      <c r="F366" s="298">
        <v>395</v>
      </c>
      <c r="G366" s="298" t="s">
        <v>30</v>
      </c>
      <c r="H366" s="298" t="s">
        <v>104</v>
      </c>
      <c r="I366" s="156">
        <v>17.87</v>
      </c>
      <c r="J366" s="157">
        <f t="shared" si="90"/>
        <v>4.3648573027420259</v>
      </c>
      <c r="K366" s="158">
        <v>0.19500000000000001</v>
      </c>
      <c r="L366" s="126">
        <v>4</v>
      </c>
      <c r="M366" s="82">
        <f t="shared" si="91"/>
        <v>0.78</v>
      </c>
      <c r="N366" s="159" t="s">
        <v>167</v>
      </c>
      <c r="O366" s="160">
        <v>0.185</v>
      </c>
      <c r="P366" s="224">
        <v>44529</v>
      </c>
      <c r="Q366" s="224">
        <v>44545</v>
      </c>
      <c r="R366" s="82">
        <f t="shared" si="92"/>
        <v>5.4054054054054106</v>
      </c>
      <c r="S366" s="162">
        <f>IF(INDEX([1]Historical!$D$7:$D$1229,MATCH(B366,[1]Historical!$B$7:$B$1253,0))=0,"n/a",(INDEX([1]Historical!$C$7:$C$1231,MATCH(B366,[1]Historical!$B$7:$B$1253,0))/INDEX([1]Historical!$D$7:$D$1229,MATCH(B366,[1]Historical!$B$7:$B$1253,0))-1)*100)</f>
        <v>1.3513513513513598</v>
      </c>
      <c r="T366" s="162">
        <f>IF(INDEX([1]Historical!$F$7:$F$1222,MATCH(B366,[1]Historical!$B$7:$B$1253,0))=0,"n/a",((INDEX([1]Historical!$C$7:$C$1231,MATCH(B366,[1]Historical!$B$7:$B$1253,0))/INDEX([1]Historical!$F$7:$F$1222,MATCH(B366,[1]Historical!$B$7:$B$1253,0)))^(1/3)-1)*100)</f>
        <v>9.9016649653548061</v>
      </c>
      <c r="U366" s="162">
        <f>IF(INDEX([1]Historical!$H$7:$H$1222,MATCH(B366,[1]Historical!$B$7:$B$1253,0))=0,"n/a",((INDEX([1]Historical!$C$7:$C$1231,MATCH(B366,[1]Historical!$B$7:$B$1253,0))/INDEX([1]Historical!$H$7:$H$1222,MATCH(B366,[1]Historical!$B$7:$B$1253,0)))^(1/5)-1)*100)</f>
        <v>17.844539784792257</v>
      </c>
      <c r="V366" s="162">
        <f>IF(INDEX([1]Historical!$N$7:$N$1222,MATCH(B366,[1]Historical!$B$7:$B$1253,0))=0,"n/a",((INDEX([1]Historical!$C$7:$C$1231,MATCH(B366,[1]Historical!$B$7:$B$1253,0))/INDEX([1]Historical!$N$7:$N$1222,MATCH(B366,[1]Historical!$B$7:$B$1253,0)))^(1/10)-1)*100)</f>
        <v>22.322437424163709</v>
      </c>
      <c r="W366" s="163">
        <f t="shared" si="93"/>
        <v>0.79939925222842401</v>
      </c>
      <c r="X366" s="164">
        <f t="shared" si="94"/>
        <v>0.66833482340045902</v>
      </c>
      <c r="Y366" s="220"/>
      <c r="Z366" s="157">
        <f t="shared" si="95"/>
        <v>35.779816513761467</v>
      </c>
      <c r="AA366" s="166">
        <f t="shared" si="96"/>
        <v>8.1972477064220186</v>
      </c>
      <c r="AB366" s="126">
        <v>12</v>
      </c>
      <c r="AC366" s="167">
        <v>2.1800000000000002</v>
      </c>
      <c r="AD366" s="167">
        <v>11.52</v>
      </c>
      <c r="AE366" s="167">
        <v>3.44</v>
      </c>
      <c r="AF366" s="167">
        <v>1.34</v>
      </c>
      <c r="AG366" s="167">
        <v>16.400000000000002</v>
      </c>
      <c r="AH366" s="167">
        <v>108.60000000000001</v>
      </c>
      <c r="AI366" s="167">
        <v>8.44</v>
      </c>
      <c r="AJ366" s="167">
        <v>26.700000000000003</v>
      </c>
      <c r="AK366" s="167">
        <v>0.72</v>
      </c>
      <c r="AL366" s="168">
        <v>16560</v>
      </c>
      <c r="AM366" s="169">
        <v>0.1</v>
      </c>
      <c r="AN366" s="167">
        <v>1.33</v>
      </c>
      <c r="AO366" s="170">
        <f t="shared" si="97"/>
        <v>14.012149381112266</v>
      </c>
      <c r="AP366" s="171">
        <f t="shared" si="98"/>
        <v>22.209397087534285</v>
      </c>
      <c r="AQ366" s="172">
        <f t="shared" si="99"/>
        <v>-30.129287882370427</v>
      </c>
      <c r="AR366" s="157">
        <f>INDEX([1]Historical!$C$7:$C$1231,MATCH(B366,[1]Historical!$B$7:$B$1253,0))*IF(AH366="n/a",1.03,IF(AH366&lt;0,1.01,IF(AH366&gt;10,1.1,(1+AH366/100))))</f>
        <v>0.82500000000000007</v>
      </c>
      <c r="AS366" s="166">
        <f t="shared" si="100"/>
        <v>0.89463000000000015</v>
      </c>
      <c r="AT366" s="166">
        <f t="shared" si="106"/>
        <v>0.90107133600000022</v>
      </c>
      <c r="AU366" s="166">
        <f t="shared" si="106"/>
        <v>0.90755904961920031</v>
      </c>
      <c r="AV366" s="166">
        <f t="shared" si="106"/>
        <v>0.91409347477645864</v>
      </c>
      <c r="AW366" s="157">
        <f t="shared" si="102"/>
        <v>4.4423538603956594</v>
      </c>
      <c r="AX366" s="173">
        <f t="shared" si="103"/>
        <v>24.859282934502851</v>
      </c>
      <c r="AY366" s="174">
        <v>1.3</v>
      </c>
      <c r="AZ366" s="169">
        <v>17.14</v>
      </c>
      <c r="BA366" s="169">
        <v>-34.229999999999997</v>
      </c>
      <c r="BB366" s="169">
        <v>3.17</v>
      </c>
      <c r="BC366" s="169">
        <v>-11.03</v>
      </c>
      <c r="BE366" s="77">
        <v>2011</v>
      </c>
      <c r="BF366" s="77">
        <f t="shared" si="104"/>
        <v>1</v>
      </c>
      <c r="BG366" s="175">
        <v>1.3</v>
      </c>
      <c r="BH366" t="s">
        <v>939</v>
      </c>
      <c r="BI366" t="s">
        <v>940</v>
      </c>
    </row>
    <row r="367" spans="1:64" ht="11.25" customHeight="1" x14ac:dyDescent="0.2">
      <c r="A367" s="205" t="s">
        <v>1770</v>
      </c>
      <c r="B367" s="153" t="s">
        <v>1771</v>
      </c>
      <c r="C367" s="154" t="s">
        <v>94</v>
      </c>
      <c r="D367" s="154" t="s">
        <v>1031</v>
      </c>
      <c r="E367" s="155">
        <v>5</v>
      </c>
      <c r="F367" s="298">
        <v>700</v>
      </c>
      <c r="G367" s="298" t="s">
        <v>88</v>
      </c>
      <c r="H367" s="298" t="s">
        <v>88</v>
      </c>
      <c r="I367" s="156">
        <v>63.27</v>
      </c>
      <c r="J367" s="157">
        <f t="shared" si="90"/>
        <v>1.8966334755808438</v>
      </c>
      <c r="K367" s="158">
        <v>0.3</v>
      </c>
      <c r="L367" s="126">
        <v>4</v>
      </c>
      <c r="M367" s="82">
        <f t="shared" si="91"/>
        <v>1.2</v>
      </c>
      <c r="N367" s="159" t="s">
        <v>156</v>
      </c>
      <c r="O367" s="160">
        <v>0.26</v>
      </c>
      <c r="P367" s="161">
        <v>44630</v>
      </c>
      <c r="Q367" s="161">
        <v>44645</v>
      </c>
      <c r="R367" s="82">
        <f t="shared" si="92"/>
        <v>15.384615384615378</v>
      </c>
      <c r="S367" s="162">
        <f>IF(INDEX([1]Historical!$D$7:$D$1229,MATCH(B367,[1]Historical!$B$7:$B$1253,0))=0,"n/a",(INDEX([1]Historical!$C$7:$C$1231,MATCH(B367,[1]Historical!$B$7:$B$1253,0))/INDEX([1]Historical!$D$7:$D$1229,MATCH(B367,[1]Historical!$B$7:$B$1253,0))-1)*100)</f>
        <v>22.499999999999986</v>
      </c>
      <c r="T367" s="162">
        <f>IF(INDEX([1]Historical!$F$7:$F$1222,MATCH(B367,[1]Historical!$B$7:$B$1253,0))=0,"n/a",((INDEX([1]Historical!$C$7:$C$1231,MATCH(B367,[1]Historical!$B$7:$B$1253,0))/INDEX([1]Historical!$F$7:$F$1222,MATCH(B367,[1]Historical!$B$7:$B$1253,0)))^(1/3)-1)*100)</f>
        <v>17.767360601798199</v>
      </c>
      <c r="U367" s="162">
        <f>IF(INDEX([1]Historical!$H$7:$H$1222,MATCH(B367,[1]Historical!$B$7:$B$1253,0))=0,"n/a",((INDEX([1]Historical!$C$7:$C$1231,MATCH(B367,[1]Historical!$B$7:$B$1253,0))/INDEX([1]Historical!$H$7:$H$1222,MATCH(B367,[1]Historical!$B$7:$B$1253,0)))^(1/5)-1)*100)</f>
        <v>15.344520419276764</v>
      </c>
      <c r="V367" s="162" t="str">
        <f>IF(INDEX([1]Historical!$N$7:$N$1222,MATCH(B367,[1]Historical!$B$7:$B$1253,0))=0,"n/a",((INDEX([1]Historical!$C$7:$C$1231,MATCH(B367,[1]Historical!$B$7:$B$1253,0))/INDEX([1]Historical!$N$7:$N$1222,MATCH(B367,[1]Historical!$B$7:$B$1253,0)))^(1/10)-1)*100)</f>
        <v>n/a</v>
      </c>
      <c r="W367" s="163" t="str">
        <f t="shared" si="93"/>
        <v>n/a</v>
      </c>
      <c r="X367" s="164">
        <f t="shared" si="94"/>
        <v>0.6614017422102052</v>
      </c>
      <c r="Y367" s="180"/>
      <c r="Z367" s="157">
        <f t="shared" si="95"/>
        <v>28.846153846153843</v>
      </c>
      <c r="AA367" s="166">
        <f t="shared" si="96"/>
        <v>15.209134615384615</v>
      </c>
      <c r="AB367" s="126">
        <v>12</v>
      </c>
      <c r="AC367" s="167">
        <v>4.16</v>
      </c>
      <c r="AD367" s="167">
        <v>1.02</v>
      </c>
      <c r="AE367" s="167">
        <v>0.78</v>
      </c>
      <c r="AF367" s="167">
        <v>6.11</v>
      </c>
      <c r="AG367" s="167">
        <v>44.1</v>
      </c>
      <c r="AH367" s="167">
        <v>35.299999999999997</v>
      </c>
      <c r="AI367" s="167">
        <v>-1.6099999999999999</v>
      </c>
      <c r="AJ367" s="167">
        <v>23.200000000000003</v>
      </c>
      <c r="AK367" s="167">
        <v>15</v>
      </c>
      <c r="AL367" s="168">
        <v>1300</v>
      </c>
      <c r="AM367" s="169">
        <v>3.6999999999999997</v>
      </c>
      <c r="AN367" s="167">
        <v>0</v>
      </c>
      <c r="AO367" s="170">
        <f t="shared" si="97"/>
        <v>2.0320192794729923</v>
      </c>
      <c r="AP367" s="171">
        <f t="shared" si="98"/>
        <v>17.241153894857607</v>
      </c>
      <c r="AQ367" s="172">
        <f t="shared" si="99"/>
        <v>103.22708972969133</v>
      </c>
      <c r="AR367" s="157">
        <f>INDEX([1]Historical!$C$7:$C$1231,MATCH(B367,[1]Historical!$B$7:$B$1253,0))*IF(AH367="n/a",1.03,IF(AH367&lt;0,1.01,IF(AH367&gt;10,1.1,(1+AH367/100))))</f>
        <v>1.0780000000000001</v>
      </c>
      <c r="AS367" s="166">
        <f t="shared" si="100"/>
        <v>1.0887800000000001</v>
      </c>
      <c r="AT367" s="166">
        <f t="shared" si="106"/>
        <v>1.1976580000000001</v>
      </c>
      <c r="AU367" s="166">
        <f t="shared" si="106"/>
        <v>1.3174238000000003</v>
      </c>
      <c r="AV367" s="166">
        <f t="shared" si="106"/>
        <v>1.4491661800000004</v>
      </c>
      <c r="AW367" s="157">
        <f t="shared" si="102"/>
        <v>6.1310279800000007</v>
      </c>
      <c r="AX367" s="173">
        <f t="shared" si="103"/>
        <v>9.6902607554923339</v>
      </c>
      <c r="AY367" s="174">
        <v>0.98</v>
      </c>
      <c r="AZ367" s="169">
        <v>16.43</v>
      </c>
      <c r="BA367" s="169">
        <v>-22.34</v>
      </c>
      <c r="BB367" s="169">
        <v>6.54</v>
      </c>
      <c r="BC367" s="169">
        <v>-3.51</v>
      </c>
      <c r="BE367" s="77">
        <v>2018</v>
      </c>
      <c r="BF367" s="77">
        <f t="shared" si="104"/>
        <v>1</v>
      </c>
      <c r="BG367" s="175">
        <v>17.399999999999999</v>
      </c>
      <c r="BH367" t="s">
        <v>939</v>
      </c>
      <c r="BI367" t="s">
        <v>940</v>
      </c>
      <c r="BJ367" s="112"/>
      <c r="BK367" s="112"/>
      <c r="BL367" s="112"/>
    </row>
    <row r="368" spans="1:64" ht="11.25" customHeight="1" x14ac:dyDescent="0.2">
      <c r="A368" s="112" t="s">
        <v>1471</v>
      </c>
      <c r="B368" s="153" t="s">
        <v>349</v>
      </c>
      <c r="C368" s="154" t="s">
        <v>922</v>
      </c>
      <c r="D368" s="154" t="s">
        <v>950</v>
      </c>
      <c r="E368" s="155">
        <v>13</v>
      </c>
      <c r="F368" s="298">
        <v>296</v>
      </c>
      <c r="G368" s="298" t="s">
        <v>88</v>
      </c>
      <c r="H368" s="298" t="s">
        <v>88</v>
      </c>
      <c r="I368" s="156">
        <v>316.45</v>
      </c>
      <c r="J368" s="157">
        <f t="shared" si="90"/>
        <v>1.6432295781324064</v>
      </c>
      <c r="K368" s="158">
        <v>1.3</v>
      </c>
      <c r="L368" s="126">
        <v>4</v>
      </c>
      <c r="M368" s="82">
        <f t="shared" si="91"/>
        <v>5.2</v>
      </c>
      <c r="N368" s="159" t="s">
        <v>116</v>
      </c>
      <c r="O368" s="160">
        <v>1.05</v>
      </c>
      <c r="P368" s="161">
        <v>44785</v>
      </c>
      <c r="Q368" s="161">
        <v>44805</v>
      </c>
      <c r="R368" s="82">
        <f t="shared" si="92"/>
        <v>23.809523809523807</v>
      </c>
      <c r="S368" s="162">
        <f>IF(INDEX([1]Historical!$D$7:$D$1229,MATCH(B368,[1]Historical!$B$7:$B$1253,0))=0,"n/a",(INDEX([1]Historical!$C$7:$C$1231,MATCH(B368,[1]Historical!$B$7:$B$1253,0))/INDEX([1]Historical!$D$7:$D$1229,MATCH(B368,[1]Historical!$B$7:$B$1253,0))-1)*100)</f>
        <v>11.428571428571432</v>
      </c>
      <c r="T368" s="162">
        <f>IF(INDEX([1]Historical!$F$7:$F$1222,MATCH(B368,[1]Historical!$B$7:$B$1253,0))=0,"n/a",((INDEX([1]Historical!$C$7:$C$1231,MATCH(B368,[1]Historical!$B$7:$B$1253,0))/INDEX([1]Historical!$F$7:$F$1222,MATCH(B368,[1]Historical!$B$7:$B$1253,0)))^(1/3)-1)*100)</f>
        <v>11.151524162092175</v>
      </c>
      <c r="U368" s="162">
        <f>IF(INDEX([1]Historical!$H$7:$H$1222,MATCH(B368,[1]Historical!$B$7:$B$1253,0))=0,"n/a",((INDEX([1]Historical!$C$7:$C$1231,MATCH(B368,[1]Historical!$B$7:$B$1253,0))/INDEX([1]Historical!$H$7:$H$1222,MATCH(B368,[1]Historical!$B$7:$B$1253,0)))^(1/5)-1)*100)</f>
        <v>13.179836563100178</v>
      </c>
      <c r="V368" s="162">
        <f>IF(INDEX([1]Historical!$N$7:$N$1222,MATCH(B368,[1]Historical!$B$7:$B$1253,0))=0,"n/a",((INDEX([1]Historical!$C$7:$C$1231,MATCH(B368,[1]Historical!$B$7:$B$1253,0))/INDEX([1]Historical!$N$7:$N$1222,MATCH(B368,[1]Historical!$B$7:$B$1253,0)))^(1/10)-1)*100)</f>
        <v>12.509277580028201</v>
      </c>
      <c r="W368" s="163">
        <f t="shared" si="93"/>
        <v>1.0536049327214998</v>
      </c>
      <c r="X368" s="164">
        <f t="shared" si="94"/>
        <v>0.43786832435548767</v>
      </c>
      <c r="Y368" s="212"/>
      <c r="Z368" s="157">
        <f t="shared" si="95"/>
        <v>23.486901535682023</v>
      </c>
      <c r="AA368" s="166">
        <f t="shared" si="96"/>
        <v>14.293134598012646</v>
      </c>
      <c r="AB368" s="126">
        <v>6</v>
      </c>
      <c r="AC368" s="167">
        <v>22.14</v>
      </c>
      <c r="AD368" s="167">
        <v>3.64</v>
      </c>
      <c r="AE368" s="167">
        <v>4.45</v>
      </c>
      <c r="AF368" s="167">
        <v>34.020000000000003</v>
      </c>
      <c r="AG368" s="179">
        <v>94.1</v>
      </c>
      <c r="AH368" s="167">
        <v>63.9</v>
      </c>
      <c r="AI368" s="167">
        <v>-23.549999999999997</v>
      </c>
      <c r="AJ368" s="167">
        <v>30.099999999999998</v>
      </c>
      <c r="AK368" s="167">
        <v>3.9800000000000004</v>
      </c>
      <c r="AL368" s="168">
        <v>43800</v>
      </c>
      <c r="AM368" s="169">
        <v>0.3</v>
      </c>
      <c r="AN368" s="179">
        <v>4.75</v>
      </c>
      <c r="AO368" s="170">
        <f t="shared" si="97"/>
        <v>0.52993154321993785</v>
      </c>
      <c r="AP368" s="171">
        <f t="shared" si="98"/>
        <v>14.823066141232584</v>
      </c>
      <c r="AQ368" s="172">
        <f t="shared" si="99"/>
        <v>364.87868860806174</v>
      </c>
      <c r="AR368" s="157">
        <f>INDEX([1]Historical!$C$7:$C$1231,MATCH(B368,[1]Historical!$B$7:$B$1253,0))*IF(AH368="n/a",1.03,IF(AH368&lt;0,1.01,IF(AH368&gt;10,1.1,(1+AH368/100))))</f>
        <v>4.29</v>
      </c>
      <c r="AS368" s="166">
        <f t="shared" si="100"/>
        <v>4.3329000000000004</v>
      </c>
      <c r="AT368" s="166">
        <f t="shared" si="106"/>
        <v>4.5053494200000008</v>
      </c>
      <c r="AU368" s="166">
        <f t="shared" si="106"/>
        <v>4.6846623269160013</v>
      </c>
      <c r="AV368" s="166">
        <f t="shared" si="106"/>
        <v>4.8711118875272588</v>
      </c>
      <c r="AW368" s="157">
        <f t="shared" si="102"/>
        <v>22.684023634443264</v>
      </c>
      <c r="AX368" s="173">
        <f t="shared" si="103"/>
        <v>7.1682804975330274</v>
      </c>
      <c r="AY368" s="174">
        <v>1.32</v>
      </c>
      <c r="AZ368" s="169">
        <v>26.479999999999997</v>
      </c>
      <c r="BA368" s="169">
        <v>-30.769999999999996</v>
      </c>
      <c r="BB368" s="169">
        <v>-1.5699999999999998</v>
      </c>
      <c r="BC368" s="169">
        <v>-7.89</v>
      </c>
      <c r="BE368" s="77">
        <v>2010</v>
      </c>
      <c r="BF368" s="77">
        <f t="shared" si="104"/>
        <v>1</v>
      </c>
      <c r="BG368" s="175">
        <v>26.6</v>
      </c>
      <c r="BH368" t="s">
        <v>939</v>
      </c>
      <c r="BI368" t="s">
        <v>940</v>
      </c>
    </row>
    <row r="369" spans="1:64" s="252" customFormat="1" ht="11.25" customHeight="1" x14ac:dyDescent="0.2">
      <c r="A369" s="208" t="s">
        <v>1472</v>
      </c>
      <c r="B369" s="184" t="s">
        <v>348</v>
      </c>
      <c r="C369" s="154" t="s">
        <v>127</v>
      </c>
      <c r="D369" s="154" t="s">
        <v>1018</v>
      </c>
      <c r="E369" s="185">
        <v>50</v>
      </c>
      <c r="F369" s="298">
        <v>40</v>
      </c>
      <c r="G369" s="297" t="s">
        <v>104</v>
      </c>
      <c r="H369" s="297" t="s">
        <v>30</v>
      </c>
      <c r="I369" s="195">
        <v>124.46</v>
      </c>
      <c r="J369" s="187">
        <f t="shared" si="90"/>
        <v>3.7281054153945044</v>
      </c>
      <c r="K369" s="188">
        <v>1.1599999999999999</v>
      </c>
      <c r="L369" s="189">
        <v>4</v>
      </c>
      <c r="M369" s="190">
        <f t="shared" si="91"/>
        <v>4.6399999999999997</v>
      </c>
      <c r="N369" s="191" t="s">
        <v>99</v>
      </c>
      <c r="O369" s="192">
        <v>1.1399999999999999</v>
      </c>
      <c r="P369" s="193">
        <v>44623</v>
      </c>
      <c r="Q369" s="193">
        <v>44655</v>
      </c>
      <c r="R369" s="190">
        <f t="shared" si="92"/>
        <v>1.7543859649122824</v>
      </c>
      <c r="S369" s="162">
        <f>IF(INDEX([1]Historical!$D$7:$D$1229,MATCH(B369,[1]Historical!$B$7:$B$1253,0))=0,"n/a",(INDEX([1]Historical!$C$7:$C$1231,MATCH(B369,[1]Historical!$B$7:$B$1253,0))/INDEX([1]Historical!$D$7:$D$1229,MATCH(B369,[1]Historical!$B$7:$B$1253,0))-1)*100)</f>
        <v>5.89622641509433</v>
      </c>
      <c r="T369" s="162">
        <f>IF(INDEX([1]Historical!$F$7:$F$1222,MATCH(B369,[1]Historical!$B$7:$B$1253,0))=0,"n/a",((INDEX([1]Historical!$C$7:$C$1231,MATCH(B369,[1]Historical!$B$7:$B$1253,0))/INDEX([1]Historical!$F$7:$F$1222,MATCH(B369,[1]Historical!$B$7:$B$1253,0)))^(1/3)-1)*100)</f>
        <v>4.1882183227191838</v>
      </c>
      <c r="U369" s="162">
        <f>IF(INDEX([1]Historical!$H$7:$H$1222,MATCH(B369,[1]Historical!$B$7:$B$1253,0))=0,"n/a",((INDEX([1]Historical!$C$7:$C$1231,MATCH(B369,[1]Historical!$B$7:$B$1253,0))/INDEX([1]Historical!$H$7:$H$1222,MATCH(B369,[1]Historical!$B$7:$B$1253,0)))^(1/5)-1)*100)</f>
        <v>4.2867159466835059</v>
      </c>
      <c r="V369" s="162">
        <f>IF(INDEX([1]Historical!$N$7:$N$1222,MATCH(B369,[1]Historical!$B$7:$B$1253,0))=0,"n/a",((INDEX([1]Historical!$C$7:$C$1231,MATCH(B369,[1]Historical!$B$7:$B$1253,0))/INDEX([1]Historical!$N$7:$N$1222,MATCH(B369,[1]Historical!$B$7:$B$1253,0)))^(1/10)-1)*100)</f>
        <v>5.281149010857078</v>
      </c>
      <c r="W369" s="163">
        <f t="shared" si="93"/>
        <v>0.81170138124692193</v>
      </c>
      <c r="X369" s="164" t="str">
        <f t="shared" si="94"/>
        <v>n/a</v>
      </c>
      <c r="Y369" s="221"/>
      <c r="Z369" s="187">
        <f t="shared" si="95"/>
        <v>88.045540796963948</v>
      </c>
      <c r="AA369" s="194">
        <f t="shared" si="96"/>
        <v>23.616698292220114</v>
      </c>
      <c r="AB369" s="189">
        <v>12</v>
      </c>
      <c r="AC369" s="195">
        <v>5.27</v>
      </c>
      <c r="AD369" s="195">
        <v>4.21</v>
      </c>
      <c r="AE369" s="195">
        <v>2.0299999999999998</v>
      </c>
      <c r="AF369" s="215">
        <v>96.34</v>
      </c>
      <c r="AG369" s="215">
        <v>317.3</v>
      </c>
      <c r="AH369" s="195">
        <v>-22</v>
      </c>
      <c r="AI369" s="195">
        <v>12.53</v>
      </c>
      <c r="AJ369" s="195">
        <v>-2.1999999999999997</v>
      </c>
      <c r="AK369" s="195">
        <v>5.6000000000000005</v>
      </c>
      <c r="AL369" s="196">
        <v>40940</v>
      </c>
      <c r="AM369" s="197">
        <v>0.16999999999999998</v>
      </c>
      <c r="AN369" s="291">
        <v>20.239999999999998</v>
      </c>
      <c r="AO369" s="198">
        <f t="shared" si="97"/>
        <v>-15.601876930142105</v>
      </c>
      <c r="AP369" s="199">
        <f t="shared" si="98"/>
        <v>8.0148213620780098</v>
      </c>
      <c r="AQ369" s="172">
        <f t="shared" si="99"/>
        <v>905.59163646139427</v>
      </c>
      <c r="AR369" s="157">
        <f>INDEX([1]Historical!$C$7:$C$1231,MATCH(B369,[1]Historical!$B$7:$B$1253,0))*IF(AH369="n/a",1.03,IF(AH369&lt;0,1.01,IF(AH369&gt;10,1.1,(1+AH369/100))))</f>
        <v>4.5349000000000004</v>
      </c>
      <c r="AS369" s="194">
        <f t="shared" si="100"/>
        <v>4.9883900000000008</v>
      </c>
      <c r="AT369" s="194">
        <f t="shared" si="106"/>
        <v>5.2677398400000008</v>
      </c>
      <c r="AU369" s="194">
        <f t="shared" si="106"/>
        <v>5.5627332710400008</v>
      </c>
      <c r="AV369" s="194">
        <f t="shared" si="106"/>
        <v>5.8742463342182409</v>
      </c>
      <c r="AW369" s="187">
        <f t="shared" si="102"/>
        <v>26.228009445258245</v>
      </c>
      <c r="AX369" s="200">
        <f t="shared" si="103"/>
        <v>21.073444837906351</v>
      </c>
      <c r="AY369" s="201">
        <v>0.41</v>
      </c>
      <c r="AZ369" s="197">
        <v>14.46</v>
      </c>
      <c r="BA369" s="197">
        <v>-14.63</v>
      </c>
      <c r="BB369" s="197">
        <v>2.8000000000000003</v>
      </c>
      <c r="BC369" s="197">
        <v>-3.61</v>
      </c>
      <c r="BD369" s="202"/>
      <c r="BE369" s="77">
        <v>1973</v>
      </c>
      <c r="BF369" s="77">
        <f t="shared" si="104"/>
        <v>6</v>
      </c>
      <c r="BG369" s="203">
        <v>9.8000000000000007</v>
      </c>
      <c r="BH369" t="s">
        <v>939</v>
      </c>
      <c r="BI369" t="s">
        <v>940</v>
      </c>
    </row>
    <row r="370" spans="1:64" ht="11.25" customHeight="1" x14ac:dyDescent="0.2">
      <c r="A370" s="205" t="s">
        <v>1819</v>
      </c>
      <c r="B370" s="153" t="s">
        <v>1820</v>
      </c>
      <c r="C370" s="154" t="s">
        <v>109</v>
      </c>
      <c r="D370" s="154" t="s">
        <v>1028</v>
      </c>
      <c r="E370" s="155">
        <v>5</v>
      </c>
      <c r="F370" s="298">
        <v>707</v>
      </c>
      <c r="G370" s="298" t="s">
        <v>88</v>
      </c>
      <c r="H370" s="298" t="s">
        <v>88</v>
      </c>
      <c r="I370" s="156">
        <v>18.12</v>
      </c>
      <c r="J370" s="157">
        <f t="shared" si="90"/>
        <v>6.1258278145695364</v>
      </c>
      <c r="K370" s="158">
        <v>0.27750000000000002</v>
      </c>
      <c r="L370" s="126">
        <v>4</v>
      </c>
      <c r="M370" s="82">
        <f t="shared" si="91"/>
        <v>1.1100000000000001</v>
      </c>
      <c r="N370" s="159" t="s">
        <v>89</v>
      </c>
      <c r="O370" s="160">
        <v>0.27</v>
      </c>
      <c r="P370" s="161">
        <v>44680</v>
      </c>
      <c r="Q370" s="161">
        <v>44697</v>
      </c>
      <c r="R370" s="82">
        <f t="shared" si="92"/>
        <v>2.7777777777777799</v>
      </c>
      <c r="S370" s="162">
        <f>IF(INDEX([1]Historical!$D$7:$D$1229,MATCH(B370,[1]Historical!$B$7:$B$1253,0))=0,"n/a",(INDEX([1]Historical!$C$7:$C$1231,MATCH(B370,[1]Historical!$B$7:$B$1253,0))/INDEX([1]Historical!$D$7:$D$1229,MATCH(B370,[1]Historical!$B$7:$B$1253,0))-1)*100)</f>
        <v>3.3734939759036076</v>
      </c>
      <c r="T370" s="162">
        <f>IF(INDEX([1]Historical!$F$7:$F$1222,MATCH(B370,[1]Historical!$B$7:$B$1253,0))=0,"n/a",((INDEX([1]Historical!$C$7:$C$1231,MATCH(B370,[1]Historical!$B$7:$B$1253,0))/INDEX([1]Historical!$F$7:$F$1222,MATCH(B370,[1]Historical!$B$7:$B$1253,0)))^(1/3)-1)*100)</f>
        <v>13.942680346781767</v>
      </c>
      <c r="U370" s="162">
        <f>IF(INDEX([1]Historical!$H$7:$H$1222,MATCH(B370,[1]Historical!$B$7:$B$1253,0))=0,"n/a",((INDEX([1]Historical!$C$7:$C$1231,MATCH(B370,[1]Historical!$B$7:$B$1253,0))/INDEX([1]Historical!$H$7:$H$1222,MATCH(B370,[1]Historical!$B$7:$B$1253,0)))^(1/5)-1)*100)</f>
        <v>16.489145438598808</v>
      </c>
      <c r="V370" s="162">
        <f>IF(INDEX([1]Historical!$N$7:$N$1222,MATCH(B370,[1]Historical!$B$7:$B$1253,0))=0,"n/a",((INDEX([1]Historical!$C$7:$C$1231,MATCH(B370,[1]Historical!$B$7:$B$1253,0))/INDEX([1]Historical!$N$7:$N$1222,MATCH(B370,[1]Historical!$B$7:$B$1253,0)))^(1/10)-1)*100)</f>
        <v>3.7806910223535439</v>
      </c>
      <c r="W370" s="163">
        <f t="shared" si="93"/>
        <v>4.3614104779009519</v>
      </c>
      <c r="X370" s="164">
        <f t="shared" si="94"/>
        <v>0.63911416428677548</v>
      </c>
      <c r="Y370" s="180"/>
      <c r="Z370" s="157">
        <f t="shared" si="95"/>
        <v>100.90909090909091</v>
      </c>
      <c r="AA370" s="166">
        <f t="shared" si="96"/>
        <v>16.472727272727273</v>
      </c>
      <c r="AB370" s="126">
        <v>12</v>
      </c>
      <c r="AC370" s="167">
        <v>1.1000000000000001</v>
      </c>
      <c r="AD370" s="167" t="s">
        <v>95</v>
      </c>
      <c r="AE370" s="167">
        <v>2.12</v>
      </c>
      <c r="AF370" s="167">
        <v>1.3</v>
      </c>
      <c r="AG370" s="167">
        <v>8.2000000000000011</v>
      </c>
      <c r="AH370" s="167">
        <v>-12.1</v>
      </c>
      <c r="AI370" s="167">
        <v>-1.47</v>
      </c>
      <c r="AJ370" s="167">
        <v>25.8</v>
      </c>
      <c r="AK370" s="167">
        <v>-2.64</v>
      </c>
      <c r="AL370" s="168">
        <v>40440</v>
      </c>
      <c r="AM370" s="169">
        <v>0.1</v>
      </c>
      <c r="AN370" s="167">
        <v>1.03</v>
      </c>
      <c r="AO370" s="170">
        <f t="shared" si="97"/>
        <v>6.1422459804410714</v>
      </c>
      <c r="AP370" s="171">
        <f t="shared" si="98"/>
        <v>22.614973253168344</v>
      </c>
      <c r="AQ370" s="172">
        <f t="shared" si="99"/>
        <v>-2.4419364810075894</v>
      </c>
      <c r="AR370" s="157">
        <f>INDEX([1]Historical!$C$7:$C$1231,MATCH(B370,[1]Historical!$B$7:$B$1253,0))*IF(AH370="n/a",1.03,IF(AH370&lt;0,1.01,IF(AH370&gt;10,1.1,(1+AH370/100))))</f>
        <v>1.0832250000000001</v>
      </c>
      <c r="AS370" s="166">
        <f t="shared" si="100"/>
        <v>1.0940572500000001</v>
      </c>
      <c r="AT370" s="166">
        <f t="shared" si="106"/>
        <v>1.1049978225000001</v>
      </c>
      <c r="AU370" s="166">
        <f t="shared" si="106"/>
        <v>1.1160478007250001</v>
      </c>
      <c r="AV370" s="166">
        <f t="shared" si="106"/>
        <v>1.1272082787322502</v>
      </c>
      <c r="AW370" s="157">
        <f t="shared" si="102"/>
        <v>5.5255361519572501</v>
      </c>
      <c r="AX370" s="173">
        <f t="shared" si="103"/>
        <v>30.494128873936255</v>
      </c>
      <c r="AY370" s="174">
        <v>0.93</v>
      </c>
      <c r="AZ370" s="169">
        <v>20.7</v>
      </c>
      <c r="BA370" s="169">
        <v>-10.299999999999999</v>
      </c>
      <c r="BB370" s="169">
        <v>1.95</v>
      </c>
      <c r="BC370" s="169">
        <v>0.59</v>
      </c>
      <c r="BE370" s="77">
        <v>2018</v>
      </c>
      <c r="BF370" s="77">
        <f t="shared" si="104"/>
        <v>1</v>
      </c>
      <c r="BG370" s="175">
        <v>3.5999999999999996</v>
      </c>
      <c r="BH370" t="s">
        <v>939</v>
      </c>
      <c r="BI370" t="s">
        <v>940</v>
      </c>
      <c r="BJ370" s="112"/>
      <c r="BK370" s="112"/>
      <c r="BL370" s="112"/>
    </row>
    <row r="371" spans="1:64" ht="11.25" customHeight="1" x14ac:dyDescent="0.2">
      <c r="A371" s="205" t="s">
        <v>1116</v>
      </c>
      <c r="B371" s="153" t="s">
        <v>1117</v>
      </c>
      <c r="C371" s="154" t="s">
        <v>90</v>
      </c>
      <c r="D371" s="154" t="s">
        <v>110</v>
      </c>
      <c r="E371" s="155">
        <v>7</v>
      </c>
      <c r="F371" s="298">
        <v>622</v>
      </c>
      <c r="G371" s="298" t="s">
        <v>88</v>
      </c>
      <c r="H371" s="298" t="s">
        <v>88</v>
      </c>
      <c r="I371" s="156">
        <v>315.17</v>
      </c>
      <c r="J371" s="157">
        <f t="shared" si="90"/>
        <v>0.16499032268299649</v>
      </c>
      <c r="K371" s="158">
        <v>0.13</v>
      </c>
      <c r="L371" s="126">
        <v>4</v>
      </c>
      <c r="M371" s="82">
        <f t="shared" si="91"/>
        <v>0.52</v>
      </c>
      <c r="N371" s="159" t="s">
        <v>167</v>
      </c>
      <c r="O371" s="160">
        <v>0.11</v>
      </c>
      <c r="P371" s="161">
        <v>44621</v>
      </c>
      <c r="Q371" s="161">
        <v>44634</v>
      </c>
      <c r="R371" s="82">
        <f t="shared" si="92"/>
        <v>18.181818181818183</v>
      </c>
      <c r="S371" s="162">
        <f>IF(INDEX([1]Historical!$D$7:$D$1229,MATCH(B371,[1]Historical!$B$7:$B$1253,0))=0,"n/a",(INDEX([1]Historical!$C$7:$C$1231,MATCH(B371,[1]Historical!$B$7:$B$1253,0))/INDEX([1]Historical!$D$7:$D$1229,MATCH(B371,[1]Historical!$B$7:$B$1253,0))-1)*100)</f>
        <v>22.222222222222232</v>
      </c>
      <c r="T371" s="162">
        <f>IF(INDEX([1]Historical!$F$7:$F$1222,MATCH(B371,[1]Historical!$B$7:$B$1253,0))=0,"n/a",((INDEX([1]Historical!$C$7:$C$1231,MATCH(B371,[1]Historical!$B$7:$B$1253,0))/INDEX([1]Historical!$F$7:$F$1222,MATCH(B371,[1]Historical!$B$7:$B$1253,0)))^(1/3)-1)*100)</f>
        <v>16.260329205681458</v>
      </c>
      <c r="U371" s="162">
        <f>IF(INDEX([1]Historical!$H$7:$H$1222,MATCH(B371,[1]Historical!$B$7:$B$1253,0))=0,"n/a",((INDEX([1]Historical!$C$7:$C$1231,MATCH(B371,[1]Historical!$B$7:$B$1253,0))/INDEX([1]Historical!$H$7:$H$1222,MATCH(B371,[1]Historical!$B$7:$B$1253,0)))^(1/5)-1)*100)</f>
        <v>34.490167754521849</v>
      </c>
      <c r="V371" s="162" t="str">
        <f>IF(INDEX([1]Historical!$N$7:$N$1222,MATCH(B371,[1]Historical!$B$7:$B$1253,0))=0,"n/a",((INDEX([1]Historical!$C$7:$C$1231,MATCH(B371,[1]Historical!$B$7:$B$1253,0))/INDEX([1]Historical!$N$7:$N$1222,MATCH(B371,[1]Historical!$B$7:$B$1253,0)))^(1/10)-1)*100)</f>
        <v>n/a</v>
      </c>
      <c r="W371" s="163" t="str">
        <f t="shared" si="93"/>
        <v>n/a</v>
      </c>
      <c r="X371" s="164">
        <f t="shared" si="94"/>
        <v>0.87096383218489515</v>
      </c>
      <c r="Y371" s="178"/>
      <c r="Z371" s="157">
        <f t="shared" si="95"/>
        <v>8.346709470304976</v>
      </c>
      <c r="AA371" s="166">
        <f t="shared" si="96"/>
        <v>50.589085072231136</v>
      </c>
      <c r="AB371" s="126">
        <v>12</v>
      </c>
      <c r="AC371" s="167">
        <v>6.23</v>
      </c>
      <c r="AD371" s="167">
        <v>3.35</v>
      </c>
      <c r="AE371" s="167">
        <v>8.81</v>
      </c>
      <c r="AF371" s="167">
        <v>11.54</v>
      </c>
      <c r="AG371" s="167">
        <v>21.4</v>
      </c>
      <c r="AH371" s="167">
        <v>71.099999999999994</v>
      </c>
      <c r="AI371" s="167">
        <v>21.15</v>
      </c>
      <c r="AJ371" s="167">
        <v>39.6</v>
      </c>
      <c r="AK371" s="167">
        <v>15</v>
      </c>
      <c r="AL371" s="168">
        <v>6230</v>
      </c>
      <c r="AM371" s="169">
        <v>2.1</v>
      </c>
      <c r="AN371" s="167">
        <v>0.2</v>
      </c>
      <c r="AO371" s="170">
        <f t="shared" si="97"/>
        <v>-15.93392699502629</v>
      </c>
      <c r="AP371" s="171">
        <f t="shared" si="98"/>
        <v>34.655158077204845</v>
      </c>
      <c r="AQ371" s="172">
        <f t="shared" si="99"/>
        <v>409.37785221387577</v>
      </c>
      <c r="AR371" s="157">
        <f>INDEX([1]Historical!$C$7:$C$1231,MATCH(B371,[1]Historical!$B$7:$B$1253,0))*IF(AH371="n/a",1.03,IF(AH371&lt;0,1.01,IF(AH371&gt;10,1.1,(1+AH371/100))))</f>
        <v>0.48400000000000004</v>
      </c>
      <c r="AS371" s="166">
        <f t="shared" si="100"/>
        <v>0.5324000000000001</v>
      </c>
      <c r="AT371" s="166">
        <f t="shared" si="106"/>
        <v>0.58564000000000016</v>
      </c>
      <c r="AU371" s="166">
        <f t="shared" si="106"/>
        <v>0.64420400000000022</v>
      </c>
      <c r="AV371" s="166">
        <f t="shared" si="106"/>
        <v>0.70862440000000027</v>
      </c>
      <c r="AW371" s="157">
        <f t="shared" si="102"/>
        <v>2.9548684000000009</v>
      </c>
      <c r="AX371" s="173">
        <f t="shared" si="103"/>
        <v>0.93754748231113394</v>
      </c>
      <c r="AY371" s="174">
        <v>0.79</v>
      </c>
      <c r="AZ371" s="169">
        <v>85.61999999999999</v>
      </c>
      <c r="BA371" s="169">
        <v>0.13999999999999999</v>
      </c>
      <c r="BB371" s="169">
        <v>19.8</v>
      </c>
      <c r="BC371" s="169">
        <v>36.090000000000003</v>
      </c>
      <c r="BE371" s="77">
        <v>2016</v>
      </c>
      <c r="BF371" s="77">
        <f t="shared" si="104"/>
        <v>1</v>
      </c>
      <c r="BG371" s="175">
        <v>6.4</v>
      </c>
      <c r="BH371" t="s">
        <v>939</v>
      </c>
      <c r="BI371" t="s">
        <v>940</v>
      </c>
      <c r="BJ371" s="112"/>
      <c r="BK371" s="112"/>
      <c r="BL371" s="112"/>
    </row>
    <row r="372" spans="1:64" ht="11.25" customHeight="1" x14ac:dyDescent="0.2">
      <c r="A372" s="112" t="s">
        <v>1473</v>
      </c>
      <c r="B372" s="153" t="s">
        <v>230</v>
      </c>
      <c r="C372" s="154" t="s">
        <v>127</v>
      </c>
      <c r="D372" s="154" t="s">
        <v>994</v>
      </c>
      <c r="E372" s="155">
        <v>60</v>
      </c>
      <c r="F372" s="298">
        <v>10</v>
      </c>
      <c r="G372" s="298" t="s">
        <v>104</v>
      </c>
      <c r="H372" s="298" t="s">
        <v>104</v>
      </c>
      <c r="I372" s="167">
        <v>59.85</v>
      </c>
      <c r="J372" s="157">
        <f t="shared" si="90"/>
        <v>2.9406850459482037</v>
      </c>
      <c r="K372" s="158">
        <v>0.44</v>
      </c>
      <c r="L372" s="126">
        <v>4</v>
      </c>
      <c r="M372" s="82">
        <f t="shared" si="91"/>
        <v>1.76</v>
      </c>
      <c r="N372" s="159" t="s">
        <v>183</v>
      </c>
      <c r="O372" s="160">
        <v>0.42</v>
      </c>
      <c r="P372" s="161">
        <v>44634</v>
      </c>
      <c r="Q372" s="161">
        <v>44652</v>
      </c>
      <c r="R372" s="82">
        <f t="shared" si="92"/>
        <v>4.7619047619047663</v>
      </c>
      <c r="S372" s="162">
        <f>IF(INDEX([1]Historical!$D$7:$D$1229,MATCH(B372,[1]Historical!$B$7:$B$1253,0))=0,"n/a",(INDEX([1]Historical!$C$7:$C$1231,MATCH(B372,[1]Historical!$B$7:$B$1253,0))/INDEX([1]Historical!$D$7:$D$1229,MATCH(B372,[1]Historical!$B$7:$B$1253,0))-1)*100)</f>
        <v>2.4390243902439046</v>
      </c>
      <c r="T372" s="162">
        <f>IF(INDEX([1]Historical!$F$7:$F$1222,MATCH(B372,[1]Historical!$B$7:$B$1253,0))=0,"n/a",((INDEX([1]Historical!$C$7:$C$1231,MATCH(B372,[1]Historical!$B$7:$B$1253,0))/INDEX([1]Historical!$F$7:$F$1222,MATCH(B372,[1]Historical!$B$7:$B$1253,0)))^(1/3)-1)*100)</f>
        <v>2.501029596576787</v>
      </c>
      <c r="U372" s="162">
        <f>IF(INDEX([1]Historical!$H$7:$H$1222,MATCH(B372,[1]Historical!$B$7:$B$1253,0))=0,"n/a",((INDEX([1]Historical!$C$7:$C$1231,MATCH(B372,[1]Historical!$B$7:$B$1253,0))/INDEX([1]Historical!$H$7:$H$1222,MATCH(B372,[1]Historical!$B$7:$B$1253,0)))^(1/5)-1)*100)</f>
        <v>3.7137289336648172</v>
      </c>
      <c r="V372" s="162">
        <f>IF(INDEX([1]Historical!$N$7:$N$1222,MATCH(B372,[1]Historical!$B$7:$B$1253,0))=0,"n/a",((INDEX([1]Historical!$C$7:$C$1231,MATCH(B372,[1]Historical!$B$7:$B$1253,0))/INDEX([1]Historical!$N$7:$N$1222,MATCH(B372,[1]Historical!$B$7:$B$1253,0)))^(1/10)-1)*100)</f>
        <v>5.9785913906893473</v>
      </c>
      <c r="W372" s="163">
        <f t="shared" si="93"/>
        <v>0.62117122428676541</v>
      </c>
      <c r="X372" s="164">
        <f t="shared" si="94"/>
        <v>0.43690928631350789</v>
      </c>
      <c r="Y372" s="212"/>
      <c r="Z372" s="157">
        <f t="shared" si="95"/>
        <v>77.192982456140356</v>
      </c>
      <c r="AA372" s="166">
        <f t="shared" si="96"/>
        <v>26.250000000000004</v>
      </c>
      <c r="AB372" s="126">
        <v>12</v>
      </c>
      <c r="AC372" s="167">
        <v>2.2799999999999998</v>
      </c>
      <c r="AD372" s="167">
        <v>5.31</v>
      </c>
      <c r="AE372" s="167">
        <v>6.08</v>
      </c>
      <c r="AF372" s="167">
        <v>11.53</v>
      </c>
      <c r="AG372" s="167">
        <v>42.4</v>
      </c>
      <c r="AH372" s="167">
        <v>25.6</v>
      </c>
      <c r="AI372" s="167">
        <v>2.1399999999999997</v>
      </c>
      <c r="AJ372" s="167">
        <v>8.5</v>
      </c>
      <c r="AK372" s="167">
        <v>5.01</v>
      </c>
      <c r="AL372" s="168">
        <v>257440</v>
      </c>
      <c r="AM372" s="169">
        <v>0.66</v>
      </c>
      <c r="AN372" s="167">
        <v>1.74</v>
      </c>
      <c r="AO372" s="170">
        <f t="shared" si="97"/>
        <v>-19.595586020386982</v>
      </c>
      <c r="AP372" s="171">
        <f t="shared" si="98"/>
        <v>6.6544139796130208</v>
      </c>
      <c r="AQ372" s="172">
        <f t="shared" si="99"/>
        <v>266.76513829243186</v>
      </c>
      <c r="AR372" s="157">
        <f>INDEX([1]Historical!$C$7:$C$1231,MATCH(B372,[1]Historical!$B$7:$B$1253,0))*IF(AH372="n/a",1.03,IF(AH372&lt;0,1.01,IF(AH372&gt;10,1.1,(1+AH372/100))))</f>
        <v>1.8480000000000001</v>
      </c>
      <c r="AS372" s="166">
        <f t="shared" si="100"/>
        <v>1.8875472000000002</v>
      </c>
      <c r="AT372" s="166">
        <f t="shared" si="106"/>
        <v>1.9821133147200003</v>
      </c>
      <c r="AU372" s="166">
        <f t="shared" si="106"/>
        <v>2.0814171917874722</v>
      </c>
      <c r="AV372" s="166">
        <f t="shared" si="106"/>
        <v>2.1856961930960246</v>
      </c>
      <c r="AW372" s="157">
        <f t="shared" si="102"/>
        <v>9.9847738996034963</v>
      </c>
      <c r="AX372" s="173">
        <f t="shared" si="103"/>
        <v>16.682997325987461</v>
      </c>
      <c r="AY372" s="174">
        <v>0.57999999999999996</v>
      </c>
      <c r="AZ372" s="169">
        <v>14.48</v>
      </c>
      <c r="BA372" s="169">
        <v>-10.94</v>
      </c>
      <c r="BB372" s="169">
        <v>1.21</v>
      </c>
      <c r="BC372" s="169">
        <v>-2.88</v>
      </c>
      <c r="BE372" s="77">
        <v>1963</v>
      </c>
      <c r="BF372" s="77">
        <f t="shared" si="104"/>
        <v>7</v>
      </c>
      <c r="BG372" s="175">
        <v>10.6</v>
      </c>
      <c r="BH372" t="s">
        <v>939</v>
      </c>
      <c r="BI372" t="s">
        <v>940</v>
      </c>
    </row>
    <row r="373" spans="1:64" ht="11.25" customHeight="1" x14ac:dyDescent="0.2">
      <c r="A373" s="176" t="s">
        <v>1474</v>
      </c>
      <c r="B373" s="153" t="s">
        <v>350</v>
      </c>
      <c r="C373" s="154" t="s">
        <v>127</v>
      </c>
      <c r="D373" s="154" t="s">
        <v>973</v>
      </c>
      <c r="E373" s="155">
        <v>17</v>
      </c>
      <c r="F373" s="298">
        <v>238</v>
      </c>
      <c r="G373" s="298" t="s">
        <v>88</v>
      </c>
      <c r="H373" s="298" t="s">
        <v>88</v>
      </c>
      <c r="I373" s="156">
        <v>47.29</v>
      </c>
      <c r="J373" s="157">
        <f t="shared" si="90"/>
        <v>2.1991964474518926</v>
      </c>
      <c r="K373" s="158">
        <v>0.26</v>
      </c>
      <c r="L373" s="126">
        <v>4</v>
      </c>
      <c r="M373" s="82">
        <f t="shared" si="91"/>
        <v>1.04</v>
      </c>
      <c r="N373" s="159" t="s">
        <v>116</v>
      </c>
      <c r="O373" s="160">
        <v>0.21</v>
      </c>
      <c r="P373" s="161">
        <v>44785</v>
      </c>
      <c r="Q373" s="161">
        <v>44805</v>
      </c>
      <c r="R373" s="82">
        <f t="shared" si="92"/>
        <v>23.809523809523821</v>
      </c>
      <c r="S373" s="162">
        <f>IF(INDEX([1]Historical!$D$7:$D$1229,MATCH(B373,[1]Historical!$B$7:$B$1253,0))=0,"n/a",(INDEX([1]Historical!$C$7:$C$1231,MATCH(B373,[1]Historical!$B$7:$B$1253,0))/INDEX([1]Historical!$D$7:$D$1229,MATCH(B373,[1]Historical!$B$7:$B$1253,0))-1)*100)</f>
        <v>14.705882352941169</v>
      </c>
      <c r="T373" s="162">
        <f>IF(INDEX([1]Historical!$F$7:$F$1222,MATCH(B373,[1]Historical!$B$7:$B$1253,0))=0,"n/a",((INDEX([1]Historical!$C$7:$C$1231,MATCH(B373,[1]Historical!$B$7:$B$1253,0))/INDEX([1]Historical!$F$7:$F$1222,MATCH(B373,[1]Historical!$B$7:$B$1253,0)))^(1/3)-1)*100)</f>
        <v>13.746902159841756</v>
      </c>
      <c r="U373" s="162">
        <f>IF(INDEX([1]Historical!$H$7:$H$1222,MATCH(B373,[1]Historical!$B$7:$B$1253,0))=0,"n/a",((INDEX([1]Historical!$C$7:$C$1231,MATCH(B373,[1]Historical!$B$7:$B$1253,0))/INDEX([1]Historical!$H$7:$H$1222,MATCH(B373,[1]Historical!$B$7:$B$1253,0)))^(1/5)-1)*100)</f>
        <v>11.628841548417412</v>
      </c>
      <c r="V373" s="162">
        <f>IF(INDEX([1]Historical!$N$7:$N$1222,MATCH(B373,[1]Historical!$B$7:$B$1253,0))=0,"n/a",((INDEX([1]Historical!$C$7:$C$1231,MATCH(B373,[1]Historical!$B$7:$B$1253,0))/INDEX([1]Historical!$N$7:$N$1222,MATCH(B373,[1]Historical!$B$7:$B$1253,0)))^(1/10)-1)*100)</f>
        <v>13.753721655192507</v>
      </c>
      <c r="W373" s="163">
        <f t="shared" si="93"/>
        <v>0.84550508145750658</v>
      </c>
      <c r="X373" s="164">
        <f t="shared" si="94"/>
        <v>9.6907012903478442</v>
      </c>
      <c r="Y373" s="212"/>
      <c r="Z373" s="157">
        <f t="shared" si="95"/>
        <v>31.707317073170731</v>
      </c>
      <c r="AA373" s="166">
        <f t="shared" si="96"/>
        <v>14.417682926829269</v>
      </c>
      <c r="AB373" s="126">
        <v>1</v>
      </c>
      <c r="AC373" s="167">
        <v>3.28</v>
      </c>
      <c r="AD373" s="167">
        <v>1.22</v>
      </c>
      <c r="AE373" s="167">
        <v>0.23</v>
      </c>
      <c r="AF373" s="167">
        <v>3.47</v>
      </c>
      <c r="AG373" s="167">
        <v>25.4</v>
      </c>
      <c r="AH373" s="167">
        <v>-33.6</v>
      </c>
      <c r="AI373" s="167">
        <v>2.33</v>
      </c>
      <c r="AJ373" s="167">
        <v>1.2</v>
      </c>
      <c r="AK373" s="167">
        <v>11.65</v>
      </c>
      <c r="AL373" s="168">
        <v>32700.000000000004</v>
      </c>
      <c r="AM373" s="169">
        <v>0.70000000000000007</v>
      </c>
      <c r="AN373" s="167">
        <v>1.37</v>
      </c>
      <c r="AO373" s="170">
        <f t="shared" si="97"/>
        <v>-0.58964493095996318</v>
      </c>
      <c r="AP373" s="171">
        <f t="shared" si="98"/>
        <v>13.828037995869305</v>
      </c>
      <c r="AQ373" s="172">
        <f t="shared" si="99"/>
        <v>49.114959017229488</v>
      </c>
      <c r="AR373" s="157">
        <f>INDEX([1]Historical!$C$7:$C$1231,MATCH(B373,[1]Historical!$B$7:$B$1253,0))*IF(AH373="n/a",1.03,IF(AH373&lt;0,1.01,IF(AH373&gt;10,1.1,(1+AH373/100))))</f>
        <v>0.78780000000000006</v>
      </c>
      <c r="AS373" s="166">
        <f t="shared" si="100"/>
        <v>0.80615574000000012</v>
      </c>
      <c r="AT373" s="166">
        <f t="shared" si="106"/>
        <v>0.8867713140000002</v>
      </c>
      <c r="AU373" s="166">
        <f t="shared" si="106"/>
        <v>0.97544844540000031</v>
      </c>
      <c r="AV373" s="166">
        <f t="shared" si="106"/>
        <v>1.0729932899400003</v>
      </c>
      <c r="AW373" s="157">
        <f t="shared" si="102"/>
        <v>4.5291687893400008</v>
      </c>
      <c r="AX373" s="173">
        <f t="shared" si="103"/>
        <v>9.5774345302178077</v>
      </c>
      <c r="AY373" s="174">
        <v>0.51</v>
      </c>
      <c r="AZ373" s="169">
        <v>19.78</v>
      </c>
      <c r="BA373" s="169">
        <v>-24.67</v>
      </c>
      <c r="BB373" s="169">
        <v>1.95</v>
      </c>
      <c r="BC373" s="169">
        <v>-4.7699999999999996</v>
      </c>
      <c r="BE373" s="77">
        <v>2006</v>
      </c>
      <c r="BF373" s="77">
        <f t="shared" si="104"/>
        <v>2</v>
      </c>
      <c r="BG373" s="175">
        <v>4.9000000000000004</v>
      </c>
      <c r="BH373" t="s">
        <v>939</v>
      </c>
      <c r="BI373" t="s">
        <v>940</v>
      </c>
    </row>
    <row r="374" spans="1:64" ht="11.25" customHeight="1" x14ac:dyDescent="0.2">
      <c r="A374" s="205" t="s">
        <v>1118</v>
      </c>
      <c r="B374" s="153" t="s">
        <v>1119</v>
      </c>
      <c r="C374" s="154" t="s">
        <v>947</v>
      </c>
      <c r="D374" s="154" t="s">
        <v>948</v>
      </c>
      <c r="E374" s="155">
        <v>7</v>
      </c>
      <c r="F374" s="298">
        <v>640</v>
      </c>
      <c r="G374" s="298" t="s">
        <v>88</v>
      </c>
      <c r="H374" s="298" t="s">
        <v>88</v>
      </c>
      <c r="I374" s="156">
        <v>42.74</v>
      </c>
      <c r="J374" s="157">
        <f t="shared" si="90"/>
        <v>5.053813757604118</v>
      </c>
      <c r="K374" s="112">
        <v>0.54</v>
      </c>
      <c r="L374" s="126">
        <v>4</v>
      </c>
      <c r="M374" s="82">
        <f t="shared" si="91"/>
        <v>2.16</v>
      </c>
      <c r="N374" s="159" t="s">
        <v>164</v>
      </c>
      <c r="O374" s="160">
        <v>0.52</v>
      </c>
      <c r="P374" s="161">
        <v>44833</v>
      </c>
      <c r="Q374" s="161">
        <v>44846</v>
      </c>
      <c r="R374" s="82">
        <f t="shared" si="92"/>
        <v>3.8461538461538494</v>
      </c>
      <c r="S374" s="162">
        <f>IF(INDEX([1]Historical!$D$7:$D$1229,MATCH(B374,[1]Historical!$B$7:$B$1253,0))=0,"n/a",(INDEX([1]Historical!$C$7:$C$1231,MATCH(B374,[1]Historical!$B$7:$B$1253,0))/INDEX([1]Historical!$D$7:$D$1229,MATCH(B374,[1]Historical!$B$7:$B$1253,0))-1)*100)</f>
        <v>3.3248081841432242</v>
      </c>
      <c r="T374" s="162">
        <f>IF(INDEX([1]Historical!$F$7:$F$1222,MATCH(B374,[1]Historical!$B$7:$B$1253,0))=0,"n/a",((INDEX([1]Historical!$C$7:$C$1231,MATCH(B374,[1]Historical!$B$7:$B$1253,0))/INDEX([1]Historical!$F$7:$F$1222,MATCH(B374,[1]Historical!$B$7:$B$1253,0)))^(1/3)-1)*100)</f>
        <v>4.6998920438107383</v>
      </c>
      <c r="U374" s="162">
        <f>IF(INDEX([1]Historical!$H$7:$H$1222,MATCH(B374,[1]Historical!$B$7:$B$1253,0))=0,"n/a",((INDEX([1]Historical!$C$7:$C$1231,MATCH(B374,[1]Historical!$B$7:$B$1253,0))/INDEX([1]Historical!$H$7:$H$1222,MATCH(B374,[1]Historical!$B$7:$B$1253,0)))^(1/5)-1)*100)</f>
        <v>6.855448978091383</v>
      </c>
      <c r="V374" s="162">
        <f>IF(INDEX([1]Historical!$N$7:$N$1222,MATCH(B374,[1]Historical!$B$7:$B$1253,0))=0,"n/a",((INDEX([1]Historical!$C$7:$C$1231,MATCH(B374,[1]Historical!$B$7:$B$1253,0))/INDEX([1]Historical!$N$7:$N$1222,MATCH(B374,[1]Historical!$B$7:$B$1253,0)))^(1/10)-1)*100)</f>
        <v>3.7342887042178363</v>
      </c>
      <c r="W374" s="163">
        <f t="shared" si="93"/>
        <v>1.8358111868394729</v>
      </c>
      <c r="X374" s="164">
        <f t="shared" si="94"/>
        <v>0.54843591824731064</v>
      </c>
      <c r="Y374" s="178"/>
      <c r="Z374" s="157">
        <f t="shared" si="95"/>
        <v>111.91709844559587</v>
      </c>
      <c r="AA374" s="166">
        <f t="shared" si="96"/>
        <v>22.145077720207254</v>
      </c>
      <c r="AB374" s="126">
        <v>12</v>
      </c>
      <c r="AC374" s="167">
        <v>1.93</v>
      </c>
      <c r="AD374" s="167" t="s">
        <v>95</v>
      </c>
      <c r="AE374" s="167">
        <v>4.62</v>
      </c>
      <c r="AF374" s="167">
        <v>0.92</v>
      </c>
      <c r="AG374" s="167">
        <v>4.2</v>
      </c>
      <c r="AH374" s="167">
        <v>229.6</v>
      </c>
      <c r="AI374" s="167">
        <v>-2</v>
      </c>
      <c r="AJ374" s="167">
        <v>12.5</v>
      </c>
      <c r="AK374" s="167" t="s">
        <v>95</v>
      </c>
      <c r="AL374" s="168">
        <v>4960</v>
      </c>
      <c r="AM374" s="169">
        <v>1.3</v>
      </c>
      <c r="AN374" s="167">
        <v>0.75</v>
      </c>
      <c r="AO374" s="170">
        <f t="shared" si="97"/>
        <v>-10.235814984511753</v>
      </c>
      <c r="AP374" s="171">
        <f t="shared" si="98"/>
        <v>11.909262735695501</v>
      </c>
      <c r="AQ374" s="172">
        <f t="shared" si="99"/>
        <v>-4.8428866380782143</v>
      </c>
      <c r="AR374" s="157">
        <f>INDEX([1]Historical!$C$7:$C$1231,MATCH(B374,[1]Historical!$B$7:$B$1253,0))*IF(AH374="n/a",1.03,IF(AH374&lt;0,1.01,IF(AH374&gt;10,1.1,(1+AH374/100))))</f>
        <v>2.2220000000000004</v>
      </c>
      <c r="AS374" s="166">
        <f t="shared" si="100"/>
        <v>2.2442200000000003</v>
      </c>
      <c r="AT374" s="166">
        <f t="shared" si="106"/>
        <v>2.3115466000000002</v>
      </c>
      <c r="AU374" s="166">
        <f t="shared" si="106"/>
        <v>2.3808929980000002</v>
      </c>
      <c r="AV374" s="166">
        <f t="shared" si="106"/>
        <v>2.4523197879400005</v>
      </c>
      <c r="AW374" s="157">
        <f t="shared" si="102"/>
        <v>11.610979385940002</v>
      </c>
      <c r="AX374" s="173">
        <f t="shared" si="103"/>
        <v>27.166540444408056</v>
      </c>
      <c r="AY374" s="174">
        <v>0.84</v>
      </c>
      <c r="AZ374" s="169">
        <v>9.84</v>
      </c>
      <c r="BA374" s="169">
        <v>-45.94</v>
      </c>
      <c r="BB374" s="169">
        <v>-5.89</v>
      </c>
      <c r="BC374" s="169">
        <v>-27.51</v>
      </c>
      <c r="BD374" s="125"/>
      <c r="BE374" s="298">
        <v>2016</v>
      </c>
      <c r="BF374" s="77">
        <f t="shared" si="104"/>
        <v>1</v>
      </c>
      <c r="BG374" s="175">
        <v>2.1</v>
      </c>
      <c r="BH374" t="s">
        <v>939</v>
      </c>
      <c r="BI374" t="s">
        <v>945</v>
      </c>
      <c r="BJ374" s="112"/>
      <c r="BK374" s="112"/>
      <c r="BL374" s="112"/>
    </row>
    <row r="375" spans="1:64" ht="11.25" customHeight="1" x14ac:dyDescent="0.2">
      <c r="A375" s="205" t="s">
        <v>1120</v>
      </c>
      <c r="B375" s="153" t="s">
        <v>1121</v>
      </c>
      <c r="C375" s="154" t="s">
        <v>90</v>
      </c>
      <c r="D375" s="154" t="s">
        <v>959</v>
      </c>
      <c r="E375" s="155">
        <v>7</v>
      </c>
      <c r="F375" s="298">
        <v>606</v>
      </c>
      <c r="G375" s="298" t="s">
        <v>88</v>
      </c>
      <c r="H375" s="298" t="s">
        <v>88</v>
      </c>
      <c r="I375" s="156">
        <v>10.14</v>
      </c>
      <c r="J375" s="157">
        <f t="shared" si="90"/>
        <v>4.3392504930966469</v>
      </c>
      <c r="K375" s="158">
        <v>0.11</v>
      </c>
      <c r="L375" s="126">
        <v>4</v>
      </c>
      <c r="M375" s="82">
        <f t="shared" si="91"/>
        <v>0.44</v>
      </c>
      <c r="N375" s="159" t="s">
        <v>231</v>
      </c>
      <c r="O375" s="160">
        <v>0.1</v>
      </c>
      <c r="P375" s="224">
        <v>44509</v>
      </c>
      <c r="Q375" s="224">
        <v>44524</v>
      </c>
      <c r="R375" s="82">
        <f t="shared" si="92"/>
        <v>9.9999999999999947</v>
      </c>
      <c r="S375" s="162">
        <f>IF(INDEX([1]Historical!$D$7:$D$1229,MATCH(B375,[1]Historical!$B$7:$B$1253,0))=0,"n/a",(INDEX([1]Historical!$C$7:$C$1231,MATCH(B375,[1]Historical!$B$7:$B$1253,0))/INDEX([1]Historical!$D$7:$D$1229,MATCH(B375,[1]Historical!$B$7:$B$1253,0))-1)*100)</f>
        <v>25</v>
      </c>
      <c r="T375" s="162">
        <f>IF(INDEX([1]Historical!$F$7:$F$1222,MATCH(B375,[1]Historical!$B$7:$B$1253,0))=0,"n/a",((INDEX([1]Historical!$C$7:$C$1231,MATCH(B375,[1]Historical!$B$7:$B$1253,0))/INDEX([1]Historical!$F$7:$F$1222,MATCH(B375,[1]Historical!$B$7:$B$1253,0)))^(1/3)-1)*100)</f>
        <v>35.72088082974534</v>
      </c>
      <c r="U375" s="162">
        <f>IF(INDEX([1]Historical!$H$7:$H$1222,MATCH(B375,[1]Historical!$B$7:$B$1253,0))=0,"n/a",((INDEX([1]Historical!$C$7:$C$1231,MATCH(B375,[1]Historical!$B$7:$B$1253,0))/INDEX([1]Historical!$H$7:$H$1222,MATCH(B375,[1]Historical!$B$7:$B$1253,0)))^(1/5)-1)*100)</f>
        <v>37.972966146121493</v>
      </c>
      <c r="V375" s="162">
        <f>IF(INDEX([1]Historical!$N$7:$N$1222,MATCH(B375,[1]Historical!$B$7:$B$1253,0))=0,"n/a",((INDEX([1]Historical!$C$7:$C$1231,MATCH(B375,[1]Historical!$B$7:$B$1253,0))/INDEX([1]Historical!$N$7:$N$1222,MATCH(B375,[1]Historical!$B$7:$B$1253,0)))^(1/10)-1)*100)</f>
        <v>7.1773462536293131</v>
      </c>
      <c r="W375" s="163">
        <f t="shared" si="93"/>
        <v>5.2906693928720516</v>
      </c>
      <c r="X375" s="164">
        <f t="shared" si="94"/>
        <v>1.1135767198276096</v>
      </c>
      <c r="Y375" s="178"/>
      <c r="Z375" s="157">
        <f t="shared" si="95"/>
        <v>46.315789473684212</v>
      </c>
      <c r="AA375" s="166">
        <f t="shared" si="96"/>
        <v>10.673684210526316</v>
      </c>
      <c r="AB375" s="126">
        <v>6</v>
      </c>
      <c r="AC375" s="167">
        <v>0.95</v>
      </c>
      <c r="AD375" s="167">
        <v>2.82</v>
      </c>
      <c r="AE375" s="167">
        <v>3.34</v>
      </c>
      <c r="AF375" s="167">
        <v>0.8</v>
      </c>
      <c r="AG375" s="167">
        <v>7.7</v>
      </c>
      <c r="AH375" s="167">
        <v>24.099999999999998</v>
      </c>
      <c r="AI375" s="167">
        <v>1.1199999999999999</v>
      </c>
      <c r="AJ375" s="167">
        <v>34.1</v>
      </c>
      <c r="AK375" s="167">
        <v>4</v>
      </c>
      <c r="AL375" s="168">
        <v>754.76</v>
      </c>
      <c r="AM375" s="169">
        <v>1.4000000000000001</v>
      </c>
      <c r="AN375" s="167">
        <v>0.28000000000000003</v>
      </c>
      <c r="AO375" s="170">
        <f t="shared" si="97"/>
        <v>31.638532428691825</v>
      </c>
      <c r="AP375" s="171">
        <f t="shared" si="98"/>
        <v>42.312216639218143</v>
      </c>
      <c r="AQ375" s="172">
        <f t="shared" si="99"/>
        <v>-38.395716713054384</v>
      </c>
      <c r="AR375" s="157">
        <f>INDEX([1]Historical!$C$7:$C$1231,MATCH(B375,[1]Historical!$B$7:$B$1253,0))*IF(AH375="n/a",1.03,IF(AH375&lt;0,1.01,IF(AH375&gt;10,1.1,(1+AH375/100))))</f>
        <v>0.44000000000000006</v>
      </c>
      <c r="AS375" s="166">
        <f t="shared" si="100"/>
        <v>0.4449280000000001</v>
      </c>
      <c r="AT375" s="166">
        <f t="shared" ref="AT375:AV390" si="107">IF($AK375="n/a",1.03*AS375,IF($AK375&lt;0,1.01*AS375,IF($AK375&gt;10,1.1*AS375,(1+$AK375/100)*AS375)))</f>
        <v>0.4627251200000001</v>
      </c>
      <c r="AU375" s="166">
        <f t="shared" si="107"/>
        <v>0.48123412480000011</v>
      </c>
      <c r="AV375" s="166">
        <f t="shared" si="107"/>
        <v>0.50048348979200008</v>
      </c>
      <c r="AW375" s="157">
        <f t="shared" si="102"/>
        <v>2.3293707345920005</v>
      </c>
      <c r="AX375" s="173">
        <f t="shared" si="103"/>
        <v>22.972097974280082</v>
      </c>
      <c r="AY375" s="174">
        <v>0.76</v>
      </c>
      <c r="AZ375" s="169">
        <v>0.89999999999999991</v>
      </c>
      <c r="BA375" s="169">
        <v>-27</v>
      </c>
      <c r="BB375" s="169">
        <v>-8.89</v>
      </c>
      <c r="BC375" s="169">
        <v>-15.740000000000002</v>
      </c>
      <c r="BE375" s="77">
        <v>2015</v>
      </c>
      <c r="BF375" s="77">
        <f t="shared" si="104"/>
        <v>1</v>
      </c>
      <c r="BG375" s="175">
        <v>1</v>
      </c>
      <c r="BH375" t="s">
        <v>939</v>
      </c>
      <c r="BI375" t="s">
        <v>940</v>
      </c>
      <c r="BJ375" s="112"/>
      <c r="BK375" s="112"/>
      <c r="BL375" s="112"/>
    </row>
    <row r="376" spans="1:64" ht="11.25" customHeight="1" x14ac:dyDescent="0.2">
      <c r="A376" s="176" t="s">
        <v>1475</v>
      </c>
      <c r="B376" s="153" t="s">
        <v>428</v>
      </c>
      <c r="C376" s="154" t="s">
        <v>96</v>
      </c>
      <c r="D376" s="154" t="s">
        <v>911</v>
      </c>
      <c r="E376" s="155">
        <v>15</v>
      </c>
      <c r="F376" s="298">
        <v>258</v>
      </c>
      <c r="G376" s="298" t="s">
        <v>30</v>
      </c>
      <c r="H376" s="298" t="s">
        <v>30</v>
      </c>
      <c r="I376" s="156">
        <v>162.63999999999999</v>
      </c>
      <c r="J376" s="157">
        <f t="shared" si="90"/>
        <v>1.0698475159862273</v>
      </c>
      <c r="K376" s="158">
        <v>0.435</v>
      </c>
      <c r="L376" s="126">
        <v>4</v>
      </c>
      <c r="M376" s="82">
        <f t="shared" si="91"/>
        <v>1.74</v>
      </c>
      <c r="N376" s="159" t="s">
        <v>190</v>
      </c>
      <c r="O376" s="160">
        <v>0.41499999999999998</v>
      </c>
      <c r="P376" s="161">
        <v>44848</v>
      </c>
      <c r="Q376" s="161">
        <v>44865</v>
      </c>
      <c r="R376" s="82">
        <f t="shared" si="92"/>
        <v>4.8192771084337398</v>
      </c>
      <c r="S376" s="162">
        <f>IF(INDEX([1]Historical!$D$7:$D$1229,MATCH(B376,[1]Historical!$B$7:$B$1253,0))=0,"n/a",(INDEX([1]Historical!$C$7:$C$1231,MATCH(B376,[1]Historical!$B$7:$B$1253,0))/INDEX([1]Historical!$D$7:$D$1229,MATCH(B376,[1]Historical!$B$7:$B$1253,0))-1)*100)</f>
        <v>3.2258064516129004</v>
      </c>
      <c r="T376" s="162">
        <f>IF(INDEX([1]Historical!$F$7:$F$1222,MATCH(B376,[1]Historical!$B$7:$B$1253,0))=0,"n/a",((INDEX([1]Historical!$C$7:$C$1231,MATCH(B376,[1]Historical!$B$7:$B$1253,0))/INDEX([1]Historical!$F$7:$F$1222,MATCH(B376,[1]Historical!$B$7:$B$1253,0)))^(1/3)-1)*100)</f>
        <v>3.335765289365078</v>
      </c>
      <c r="U376" s="162">
        <f>IF(INDEX([1]Historical!$H$7:$H$1222,MATCH(B376,[1]Historical!$B$7:$B$1253,0))=0,"n/a",((INDEX([1]Historical!$C$7:$C$1231,MATCH(B376,[1]Historical!$B$7:$B$1253,0))/INDEX([1]Historical!$H$7:$H$1222,MATCH(B376,[1]Historical!$B$7:$B$1253,0)))^(1/5)-1)*100)</f>
        <v>3.7656637263205228</v>
      </c>
      <c r="V376" s="162">
        <f>IF(INDEX([1]Historical!$N$7:$N$1222,MATCH(B376,[1]Historical!$B$7:$B$1253,0))=0,"n/a",((INDEX([1]Historical!$C$7:$C$1231,MATCH(B376,[1]Historical!$B$7:$B$1253,0))/INDEX([1]Historical!$N$7:$N$1222,MATCH(B376,[1]Historical!$B$7:$B$1253,0)))^(1/10)-1)*100)</f>
        <v>5.3512366162214775</v>
      </c>
      <c r="W376" s="163">
        <f t="shared" si="93"/>
        <v>0.70369972333226183</v>
      </c>
      <c r="X376" s="164">
        <f t="shared" si="94"/>
        <v>0.47666629447095221</v>
      </c>
      <c r="Y376" s="153"/>
      <c r="Z376" s="157">
        <f t="shared" si="95"/>
        <v>37.419354838709673</v>
      </c>
      <c r="AA376" s="166">
        <f t="shared" si="96"/>
        <v>34.976344086021498</v>
      </c>
      <c r="AB376" s="126">
        <v>12</v>
      </c>
      <c r="AC376" s="167">
        <v>4.6500000000000004</v>
      </c>
      <c r="AD376" s="167">
        <v>7.02</v>
      </c>
      <c r="AE376" s="167">
        <v>1.51</v>
      </c>
      <c r="AF376" s="167">
        <v>2.23</v>
      </c>
      <c r="AG376" s="167">
        <v>6</v>
      </c>
      <c r="AH376" s="167">
        <v>204.2</v>
      </c>
      <c r="AI376" s="167">
        <v>23.56</v>
      </c>
      <c r="AJ376" s="167">
        <v>7.9</v>
      </c>
      <c r="AK376" s="167">
        <v>5.0999999999999996</v>
      </c>
      <c r="AL376" s="168">
        <v>2810</v>
      </c>
      <c r="AM376" s="169">
        <v>23.1</v>
      </c>
      <c r="AN376" s="167">
        <v>0.74</v>
      </c>
      <c r="AO376" s="170">
        <f t="shared" si="97"/>
        <v>-30.140832843714747</v>
      </c>
      <c r="AP376" s="171">
        <f t="shared" si="98"/>
        <v>4.8355112423067501</v>
      </c>
      <c r="AQ376" s="172">
        <f t="shared" si="99"/>
        <v>86.186581819693188</v>
      </c>
      <c r="AR376" s="157">
        <f>INDEX([1]Historical!$C$7:$C$1231,MATCH(B376,[1]Historical!$B$7:$B$1253,0))*IF(AH376="n/a",1.03,IF(AH376&lt;0,1.01,IF(AH376&gt;10,1.1,(1+AH376/100))))</f>
        <v>1.7600000000000002</v>
      </c>
      <c r="AS376" s="166">
        <f t="shared" si="100"/>
        <v>1.9360000000000004</v>
      </c>
      <c r="AT376" s="166">
        <f t="shared" si="107"/>
        <v>2.0347360000000001</v>
      </c>
      <c r="AU376" s="166">
        <f t="shared" si="107"/>
        <v>2.1385075360000001</v>
      </c>
      <c r="AV376" s="166">
        <f t="shared" si="107"/>
        <v>2.247571420336</v>
      </c>
      <c r="AW376" s="157">
        <f t="shared" si="102"/>
        <v>10.116814956336</v>
      </c>
      <c r="AX376" s="173">
        <f t="shared" si="103"/>
        <v>6.2203731900737838</v>
      </c>
      <c r="AY376" s="174">
        <v>1.31</v>
      </c>
      <c r="AZ376" s="169">
        <v>26.02</v>
      </c>
      <c r="BA376" s="169">
        <v>-41.199999999999996</v>
      </c>
      <c r="BB376" s="169">
        <v>2.02</v>
      </c>
      <c r="BC376" s="169">
        <v>-2.85</v>
      </c>
      <c r="BE376" s="77">
        <v>2008</v>
      </c>
      <c r="BF376" s="77">
        <f t="shared" si="104"/>
        <v>2</v>
      </c>
      <c r="BG376" s="175">
        <v>2.8000000000000003</v>
      </c>
      <c r="BH376" t="s">
        <v>939</v>
      </c>
      <c r="BI376" t="s">
        <v>940</v>
      </c>
    </row>
    <row r="377" spans="1:64" ht="11.25" customHeight="1" x14ac:dyDescent="0.2">
      <c r="A377" s="112" t="s">
        <v>1476</v>
      </c>
      <c r="B377" s="153" t="s">
        <v>360</v>
      </c>
      <c r="C377" s="154" t="s">
        <v>100</v>
      </c>
      <c r="D377" s="154" t="s">
        <v>989</v>
      </c>
      <c r="E377" s="155">
        <v>13</v>
      </c>
      <c r="F377" s="298">
        <v>290</v>
      </c>
      <c r="G377" s="298" t="s">
        <v>88</v>
      </c>
      <c r="H377" s="298" t="s">
        <v>88</v>
      </c>
      <c r="I377" s="156">
        <v>198.15</v>
      </c>
      <c r="J377" s="157">
        <f t="shared" si="90"/>
        <v>0.84784254352763055</v>
      </c>
      <c r="K377" s="158">
        <v>0.42</v>
      </c>
      <c r="L377" s="126">
        <v>4</v>
      </c>
      <c r="M377" s="82">
        <f t="shared" si="91"/>
        <v>1.68</v>
      </c>
      <c r="N377" s="159" t="s">
        <v>199</v>
      </c>
      <c r="O377" s="160">
        <v>0.35</v>
      </c>
      <c r="P377" s="161">
        <v>44693</v>
      </c>
      <c r="Q377" s="161">
        <v>44708</v>
      </c>
      <c r="R377" s="82">
        <f t="shared" si="92"/>
        <v>20.000000000000004</v>
      </c>
      <c r="S377" s="162">
        <f>IF(INDEX([1]Historical!$D$7:$D$1229,MATCH(B377,[1]Historical!$B$7:$B$1253,0))=0,"n/a",(INDEX([1]Historical!$C$7:$C$1231,MATCH(B377,[1]Historical!$B$7:$B$1253,0))/INDEX([1]Historical!$D$7:$D$1229,MATCH(B377,[1]Historical!$B$7:$B$1253,0))-1)*100)</f>
        <v>11.475409836065587</v>
      </c>
      <c r="T377" s="162">
        <f>IF(INDEX([1]Historical!$F$7:$F$1222,MATCH(B377,[1]Historical!$B$7:$B$1253,0))=0,"n/a",((INDEX([1]Historical!$C$7:$C$1231,MATCH(B377,[1]Historical!$B$7:$B$1253,0))/INDEX([1]Historical!$F$7:$F$1222,MATCH(B377,[1]Historical!$B$7:$B$1253,0)))^(1/3)-1)*100)</f>
        <v>6.0583058881209295</v>
      </c>
      <c r="U377" s="162">
        <f>IF(INDEX([1]Historical!$H$7:$H$1222,MATCH(B377,[1]Historical!$B$7:$B$1253,0))=0,"n/a",((INDEX([1]Historical!$C$7:$C$1231,MATCH(B377,[1]Historical!$B$7:$B$1253,0))/INDEX([1]Historical!$H$7:$H$1222,MATCH(B377,[1]Historical!$B$7:$B$1253,0)))^(1/5)-1)*100)</f>
        <v>7.439272913026973</v>
      </c>
      <c r="V377" s="162">
        <f>IF(INDEX([1]Historical!$N$7:$N$1222,MATCH(B377,[1]Historical!$B$7:$B$1253,0))=0,"n/a",((INDEX([1]Historical!$C$7:$C$1231,MATCH(B377,[1]Historical!$B$7:$B$1253,0))/INDEX([1]Historical!$N$7:$N$1222,MATCH(B377,[1]Historical!$B$7:$B$1253,0)))^(1/10)-1)*100)</f>
        <v>17.993084965303584</v>
      </c>
      <c r="W377" s="163">
        <f t="shared" si="93"/>
        <v>0.41345177479972267</v>
      </c>
      <c r="X377" s="164">
        <f t="shared" si="94"/>
        <v>0.20381569624731433</v>
      </c>
      <c r="Y377" s="165"/>
      <c r="Z377" s="157">
        <f t="shared" si="95"/>
        <v>3.755868544600939</v>
      </c>
      <c r="AA377" s="166">
        <f t="shared" si="96"/>
        <v>4.4299128101945007</v>
      </c>
      <c r="AB377" s="126">
        <v>12</v>
      </c>
      <c r="AC377" s="167">
        <v>44.73</v>
      </c>
      <c r="AD377" s="167">
        <v>0.89</v>
      </c>
      <c r="AE377" s="167">
        <v>0.21</v>
      </c>
      <c r="AF377" s="167">
        <v>1.1200000000000001</v>
      </c>
      <c r="AG377" s="167">
        <v>27</v>
      </c>
      <c r="AH377" s="167">
        <v>87.3</v>
      </c>
      <c r="AI377" s="167">
        <v>-19.05</v>
      </c>
      <c r="AJ377" s="167">
        <v>36.5</v>
      </c>
      <c r="AK377" s="167">
        <v>5.0999999999999996</v>
      </c>
      <c r="AL377" s="168">
        <v>5690</v>
      </c>
      <c r="AM377" s="169">
        <v>0.3</v>
      </c>
      <c r="AN377" s="167">
        <v>1.4</v>
      </c>
      <c r="AO377" s="170">
        <f t="shared" si="97"/>
        <v>3.8572026463601032</v>
      </c>
      <c r="AP377" s="171">
        <f t="shared" si="98"/>
        <v>8.2871154565546039</v>
      </c>
      <c r="AQ377" s="172">
        <f t="shared" si="99"/>
        <v>-53.041378273974772</v>
      </c>
      <c r="AR377" s="157">
        <f>INDEX([1]Historical!$C$7:$C$1231,MATCH(B377,[1]Historical!$B$7:$B$1253,0))*IF(AH377="n/a",1.03,IF(AH377&lt;0,1.01,IF(AH377&gt;10,1.1,(1+AH377/100))))</f>
        <v>1.4960000000000002</v>
      </c>
      <c r="AS377" s="166">
        <f t="shared" si="100"/>
        <v>1.5109600000000003</v>
      </c>
      <c r="AT377" s="166">
        <f t="shared" si="107"/>
        <v>1.5880189600000003</v>
      </c>
      <c r="AU377" s="166">
        <f t="shared" si="107"/>
        <v>1.6690079269600002</v>
      </c>
      <c r="AV377" s="166">
        <f t="shared" si="107"/>
        <v>1.7541273312349601</v>
      </c>
      <c r="AW377" s="157">
        <f t="shared" si="102"/>
        <v>8.0181142181949614</v>
      </c>
      <c r="AX377" s="173">
        <f t="shared" si="103"/>
        <v>4.046487114910402</v>
      </c>
      <c r="AY377" s="174">
        <v>1.37</v>
      </c>
      <c r="AZ377" s="169">
        <v>10.08</v>
      </c>
      <c r="BA377" s="169">
        <v>-43.32</v>
      </c>
      <c r="BB377" s="169">
        <v>-14.39</v>
      </c>
      <c r="BC377" s="169">
        <v>-29.080000000000002</v>
      </c>
      <c r="BE377" s="77">
        <v>2010</v>
      </c>
      <c r="BF377" s="77">
        <f t="shared" si="104"/>
        <v>1</v>
      </c>
      <c r="BG377" s="175">
        <v>10.299999999999999</v>
      </c>
      <c r="BH377" t="s">
        <v>939</v>
      </c>
      <c r="BI377" t="s">
        <v>940</v>
      </c>
    </row>
    <row r="378" spans="1:64" ht="11.25" customHeight="1" x14ac:dyDescent="0.2">
      <c r="A378" s="112" t="s">
        <v>1477</v>
      </c>
      <c r="B378" s="153" t="s">
        <v>351</v>
      </c>
      <c r="C378" s="154" t="s">
        <v>127</v>
      </c>
      <c r="D378" s="154" t="s">
        <v>951</v>
      </c>
      <c r="E378" s="155">
        <v>59</v>
      </c>
      <c r="F378" s="298">
        <v>13</v>
      </c>
      <c r="G378" s="298" t="s">
        <v>30</v>
      </c>
      <c r="H378" s="298" t="s">
        <v>30</v>
      </c>
      <c r="I378" s="167">
        <v>180.28</v>
      </c>
      <c r="J378" s="157">
        <f t="shared" si="90"/>
        <v>1.7750166407810075</v>
      </c>
      <c r="K378" s="158">
        <v>0.8</v>
      </c>
      <c r="L378" s="126">
        <v>4</v>
      </c>
      <c r="M378" s="82">
        <f t="shared" si="91"/>
        <v>3.2</v>
      </c>
      <c r="N378" s="159" t="s">
        <v>628</v>
      </c>
      <c r="O378" s="160">
        <v>0.75</v>
      </c>
      <c r="P378" s="161">
        <v>44533</v>
      </c>
      <c r="Q378" s="161">
        <v>44561</v>
      </c>
      <c r="R378" s="82">
        <f t="shared" si="92"/>
        <v>6.6666666666666723</v>
      </c>
      <c r="S378" s="162">
        <f>IF(INDEX([1]Historical!$D$7:$D$1229,MATCH(B378,[1]Historical!$B$7:$B$1253,0))=0,"n/a",(INDEX([1]Historical!$C$7:$C$1231,MATCH(B378,[1]Historical!$B$7:$B$1253,0))/INDEX([1]Historical!$D$7:$D$1229,MATCH(B378,[1]Historical!$B$7:$B$1253,0))-1)*100)</f>
        <v>7.0175438596491224</v>
      </c>
      <c r="T378" s="162">
        <f>IF(INDEX([1]Historical!$F$7:$F$1222,MATCH(B378,[1]Historical!$B$7:$B$1253,0))=0,"n/a",((INDEX([1]Historical!$C$7:$C$1231,MATCH(B378,[1]Historical!$B$7:$B$1253,0))/INDEX([1]Historical!$F$7:$F$1222,MATCH(B378,[1]Historical!$B$7:$B$1253,0)))^(1/3)-1)*100)</f>
        <v>7.5749744635974059</v>
      </c>
      <c r="U378" s="162">
        <f>IF(INDEX([1]Historical!$H$7:$H$1222,MATCH(B378,[1]Historical!$B$7:$B$1253,0))=0,"n/a",((INDEX([1]Historical!$C$7:$C$1231,MATCH(B378,[1]Historical!$B$7:$B$1253,0))/INDEX([1]Historical!$H$7:$H$1222,MATCH(B378,[1]Historical!$B$7:$B$1253,0)))^(1/5)-1)*100)</f>
        <v>8.2702639798059696</v>
      </c>
      <c r="V378" s="162">
        <f>IF(INDEX([1]Historical!$N$7:$N$1222,MATCH(B378,[1]Historical!$B$7:$B$1253,0))=0,"n/a",((INDEX([1]Historical!$C$7:$C$1231,MATCH(B378,[1]Historical!$B$7:$B$1253,0))/INDEX([1]Historical!$N$7:$N$1222,MATCH(B378,[1]Historical!$B$7:$B$1253,0)))^(1/10)-1)*100)</f>
        <v>8.4917231571680638</v>
      </c>
      <c r="W378" s="163">
        <f t="shared" si="93"/>
        <v>0.97392058440162932</v>
      </c>
      <c r="X378" s="164" t="str">
        <f t="shared" si="94"/>
        <v>n/a</v>
      </c>
      <c r="Y378" s="214"/>
      <c r="Z378" s="157">
        <f t="shared" si="95"/>
        <v>98.461538461538467</v>
      </c>
      <c r="AA378" s="166">
        <f t="shared" si="96"/>
        <v>55.470769230769228</v>
      </c>
      <c r="AB378" s="126">
        <v>6</v>
      </c>
      <c r="AC378" s="167">
        <v>3.25</v>
      </c>
      <c r="AD378" s="167">
        <v>18.559999999999999</v>
      </c>
      <c r="AE378" s="167">
        <v>2.93</v>
      </c>
      <c r="AF378" s="167">
        <v>5.89</v>
      </c>
      <c r="AG378" s="167">
        <v>10.5</v>
      </c>
      <c r="AH378" s="167">
        <v>-37</v>
      </c>
      <c r="AI378" s="167">
        <v>27.860000000000003</v>
      </c>
      <c r="AJ378" s="167">
        <v>-5</v>
      </c>
      <c r="AK378" s="167">
        <v>3</v>
      </c>
      <c r="AL378" s="168">
        <v>4910</v>
      </c>
      <c r="AM378" s="169">
        <v>1.2</v>
      </c>
      <c r="AN378" s="167">
        <v>0</v>
      </c>
      <c r="AO378" s="170">
        <f t="shared" si="97"/>
        <v>-45.425488610182249</v>
      </c>
      <c r="AP378" s="171">
        <f t="shared" si="98"/>
        <v>10.045280620586977</v>
      </c>
      <c r="AQ378" s="172">
        <f t="shared" si="99"/>
        <v>281.06449192826534</v>
      </c>
      <c r="AR378" s="157">
        <f>INDEX([1]Historical!$C$7:$C$1231,MATCH(B378,[1]Historical!$B$7:$B$1253,0))*IF(AH378="n/a",1.03,IF(AH378&lt;0,1.01,IF(AH378&gt;10,1.1,(1+AH378/100))))</f>
        <v>3.0804999999999998</v>
      </c>
      <c r="AS378" s="166">
        <f t="shared" si="100"/>
        <v>3.38855</v>
      </c>
      <c r="AT378" s="166">
        <f t="shared" si="107"/>
        <v>3.4902065000000002</v>
      </c>
      <c r="AU378" s="166">
        <f t="shared" si="107"/>
        <v>3.5949126950000001</v>
      </c>
      <c r="AV378" s="166">
        <f t="shared" si="107"/>
        <v>3.7027600758500001</v>
      </c>
      <c r="AW378" s="157">
        <f t="shared" si="102"/>
        <v>17.256929270849998</v>
      </c>
      <c r="AX378" s="173">
        <f t="shared" si="103"/>
        <v>9.5722926951686258</v>
      </c>
      <c r="AY378" s="174">
        <v>0.17</v>
      </c>
      <c r="AZ378" s="169">
        <v>54.279999999999994</v>
      </c>
      <c r="BA378" s="169">
        <v>-0.69</v>
      </c>
      <c r="BB378" s="169">
        <v>9.44</v>
      </c>
      <c r="BC378" s="169">
        <v>20.68</v>
      </c>
      <c r="BE378" s="77">
        <v>1964</v>
      </c>
      <c r="BF378" s="77">
        <f t="shared" si="104"/>
        <v>7</v>
      </c>
      <c r="BG378" s="175">
        <v>8.1</v>
      </c>
      <c r="BH378" t="s">
        <v>939</v>
      </c>
      <c r="BI378" t="s">
        <v>940</v>
      </c>
    </row>
    <row r="379" spans="1:64" ht="11.25" customHeight="1" x14ac:dyDescent="0.2">
      <c r="A379" s="176" t="s">
        <v>1478</v>
      </c>
      <c r="B379" s="153" t="s">
        <v>1122</v>
      </c>
      <c r="C379" s="154" t="s">
        <v>947</v>
      </c>
      <c r="D379" s="154" t="s">
        <v>948</v>
      </c>
      <c r="E379" s="155">
        <v>8</v>
      </c>
      <c r="F379" s="298">
        <v>596</v>
      </c>
      <c r="G379" s="298" t="s">
        <v>88</v>
      </c>
      <c r="H379" s="298" t="s">
        <v>88</v>
      </c>
      <c r="I379" s="156">
        <v>20.350000000000001</v>
      </c>
      <c r="J379" s="157">
        <f t="shared" si="90"/>
        <v>2.7007371007371006</v>
      </c>
      <c r="K379" s="158">
        <v>4.58E-2</v>
      </c>
      <c r="L379" s="126">
        <v>12</v>
      </c>
      <c r="M379" s="82">
        <f t="shared" si="91"/>
        <v>0.54959999999999998</v>
      </c>
      <c r="N379" s="159" t="s">
        <v>309</v>
      </c>
      <c r="O379" s="160">
        <v>4.5600000000000002E-2</v>
      </c>
      <c r="P379" s="161">
        <v>44854</v>
      </c>
      <c r="Q379" s="161">
        <v>44865</v>
      </c>
      <c r="R379" s="82">
        <f t="shared" si="92"/>
        <v>0.43859649122806754</v>
      </c>
      <c r="S379" s="162">
        <f>IF(INDEX([1]Historical!$D$7:$D$1229,MATCH(B379,[1]Historical!$B$7:$B$1253,0))=0,"n/a",(INDEX([1]Historical!$C$7:$C$1231,MATCH(B379,[1]Historical!$B$7:$B$1253,0))/INDEX([1]Historical!$D$7:$D$1229,MATCH(B379,[1]Historical!$B$7:$B$1253,0))-1)*100)</f>
        <v>0.61418202121719112</v>
      </c>
      <c r="T379" s="162">
        <f>IF(INDEX([1]Historical!$F$7:$F$1222,MATCH(B379,[1]Historical!$B$7:$B$1253,0))=0,"n/a",((INDEX([1]Historical!$C$7:$C$1231,MATCH(B379,[1]Historical!$B$7:$B$1253,0))/INDEX([1]Historical!$F$7:$F$1222,MATCH(B379,[1]Historical!$B$7:$B$1253,0)))^(1/3)-1)*100)</f>
        <v>0.54226938986172701</v>
      </c>
      <c r="U379" s="162">
        <f>IF(INDEX([1]Historical!$H$7:$H$1222,MATCH(B379,[1]Historical!$B$7:$B$1253,0))=0,"n/a",((INDEX([1]Historical!$C$7:$C$1231,MATCH(B379,[1]Historical!$B$7:$B$1253,0))/INDEX([1]Historical!$H$7:$H$1222,MATCH(B379,[1]Historical!$B$7:$B$1253,0)))^(1/5)-1)*100)</f>
        <v>1.7657277478161815</v>
      </c>
      <c r="V379" s="162" t="str">
        <f>IF(INDEX([1]Historical!$N$7:$N$1222,MATCH(B379,[1]Historical!$B$7:$B$1253,0))=0,"n/a",((INDEX([1]Historical!$C$7:$C$1231,MATCH(B379,[1]Historical!$B$7:$B$1253,0))/INDEX([1]Historical!$N$7:$N$1222,MATCH(B379,[1]Historical!$B$7:$B$1253,0)))^(1/10)-1)*100)</f>
        <v>n/a</v>
      </c>
      <c r="W379" s="163" t="str">
        <f t="shared" si="93"/>
        <v>n/a</v>
      </c>
      <c r="X379" s="164" t="str">
        <f t="shared" si="94"/>
        <v>n/a</v>
      </c>
      <c r="Y379" s="178"/>
      <c r="Z379" s="157" t="str">
        <f t="shared" si="95"/>
        <v>n/a</v>
      </c>
      <c r="AA379" s="166" t="str">
        <f t="shared" si="96"/>
        <v>n/a</v>
      </c>
      <c r="AB379" s="126">
        <v>12</v>
      </c>
      <c r="AC379" s="167">
        <v>-0.28999999999999998</v>
      </c>
      <c r="AD379" s="167" t="s">
        <v>95</v>
      </c>
      <c r="AE379" s="167">
        <v>8.3000000000000007</v>
      </c>
      <c r="AF379" s="167">
        <v>1.08</v>
      </c>
      <c r="AG379" s="167">
        <v>-1.6</v>
      </c>
      <c r="AH379" s="167">
        <v>-46.2</v>
      </c>
      <c r="AI379" s="167">
        <v>6.5</v>
      </c>
      <c r="AJ379" s="167">
        <v>-53.2</v>
      </c>
      <c r="AK379" s="167">
        <v>-0.06</v>
      </c>
      <c r="AL379" s="168">
        <v>685.54</v>
      </c>
      <c r="AM379" s="169">
        <v>7.4700000000000006</v>
      </c>
      <c r="AN379" s="167">
        <v>1.1100000000000001</v>
      </c>
      <c r="AO379" s="170" t="str">
        <f t="shared" si="97"/>
        <v>n/a</v>
      </c>
      <c r="AP379" s="171">
        <f t="shared" si="98"/>
        <v>4.4664648485532821</v>
      </c>
      <c r="AQ379" s="172" t="str">
        <f t="shared" si="99"/>
        <v>n/a</v>
      </c>
      <c r="AR379" s="157">
        <f>INDEX([1]Historical!$C$7:$C$1231,MATCH(B379,[1]Historical!$B$7:$B$1253,0))*IF(AH379="n/a",1.03,IF(AH379&lt;0,1.01,IF(AH379&gt;10,1.1,(1+AH379/100))))</f>
        <v>0.54600599999999999</v>
      </c>
      <c r="AS379" s="166">
        <f t="shared" si="100"/>
        <v>0.58149638999999997</v>
      </c>
      <c r="AT379" s="166">
        <f t="shared" si="107"/>
        <v>0.5873113539</v>
      </c>
      <c r="AU379" s="166">
        <f t="shared" si="107"/>
        <v>0.593184467439</v>
      </c>
      <c r="AV379" s="166">
        <f t="shared" si="107"/>
        <v>0.59911631211339</v>
      </c>
      <c r="AW379" s="157">
        <f t="shared" si="102"/>
        <v>2.9071145234523899</v>
      </c>
      <c r="AX379" s="173">
        <f t="shared" si="103"/>
        <v>14.285575053820097</v>
      </c>
      <c r="AY379" s="174">
        <v>0.96</v>
      </c>
      <c r="AZ379" s="169">
        <v>17.75</v>
      </c>
      <c r="BA379" s="169">
        <v>-51.66</v>
      </c>
      <c r="BB379" s="169">
        <v>-1.6199999999999999</v>
      </c>
      <c r="BC379" s="169">
        <v>-25.85</v>
      </c>
      <c r="BE379" s="77">
        <v>2015</v>
      </c>
      <c r="BF379" s="77">
        <f t="shared" si="104"/>
        <v>1</v>
      </c>
      <c r="BG379" s="175">
        <v>-0.70000000000000007</v>
      </c>
      <c r="BH379" t="s">
        <v>939</v>
      </c>
      <c r="BI379" t="s">
        <v>945</v>
      </c>
      <c r="BJ379" s="112"/>
      <c r="BK379" s="112"/>
      <c r="BL379" s="112"/>
    </row>
    <row r="380" spans="1:64" ht="11.25" customHeight="1" x14ac:dyDescent="0.2">
      <c r="A380" s="112" t="s">
        <v>1479</v>
      </c>
      <c r="B380" s="153" t="s">
        <v>352</v>
      </c>
      <c r="C380" s="154" t="s">
        <v>90</v>
      </c>
      <c r="D380" s="154" t="s">
        <v>969</v>
      </c>
      <c r="E380" s="155">
        <v>19</v>
      </c>
      <c r="F380" s="298">
        <v>192</v>
      </c>
      <c r="G380" s="298" t="s">
        <v>88</v>
      </c>
      <c r="H380" s="298" t="s">
        <v>88</v>
      </c>
      <c r="I380" s="156">
        <v>26.05</v>
      </c>
      <c r="J380" s="157">
        <f t="shared" si="90"/>
        <v>3.2245681381957771</v>
      </c>
      <c r="K380" s="158">
        <v>0.21</v>
      </c>
      <c r="L380" s="126">
        <v>4</v>
      </c>
      <c r="M380" s="82">
        <f t="shared" si="91"/>
        <v>0.84</v>
      </c>
      <c r="N380" s="159" t="s">
        <v>162</v>
      </c>
      <c r="O380" s="230">
        <v>0.2</v>
      </c>
      <c r="P380" s="161">
        <v>44607</v>
      </c>
      <c r="Q380" s="161">
        <v>44622</v>
      </c>
      <c r="R380" s="82">
        <f t="shared" si="92"/>
        <v>4.9999999999999902</v>
      </c>
      <c r="S380" s="162">
        <f>IF(INDEX([1]Historical!$D$7:$D$1229,MATCH(B380,[1]Historical!$B$7:$B$1253,0))=0,"n/a",(INDEX([1]Historical!$C$7:$C$1231,MATCH(B380,[1]Historical!$B$7:$B$1253,0))/INDEX([1]Historical!$D$7:$D$1229,MATCH(B380,[1]Historical!$B$7:$B$1253,0))-1)*100)</f>
        <v>5.0131250000000183</v>
      </c>
      <c r="T380" s="162">
        <f>IF(INDEX([1]Historical!$F$7:$F$1222,MATCH(B380,[1]Historical!$B$7:$B$1253,0))=0,"n/a",((INDEX([1]Historical!$C$7:$C$1231,MATCH(B380,[1]Historical!$B$7:$B$1253,0))/INDEX([1]Historical!$F$7:$F$1222,MATCH(B380,[1]Historical!$B$7:$B$1253,0)))^(1/3)-1)*100)</f>
        <v>5.0043748177210023</v>
      </c>
      <c r="U380" s="162">
        <f>IF(INDEX([1]Historical!$H$7:$H$1222,MATCH(B380,[1]Historical!$B$7:$B$1253,0))=0,"n/a",((INDEX([1]Historical!$C$7:$C$1231,MATCH(B380,[1]Historical!$B$7:$B$1253,0))/INDEX([1]Historical!$H$7:$H$1222,MATCH(B380,[1]Historical!$B$7:$B$1253,0)))^(1/5)-1)*100)</f>
        <v>5.002624868759864</v>
      </c>
      <c r="V380" s="162">
        <f>IF(INDEX([1]Historical!$N$7:$N$1222,MATCH(B380,[1]Historical!$B$7:$B$1253,0))=0,"n/a",((INDEX([1]Historical!$C$7:$C$1231,MATCH(B380,[1]Historical!$B$7:$B$1253,0))/INDEX([1]Historical!$N$7:$N$1222,MATCH(B380,[1]Historical!$B$7:$B$1253,0)))^(1/10)-1)*100)</f>
        <v>5.5412273453484762</v>
      </c>
      <c r="W380" s="163">
        <f t="shared" si="93"/>
        <v>0.90280087009230248</v>
      </c>
      <c r="X380" s="164">
        <f t="shared" si="94"/>
        <v>0.34031461692243975</v>
      </c>
      <c r="Y380" s="233" t="s">
        <v>240</v>
      </c>
      <c r="Z380" s="157">
        <f t="shared" si="95"/>
        <v>30.434782608695656</v>
      </c>
      <c r="AA380" s="166">
        <f t="shared" si="96"/>
        <v>9.438405797101451</v>
      </c>
      <c r="AB380" s="126">
        <v>12</v>
      </c>
      <c r="AC380" s="167">
        <v>2.76</v>
      </c>
      <c r="AD380" s="167" t="s">
        <v>95</v>
      </c>
      <c r="AE380" s="167">
        <v>3.42</v>
      </c>
      <c r="AF380" s="167">
        <v>1.1000000000000001</v>
      </c>
      <c r="AG380" s="167">
        <v>10.8</v>
      </c>
      <c r="AH380" s="167">
        <v>-7.9</v>
      </c>
      <c r="AI380" s="167" t="s">
        <v>95</v>
      </c>
      <c r="AJ380" s="167">
        <v>14.7</v>
      </c>
      <c r="AK380" s="167" t="s">
        <v>95</v>
      </c>
      <c r="AL380" s="168">
        <v>129.51</v>
      </c>
      <c r="AM380" s="169">
        <v>14.399999999999999</v>
      </c>
      <c r="AN380" s="167">
        <v>0.24</v>
      </c>
      <c r="AO380" s="170">
        <f t="shared" si="97"/>
        <v>-1.2112127901458098</v>
      </c>
      <c r="AP380" s="171">
        <f t="shared" si="98"/>
        <v>8.2271930069556412</v>
      </c>
      <c r="AQ380" s="172">
        <f t="shared" si="99"/>
        <v>-32.071127471248452</v>
      </c>
      <c r="AR380" s="157">
        <f>INDEX([1]Historical!$C$7:$C$1231,MATCH(B380,[1]Historical!$B$7:$B$1253,0))*IF(AH380="n/a",1.03,IF(AH380&lt;0,1.01,IF(AH380&gt;10,1.1,(1+AH380/100))))</f>
        <v>0.76961999999999997</v>
      </c>
      <c r="AS380" s="166">
        <f t="shared" si="100"/>
        <v>0.79270859999999999</v>
      </c>
      <c r="AT380" s="166">
        <f t="shared" si="107"/>
        <v>0.81648985799999996</v>
      </c>
      <c r="AU380" s="166">
        <f t="shared" si="107"/>
        <v>0.84098455374000003</v>
      </c>
      <c r="AV380" s="166">
        <f t="shared" si="107"/>
        <v>0.86621409035220009</v>
      </c>
      <c r="AW380" s="157">
        <f t="shared" si="102"/>
        <v>4.0860171020921996</v>
      </c>
      <c r="AX380" s="173">
        <f t="shared" si="103"/>
        <v>15.685286380392322</v>
      </c>
      <c r="AY380" s="174">
        <v>0.32</v>
      </c>
      <c r="AZ380" s="169">
        <v>7.82</v>
      </c>
      <c r="BA380" s="169">
        <v>-13.170000000000002</v>
      </c>
      <c r="BB380" s="169">
        <v>1.1499999999999999</v>
      </c>
      <c r="BC380" s="169">
        <v>-0.55999999999999994</v>
      </c>
      <c r="BE380" s="77">
        <v>2002</v>
      </c>
      <c r="BF380" s="77">
        <f t="shared" si="104"/>
        <v>2</v>
      </c>
      <c r="BG380" s="175">
        <v>1.0999999999999999</v>
      </c>
      <c r="BH380" t="s">
        <v>939</v>
      </c>
      <c r="BI380" t="s">
        <v>940</v>
      </c>
    </row>
    <row r="381" spans="1:64" ht="11.25" customHeight="1" x14ac:dyDescent="0.2">
      <c r="A381" s="112" t="s">
        <v>1480</v>
      </c>
      <c r="B381" s="153" t="s">
        <v>633</v>
      </c>
      <c r="C381" s="154" t="s">
        <v>90</v>
      </c>
      <c r="D381" s="154" t="s">
        <v>969</v>
      </c>
      <c r="E381" s="155">
        <v>12</v>
      </c>
      <c r="F381" s="298">
        <v>361</v>
      </c>
      <c r="G381" s="298" t="s">
        <v>30</v>
      </c>
      <c r="H381" s="298" t="s">
        <v>30</v>
      </c>
      <c r="I381" s="156">
        <v>18.649999999999999</v>
      </c>
      <c r="J381" s="157">
        <f t="shared" si="90"/>
        <v>3.1099195710455763</v>
      </c>
      <c r="K381" s="158">
        <v>0.14499999999999999</v>
      </c>
      <c r="L381" s="126">
        <v>4</v>
      </c>
      <c r="M381" s="82">
        <f t="shared" si="91"/>
        <v>0.57999999999999996</v>
      </c>
      <c r="N381" s="159" t="s">
        <v>89</v>
      </c>
      <c r="O381" s="160">
        <v>0.13500000000000001</v>
      </c>
      <c r="P381" s="161">
        <v>44687</v>
      </c>
      <c r="Q381" s="161">
        <v>44699</v>
      </c>
      <c r="R381" s="82">
        <f t="shared" si="92"/>
        <v>7.4074074074073932</v>
      </c>
      <c r="S381" s="162">
        <f>IF(INDEX([1]Historical!$D$7:$D$1229,MATCH(B381,[1]Historical!$B$7:$B$1253,0))=0,"n/a",(INDEX([1]Historical!$C$7:$C$1231,MATCH(B381,[1]Historical!$B$7:$B$1253,0))/INDEX([1]Historical!$D$7:$D$1229,MATCH(B381,[1]Historical!$B$7:$B$1253,0))-1)*100)</f>
        <v>6.0000000000000053</v>
      </c>
      <c r="T381" s="162">
        <f>IF(INDEX([1]Historical!$F$7:$F$1222,MATCH(B381,[1]Historical!$B$7:$B$1253,0))=0,"n/a",((INDEX([1]Historical!$C$7:$C$1231,MATCH(B381,[1]Historical!$B$7:$B$1253,0))/INDEX([1]Historical!$F$7:$F$1222,MATCH(B381,[1]Historical!$B$7:$B$1253,0)))^(1/3)-1)*100)</f>
        <v>5.9998586670435561</v>
      </c>
      <c r="U381" s="162">
        <f>IF(INDEX([1]Historical!$H$7:$H$1222,MATCH(B381,[1]Historical!$B$7:$B$1253,0))=0,"n/a",((INDEX([1]Historical!$C$7:$C$1231,MATCH(B381,[1]Historical!$B$7:$B$1253,0))/INDEX([1]Historical!$H$7:$H$1222,MATCH(B381,[1]Historical!$B$7:$B$1253,0)))^(1/5)-1)*100)</f>
        <v>7.4520805832128945</v>
      </c>
      <c r="V381" s="162">
        <f>IF(INDEX([1]Historical!$N$7:$N$1222,MATCH(B381,[1]Historical!$B$7:$B$1253,0))=0,"n/a",((INDEX([1]Historical!$C$7:$C$1231,MATCH(B381,[1]Historical!$B$7:$B$1253,0))/INDEX([1]Historical!$N$7:$N$1222,MATCH(B381,[1]Historical!$B$7:$B$1253,0)))^(1/10)-1)*100)</f>
        <v>9.440606043581635</v>
      </c>
      <c r="W381" s="163">
        <f t="shared" si="93"/>
        <v>0.78936463917793975</v>
      </c>
      <c r="X381" s="164">
        <f t="shared" si="94"/>
        <v>0.52851635341935432</v>
      </c>
      <c r="Y381" s="180"/>
      <c r="Z381" s="157">
        <f t="shared" si="95"/>
        <v>35.365853658536587</v>
      </c>
      <c r="AA381" s="166">
        <f t="shared" si="96"/>
        <v>11.371951219512194</v>
      </c>
      <c r="AB381" s="126">
        <v>12</v>
      </c>
      <c r="AC381" s="167">
        <v>1.64</v>
      </c>
      <c r="AD381" s="167">
        <v>1.25</v>
      </c>
      <c r="AE381" s="167">
        <v>4.1399999999999997</v>
      </c>
      <c r="AF381" s="167">
        <v>1.1000000000000001</v>
      </c>
      <c r="AG381" s="167">
        <v>9.1</v>
      </c>
      <c r="AH381" s="167">
        <v>64</v>
      </c>
      <c r="AI381" s="167">
        <v>10.24</v>
      </c>
      <c r="AJ381" s="167">
        <v>14.099999999999998</v>
      </c>
      <c r="AK381" s="167">
        <v>9</v>
      </c>
      <c r="AL381" s="168">
        <v>1120</v>
      </c>
      <c r="AM381" s="169">
        <v>0.8</v>
      </c>
      <c r="AN381" s="167">
        <v>0.56999999999999995</v>
      </c>
      <c r="AO381" s="170">
        <f t="shared" si="97"/>
        <v>-0.80995106525372407</v>
      </c>
      <c r="AP381" s="171">
        <f t="shared" si="98"/>
        <v>10.56200015425847</v>
      </c>
      <c r="AQ381" s="172">
        <f t="shared" si="99"/>
        <v>-25.437136614760014</v>
      </c>
      <c r="AR381" s="157">
        <f>INDEX([1]Historical!$C$7:$C$1231,MATCH(B381,[1]Historical!$B$7:$B$1253,0))*IF(AH381="n/a",1.03,IF(AH381&lt;0,1.01,IF(AH381&gt;10,1.1,(1+AH381/100))))</f>
        <v>0.58300000000000007</v>
      </c>
      <c r="AS381" s="166">
        <f t="shared" si="100"/>
        <v>0.64130000000000009</v>
      </c>
      <c r="AT381" s="166">
        <f t="shared" si="107"/>
        <v>0.69901700000000011</v>
      </c>
      <c r="AU381" s="166">
        <f t="shared" si="107"/>
        <v>0.76192853000000016</v>
      </c>
      <c r="AV381" s="166">
        <f t="shared" si="107"/>
        <v>0.83050209770000027</v>
      </c>
      <c r="AW381" s="157">
        <f t="shared" si="102"/>
        <v>3.5157476277000006</v>
      </c>
      <c r="AX381" s="173">
        <f t="shared" si="103"/>
        <v>18.851193714209121</v>
      </c>
      <c r="AY381" s="174">
        <v>0.8</v>
      </c>
      <c r="AZ381" s="169">
        <v>34.08</v>
      </c>
      <c r="BA381" s="169">
        <v>-9.86</v>
      </c>
      <c r="BB381" s="169">
        <v>11.84</v>
      </c>
      <c r="BC381" s="169">
        <v>13.18</v>
      </c>
      <c r="BE381" s="77">
        <v>2011</v>
      </c>
      <c r="BF381" s="77">
        <f t="shared" si="104"/>
        <v>1</v>
      </c>
      <c r="BG381" s="175">
        <v>0.89999999999999991</v>
      </c>
      <c r="BH381" t="s">
        <v>939</v>
      </c>
      <c r="BI381" t="s">
        <v>940</v>
      </c>
    </row>
    <row r="382" spans="1:64" ht="11.25" customHeight="1" x14ac:dyDescent="0.2">
      <c r="A382" s="205" t="s">
        <v>1123</v>
      </c>
      <c r="B382" s="153" t="s">
        <v>1124</v>
      </c>
      <c r="C382" s="154" t="s">
        <v>100</v>
      </c>
      <c r="D382" s="154" t="s">
        <v>1089</v>
      </c>
      <c r="E382" s="155">
        <v>7</v>
      </c>
      <c r="F382" s="298">
        <v>631</v>
      </c>
      <c r="G382" s="298" t="s">
        <v>88</v>
      </c>
      <c r="H382" s="298" t="s">
        <v>88</v>
      </c>
      <c r="I382" s="156">
        <v>106.11</v>
      </c>
      <c r="J382" s="157">
        <f t="shared" si="90"/>
        <v>3.958156629912355</v>
      </c>
      <c r="K382" s="112">
        <v>1.05</v>
      </c>
      <c r="L382" s="126">
        <v>4</v>
      </c>
      <c r="M382" s="82">
        <f t="shared" si="91"/>
        <v>4.2</v>
      </c>
      <c r="N382" s="159" t="s">
        <v>231</v>
      </c>
      <c r="O382" s="160">
        <v>0.9</v>
      </c>
      <c r="P382" s="161">
        <v>44714</v>
      </c>
      <c r="Q382" s="161">
        <v>44729</v>
      </c>
      <c r="R382" s="82">
        <f t="shared" si="92"/>
        <v>16.666666666666668</v>
      </c>
      <c r="S382" s="162">
        <f>IF(INDEX([1]Historical!$D$7:$D$1229,MATCH(B382,[1]Historical!$B$7:$B$1253,0))=0,"n/a",(INDEX([1]Historical!$C$7:$C$1231,MATCH(B382,[1]Historical!$B$7:$B$1253,0))/INDEX([1]Historical!$D$7:$D$1229,MATCH(B382,[1]Historical!$B$7:$B$1253,0))-1)*100)</f>
        <v>23.214285714285722</v>
      </c>
      <c r="T382" s="162">
        <f>IF(INDEX([1]Historical!$F$7:$F$1222,MATCH(B382,[1]Historical!$B$7:$B$1253,0))=0,"n/a",((INDEX([1]Historical!$C$7:$C$1231,MATCH(B382,[1]Historical!$B$7:$B$1253,0))/INDEX([1]Historical!$F$7:$F$1222,MATCH(B382,[1]Historical!$B$7:$B$1253,0)))^(1/3)-1)*100)</f>
        <v>13.653743312138666</v>
      </c>
      <c r="U382" s="162">
        <f>IF(INDEX([1]Historical!$H$7:$H$1222,MATCH(B382,[1]Historical!$B$7:$B$1253,0))=0,"n/a",((INDEX([1]Historical!$C$7:$C$1231,MATCH(B382,[1]Historical!$B$7:$B$1253,0))/INDEX([1]Historical!$H$7:$H$1222,MATCH(B382,[1]Historical!$B$7:$B$1253,0)))^(1/5)-1)*100)</f>
        <v>25.685530329293172</v>
      </c>
      <c r="V382" s="162" t="str">
        <f>IF(INDEX([1]Historical!$N$7:$N$1222,MATCH(B382,[1]Historical!$B$7:$B$1253,0))=0,"n/a",((INDEX([1]Historical!$C$7:$C$1231,MATCH(B382,[1]Historical!$B$7:$B$1253,0))/INDEX([1]Historical!$N$7:$N$1222,MATCH(B382,[1]Historical!$B$7:$B$1253,0)))^(1/10)-1)*100)</f>
        <v>n/a</v>
      </c>
      <c r="W382" s="163" t="str">
        <f t="shared" si="93"/>
        <v>n/a</v>
      </c>
      <c r="X382" s="164">
        <f t="shared" si="94"/>
        <v>1.5289006148388793</v>
      </c>
      <c r="Y382" s="178"/>
      <c r="Z382" s="157">
        <f t="shared" si="95"/>
        <v>21.571648690292761</v>
      </c>
      <c r="AA382" s="166">
        <f t="shared" si="96"/>
        <v>5.4499229583975346</v>
      </c>
      <c r="AB382" s="126">
        <v>12</v>
      </c>
      <c r="AC382" s="167">
        <v>19.47</v>
      </c>
      <c r="AD382" s="167">
        <v>0.28000000000000003</v>
      </c>
      <c r="AE382" s="167">
        <v>0.48</v>
      </c>
      <c r="AF382" s="167">
        <v>1.97</v>
      </c>
      <c r="AG382" s="167">
        <v>41.6</v>
      </c>
      <c r="AH382" s="167">
        <v>80.400000000000006</v>
      </c>
      <c r="AI382" s="167">
        <v>-28.139999999999997</v>
      </c>
      <c r="AJ382" s="167">
        <v>16.8</v>
      </c>
      <c r="AK382" s="167">
        <v>20</v>
      </c>
      <c r="AL382" s="168">
        <v>2640</v>
      </c>
      <c r="AM382" s="169">
        <v>1.7000000000000002</v>
      </c>
      <c r="AN382" s="167">
        <v>0.81</v>
      </c>
      <c r="AO382" s="170">
        <f t="shared" si="97"/>
        <v>24.193764000807995</v>
      </c>
      <c r="AP382" s="171">
        <f t="shared" si="98"/>
        <v>29.643686959205528</v>
      </c>
      <c r="AQ382" s="172">
        <f t="shared" si="99"/>
        <v>-30.922432558936109</v>
      </c>
      <c r="AR382" s="157">
        <f>INDEX([1]Historical!$C$7:$C$1231,MATCH(B382,[1]Historical!$B$7:$B$1253,0))*IF(AH382="n/a",1.03,IF(AH382&lt;0,1.01,IF(AH382&gt;10,1.1,(1+AH382/100))))</f>
        <v>3.7950000000000004</v>
      </c>
      <c r="AS382" s="166">
        <f t="shared" si="100"/>
        <v>3.8329500000000003</v>
      </c>
      <c r="AT382" s="166">
        <f t="shared" si="107"/>
        <v>4.2162450000000007</v>
      </c>
      <c r="AU382" s="166">
        <f t="shared" si="107"/>
        <v>4.6378695000000008</v>
      </c>
      <c r="AV382" s="166">
        <f t="shared" si="107"/>
        <v>5.101656450000001</v>
      </c>
      <c r="AW382" s="157">
        <f t="shared" si="102"/>
        <v>21.58372095</v>
      </c>
      <c r="AX382" s="173">
        <f t="shared" si="103"/>
        <v>20.340892422957307</v>
      </c>
      <c r="AY382" s="174">
        <v>1.42</v>
      </c>
      <c r="AZ382" s="169">
        <v>14.26</v>
      </c>
      <c r="BA382" s="169">
        <v>-35.03</v>
      </c>
      <c r="BB382" s="169">
        <v>-2.68</v>
      </c>
      <c r="BC382" s="169">
        <v>-8.07</v>
      </c>
      <c r="BD382" s="125"/>
      <c r="BE382" s="298">
        <v>2016</v>
      </c>
      <c r="BF382" s="77">
        <f t="shared" si="104"/>
        <v>1</v>
      </c>
      <c r="BG382" s="175">
        <v>14.7</v>
      </c>
      <c r="BH382" t="s">
        <v>939</v>
      </c>
      <c r="BI382" t="s">
        <v>940</v>
      </c>
      <c r="BJ382" s="112"/>
      <c r="BK382" s="112"/>
      <c r="BL382" s="112"/>
    </row>
    <row r="383" spans="1:64" ht="11.25" customHeight="1" x14ac:dyDescent="0.2">
      <c r="A383" s="112" t="s">
        <v>1481</v>
      </c>
      <c r="B383" s="153" t="s">
        <v>357</v>
      </c>
      <c r="C383" s="154" t="s">
        <v>94</v>
      </c>
      <c r="D383" s="154" t="s">
        <v>101</v>
      </c>
      <c r="E383" s="155">
        <v>28</v>
      </c>
      <c r="F383" s="298">
        <v>128</v>
      </c>
      <c r="G383" s="298" t="s">
        <v>30</v>
      </c>
      <c r="H383" s="298" t="s">
        <v>30</v>
      </c>
      <c r="I383" s="167">
        <v>142</v>
      </c>
      <c r="J383" s="157">
        <f t="shared" si="90"/>
        <v>1.8028169014084507</v>
      </c>
      <c r="K383" s="209">
        <v>0.64</v>
      </c>
      <c r="L383" s="126">
        <v>4</v>
      </c>
      <c r="M383" s="82">
        <f t="shared" si="91"/>
        <v>2.56</v>
      </c>
      <c r="N383" s="159" t="s">
        <v>741</v>
      </c>
      <c r="O383" s="210">
        <v>0.56000000000000005</v>
      </c>
      <c r="P383" s="161">
        <v>44924</v>
      </c>
      <c r="Q383" s="161">
        <v>44939</v>
      </c>
      <c r="R383" s="82">
        <f t="shared" si="92"/>
        <v>14.285714285714276</v>
      </c>
      <c r="S383" s="162">
        <f>IF(INDEX([1]Historical!$D$7:$D$1229,MATCH(B383,[1]Historical!$B$7:$B$1253,0))=0,"n/a",(INDEX([1]Historical!$C$7:$C$1231,MATCH(B383,[1]Historical!$B$7:$B$1253,0))/INDEX([1]Historical!$D$7:$D$1229,MATCH(B383,[1]Historical!$B$7:$B$1253,0))-1)*100)</f>
        <v>4.081632653061229</v>
      </c>
      <c r="T383" s="162">
        <f>IF(INDEX([1]Historical!$F$7:$F$1222,MATCH(B383,[1]Historical!$B$7:$B$1253,0))=0,"n/a",((INDEX([1]Historical!$C$7:$C$1231,MATCH(B383,[1]Historical!$B$7:$B$1253,0))/INDEX([1]Historical!$F$7:$F$1222,MATCH(B383,[1]Historical!$B$7:$B$1253,0)))^(1/3)-1)*100)</f>
        <v>9.3541299792876842</v>
      </c>
      <c r="U383" s="162">
        <f>IF(INDEX([1]Historical!$H$7:$H$1222,MATCH(B383,[1]Historical!$B$7:$B$1253,0))=0,"n/a",((INDEX([1]Historical!$C$7:$C$1231,MATCH(B383,[1]Historical!$B$7:$B$1253,0))/INDEX([1]Historical!$H$7:$H$1222,MATCH(B383,[1]Historical!$B$7:$B$1253,0)))^(1/5)-1)*100)</f>
        <v>9.7700948713745017</v>
      </c>
      <c r="V383" s="162">
        <f>IF(INDEX([1]Historical!$N$7:$N$1222,MATCH(B383,[1]Historical!$B$7:$B$1253,0))=0,"n/a",((INDEX([1]Historical!$C$7:$C$1231,MATCH(B383,[1]Historical!$B$7:$B$1253,0))/INDEX([1]Historical!$N$7:$N$1222,MATCH(B383,[1]Historical!$B$7:$B$1253,0)))^(1/10)-1)*100)</f>
        <v>12.648093976970397</v>
      </c>
      <c r="W383" s="163">
        <f t="shared" si="93"/>
        <v>0.77245590435711931</v>
      </c>
      <c r="X383" s="164">
        <f t="shared" si="94"/>
        <v>1.0177182157681772</v>
      </c>
      <c r="Y383" s="165"/>
      <c r="Z383" s="157">
        <f t="shared" si="95"/>
        <v>34.501347708894883</v>
      </c>
      <c r="AA383" s="166">
        <f t="shared" si="96"/>
        <v>19.137466307277627</v>
      </c>
      <c r="AB383" s="126">
        <v>12</v>
      </c>
      <c r="AC383" s="167">
        <v>7.42</v>
      </c>
      <c r="AD383" s="167">
        <v>1.28</v>
      </c>
      <c r="AE383" s="167">
        <v>2.21</v>
      </c>
      <c r="AF383" s="167">
        <v>8.8000000000000007</v>
      </c>
      <c r="AG383" s="167">
        <v>49.1</v>
      </c>
      <c r="AH383" s="167">
        <v>34.5</v>
      </c>
      <c r="AI383" s="167">
        <v>4.7699999999999996</v>
      </c>
      <c r="AJ383" s="167">
        <v>9.6</v>
      </c>
      <c r="AK383" s="167">
        <v>14.799999999999999</v>
      </c>
      <c r="AL383" s="168">
        <v>8100</v>
      </c>
      <c r="AM383" s="169">
        <v>0.1</v>
      </c>
      <c r="AN383" s="167">
        <v>0.84</v>
      </c>
      <c r="AO383" s="170">
        <f t="shared" si="97"/>
        <v>-7.5645545344946754</v>
      </c>
      <c r="AP383" s="171">
        <f t="shared" si="98"/>
        <v>11.572911772782952</v>
      </c>
      <c r="AQ383" s="172">
        <f t="shared" si="99"/>
        <v>173.58500893307013</v>
      </c>
      <c r="AR383" s="157">
        <f>INDEX([1]Historical!$C$7:$C$1231,MATCH(B383,[1]Historical!$B$7:$B$1253,0))*IF(AH383="n/a",1.03,IF(AH383&lt;0,1.01,IF(AH383&gt;10,1.1,(1+AH383/100))))</f>
        <v>2.2440000000000002</v>
      </c>
      <c r="AS383" s="166">
        <f t="shared" si="100"/>
        <v>2.3510388000000004</v>
      </c>
      <c r="AT383" s="166">
        <f t="shared" si="107"/>
        <v>2.5861426800000005</v>
      </c>
      <c r="AU383" s="166">
        <f t="shared" si="107"/>
        <v>2.8447569480000006</v>
      </c>
      <c r="AV383" s="166">
        <f t="shared" si="107"/>
        <v>3.1292326428000008</v>
      </c>
      <c r="AW383" s="157">
        <f t="shared" si="102"/>
        <v>13.155171070800002</v>
      </c>
      <c r="AX383" s="173">
        <f t="shared" si="103"/>
        <v>9.2642049794366201</v>
      </c>
      <c r="AY383" s="174">
        <v>1.1599999999999999</v>
      </c>
      <c r="AZ383" s="169">
        <v>20.169999999999998</v>
      </c>
      <c r="BA383" s="169">
        <v>-4.41</v>
      </c>
      <c r="BB383" s="169">
        <v>6.2600000000000007</v>
      </c>
      <c r="BC383" s="169">
        <v>7.59</v>
      </c>
      <c r="BE383" s="77">
        <v>1996</v>
      </c>
      <c r="BF383" s="77">
        <f t="shared" si="104"/>
        <v>3</v>
      </c>
      <c r="BG383" s="175">
        <v>16.3</v>
      </c>
      <c r="BH383" t="s">
        <v>939</v>
      </c>
      <c r="BI383" t="s">
        <v>940</v>
      </c>
    </row>
    <row r="384" spans="1:64" ht="11.25" customHeight="1" x14ac:dyDescent="0.2">
      <c r="A384" s="112" t="s">
        <v>1482</v>
      </c>
      <c r="B384" s="153" t="s">
        <v>354</v>
      </c>
      <c r="C384" s="154" t="s">
        <v>100</v>
      </c>
      <c r="D384" s="154" t="s">
        <v>1043</v>
      </c>
      <c r="E384" s="155">
        <v>51</v>
      </c>
      <c r="F384" s="298">
        <v>35</v>
      </c>
      <c r="G384" s="298" t="s">
        <v>88</v>
      </c>
      <c r="H384" s="298" t="s">
        <v>88</v>
      </c>
      <c r="I384" s="167">
        <v>33.75</v>
      </c>
      <c r="J384" s="157">
        <f t="shared" si="90"/>
        <v>5.2148148148148152</v>
      </c>
      <c r="K384" s="158">
        <v>0.44</v>
      </c>
      <c r="L384" s="126">
        <v>4</v>
      </c>
      <c r="M384" s="82">
        <f t="shared" si="91"/>
        <v>1.76</v>
      </c>
      <c r="N384" s="159" t="s">
        <v>138</v>
      </c>
      <c r="O384" s="160">
        <v>0.42</v>
      </c>
      <c r="P384" s="161">
        <v>44726</v>
      </c>
      <c r="Q384" s="161">
        <v>44757</v>
      </c>
      <c r="R384" s="82">
        <f t="shared" si="92"/>
        <v>4.7619047619047663</v>
      </c>
      <c r="S384" s="162">
        <f>IF(INDEX([1]Historical!$D$7:$D$1229,MATCH(B384,[1]Historical!$B$7:$B$1253,0))=0,"n/a",(INDEX([1]Historical!$C$7:$C$1231,MATCH(B384,[1]Historical!$B$7:$B$1253,0))/INDEX([1]Historical!$D$7:$D$1229,MATCH(B384,[1]Historical!$B$7:$B$1253,0))-1)*100)</f>
        <v>2.4999999999999911</v>
      </c>
      <c r="T384" s="162">
        <f>IF(INDEX([1]Historical!$F$7:$F$1222,MATCH(B384,[1]Historical!$B$7:$B$1253,0))=0,"n/a",((INDEX([1]Historical!$C$7:$C$1231,MATCH(B384,[1]Historical!$B$7:$B$1253,0))/INDEX([1]Historical!$F$7:$F$1222,MATCH(B384,[1]Historical!$B$7:$B$1253,0)))^(1/3)-1)*100)</f>
        <v>3.4810223898952275</v>
      </c>
      <c r="U384" s="162">
        <f>IF(INDEX([1]Historical!$H$7:$H$1222,MATCH(B384,[1]Historical!$B$7:$B$1253,0))=0,"n/a",((INDEX([1]Historical!$C$7:$C$1231,MATCH(B384,[1]Historical!$B$7:$B$1253,0))/INDEX([1]Historical!$H$7:$H$1222,MATCH(B384,[1]Historical!$B$7:$B$1253,0)))^(1/5)-1)*100)</f>
        <v>4.4369026902302489</v>
      </c>
      <c r="V384" s="162">
        <f>IF(INDEX([1]Historical!$N$7:$N$1222,MATCH(B384,[1]Historical!$B$7:$B$1253,0))=0,"n/a",((INDEX([1]Historical!$C$7:$C$1231,MATCH(B384,[1]Historical!$B$7:$B$1253,0))/INDEX([1]Historical!$N$7:$N$1222,MATCH(B384,[1]Historical!$B$7:$B$1253,0)))^(1/10)-1)*100)</f>
        <v>4.169777133861019</v>
      </c>
      <c r="W384" s="163">
        <f t="shared" si="93"/>
        <v>1.0640623102371622</v>
      </c>
      <c r="X384" s="164">
        <f t="shared" si="94"/>
        <v>1.8487094542626037</v>
      </c>
      <c r="Y384" s="220"/>
      <c r="Z384" s="157">
        <f t="shared" si="95"/>
        <v>61.971830985915503</v>
      </c>
      <c r="AA384" s="166">
        <f t="shared" si="96"/>
        <v>11.88380281690141</v>
      </c>
      <c r="AB384" s="126">
        <v>12</v>
      </c>
      <c r="AC384" s="167">
        <v>2.84</v>
      </c>
      <c r="AD384" s="167">
        <v>2.2599999999999998</v>
      </c>
      <c r="AE384" s="167">
        <v>0.82</v>
      </c>
      <c r="AF384" s="167">
        <v>2.82</v>
      </c>
      <c r="AG384" s="167">
        <v>23.9</v>
      </c>
      <c r="AH384" s="167">
        <v>58.099999999999994</v>
      </c>
      <c r="AI384" s="167">
        <v>-2.4500000000000002</v>
      </c>
      <c r="AJ384" s="167">
        <v>2.4</v>
      </c>
      <c r="AK384" s="167">
        <v>5.2</v>
      </c>
      <c r="AL384" s="168">
        <v>4360</v>
      </c>
      <c r="AM384" s="169">
        <v>2</v>
      </c>
      <c r="AN384" s="167">
        <v>1.3</v>
      </c>
      <c r="AO384" s="170">
        <f t="shared" si="97"/>
        <v>-2.2320853118563466</v>
      </c>
      <c r="AP384" s="171">
        <f t="shared" si="98"/>
        <v>9.6517175050450632</v>
      </c>
      <c r="AQ384" s="172">
        <f t="shared" si="99"/>
        <v>22.042477020024045</v>
      </c>
      <c r="AR384" s="157">
        <f>INDEX([1]Historical!$C$7:$C$1231,MATCH(B384,[1]Historical!$B$7:$B$1253,0))*IF(AH384="n/a",1.03,IF(AH384&lt;0,1.01,IF(AH384&gt;10,1.1,(1+AH384/100))))</f>
        <v>1.804</v>
      </c>
      <c r="AS384" s="166">
        <f t="shared" si="100"/>
        <v>1.8220400000000001</v>
      </c>
      <c r="AT384" s="166">
        <f t="shared" si="107"/>
        <v>1.9167860800000003</v>
      </c>
      <c r="AU384" s="166">
        <f t="shared" si="107"/>
        <v>2.0164589561600006</v>
      </c>
      <c r="AV384" s="166">
        <f t="shared" si="107"/>
        <v>2.1213148218803206</v>
      </c>
      <c r="AW384" s="157">
        <f t="shared" si="102"/>
        <v>9.6805998580403205</v>
      </c>
      <c r="AX384" s="173">
        <f t="shared" si="103"/>
        <v>28.683258838637986</v>
      </c>
      <c r="AY384" s="174">
        <v>1.29</v>
      </c>
      <c r="AZ384" s="169">
        <v>11.459999999999999</v>
      </c>
      <c r="BA384" s="169">
        <v>-29.87</v>
      </c>
      <c r="BB384" s="169">
        <v>-4.91</v>
      </c>
      <c r="BC384" s="169">
        <v>-8.82</v>
      </c>
      <c r="BE384" s="77">
        <v>1972</v>
      </c>
      <c r="BF384" s="77">
        <f t="shared" si="104"/>
        <v>6</v>
      </c>
      <c r="BG384" s="175">
        <v>7.3999999999999995</v>
      </c>
      <c r="BH384" t="s">
        <v>939</v>
      </c>
      <c r="BI384" t="s">
        <v>940</v>
      </c>
    </row>
    <row r="385" spans="1:64" ht="11.25" customHeight="1" x14ac:dyDescent="0.2">
      <c r="A385" s="112" t="s">
        <v>1483</v>
      </c>
      <c r="B385" s="153" t="s">
        <v>361</v>
      </c>
      <c r="C385" s="154" t="s">
        <v>922</v>
      </c>
      <c r="D385" s="154" t="s">
        <v>974</v>
      </c>
      <c r="E385" s="155">
        <v>13</v>
      </c>
      <c r="F385" s="298">
        <v>298</v>
      </c>
      <c r="G385" s="298" t="s">
        <v>88</v>
      </c>
      <c r="H385" s="298" t="s">
        <v>88</v>
      </c>
      <c r="I385" s="156">
        <v>220.25</v>
      </c>
      <c r="J385" s="157">
        <f t="shared" si="90"/>
        <v>1.0896708286038592</v>
      </c>
      <c r="K385" s="158">
        <v>0.6</v>
      </c>
      <c r="L385" s="126">
        <v>4</v>
      </c>
      <c r="M385" s="82">
        <f t="shared" si="91"/>
        <v>2.4</v>
      </c>
      <c r="N385" s="159" t="s">
        <v>162</v>
      </c>
      <c r="O385" s="160">
        <v>0.53</v>
      </c>
      <c r="P385" s="161">
        <v>44797</v>
      </c>
      <c r="Q385" s="161">
        <v>44812</v>
      </c>
      <c r="R385" s="82">
        <f t="shared" si="92"/>
        <v>13.20754716981131</v>
      </c>
      <c r="S385" s="162">
        <f>IF(INDEX([1]Historical!$D$7:$D$1229,MATCH(B385,[1]Historical!$B$7:$B$1253,0))=0,"n/a",(INDEX([1]Historical!$C$7:$C$1231,MATCH(B385,[1]Historical!$B$7:$B$1253,0))/INDEX([1]Historical!$D$7:$D$1229,MATCH(B385,[1]Historical!$B$7:$B$1253,0))-1)*100)</f>
        <v>5.2083333333333481</v>
      </c>
      <c r="T385" s="162">
        <f>IF(INDEX([1]Historical!$F$7:$F$1222,MATCH(B385,[1]Historical!$B$7:$B$1253,0))=0,"n/a",((INDEX([1]Historical!$C$7:$C$1231,MATCH(B385,[1]Historical!$B$7:$B$1253,0))/INDEX([1]Historical!$F$7:$F$1222,MATCH(B385,[1]Historical!$B$7:$B$1253,0)))^(1/3)-1)*100)</f>
        <v>8.0796166472541397</v>
      </c>
      <c r="U385" s="162">
        <f>IF(INDEX([1]Historical!$H$7:$H$1222,MATCH(B385,[1]Historical!$B$7:$B$1253,0))=0,"n/a",((INDEX([1]Historical!$C$7:$C$1231,MATCH(B385,[1]Historical!$B$7:$B$1253,0))/INDEX([1]Historical!$H$7:$H$1222,MATCH(B385,[1]Historical!$B$7:$B$1253,0)))^(1/5)-1)*100)</f>
        <v>10.251863022486397</v>
      </c>
      <c r="V385" s="162">
        <f>IF(INDEX([1]Historical!$N$7:$N$1222,MATCH(B385,[1]Historical!$B$7:$B$1253,0))=0,"n/a",((INDEX([1]Historical!$C$7:$C$1231,MATCH(B385,[1]Historical!$B$7:$B$1253,0))/INDEX([1]Historical!$N$7:$N$1222,MATCH(B385,[1]Historical!$B$7:$B$1253,0)))^(1/10)-1)*100)</f>
        <v>11.835772867888217</v>
      </c>
      <c r="W385" s="163">
        <f t="shared" si="93"/>
        <v>0.86617605262609043</v>
      </c>
      <c r="X385" s="164">
        <f t="shared" si="94"/>
        <v>0.51516899610484401</v>
      </c>
      <c r="Y385" s="220"/>
      <c r="Z385" s="157">
        <f t="shared" si="95"/>
        <v>17.191977077363894</v>
      </c>
      <c r="AA385" s="166">
        <f t="shared" si="96"/>
        <v>15.777220630372492</v>
      </c>
      <c r="AB385" s="126">
        <v>12</v>
      </c>
      <c r="AC385" s="167">
        <v>13.96</v>
      </c>
      <c r="AD385" s="167">
        <v>1.55</v>
      </c>
      <c r="AE385" s="167">
        <v>2.2999999999999998</v>
      </c>
      <c r="AF385" s="167">
        <v>2.69</v>
      </c>
      <c r="AG385" s="167">
        <v>17.899999999999999</v>
      </c>
      <c r="AH385" s="167">
        <v>115.39999999999999</v>
      </c>
      <c r="AI385" s="167">
        <v>-12.15</v>
      </c>
      <c r="AJ385" s="167">
        <v>19.900000000000002</v>
      </c>
      <c r="AK385" s="167">
        <v>10.299999999999999</v>
      </c>
      <c r="AL385" s="168">
        <v>5370</v>
      </c>
      <c r="AM385" s="169">
        <v>1.7999999999999998</v>
      </c>
      <c r="AN385" s="167">
        <v>0.43</v>
      </c>
      <c r="AO385" s="170">
        <f t="shared" si="97"/>
        <v>-4.4356867792822356</v>
      </c>
      <c r="AP385" s="171">
        <f t="shared" si="98"/>
        <v>11.341533851090256</v>
      </c>
      <c r="AQ385" s="172">
        <f t="shared" si="99"/>
        <v>37.340976317585394</v>
      </c>
      <c r="AR385" s="157">
        <f>INDEX([1]Historical!$C$7:$C$1231,MATCH(B385,[1]Historical!$B$7:$B$1253,0))*IF(AH385="n/a",1.03,IF(AH385&lt;0,1.01,IF(AH385&gt;10,1.1,(1+AH385/100))))</f>
        <v>2.2220000000000004</v>
      </c>
      <c r="AS385" s="166">
        <f t="shared" si="100"/>
        <v>2.2442200000000003</v>
      </c>
      <c r="AT385" s="166">
        <f t="shared" si="107"/>
        <v>2.4686420000000004</v>
      </c>
      <c r="AU385" s="166">
        <f t="shared" si="107"/>
        <v>2.7155062000000005</v>
      </c>
      <c r="AV385" s="166">
        <f t="shared" si="107"/>
        <v>2.9870568200000007</v>
      </c>
      <c r="AW385" s="157">
        <f t="shared" si="102"/>
        <v>12.637425020000002</v>
      </c>
      <c r="AX385" s="173">
        <f t="shared" si="103"/>
        <v>5.7377639137343932</v>
      </c>
      <c r="AY385" s="174">
        <v>1.21</v>
      </c>
      <c r="AZ385" s="169">
        <v>14.6</v>
      </c>
      <c r="BA385" s="169">
        <v>-34.22</v>
      </c>
      <c r="BB385" s="169">
        <v>1.46</v>
      </c>
      <c r="BC385" s="169">
        <v>-10.040000000000001</v>
      </c>
      <c r="BE385" s="77">
        <v>2010</v>
      </c>
      <c r="BF385" s="77">
        <f t="shared" si="104"/>
        <v>1</v>
      </c>
      <c r="BG385" s="175">
        <v>10.8</v>
      </c>
      <c r="BH385" t="s">
        <v>939</v>
      </c>
      <c r="BI385" t="s">
        <v>940</v>
      </c>
    </row>
    <row r="386" spans="1:64" ht="11.25" customHeight="1" x14ac:dyDescent="0.2">
      <c r="A386" s="176" t="s">
        <v>1484</v>
      </c>
      <c r="B386" s="153" t="s">
        <v>1125</v>
      </c>
      <c r="C386" s="154" t="s">
        <v>94</v>
      </c>
      <c r="D386" s="154" t="s">
        <v>1003</v>
      </c>
      <c r="E386" s="155">
        <v>21</v>
      </c>
      <c r="F386" s="298">
        <v>165</v>
      </c>
      <c r="G386" s="298" t="s">
        <v>30</v>
      </c>
      <c r="H386" s="298" t="s">
        <v>30</v>
      </c>
      <c r="I386" s="156">
        <v>246.47</v>
      </c>
      <c r="J386" s="157">
        <f t="shared" si="90"/>
        <v>1.8176654359556947</v>
      </c>
      <c r="K386" s="158">
        <v>1.1200000000000001</v>
      </c>
      <c r="L386" s="126">
        <v>4</v>
      </c>
      <c r="M386" s="82">
        <f t="shared" si="91"/>
        <v>4.4800000000000004</v>
      </c>
      <c r="N386" s="159" t="s">
        <v>549</v>
      </c>
      <c r="O386" s="160">
        <v>1.02</v>
      </c>
      <c r="P386" s="161">
        <v>44630</v>
      </c>
      <c r="Q386" s="161">
        <v>44645</v>
      </c>
      <c r="R386" s="82">
        <f t="shared" si="92"/>
        <v>9.8039215686274588</v>
      </c>
      <c r="S386" s="162">
        <f>IF(INDEX([1]Historical!$D$7:$D$1229,MATCH(B386,[1]Historical!$B$7:$B$1253,0))=0,"n/a",(INDEX([1]Historical!$C$7:$C$1231,MATCH(B386,[1]Historical!$B$7:$B$1253,0))/INDEX([1]Historical!$D$7:$D$1229,MATCH(B386,[1]Historical!$B$7:$B$1253,0))-1)*100)</f>
        <v>19.999999999999996</v>
      </c>
      <c r="T386" s="162">
        <f>IF(INDEX([1]Historical!$F$7:$F$1222,MATCH(B386,[1]Historical!$B$7:$B$1253,0))=0,"n/a",((INDEX([1]Historical!$C$7:$C$1231,MATCH(B386,[1]Historical!$B$7:$B$1253,0))/INDEX([1]Historical!$F$7:$F$1222,MATCH(B386,[1]Historical!$B$7:$B$1253,0)))^(1/3)-1)*100)</f>
        <v>17.578743245609239</v>
      </c>
      <c r="U386" s="162">
        <f>IF(INDEX([1]Historical!$H$7:$H$1222,MATCH(B386,[1]Historical!$B$7:$B$1253,0))=0,"n/a",((INDEX([1]Historical!$C$7:$C$1231,MATCH(B386,[1]Historical!$B$7:$B$1253,0))/INDEX([1]Historical!$H$7:$H$1222,MATCH(B386,[1]Historical!$B$7:$B$1253,0)))^(1/5)-1)*100)</f>
        <v>14.645915988324498</v>
      </c>
      <c r="V386" s="162">
        <f>IF(INDEX([1]Historical!$N$7:$N$1222,MATCH(B386,[1]Historical!$B$7:$B$1253,0))=0,"n/a",((INDEX([1]Historical!$C$7:$C$1231,MATCH(B386,[1]Historical!$B$7:$B$1253,0))/INDEX([1]Historical!$N$7:$N$1222,MATCH(B386,[1]Historical!$B$7:$B$1253,0)))^(1/10)-1)*100)</f>
        <v>14.428822714477075</v>
      </c>
      <c r="W386" s="163">
        <f t="shared" si="93"/>
        <v>1.0150458064488936</v>
      </c>
      <c r="X386" s="164">
        <f t="shared" si="94"/>
        <v>1.1716732790659599</v>
      </c>
      <c r="Y386" s="178"/>
      <c r="Z386" s="157">
        <f t="shared" si="95"/>
        <v>46.185567010309285</v>
      </c>
      <c r="AA386" s="166">
        <f t="shared" si="96"/>
        <v>25.409278350515464</v>
      </c>
      <c r="AB386" s="126">
        <v>6</v>
      </c>
      <c r="AC386" s="167">
        <v>9.6999999999999993</v>
      </c>
      <c r="AD386" s="167">
        <v>6.19</v>
      </c>
      <c r="AE386" s="167">
        <v>2.88</v>
      </c>
      <c r="AF386" s="167">
        <v>2.5</v>
      </c>
      <c r="AG386" s="167">
        <v>9.6</v>
      </c>
      <c r="AH386" s="167">
        <v>75.099999999999994</v>
      </c>
      <c r="AI386" s="167">
        <v>5.26</v>
      </c>
      <c r="AJ386" s="167">
        <v>12.5</v>
      </c>
      <c r="AK386" s="167">
        <v>4.1399999999999997</v>
      </c>
      <c r="AL386" s="168">
        <v>48370</v>
      </c>
      <c r="AM386" s="169">
        <v>0.3</v>
      </c>
      <c r="AN386" s="167">
        <v>0.37</v>
      </c>
      <c r="AO386" s="170">
        <f t="shared" si="97"/>
        <v>-8.9456969262352715</v>
      </c>
      <c r="AP386" s="171">
        <f t="shared" si="98"/>
        <v>16.463581424280193</v>
      </c>
      <c r="AQ386" s="172">
        <f t="shared" si="99"/>
        <v>68.025389452227586</v>
      </c>
      <c r="AR386" s="157">
        <f>INDEX([1]Historical!$C$7:$C$1231,MATCH(B386,[1]Historical!$B$7:$B$1253,0))*IF(AH386="n/a",1.03,IF(AH386&lt;0,1.01,IF(AH386&gt;10,1.1,(1+AH386/100))))</f>
        <v>4.4880000000000004</v>
      </c>
      <c r="AS386" s="166">
        <f t="shared" si="100"/>
        <v>4.7240688000000004</v>
      </c>
      <c r="AT386" s="166">
        <f t="shared" si="107"/>
        <v>4.9196452483200011</v>
      </c>
      <c r="AU386" s="166">
        <f t="shared" si="107"/>
        <v>5.12331856160045</v>
      </c>
      <c r="AV386" s="166">
        <f t="shared" si="107"/>
        <v>5.3354239500507088</v>
      </c>
      <c r="AW386" s="157">
        <f t="shared" si="102"/>
        <v>24.590456559971159</v>
      </c>
      <c r="AX386" s="173">
        <f t="shared" si="103"/>
        <v>9.9770586927298073</v>
      </c>
      <c r="AY386" s="174">
        <v>0.76</v>
      </c>
      <c r="AZ386" s="169">
        <v>22.8</v>
      </c>
      <c r="BA386" s="169">
        <v>-11.88</v>
      </c>
      <c r="BB386" s="169">
        <v>7.1099999999999994</v>
      </c>
      <c r="BC386" s="169">
        <v>4.67</v>
      </c>
      <c r="BE386" s="77">
        <v>2002</v>
      </c>
      <c r="BF386" s="77">
        <f t="shared" si="104"/>
        <v>2</v>
      </c>
      <c r="BG386" s="175">
        <v>5.4</v>
      </c>
      <c r="BH386" t="s">
        <v>939</v>
      </c>
      <c r="BI386" t="s">
        <v>940</v>
      </c>
    </row>
    <row r="387" spans="1:64" ht="11.25" customHeight="1" x14ac:dyDescent="0.2">
      <c r="A387" s="112" t="s">
        <v>355</v>
      </c>
      <c r="B387" s="153" t="s">
        <v>356</v>
      </c>
      <c r="C387" s="154" t="s">
        <v>94</v>
      </c>
      <c r="D387" s="154" t="s">
        <v>760</v>
      </c>
      <c r="E387" s="155">
        <v>13</v>
      </c>
      <c r="F387" s="298">
        <v>294</v>
      </c>
      <c r="G387" s="298" t="s">
        <v>88</v>
      </c>
      <c r="H387" s="298" t="s">
        <v>88</v>
      </c>
      <c r="I387" s="156">
        <v>233.57</v>
      </c>
      <c r="J387" s="157">
        <f t="shared" si="90"/>
        <v>1.8153016226398939</v>
      </c>
      <c r="K387" s="158">
        <v>1.06</v>
      </c>
      <c r="L387" s="126">
        <v>4</v>
      </c>
      <c r="M387" s="82">
        <f t="shared" si="91"/>
        <v>4.24</v>
      </c>
      <c r="N387" s="159" t="s">
        <v>443</v>
      </c>
      <c r="O387" s="160">
        <v>0.92</v>
      </c>
      <c r="P387" s="161">
        <v>44741</v>
      </c>
      <c r="Q387" s="161">
        <v>44757</v>
      </c>
      <c r="R387" s="82">
        <f t="shared" si="92"/>
        <v>15.217391304347828</v>
      </c>
      <c r="S387" s="162">
        <f>IF(INDEX([1]Historical!$D$7:$D$1229,MATCH(B387,[1]Historical!$B$7:$B$1253,0))=0,"n/a",(INDEX([1]Historical!$C$7:$C$1231,MATCH(B387,[1]Historical!$B$7:$B$1253,0))/INDEX([1]Historical!$D$7:$D$1229,MATCH(B387,[1]Historical!$B$7:$B$1253,0))-1)*100)</f>
        <v>9.740259740259738</v>
      </c>
      <c r="T387" s="162">
        <f>IF(INDEX([1]Historical!$F$7:$F$1222,MATCH(B387,[1]Historical!$B$7:$B$1253,0))=0,"n/a",((INDEX([1]Historical!$C$7:$C$1231,MATCH(B387,[1]Historical!$B$7:$B$1253,0))/INDEX([1]Historical!$F$7:$F$1222,MATCH(B387,[1]Historical!$B$7:$B$1253,0)))^(1/3)-1)*100)</f>
        <v>13.691925398179826</v>
      </c>
      <c r="U387" s="162">
        <f>IF(INDEX([1]Historical!$H$7:$H$1222,MATCH(B387,[1]Historical!$B$7:$B$1253,0))=0,"n/a",((INDEX([1]Historical!$C$7:$C$1231,MATCH(B387,[1]Historical!$B$7:$B$1253,0))/INDEX([1]Historical!$H$7:$H$1222,MATCH(B387,[1]Historical!$B$7:$B$1253,0)))^(1/5)-1)*100)</f>
        <v>16.426521639388071</v>
      </c>
      <c r="V387" s="162">
        <f>IF(INDEX([1]Historical!$N$7:$N$1222,MATCH(B387,[1]Historical!$B$7:$B$1253,0))=0,"n/a",((INDEX([1]Historical!$C$7:$C$1231,MATCH(B387,[1]Historical!$B$7:$B$1253,0))/INDEX([1]Historical!$N$7:$N$1222,MATCH(B387,[1]Historical!$B$7:$B$1253,0)))^(1/10)-1)*100)</f>
        <v>17.221361404312873</v>
      </c>
      <c r="W387" s="163">
        <f t="shared" si="93"/>
        <v>0.95384570672062285</v>
      </c>
      <c r="X387" s="164">
        <f t="shared" si="94"/>
        <v>1.1487078069502148</v>
      </c>
      <c r="Y387" s="220"/>
      <c r="Z387" s="157">
        <f t="shared" si="95"/>
        <v>31.384159881569211</v>
      </c>
      <c r="AA387" s="166">
        <f t="shared" si="96"/>
        <v>17.288675055514435</v>
      </c>
      <c r="AB387" s="126">
        <v>12</v>
      </c>
      <c r="AC387" s="167">
        <v>13.51</v>
      </c>
      <c r="AD387" s="167">
        <v>1.43</v>
      </c>
      <c r="AE387" s="167">
        <v>1.76</v>
      </c>
      <c r="AF387" s="179" t="s">
        <v>95</v>
      </c>
      <c r="AG387" s="167">
        <v>-140.39999999999998</v>
      </c>
      <c r="AH387" s="167">
        <v>33.700000000000003</v>
      </c>
      <c r="AI387" s="167">
        <v>5.3</v>
      </c>
      <c r="AJ387" s="167">
        <v>14.299999999999999</v>
      </c>
      <c r="AK387" s="167">
        <v>12.31</v>
      </c>
      <c r="AL387" s="168">
        <v>8070</v>
      </c>
      <c r="AM387" s="169">
        <v>0.2</v>
      </c>
      <c r="AN387" s="235" t="s">
        <v>95</v>
      </c>
      <c r="AO387" s="170">
        <f t="shared" si="97"/>
        <v>0.95314820651352861</v>
      </c>
      <c r="AP387" s="171">
        <f t="shared" si="98"/>
        <v>18.241823262027964</v>
      </c>
      <c r="AQ387" s="172" t="str">
        <f t="shared" si="99"/>
        <v>n/a</v>
      </c>
      <c r="AR387" s="157">
        <f>INDEX([1]Historical!$C$7:$C$1231,MATCH(B387,[1]Historical!$B$7:$B$1253,0))*IF(AH387="n/a",1.03,IF(AH387&lt;0,1.01,IF(AH387&gt;10,1.1,(1+AH387/100))))</f>
        <v>3.718</v>
      </c>
      <c r="AS387" s="166">
        <f t="shared" si="100"/>
        <v>3.9150539999999996</v>
      </c>
      <c r="AT387" s="166">
        <f t="shared" si="107"/>
        <v>4.3065594000000003</v>
      </c>
      <c r="AU387" s="166">
        <f t="shared" si="107"/>
        <v>4.7372153400000006</v>
      </c>
      <c r="AV387" s="166">
        <f t="shared" si="107"/>
        <v>5.2109368740000006</v>
      </c>
      <c r="AW387" s="157">
        <f t="shared" si="102"/>
        <v>21.887765613999999</v>
      </c>
      <c r="AX387" s="173">
        <f t="shared" si="103"/>
        <v>9.3709661403433664</v>
      </c>
      <c r="AY387" s="174">
        <v>0.9</v>
      </c>
      <c r="AZ387" s="169">
        <v>27.74</v>
      </c>
      <c r="BA387" s="169">
        <v>-30.23</v>
      </c>
      <c r="BB387" s="169">
        <v>-1.0900000000000001</v>
      </c>
      <c r="BC387" s="169">
        <v>-2.4299999999999997</v>
      </c>
      <c r="BE387" s="77">
        <v>2010</v>
      </c>
      <c r="BF387" s="77">
        <f t="shared" si="104"/>
        <v>1</v>
      </c>
      <c r="BG387" s="175">
        <v>19.600000000000001</v>
      </c>
      <c r="BH387" t="s">
        <v>939</v>
      </c>
      <c r="BI387" t="s">
        <v>940</v>
      </c>
    </row>
    <row r="388" spans="1:64" ht="11.25" customHeight="1" x14ac:dyDescent="0.2">
      <c r="A388" s="112" t="s">
        <v>1485</v>
      </c>
      <c r="B388" s="153" t="s">
        <v>1126</v>
      </c>
      <c r="C388" s="154" t="s">
        <v>96</v>
      </c>
      <c r="D388" s="154" t="s">
        <v>911</v>
      </c>
      <c r="E388" s="155">
        <v>29</v>
      </c>
      <c r="F388" s="298">
        <v>110</v>
      </c>
      <c r="G388" s="298" t="s">
        <v>30</v>
      </c>
      <c r="H388" s="298" t="s">
        <v>30</v>
      </c>
      <c r="I388" s="167">
        <v>297.35000000000002</v>
      </c>
      <c r="J388" s="157">
        <f t="shared" si="90"/>
        <v>1.5739028081385571</v>
      </c>
      <c r="K388" s="209">
        <v>1.17</v>
      </c>
      <c r="L388" s="126">
        <v>4</v>
      </c>
      <c r="M388" s="82">
        <f t="shared" si="91"/>
        <v>4.68</v>
      </c>
      <c r="N388" s="159" t="s">
        <v>167</v>
      </c>
      <c r="O388" s="210">
        <v>1.06</v>
      </c>
      <c r="P388" s="161">
        <v>44630</v>
      </c>
      <c r="Q388" s="161">
        <v>44645</v>
      </c>
      <c r="R388" s="82">
        <f t="shared" si="92"/>
        <v>10.377358490566026</v>
      </c>
      <c r="S388" s="162">
        <f>IF(INDEX([1]Historical!$D$7:$D$1229,MATCH(B388,[1]Historical!$B$7:$B$1253,0))=0,"n/a",(INDEX([1]Historical!$C$7:$C$1231,MATCH(B388,[1]Historical!$B$7:$B$1253,0))/INDEX([1]Historical!$D$7:$D$1229,MATCH(B388,[1]Historical!$B$7:$B$1253,0))-1)*100)</f>
        <v>10.072689511941867</v>
      </c>
      <c r="T388" s="162">
        <f>IF(INDEX([1]Historical!$F$7:$F$1222,MATCH(B388,[1]Historical!$B$7:$B$1253,0))=0,"n/a",((INDEX([1]Historical!$C$7:$C$1231,MATCH(B388,[1]Historical!$B$7:$B$1253,0))/INDEX([1]Historical!$F$7:$F$1222,MATCH(B388,[1]Historical!$B$7:$B$1253,0)))^(1/3)-1)*100)</f>
        <v>8.7136237302499531</v>
      </c>
      <c r="U388" s="162">
        <f>IF(INDEX([1]Historical!$H$7:$H$1222,MATCH(B388,[1]Historical!$B$7:$B$1253,0))=0,"n/a",((INDEX([1]Historical!$C$7:$C$1231,MATCH(B388,[1]Historical!$B$7:$B$1253,0))/INDEX([1]Historical!$H$7:$H$1222,MATCH(B388,[1]Historical!$B$7:$B$1253,0)))^(1/5)-1)*100)</f>
        <v>7.164001153355537</v>
      </c>
      <c r="V388" s="162">
        <f>IF(INDEX([1]Historical!$N$7:$N$1222,MATCH(B388,[1]Historical!$B$7:$B$1253,0))=0,"n/a",((INDEX([1]Historical!$C$7:$C$1231,MATCH(B388,[1]Historical!$B$7:$B$1253,0))/INDEX([1]Historical!$N$7:$N$1222,MATCH(B388,[1]Historical!$B$7:$B$1253,0)))^(1/10)-1)*100)</f>
        <v>7.803679964745025</v>
      </c>
      <c r="W388" s="163">
        <f t="shared" si="93"/>
        <v>0.91802856930584176</v>
      </c>
      <c r="X388" s="164">
        <f t="shared" si="94"/>
        <v>1.023428736193648</v>
      </c>
      <c r="Y388" s="249"/>
      <c r="Z388" s="157">
        <f t="shared" si="95"/>
        <v>67.924528301886795</v>
      </c>
      <c r="AA388" s="166">
        <f t="shared" si="96"/>
        <v>43.156748911465897</v>
      </c>
      <c r="AB388" s="126">
        <v>12</v>
      </c>
      <c r="AC388" s="167">
        <v>6.89</v>
      </c>
      <c r="AD388" s="167">
        <v>4.17</v>
      </c>
      <c r="AE388" s="167">
        <v>4.4800000000000004</v>
      </c>
      <c r="AF388" s="167">
        <v>3.99</v>
      </c>
      <c r="AG388" s="167">
        <v>9.4</v>
      </c>
      <c r="AH388" s="167">
        <v>55.7</v>
      </c>
      <c r="AI388" s="167">
        <v>7.61</v>
      </c>
      <c r="AJ388" s="167">
        <v>7.0000000000000009</v>
      </c>
      <c r="AK388" s="167">
        <v>10.489999999999998</v>
      </c>
      <c r="AL388" s="168">
        <v>146150</v>
      </c>
      <c r="AM388" s="169">
        <v>0.18</v>
      </c>
      <c r="AN388" s="167">
        <v>0.41</v>
      </c>
      <c r="AO388" s="170">
        <f t="shared" si="97"/>
        <v>-34.418844949971799</v>
      </c>
      <c r="AP388" s="171">
        <f t="shared" si="98"/>
        <v>8.7379039614940943</v>
      </c>
      <c r="AQ388" s="172">
        <f t="shared" si="99"/>
        <v>176.64291316243674</v>
      </c>
      <c r="AR388" s="157">
        <f>INDEX([1]Historical!$C$7:$C$1231,MATCH(B388,[1]Historical!$B$7:$B$1253,0))*IF(AH388="n/a",1.03,IF(AH388&lt;0,1.01,IF(AH388&gt;10,1.1,(1+AH388/100))))</f>
        <v>4.6640000000000006</v>
      </c>
      <c r="AS388" s="166">
        <f t="shared" si="100"/>
        <v>5.0189304000000012</v>
      </c>
      <c r="AT388" s="166">
        <f t="shared" si="107"/>
        <v>5.5208234400000018</v>
      </c>
      <c r="AU388" s="166">
        <f t="shared" si="107"/>
        <v>6.0729057840000022</v>
      </c>
      <c r="AV388" s="166">
        <f t="shared" si="107"/>
        <v>6.6801963624000029</v>
      </c>
      <c r="AW388" s="157">
        <f t="shared" si="102"/>
        <v>27.956855986400011</v>
      </c>
      <c r="AX388" s="173">
        <f t="shared" si="103"/>
        <v>9.4020030221624378</v>
      </c>
      <c r="AY388" s="174">
        <v>0.88</v>
      </c>
      <c r="AZ388" s="169">
        <v>13.29</v>
      </c>
      <c r="BA388" s="169">
        <v>-15.57</v>
      </c>
      <c r="BB388" s="169">
        <v>5.28</v>
      </c>
      <c r="BC388" s="169">
        <v>-0.63</v>
      </c>
      <c r="BE388" s="77">
        <v>1994</v>
      </c>
      <c r="BF388" s="77">
        <f t="shared" si="104"/>
        <v>3</v>
      </c>
      <c r="BG388" s="175">
        <v>4.9000000000000004</v>
      </c>
      <c r="BH388" t="s">
        <v>939</v>
      </c>
      <c r="BI388" t="s">
        <v>940</v>
      </c>
    </row>
    <row r="389" spans="1:64" ht="11.25" customHeight="1" x14ac:dyDescent="0.2">
      <c r="A389" s="176" t="s">
        <v>1486</v>
      </c>
      <c r="B389" s="153" t="s">
        <v>726</v>
      </c>
      <c r="C389" s="154" t="s">
        <v>90</v>
      </c>
      <c r="D389" s="154" t="s">
        <v>969</v>
      </c>
      <c r="E389" s="155">
        <v>11</v>
      </c>
      <c r="F389" s="298">
        <v>404</v>
      </c>
      <c r="G389" s="298" t="s">
        <v>30</v>
      </c>
      <c r="H389" s="298" t="s">
        <v>30</v>
      </c>
      <c r="I389" s="156">
        <v>82.65</v>
      </c>
      <c r="J389" s="157">
        <f t="shared" si="90"/>
        <v>1.9358741681790681</v>
      </c>
      <c r="K389" s="158">
        <v>0.4</v>
      </c>
      <c r="L389" s="126">
        <v>4</v>
      </c>
      <c r="M389" s="82">
        <f t="shared" si="91"/>
        <v>1.6</v>
      </c>
      <c r="N389" s="159" t="s">
        <v>281</v>
      </c>
      <c r="O389" s="160">
        <v>0.34</v>
      </c>
      <c r="P389" s="161">
        <v>44585</v>
      </c>
      <c r="Q389" s="161">
        <v>44599</v>
      </c>
      <c r="R389" s="82">
        <f t="shared" si="92"/>
        <v>17.647058823529409</v>
      </c>
      <c r="S389" s="162">
        <f>IF(INDEX([1]Historical!$D$7:$D$1229,MATCH(B389,[1]Historical!$B$7:$B$1253,0))=0,"n/a",(INDEX([1]Historical!$C$7:$C$1231,MATCH(B389,[1]Historical!$B$7:$B$1253,0))/INDEX([1]Historical!$D$7:$D$1229,MATCH(B389,[1]Historical!$B$7:$B$1253,0))-1)*100)</f>
        <v>13.333333333333353</v>
      </c>
      <c r="T389" s="162">
        <f>IF(INDEX([1]Historical!$F$7:$F$1222,MATCH(B389,[1]Historical!$B$7:$B$1253,0))=0,"n/a",((INDEX([1]Historical!$C$7:$C$1231,MATCH(B389,[1]Historical!$B$7:$B$1253,0))/INDEX([1]Historical!$F$7:$F$1222,MATCH(B389,[1]Historical!$B$7:$B$1253,0)))^(1/3)-1)*100)</f>
        <v>10.793165135089279</v>
      </c>
      <c r="U389" s="162">
        <f>IF(INDEX([1]Historical!$H$7:$H$1222,MATCH(B389,[1]Historical!$B$7:$B$1253,0))=0,"n/a",((INDEX([1]Historical!$C$7:$C$1231,MATCH(B389,[1]Historical!$B$7:$B$1253,0))/INDEX([1]Historical!$H$7:$H$1222,MATCH(B389,[1]Historical!$B$7:$B$1253,0)))^(1/5)-1)*100)</f>
        <v>13.355003335721992</v>
      </c>
      <c r="V389" s="162">
        <f>IF(INDEX([1]Historical!$N$7:$N$1222,MATCH(B389,[1]Historical!$B$7:$B$1253,0))=0,"n/a",((INDEX([1]Historical!$C$7:$C$1231,MATCH(B389,[1]Historical!$B$7:$B$1253,0))/INDEX([1]Historical!$N$7:$N$1222,MATCH(B389,[1]Historical!$B$7:$B$1253,0)))^(1/10)-1)*100)</f>
        <v>12.648093976970397</v>
      </c>
      <c r="W389" s="163">
        <f t="shared" si="93"/>
        <v>1.0558905839914483</v>
      </c>
      <c r="X389" s="164">
        <f t="shared" si="94"/>
        <v>1.0433596356032806</v>
      </c>
      <c r="Y389" s="180"/>
      <c r="Z389" s="157">
        <f t="shared" si="95"/>
        <v>40.302267002518896</v>
      </c>
      <c r="AA389" s="166">
        <f t="shared" si="96"/>
        <v>20.818639798488665</v>
      </c>
      <c r="AB389" s="126">
        <v>12</v>
      </c>
      <c r="AC389" s="167">
        <v>3.97</v>
      </c>
      <c r="AD389" s="167">
        <v>2.08</v>
      </c>
      <c r="AE389" s="167">
        <v>9.76</v>
      </c>
      <c r="AF389" s="167">
        <v>4.07</v>
      </c>
      <c r="AG389" s="167">
        <v>17.100000000000001</v>
      </c>
      <c r="AH389" s="167">
        <v>13.3</v>
      </c>
      <c r="AI389" s="167">
        <v>4.5</v>
      </c>
      <c r="AJ389" s="167">
        <v>12.8</v>
      </c>
      <c r="AK389" s="167">
        <v>10</v>
      </c>
      <c r="AL389" s="168">
        <v>2070</v>
      </c>
      <c r="AM389" s="169">
        <v>1.2</v>
      </c>
      <c r="AN389" s="167">
        <v>0</v>
      </c>
      <c r="AO389" s="170">
        <f t="shared" si="97"/>
        <v>-5.5277622945876033</v>
      </c>
      <c r="AP389" s="171">
        <f t="shared" si="98"/>
        <v>15.290877503901061</v>
      </c>
      <c r="AQ389" s="172">
        <f t="shared" si="99"/>
        <v>94.05825468983835</v>
      </c>
      <c r="AR389" s="157">
        <f>INDEX([1]Historical!$C$7:$C$1231,MATCH(B389,[1]Historical!$B$7:$B$1253,0))*IF(AH389="n/a",1.03,IF(AH389&lt;0,1.01,IF(AH389&gt;10,1.1,(1+AH389/100))))</f>
        <v>1.4960000000000002</v>
      </c>
      <c r="AS389" s="166">
        <f t="shared" si="100"/>
        <v>1.56332</v>
      </c>
      <c r="AT389" s="166">
        <f t="shared" si="107"/>
        <v>1.7196520000000002</v>
      </c>
      <c r="AU389" s="166">
        <f t="shared" si="107"/>
        <v>1.8916172000000004</v>
      </c>
      <c r="AV389" s="166">
        <f t="shared" si="107"/>
        <v>2.0807789200000006</v>
      </c>
      <c r="AW389" s="157">
        <f t="shared" si="102"/>
        <v>8.7513681200000022</v>
      </c>
      <c r="AX389" s="173">
        <f t="shared" si="103"/>
        <v>10.588467174833639</v>
      </c>
      <c r="AY389" s="174">
        <v>0.76</v>
      </c>
      <c r="AZ389" s="169">
        <v>29.04</v>
      </c>
      <c r="BA389" s="169">
        <v>-3.5700000000000003</v>
      </c>
      <c r="BB389" s="169">
        <v>7.9</v>
      </c>
      <c r="BC389" s="169">
        <v>10.01</v>
      </c>
      <c r="BE389" s="77">
        <v>2012</v>
      </c>
      <c r="BF389" s="77">
        <f t="shared" si="104"/>
        <v>1</v>
      </c>
      <c r="BG389" s="175">
        <v>1.6</v>
      </c>
      <c r="BH389" t="s">
        <v>939</v>
      </c>
      <c r="BI389" t="s">
        <v>940</v>
      </c>
    </row>
    <row r="390" spans="1:64" ht="11.25" customHeight="1" x14ac:dyDescent="0.2">
      <c r="A390" s="112" t="s">
        <v>1487</v>
      </c>
      <c r="B390" s="153" t="s">
        <v>1127</v>
      </c>
      <c r="C390" s="154" t="s">
        <v>137</v>
      </c>
      <c r="D390" s="154" t="s">
        <v>996</v>
      </c>
      <c r="E390" s="155">
        <v>8</v>
      </c>
      <c r="F390" s="298">
        <v>580</v>
      </c>
      <c r="G390" s="298" t="s">
        <v>88</v>
      </c>
      <c r="H390" s="298" t="s">
        <v>88</v>
      </c>
      <c r="I390" s="156">
        <v>362.09</v>
      </c>
      <c r="J390" s="157">
        <f t="shared" si="90"/>
        <v>1.082603772542738</v>
      </c>
      <c r="K390" s="158">
        <v>0.98</v>
      </c>
      <c r="L390" s="126">
        <v>4</v>
      </c>
      <c r="M390" s="82">
        <f t="shared" si="91"/>
        <v>3.92</v>
      </c>
      <c r="N390" s="159" t="s">
        <v>1128</v>
      </c>
      <c r="O390" s="160">
        <v>0.85</v>
      </c>
      <c r="P390" s="161">
        <v>44606</v>
      </c>
      <c r="Q390" s="161">
        <v>44630</v>
      </c>
      <c r="R390" s="82">
        <f t="shared" si="92"/>
        <v>15.294117647058824</v>
      </c>
      <c r="S390" s="162">
        <f>IF(INDEX([1]Historical!$D$7:$D$1229,MATCH(B390,[1]Historical!$B$7:$B$1253,0))=0,"n/a",(INDEX([1]Historical!$C$7:$C$1231,MATCH(B390,[1]Historical!$B$7:$B$1253,0))/INDEX([1]Historical!$D$7:$D$1229,MATCH(B390,[1]Historical!$B$7:$B$1253,0))-1)*100)</f>
        <v>14.864864864864868</v>
      </c>
      <c r="T390" s="162">
        <f>IF(INDEX([1]Historical!$F$7:$F$1222,MATCH(B390,[1]Historical!$B$7:$B$1253,0))=0,"n/a",((INDEX([1]Historical!$C$7:$C$1231,MATCH(B390,[1]Historical!$B$7:$B$1253,0))/INDEX([1]Historical!$F$7:$F$1222,MATCH(B390,[1]Historical!$B$7:$B$1253,0)))^(1/3)-1)*100)</f>
        <v>14.75337471508773</v>
      </c>
      <c r="U390" s="162">
        <f>IF(INDEX([1]Historical!$H$7:$H$1222,MATCH(B390,[1]Historical!$B$7:$B$1253,0))=0,"n/a",((INDEX([1]Historical!$C$7:$C$1231,MATCH(B390,[1]Historical!$B$7:$B$1253,0))/INDEX([1]Historical!$H$7:$H$1222,MATCH(B390,[1]Historical!$B$7:$B$1253,0)))^(1/5)-1)*100)</f>
        <v>10.756634324828983</v>
      </c>
      <c r="V390" s="162">
        <f>IF(INDEX([1]Historical!$N$7:$N$1222,MATCH(B390,[1]Historical!$B$7:$B$1253,0))=0,"n/a",((INDEX([1]Historical!$C$7:$C$1231,MATCH(B390,[1]Historical!$B$7:$B$1253,0))/INDEX([1]Historical!$N$7:$N$1222,MATCH(B390,[1]Historical!$B$7:$B$1253,0)))^(1/10)-1)*100)</f>
        <v>5.6628412450983268</v>
      </c>
      <c r="W390" s="163">
        <f t="shared" si="93"/>
        <v>1.8995118985791399</v>
      </c>
      <c r="X390" s="164">
        <f t="shared" si="94"/>
        <v>0.56913409126079284</v>
      </c>
      <c r="Y390" s="178"/>
      <c r="Z390" s="157">
        <f t="shared" si="95"/>
        <v>62.519936204146731</v>
      </c>
      <c r="AA390" s="166">
        <f t="shared" si="96"/>
        <v>57.749601275917065</v>
      </c>
      <c r="AB390" s="126">
        <v>12</v>
      </c>
      <c r="AC390" s="167">
        <v>6.27</v>
      </c>
      <c r="AD390" s="167">
        <v>3.42</v>
      </c>
      <c r="AE390" s="167">
        <v>11.65</v>
      </c>
      <c r="AF390" s="167">
        <v>37.92</v>
      </c>
      <c r="AG390" s="167">
        <v>65.8</v>
      </c>
      <c r="AH390" s="167">
        <v>-9.8000000000000007</v>
      </c>
      <c r="AI390" s="167">
        <v>17.29</v>
      </c>
      <c r="AJ390" s="167">
        <v>18.899999999999999</v>
      </c>
      <c r="AK390" s="167">
        <v>16.8</v>
      </c>
      <c r="AL390" s="168">
        <v>338580</v>
      </c>
      <c r="AM390" s="169">
        <v>10.9</v>
      </c>
      <c r="AN390" s="167">
        <v>1.97</v>
      </c>
      <c r="AO390" s="170">
        <f t="shared" si="97"/>
        <v>-45.910363178545346</v>
      </c>
      <c r="AP390" s="171">
        <f t="shared" si="98"/>
        <v>11.839238097371721</v>
      </c>
      <c r="AQ390" s="172">
        <f t="shared" si="99"/>
        <v>886.54613686848029</v>
      </c>
      <c r="AR390" s="157">
        <f>INDEX([1]Historical!$C$7:$C$1231,MATCH(B390,[1]Historical!$B$7:$B$1253,0))*IF(AH390="n/a",1.03,IF(AH390&lt;0,1.01,IF(AH390&gt;10,1.1,(1+AH390/100))))</f>
        <v>3.4339999999999997</v>
      </c>
      <c r="AS390" s="166">
        <f t="shared" si="100"/>
        <v>3.7774000000000001</v>
      </c>
      <c r="AT390" s="166">
        <f t="shared" si="107"/>
        <v>4.1551400000000003</v>
      </c>
      <c r="AU390" s="166">
        <f t="shared" si="107"/>
        <v>4.5706540000000011</v>
      </c>
      <c r="AV390" s="166">
        <f t="shared" si="107"/>
        <v>5.0277194000000014</v>
      </c>
      <c r="AW390" s="157">
        <f t="shared" si="102"/>
        <v>20.964913400000004</v>
      </c>
      <c r="AX390" s="173">
        <f t="shared" si="103"/>
        <v>5.7899730453754605</v>
      </c>
      <c r="AY390" s="174">
        <v>0.35</v>
      </c>
      <c r="AZ390" s="169">
        <v>56.16</v>
      </c>
      <c r="BA390" s="169">
        <v>0.02</v>
      </c>
      <c r="BB390" s="169">
        <v>12.43</v>
      </c>
      <c r="BC390" s="169">
        <v>21.77</v>
      </c>
      <c r="BE390" s="77">
        <v>2015</v>
      </c>
      <c r="BF390" s="77">
        <f t="shared" si="104"/>
        <v>1</v>
      </c>
      <c r="BG390" s="175">
        <v>11.899999999999999</v>
      </c>
      <c r="BH390" t="s">
        <v>939</v>
      </c>
      <c r="BI390" t="s">
        <v>940</v>
      </c>
      <c r="BJ390" s="112"/>
      <c r="BK390" s="112"/>
      <c r="BL390" s="112"/>
    </row>
    <row r="391" spans="1:64" ht="11.25" customHeight="1" x14ac:dyDescent="0.2">
      <c r="A391" s="176" t="s">
        <v>1488</v>
      </c>
      <c r="B391" s="153" t="s">
        <v>607</v>
      </c>
      <c r="C391" s="154" t="s">
        <v>137</v>
      </c>
      <c r="D391" s="154" t="s">
        <v>946</v>
      </c>
      <c r="E391" s="155">
        <v>12</v>
      </c>
      <c r="F391" s="298">
        <v>344</v>
      </c>
      <c r="G391" s="298" t="s">
        <v>88</v>
      </c>
      <c r="H391" s="298" t="s">
        <v>88</v>
      </c>
      <c r="I391" s="156">
        <v>43.4</v>
      </c>
      <c r="J391" s="157">
        <f t="shared" ref="J391:J454" si="108">(M391/I391)*100</f>
        <v>1.1520737327188941</v>
      </c>
      <c r="K391" s="158">
        <v>0.125</v>
      </c>
      <c r="L391" s="126">
        <v>4</v>
      </c>
      <c r="M391" s="82">
        <f t="shared" ref="M391:M454" si="109">K391*L391</f>
        <v>0.5</v>
      </c>
      <c r="N391" s="159" t="s">
        <v>539</v>
      </c>
      <c r="O391" s="160">
        <v>0.11</v>
      </c>
      <c r="P391" s="161">
        <v>44627</v>
      </c>
      <c r="Q391" s="161">
        <v>44644</v>
      </c>
      <c r="R391" s="82">
        <f t="shared" ref="R391:R454" si="110">(K391-O391)/O391*100</f>
        <v>13.636363636363635</v>
      </c>
      <c r="S391" s="162">
        <f>IF(INDEX([1]Historical!$D$7:$D$1229,MATCH(B391,[1]Historical!$B$7:$B$1253,0))=0,"n/a",(INDEX([1]Historical!$C$7:$C$1231,MATCH(B391,[1]Historical!$B$7:$B$1253,0))/INDEX([1]Historical!$D$7:$D$1229,MATCH(B391,[1]Historical!$B$7:$B$1253,0))-1)*100)</f>
        <v>15.789473684210531</v>
      </c>
      <c r="T391" s="162">
        <f>IF(INDEX([1]Historical!$F$7:$F$1222,MATCH(B391,[1]Historical!$B$7:$B$1253,0))=0,"n/a",((INDEX([1]Historical!$C$7:$C$1231,MATCH(B391,[1]Historical!$B$7:$B$1253,0))/INDEX([1]Historical!$F$7:$F$1222,MATCH(B391,[1]Historical!$B$7:$B$1253,0)))^(1/3)-1)*100)</f>
        <v>16.260329205681458</v>
      </c>
      <c r="U391" s="162">
        <f>IF(INDEX([1]Historical!$H$7:$H$1222,MATCH(B391,[1]Historical!$B$7:$B$1253,0))=0,"n/a",((INDEX([1]Historical!$C$7:$C$1231,MATCH(B391,[1]Historical!$B$7:$B$1253,0))/INDEX([1]Historical!$H$7:$H$1222,MATCH(B391,[1]Historical!$B$7:$B$1253,0)))^(1/5)-1)*100)</f>
        <v>20.249402070384104</v>
      </c>
      <c r="V391" s="162">
        <f>IF(INDEX([1]Historical!$N$7:$N$1222,MATCH(B391,[1]Historical!$B$7:$B$1253,0))=0,"n/a",((INDEX([1]Historical!$C$7:$C$1231,MATCH(B391,[1]Historical!$B$7:$B$1253,0))/INDEX([1]Historical!$N$7:$N$1222,MATCH(B391,[1]Historical!$B$7:$B$1253,0)))^(1/10)-1)*100)</f>
        <v>22.047852624585261</v>
      </c>
      <c r="W391" s="163">
        <f t="shared" ref="W391:W454" si="111">IF(OR(U391&lt;=0,U391="n/a",V391&lt;=0,V391="n/a"),"n/a",U391/V391)</f>
        <v>0.91842967272941001</v>
      </c>
      <c r="X391" s="164">
        <f t="shared" ref="X391:X454" si="112">IF(OR(AJ391&lt;=0,AJ391="n/a",U391&lt;=0,U391="n/a"),"n/a",U391/AJ391)</f>
        <v>1.1312515123119613</v>
      </c>
      <c r="Y391" s="153"/>
      <c r="Z391" s="157">
        <f t="shared" ref="Z391:Z454" si="113">IF(OR(AC391&lt;0.01,AC391="n/a"),"n/a",M391/AC391*100)</f>
        <v>52.083333333333336</v>
      </c>
      <c r="AA391" s="166">
        <f t="shared" ref="AA391:AA454" si="114">IF(OR(AC391&lt;0.01,AC391="n/a"),"n/a",I391/AC391)</f>
        <v>45.208333333333336</v>
      </c>
      <c r="AB391" s="126">
        <v>12</v>
      </c>
      <c r="AC391" s="167">
        <v>0.96</v>
      </c>
      <c r="AD391" s="167">
        <v>16.87</v>
      </c>
      <c r="AE391" s="167">
        <v>7.1</v>
      </c>
      <c r="AF391" s="167">
        <v>3.57</v>
      </c>
      <c r="AG391" s="167">
        <v>10.6</v>
      </c>
      <c r="AH391" s="167">
        <v>20.9</v>
      </c>
      <c r="AI391" s="167">
        <v>23.51</v>
      </c>
      <c r="AJ391" s="167">
        <v>17.899999999999999</v>
      </c>
      <c r="AK391" s="167">
        <v>2.6</v>
      </c>
      <c r="AL391" s="168">
        <v>1140</v>
      </c>
      <c r="AM391" s="169">
        <v>11.4</v>
      </c>
      <c r="AN391" s="167">
        <v>0</v>
      </c>
      <c r="AO391" s="170">
        <f t="shared" ref="AO391:AO454" si="115">IF(U391="n/a","n/a",IF(AA391&lt;0,"n/a",IF(AA391="n/a","n/a",J391+U391-AA391)))</f>
        <v>-23.806857530230339</v>
      </c>
      <c r="AP391" s="171">
        <f t="shared" ref="AP391:AP454" si="116">IF(U391="n/a","n/a",J391+U391)</f>
        <v>21.401475803102997</v>
      </c>
      <c r="AQ391" s="172">
        <f t="shared" ref="AQ391:AQ454" si="117">IF(OR(AC391&lt;0.01,AC391="n/a",AF391="n/a"),"n/a",(I391/SQRT(22.5*AC391*(I391/AF391))-1)*100)</f>
        <v>167.82560660914325</v>
      </c>
      <c r="AR391" s="157">
        <f>INDEX([1]Historical!$C$7:$C$1231,MATCH(B391,[1]Historical!$B$7:$B$1253,0))*IF(AH391="n/a",1.03,IF(AH391&lt;0,1.01,IF(AH391&gt;10,1.1,(1+AH391/100))))</f>
        <v>0.48400000000000004</v>
      </c>
      <c r="AS391" s="166">
        <f t="shared" ref="AS391:AS454" si="118">IF($AI391="n/a",1.03*AR391,IF($AI391&lt;0,1.01*AR391,IF($AI391&gt;10,1.1*AR391,(1+$AI391/100)*AR391)))</f>
        <v>0.5324000000000001</v>
      </c>
      <c r="AT391" s="166">
        <f t="shared" ref="AT391:AV406" si="119">IF($AK391="n/a",1.03*AS391,IF($AK391&lt;0,1.01*AS391,IF($AK391&gt;10,1.1*AS391,(1+$AK391/100)*AS391)))</f>
        <v>0.54624240000000013</v>
      </c>
      <c r="AU391" s="166">
        <f t="shared" si="119"/>
        <v>0.56044470240000011</v>
      </c>
      <c r="AV391" s="166">
        <f t="shared" si="119"/>
        <v>0.57501626466240008</v>
      </c>
      <c r="AW391" s="157">
        <f t="shared" ref="AW391:AW454" si="120">SUM(AR391:AV391)</f>
        <v>2.6981033670624006</v>
      </c>
      <c r="AX391" s="173">
        <f t="shared" ref="AX391:AX454" si="121">AW391/I391*100</f>
        <v>6.2168280347059923</v>
      </c>
      <c r="AY391" s="174">
        <v>1.1000000000000001</v>
      </c>
      <c r="AZ391" s="169">
        <v>13.26</v>
      </c>
      <c r="BA391" s="169">
        <v>-23.02</v>
      </c>
      <c r="BB391" s="169">
        <v>-12.94</v>
      </c>
      <c r="BC391" s="169">
        <v>-7.12</v>
      </c>
      <c r="BE391" s="77">
        <v>2011</v>
      </c>
      <c r="BF391" s="77">
        <f t="shared" ref="BF391:BF454" si="122">IF(BE391&gt;2020,0,IF(BE391&gt;2008,1,IF(BE391&gt;2001,2,IF(BE391&gt;1990,3,IF(BE391&gt;1980,4,IF(BE391&gt;1973,5,IF(BE391&gt;1970,6,IF(BE391&gt;1960,7,IF(BE391&gt;1958,8,IF(BE391&gt;1953,9,10))))))))))</f>
        <v>1</v>
      </c>
      <c r="BG391" s="175">
        <v>9.1999999999999993</v>
      </c>
      <c r="BH391" t="s">
        <v>939</v>
      </c>
      <c r="BI391" t="s">
        <v>940</v>
      </c>
    </row>
    <row r="392" spans="1:64" ht="11.25" customHeight="1" x14ac:dyDescent="0.2">
      <c r="A392" s="176" t="s">
        <v>1489</v>
      </c>
      <c r="B392" s="153" t="s">
        <v>362</v>
      </c>
      <c r="C392" s="154" t="s">
        <v>94</v>
      </c>
      <c r="D392" s="154" t="s">
        <v>1003</v>
      </c>
      <c r="E392" s="155">
        <v>19</v>
      </c>
      <c r="F392" s="298">
        <v>207</v>
      </c>
      <c r="G392" s="298" t="s">
        <v>104</v>
      </c>
      <c r="H392" s="298" t="s">
        <v>104</v>
      </c>
      <c r="I392" s="156">
        <v>486.68</v>
      </c>
      <c r="J392" s="157">
        <f t="shared" si="108"/>
        <v>2.4656858716199554</v>
      </c>
      <c r="K392" s="158">
        <v>3</v>
      </c>
      <c r="L392" s="126">
        <v>4</v>
      </c>
      <c r="M392" s="82">
        <f t="shared" si="109"/>
        <v>12</v>
      </c>
      <c r="N392" s="159" t="s">
        <v>628</v>
      </c>
      <c r="O392" s="160">
        <v>2.8</v>
      </c>
      <c r="P392" s="161">
        <v>44895</v>
      </c>
      <c r="Q392" s="161">
        <v>44925</v>
      </c>
      <c r="R392" s="82">
        <f t="shared" si="110"/>
        <v>7.1428571428571495</v>
      </c>
      <c r="S392" s="162">
        <f>IF(INDEX([1]Historical!$D$7:$D$1229,MATCH(B392,[1]Historical!$B$7:$B$1253,0))=0,"n/a",(INDEX([1]Historical!$C$7:$C$1231,MATCH(B392,[1]Historical!$B$7:$B$1253,0))/INDEX([1]Historical!$D$7:$D$1229,MATCH(B392,[1]Historical!$B$7:$B$1253,0))-1)*100)</f>
        <v>8.1632653061224367</v>
      </c>
      <c r="T392" s="162">
        <f>IF(INDEX([1]Historical!$F$7:$F$1222,MATCH(B392,[1]Historical!$B$7:$B$1253,0))=0,"n/a",((INDEX([1]Historical!$C$7:$C$1231,MATCH(B392,[1]Historical!$B$7:$B$1253,0))/INDEX([1]Historical!$F$7:$F$1222,MATCH(B392,[1]Historical!$B$7:$B$1253,0)))^(1/3)-1)*100)</f>
        <v>8.9341387842532871</v>
      </c>
      <c r="U392" s="162">
        <f>IF(INDEX([1]Historical!$H$7:$H$1222,MATCH(B392,[1]Historical!$B$7:$B$1253,0))=0,"n/a",((INDEX([1]Historical!$C$7:$C$1231,MATCH(B392,[1]Historical!$B$7:$B$1253,0))/INDEX([1]Historical!$H$7:$H$1222,MATCH(B392,[1]Historical!$B$7:$B$1253,0)))^(1/5)-1)*100)</f>
        <v>9.3813903279786004</v>
      </c>
      <c r="V392" s="162">
        <f>IF(INDEX([1]Historical!$N$7:$N$1222,MATCH(B392,[1]Historical!$B$7:$B$1253,0))=0,"n/a",((INDEX([1]Historical!$C$7:$C$1231,MATCH(B392,[1]Historical!$B$7:$B$1253,0))/INDEX([1]Historical!$N$7:$N$1222,MATCH(B392,[1]Historical!$B$7:$B$1253,0)))^(1/10)-1)*100)</f>
        <v>12.549158029316111</v>
      </c>
      <c r="W392" s="163">
        <f t="shared" si="111"/>
        <v>0.7475712957046774</v>
      </c>
      <c r="X392" s="164">
        <f t="shared" si="112"/>
        <v>0.69491780207248888</v>
      </c>
      <c r="Y392" s="153"/>
      <c r="Z392" s="157">
        <f t="shared" si="113"/>
        <v>55.096418732782368</v>
      </c>
      <c r="AA392" s="166">
        <f t="shared" si="114"/>
        <v>22.345270890725434</v>
      </c>
      <c r="AB392" s="126">
        <v>12</v>
      </c>
      <c r="AC392" s="167">
        <v>21.78</v>
      </c>
      <c r="AD392" s="167">
        <v>2.84</v>
      </c>
      <c r="AE392" s="167">
        <v>1.91</v>
      </c>
      <c r="AF392" s="179">
        <v>10.7</v>
      </c>
      <c r="AG392" s="179">
        <v>52.900000000000006</v>
      </c>
      <c r="AH392" s="167">
        <v>-7.1</v>
      </c>
      <c r="AI392" s="167">
        <v>25.069999999999997</v>
      </c>
      <c r="AJ392" s="167">
        <v>13.5</v>
      </c>
      <c r="AK392" s="167">
        <v>7.85</v>
      </c>
      <c r="AL392" s="168">
        <v>123680</v>
      </c>
      <c r="AM392" s="169">
        <v>0.08</v>
      </c>
      <c r="AN392" s="167">
        <v>0</v>
      </c>
      <c r="AO392" s="170">
        <f t="shared" si="115"/>
        <v>-10.498194691126878</v>
      </c>
      <c r="AP392" s="171">
        <f t="shared" si="116"/>
        <v>11.847076199598556</v>
      </c>
      <c r="AQ392" s="172">
        <f t="shared" si="117"/>
        <v>225.98186625145757</v>
      </c>
      <c r="AR392" s="157">
        <f>INDEX([1]Historical!$C$7:$C$1231,MATCH(B392,[1]Historical!$B$7:$B$1253,0))*IF(AH392="n/a",1.03,IF(AH392&lt;0,1.01,IF(AH392&gt;10,1.1,(1+AH392/100))))</f>
        <v>10.706</v>
      </c>
      <c r="AS392" s="166">
        <f t="shared" si="118"/>
        <v>11.7766</v>
      </c>
      <c r="AT392" s="166">
        <f t="shared" si="119"/>
        <v>12.701063100000001</v>
      </c>
      <c r="AU392" s="166">
        <f t="shared" si="119"/>
        <v>13.69809655335</v>
      </c>
      <c r="AV392" s="166">
        <f t="shared" si="119"/>
        <v>14.773397132787975</v>
      </c>
      <c r="AW392" s="157">
        <f t="shared" si="120"/>
        <v>63.655156786137972</v>
      </c>
      <c r="AX392" s="173">
        <f t="shared" si="121"/>
        <v>13.079468395277793</v>
      </c>
      <c r="AY392" s="174">
        <v>0.73</v>
      </c>
      <c r="AZ392" s="169">
        <v>50.1</v>
      </c>
      <c r="BA392" s="169">
        <v>-0.91</v>
      </c>
      <c r="BB392" s="169">
        <v>15.42</v>
      </c>
      <c r="BC392" s="169">
        <v>14.879999999999999</v>
      </c>
      <c r="BE392" s="77">
        <v>2003</v>
      </c>
      <c r="BF392" s="77">
        <f t="shared" si="122"/>
        <v>2</v>
      </c>
      <c r="BG392" s="175">
        <v>11.4</v>
      </c>
      <c r="BH392" t="s">
        <v>939</v>
      </c>
      <c r="BI392" t="s">
        <v>940</v>
      </c>
    </row>
    <row r="393" spans="1:64" s="252" customFormat="1" ht="11.25" customHeight="1" x14ac:dyDescent="0.2">
      <c r="A393" s="183" t="s">
        <v>1490</v>
      </c>
      <c r="B393" s="184" t="s">
        <v>540</v>
      </c>
      <c r="C393" s="154" t="s">
        <v>90</v>
      </c>
      <c r="D393" s="154" t="s">
        <v>110</v>
      </c>
      <c r="E393" s="185">
        <v>12</v>
      </c>
      <c r="F393" s="298">
        <v>325</v>
      </c>
      <c r="G393" s="297" t="s">
        <v>104</v>
      </c>
      <c r="H393" s="297" t="s">
        <v>104</v>
      </c>
      <c r="I393" s="186">
        <v>53.87</v>
      </c>
      <c r="J393" s="187">
        <f t="shared" si="108"/>
        <v>3.3413773900129944</v>
      </c>
      <c r="K393" s="188">
        <v>0.45</v>
      </c>
      <c r="L393" s="189">
        <v>4</v>
      </c>
      <c r="M393" s="190">
        <f t="shared" si="109"/>
        <v>1.8</v>
      </c>
      <c r="N393" s="191" t="s">
        <v>201</v>
      </c>
      <c r="O393" s="192">
        <v>0.42</v>
      </c>
      <c r="P393" s="193">
        <v>44568</v>
      </c>
      <c r="Q393" s="193">
        <v>44593</v>
      </c>
      <c r="R393" s="190">
        <f t="shared" si="110"/>
        <v>7.1428571428571495</v>
      </c>
      <c r="S393" s="162">
        <f>IF(INDEX([1]Historical!$D$7:$D$1229,MATCH(B393,[1]Historical!$B$7:$B$1253,0))=0,"n/a",(INDEX([1]Historical!$C$7:$C$1231,MATCH(B393,[1]Historical!$B$7:$B$1253,0))/INDEX([1]Historical!$D$7:$D$1229,MATCH(B393,[1]Historical!$B$7:$B$1253,0))-1)*100)</f>
        <v>4.9999999999999822</v>
      </c>
      <c r="T393" s="162">
        <f>IF(INDEX([1]Historical!$F$7:$F$1222,MATCH(B393,[1]Historical!$B$7:$B$1253,0))=0,"n/a",((INDEX([1]Historical!$C$7:$C$1231,MATCH(B393,[1]Historical!$B$7:$B$1253,0))/INDEX([1]Historical!$F$7:$F$1222,MATCH(B393,[1]Historical!$B$7:$B$1253,0)))^(1/3)-1)*100)</f>
        <v>8.3706762661827092</v>
      </c>
      <c r="U393" s="162">
        <f>IF(INDEX([1]Historical!$H$7:$H$1222,MATCH(B393,[1]Historical!$B$7:$B$1253,0))=0,"n/a",((INDEX([1]Historical!$C$7:$C$1231,MATCH(B393,[1]Historical!$B$7:$B$1253,0))/INDEX([1]Historical!$H$7:$H$1222,MATCH(B393,[1]Historical!$B$7:$B$1253,0)))^(1/5)-1)*100)</f>
        <v>10.933280572585158</v>
      </c>
      <c r="V393" s="162">
        <f>IF(INDEX([1]Historical!$N$7:$N$1222,MATCH(B393,[1]Historical!$B$7:$B$1253,0))=0,"n/a",((INDEX([1]Historical!$C$7:$C$1231,MATCH(B393,[1]Historical!$B$7:$B$1253,0))/INDEX([1]Historical!$N$7:$N$1222,MATCH(B393,[1]Historical!$B$7:$B$1253,0)))^(1/10)-1)*100)</f>
        <v>23.716586458402933</v>
      </c>
      <c r="W393" s="163">
        <f t="shared" si="111"/>
        <v>0.46099722621386896</v>
      </c>
      <c r="X393" s="164">
        <f t="shared" si="112"/>
        <v>1.1756215669446406</v>
      </c>
      <c r="Y393" s="206"/>
      <c r="Z393" s="187">
        <f t="shared" si="113"/>
        <v>34.749034749034749</v>
      </c>
      <c r="AA393" s="194">
        <f t="shared" si="114"/>
        <v>10.3996138996139</v>
      </c>
      <c r="AB393" s="189">
        <v>12</v>
      </c>
      <c r="AC393" s="195">
        <v>5.18</v>
      </c>
      <c r="AD393" s="195">
        <v>0.63</v>
      </c>
      <c r="AE393" s="195">
        <v>0.45</v>
      </c>
      <c r="AF393" s="195">
        <v>1.01</v>
      </c>
      <c r="AG393" s="195">
        <v>5.4</v>
      </c>
      <c r="AH393" s="195">
        <v>229.99999999999997</v>
      </c>
      <c r="AI393" s="195">
        <v>39.729999999999997</v>
      </c>
      <c r="AJ393" s="195">
        <v>9.3000000000000007</v>
      </c>
      <c r="AK393" s="195">
        <v>16.650000000000002</v>
      </c>
      <c r="AL393" s="196">
        <v>8920</v>
      </c>
      <c r="AM393" s="197">
        <v>0.5</v>
      </c>
      <c r="AN393" s="195">
        <v>0.71</v>
      </c>
      <c r="AO393" s="198">
        <f t="shared" si="115"/>
        <v>3.8750440629842515</v>
      </c>
      <c r="AP393" s="199">
        <f t="shared" si="116"/>
        <v>14.274657962598152</v>
      </c>
      <c r="AQ393" s="172">
        <f t="shared" si="117"/>
        <v>-31.675252446341762</v>
      </c>
      <c r="AR393" s="157">
        <f>INDEX([1]Historical!$C$7:$C$1231,MATCH(B393,[1]Historical!$B$7:$B$1253,0))*IF(AH393="n/a",1.03,IF(AH393&lt;0,1.01,IF(AH393&gt;10,1.1,(1+AH393/100))))</f>
        <v>1.8480000000000001</v>
      </c>
      <c r="AS393" s="194">
        <f t="shared" si="118"/>
        <v>2.0328000000000004</v>
      </c>
      <c r="AT393" s="194">
        <f t="shared" si="119"/>
        <v>2.2360800000000007</v>
      </c>
      <c r="AU393" s="194">
        <f t="shared" si="119"/>
        <v>2.4596880000000012</v>
      </c>
      <c r="AV393" s="194">
        <f t="shared" si="119"/>
        <v>2.7056568000000016</v>
      </c>
      <c r="AW393" s="187">
        <f t="shared" si="120"/>
        <v>11.282224800000005</v>
      </c>
      <c r="AX393" s="200">
        <f t="shared" si="121"/>
        <v>20.943428253202164</v>
      </c>
      <c r="AY393" s="201">
        <v>1.81</v>
      </c>
      <c r="AZ393" s="197">
        <v>25.25</v>
      </c>
      <c r="BA393" s="197">
        <v>-30.55</v>
      </c>
      <c r="BB393" s="197">
        <v>12.22</v>
      </c>
      <c r="BC393" s="197">
        <v>-4.29</v>
      </c>
      <c r="BD393" s="202"/>
      <c r="BE393" s="77">
        <v>2011</v>
      </c>
      <c r="BF393" s="77">
        <f t="shared" si="122"/>
        <v>1</v>
      </c>
      <c r="BG393" s="203">
        <v>0.2</v>
      </c>
      <c r="BH393" t="s">
        <v>939</v>
      </c>
      <c r="BI393" t="s">
        <v>940</v>
      </c>
    </row>
    <row r="394" spans="1:64" ht="11.25" customHeight="1" x14ac:dyDescent="0.2">
      <c r="A394" s="176" t="s">
        <v>1491</v>
      </c>
      <c r="B394" s="153" t="s">
        <v>358</v>
      </c>
      <c r="C394" s="154" t="s">
        <v>94</v>
      </c>
      <c r="D394" s="154" t="s">
        <v>101</v>
      </c>
      <c r="E394" s="155">
        <v>20</v>
      </c>
      <c r="F394" s="298">
        <v>180</v>
      </c>
      <c r="G394" s="298" t="s">
        <v>88</v>
      </c>
      <c r="H394" s="298" t="s">
        <v>88</v>
      </c>
      <c r="I394" s="156">
        <v>169.3</v>
      </c>
      <c r="J394" s="157">
        <f t="shared" si="108"/>
        <v>0.80330773774365039</v>
      </c>
      <c r="K394" s="158">
        <v>0.34</v>
      </c>
      <c r="L394" s="126">
        <v>4</v>
      </c>
      <c r="M394" s="82">
        <f t="shared" si="109"/>
        <v>1.36</v>
      </c>
      <c r="N394" s="159" t="s">
        <v>635</v>
      </c>
      <c r="O394" s="160">
        <v>0.33</v>
      </c>
      <c r="P394" s="161">
        <v>44789</v>
      </c>
      <c r="Q394" s="161">
        <v>44804</v>
      </c>
      <c r="R394" s="82">
        <f t="shared" si="110"/>
        <v>3.0303030303030329</v>
      </c>
      <c r="S394" s="162">
        <f>IF(INDEX([1]Historical!$D$7:$D$1229,MATCH(B394,[1]Historical!$B$7:$B$1253,0))=0,"n/a",(INDEX([1]Historical!$C$7:$C$1231,MATCH(B394,[1]Historical!$B$7:$B$1253,0))/INDEX([1]Historical!$D$7:$D$1229,MATCH(B394,[1]Historical!$B$7:$B$1253,0))-1)*100)</f>
        <v>3.1496062992125928</v>
      </c>
      <c r="T394" s="162">
        <f>IF(INDEX([1]Historical!$F$7:$F$1222,MATCH(B394,[1]Historical!$B$7:$B$1253,0))=0,"n/a",((INDEX([1]Historical!$C$7:$C$1231,MATCH(B394,[1]Historical!$B$7:$B$1253,0))/INDEX([1]Historical!$F$7:$F$1222,MATCH(B394,[1]Historical!$B$7:$B$1253,0)))^(1/3)-1)*100)</f>
        <v>2.4009113168127927</v>
      </c>
      <c r="U394" s="162">
        <f>IF(INDEX([1]Historical!$H$7:$H$1222,MATCH(B394,[1]Historical!$B$7:$B$1253,0))=0,"n/a",((INDEX([1]Historical!$C$7:$C$1231,MATCH(B394,[1]Historical!$B$7:$B$1253,0))/INDEX([1]Historical!$H$7:$H$1222,MATCH(B394,[1]Historical!$B$7:$B$1253,0)))^(1/5)-1)*100)</f>
        <v>2.8189794468594709</v>
      </c>
      <c r="V394" s="162">
        <f>IF(INDEX([1]Historical!$N$7:$N$1222,MATCH(B394,[1]Historical!$B$7:$B$1253,0))=0,"n/a",((INDEX([1]Historical!$C$7:$C$1231,MATCH(B394,[1]Historical!$B$7:$B$1253,0))/INDEX([1]Historical!$N$7:$N$1222,MATCH(B394,[1]Historical!$B$7:$B$1253,0)))^(1/10)-1)*100)</f>
        <v>14.109111852539913</v>
      </c>
      <c r="W394" s="163">
        <f t="shared" si="111"/>
        <v>0.19979850442194916</v>
      </c>
      <c r="X394" s="164">
        <f t="shared" si="112"/>
        <v>0.1258472967347978</v>
      </c>
      <c r="Y394" s="180"/>
      <c r="Z394" s="157">
        <f t="shared" si="113"/>
        <v>22.818791946308728</v>
      </c>
      <c r="AA394" s="166">
        <f t="shared" si="114"/>
        <v>28.406040268456376</v>
      </c>
      <c r="AB394" s="126">
        <v>8</v>
      </c>
      <c r="AC394" s="167">
        <v>5.96</v>
      </c>
      <c r="AD394" s="167">
        <v>1.2</v>
      </c>
      <c r="AE394" s="167">
        <v>2.2599999999999998</v>
      </c>
      <c r="AF394" s="167">
        <v>4.59</v>
      </c>
      <c r="AG394" s="167">
        <v>17.8</v>
      </c>
      <c r="AH394" s="167">
        <v>52.7</v>
      </c>
      <c r="AI394" s="167">
        <v>8.57</v>
      </c>
      <c r="AJ394" s="167">
        <v>22.400000000000002</v>
      </c>
      <c r="AK394" s="167">
        <v>22.900000000000002</v>
      </c>
      <c r="AL394" s="168">
        <v>1740</v>
      </c>
      <c r="AM394" s="169">
        <v>0.72</v>
      </c>
      <c r="AN394" s="167">
        <v>0.28999999999999998</v>
      </c>
      <c r="AO394" s="170">
        <f t="shared" si="115"/>
        <v>-24.783753083853256</v>
      </c>
      <c r="AP394" s="171">
        <f t="shared" si="116"/>
        <v>3.6222871846031213</v>
      </c>
      <c r="AQ394" s="172">
        <f t="shared" si="117"/>
        <v>140.72457736519345</v>
      </c>
      <c r="AR394" s="157">
        <f>INDEX([1]Historical!$C$7:$C$1231,MATCH(B394,[1]Historical!$B$7:$B$1253,0))*IF(AH394="n/a",1.03,IF(AH394&lt;0,1.01,IF(AH394&gt;10,1.1,(1+AH394/100))))</f>
        <v>1.4410000000000003</v>
      </c>
      <c r="AS394" s="166">
        <f t="shared" si="118"/>
        <v>1.5644937000000005</v>
      </c>
      <c r="AT394" s="166">
        <f t="shared" si="119"/>
        <v>1.7209430700000008</v>
      </c>
      <c r="AU394" s="166">
        <f t="shared" si="119"/>
        <v>1.8930373770000011</v>
      </c>
      <c r="AV394" s="166">
        <f t="shared" si="119"/>
        <v>2.0823411147000015</v>
      </c>
      <c r="AW394" s="157">
        <f t="shared" si="120"/>
        <v>8.7018152617000037</v>
      </c>
      <c r="AX394" s="173">
        <f t="shared" si="121"/>
        <v>5.1398790677495585</v>
      </c>
      <c r="AY394" s="174">
        <v>0.56999999999999995</v>
      </c>
      <c r="AZ394" s="169">
        <v>44.99</v>
      </c>
      <c r="BA394" s="169">
        <v>-1.39</v>
      </c>
      <c r="BB394" s="169">
        <v>8.9499999999999993</v>
      </c>
      <c r="BC394" s="169">
        <v>19.21</v>
      </c>
      <c r="BE394" s="77">
        <v>2003</v>
      </c>
      <c r="BF394" s="77">
        <f t="shared" si="122"/>
        <v>2</v>
      </c>
      <c r="BG394" s="175">
        <v>9.5</v>
      </c>
      <c r="BH394" t="s">
        <v>939</v>
      </c>
      <c r="BI394" t="s">
        <v>940</v>
      </c>
    </row>
    <row r="395" spans="1:64" ht="11.25" customHeight="1" x14ac:dyDescent="0.2">
      <c r="A395" s="176" t="s">
        <v>1492</v>
      </c>
      <c r="B395" s="153" t="s">
        <v>123</v>
      </c>
      <c r="C395" s="154" t="s">
        <v>117</v>
      </c>
      <c r="D395" s="154" t="s">
        <v>957</v>
      </c>
      <c r="E395" s="155">
        <v>19</v>
      </c>
      <c r="F395" s="298">
        <v>189</v>
      </c>
      <c r="G395" s="298" t="s">
        <v>30</v>
      </c>
      <c r="H395" s="298" t="s">
        <v>30</v>
      </c>
      <c r="I395" s="156">
        <v>52.17</v>
      </c>
      <c r="J395" s="157">
        <f t="shared" si="108"/>
        <v>3.2777458309373202</v>
      </c>
      <c r="K395" s="158">
        <v>0.42749999999999999</v>
      </c>
      <c r="L395" s="126">
        <v>4</v>
      </c>
      <c r="M395" s="82">
        <f t="shared" si="109"/>
        <v>1.71</v>
      </c>
      <c r="N395" s="159" t="s">
        <v>89</v>
      </c>
      <c r="O395" s="160">
        <v>0.40250000000000002</v>
      </c>
      <c r="P395" s="161">
        <v>44589</v>
      </c>
      <c r="Q395" s="161">
        <v>44607</v>
      </c>
      <c r="R395" s="82">
        <f t="shared" si="110"/>
        <v>6.2111801242235938</v>
      </c>
      <c r="S395" s="162">
        <f>IF(INDEX([1]Historical!$D$7:$D$1229,MATCH(B395,[1]Historical!$B$7:$B$1253,0))=0,"n/a",(INDEX([1]Historical!$C$7:$C$1231,MATCH(B395,[1]Historical!$B$7:$B$1253,0))/INDEX([1]Historical!$D$7:$D$1229,MATCH(B395,[1]Historical!$B$7:$B$1253,0))-1)*100)</f>
        <v>5.9210526315789602</v>
      </c>
      <c r="T395" s="162">
        <f>IF(INDEX([1]Historical!$F$7:$F$1222,MATCH(B395,[1]Historical!$B$7:$B$1253,0))=0,"n/a",((INDEX([1]Historical!$C$7:$C$1231,MATCH(B395,[1]Historical!$B$7:$B$1253,0))/INDEX([1]Historical!$F$7:$F$1222,MATCH(B395,[1]Historical!$B$7:$B$1253,0)))^(1/3)-1)*100)</f>
        <v>6.3098958196630361</v>
      </c>
      <c r="U395" s="162">
        <f>IF(INDEX([1]Historical!$H$7:$H$1222,MATCH(B395,[1]Historical!$B$7:$B$1253,0))=0,"n/a",((INDEX([1]Historical!$C$7:$C$1231,MATCH(B395,[1]Historical!$B$7:$B$1253,0))/INDEX([1]Historical!$H$7:$H$1222,MATCH(B395,[1]Historical!$B$7:$B$1253,0)))^(1/5)-1)*100)</f>
        <v>6.5019603761798273</v>
      </c>
      <c r="V395" s="162">
        <f>IF(INDEX([1]Historical!$N$7:$N$1222,MATCH(B395,[1]Historical!$B$7:$B$1253,0))=0,"n/a",((INDEX([1]Historical!$C$7:$C$1231,MATCH(B395,[1]Historical!$B$7:$B$1253,0))/INDEX([1]Historical!$N$7:$N$1222,MATCH(B395,[1]Historical!$B$7:$B$1253,0)))^(1/10)-1)*100)</f>
        <v>6.5959476892987867</v>
      </c>
      <c r="W395" s="163">
        <f t="shared" si="111"/>
        <v>0.98575074916506022</v>
      </c>
      <c r="X395" s="164">
        <f t="shared" si="112"/>
        <v>0.66346534450814554</v>
      </c>
      <c r="Y395" s="165"/>
      <c r="Z395" s="157">
        <f t="shared" si="113"/>
        <v>61.73285198555957</v>
      </c>
      <c r="AA395" s="166">
        <f t="shared" si="114"/>
        <v>18.833935018050543</v>
      </c>
      <c r="AB395" s="126">
        <v>12</v>
      </c>
      <c r="AC395" s="167">
        <v>2.77</v>
      </c>
      <c r="AD395" s="167">
        <v>3.26</v>
      </c>
      <c r="AE395" s="167">
        <v>3.22</v>
      </c>
      <c r="AF395" s="167">
        <v>2.14</v>
      </c>
      <c r="AG395" s="167">
        <v>11.5</v>
      </c>
      <c r="AH395" s="167">
        <v>6.5</v>
      </c>
      <c r="AI395" s="167">
        <v>4.47</v>
      </c>
      <c r="AJ395" s="167">
        <v>9.8000000000000007</v>
      </c>
      <c r="AK395" s="167">
        <v>5.8000000000000007</v>
      </c>
      <c r="AL395" s="168">
        <v>12770</v>
      </c>
      <c r="AM395" s="169">
        <v>0.15</v>
      </c>
      <c r="AN395" s="167">
        <v>1.32</v>
      </c>
      <c r="AO395" s="170">
        <f t="shared" si="115"/>
        <v>-9.0542288109333953</v>
      </c>
      <c r="AP395" s="171">
        <f t="shared" si="116"/>
        <v>9.7797062071171474</v>
      </c>
      <c r="AQ395" s="172">
        <f t="shared" si="117"/>
        <v>33.84007195758867</v>
      </c>
      <c r="AR395" s="157">
        <f>INDEX([1]Historical!$C$7:$C$1231,MATCH(B395,[1]Historical!$B$7:$B$1253,0))*IF(AH395="n/a",1.03,IF(AH395&lt;0,1.01,IF(AH395&gt;10,1.1,(1+AH395/100))))</f>
        <v>1.71465</v>
      </c>
      <c r="AS395" s="166">
        <f t="shared" si="118"/>
        <v>1.7912948549999999</v>
      </c>
      <c r="AT395" s="166">
        <f t="shared" si="119"/>
        <v>1.8951899565899999</v>
      </c>
      <c r="AU395" s="166">
        <f t="shared" si="119"/>
        <v>2.0051109740722199</v>
      </c>
      <c r="AV395" s="166">
        <f t="shared" si="119"/>
        <v>2.1214074105684086</v>
      </c>
      <c r="AW395" s="157">
        <f t="shared" si="120"/>
        <v>9.527653196230629</v>
      </c>
      <c r="AX395" s="173">
        <f t="shared" si="121"/>
        <v>18.262704995650044</v>
      </c>
      <c r="AY395" s="174">
        <v>0.49</v>
      </c>
      <c r="AZ395" s="169">
        <v>10.549999999999999</v>
      </c>
      <c r="BA395" s="169">
        <v>-20.190000000000001</v>
      </c>
      <c r="BB395" s="169">
        <v>-8.19</v>
      </c>
      <c r="BC395" s="169">
        <v>-11.73</v>
      </c>
      <c r="BE395" s="77">
        <v>2004</v>
      </c>
      <c r="BF395" s="77">
        <f t="shared" si="122"/>
        <v>2</v>
      </c>
      <c r="BG395" s="175">
        <v>3.6999999999999997</v>
      </c>
      <c r="BH395" t="s">
        <v>939</v>
      </c>
      <c r="BI395" t="s">
        <v>940</v>
      </c>
    </row>
    <row r="396" spans="1:64" ht="11.25" customHeight="1" x14ac:dyDescent="0.2">
      <c r="A396" s="204" t="s">
        <v>1493</v>
      </c>
      <c r="B396" s="153" t="s">
        <v>1129</v>
      </c>
      <c r="C396" s="154" t="s">
        <v>922</v>
      </c>
      <c r="D396" s="154" t="s">
        <v>941</v>
      </c>
      <c r="E396" s="155">
        <v>9</v>
      </c>
      <c r="F396" s="298">
        <v>562</v>
      </c>
      <c r="G396" s="298" t="s">
        <v>88</v>
      </c>
      <c r="H396" s="298" t="s">
        <v>88</v>
      </c>
      <c r="I396" s="156">
        <v>49.64</v>
      </c>
      <c r="J396" s="157">
        <f t="shared" si="108"/>
        <v>1.9526591458501208</v>
      </c>
      <c r="K396" s="158">
        <v>0.96930000000000005</v>
      </c>
      <c r="L396" s="126">
        <v>1</v>
      </c>
      <c r="M396" s="82">
        <f t="shared" si="109"/>
        <v>0.96930000000000005</v>
      </c>
      <c r="N396" s="159" t="s">
        <v>1130</v>
      </c>
      <c r="O396" s="160">
        <v>0.94259999999999999</v>
      </c>
      <c r="P396" s="161">
        <v>44830</v>
      </c>
      <c r="Q396" s="161">
        <v>44832</v>
      </c>
      <c r="R396" s="82">
        <f t="shared" si="110"/>
        <v>2.8325907065563394</v>
      </c>
      <c r="S396" s="162">
        <f>IF(INDEX([1]Historical!$D$7:$D$1229,MATCH(B396,[1]Historical!$B$7:$B$1253,0))=0,"n/a",(INDEX([1]Historical!$C$7:$C$1231,MATCH(B396,[1]Historical!$B$7:$B$1253,0))/INDEX([1]Historical!$D$7:$D$1229,MATCH(B396,[1]Historical!$B$7:$B$1253,0))-1)*100)</f>
        <v>8.1955922865013733</v>
      </c>
      <c r="T396" s="162">
        <f>IF(INDEX([1]Historical!$F$7:$F$1222,MATCH(B396,[1]Historical!$B$7:$B$1253,0))=0,"n/a",((INDEX([1]Historical!$C$7:$C$1231,MATCH(B396,[1]Historical!$B$7:$B$1253,0))/INDEX([1]Historical!$F$7:$F$1222,MATCH(B396,[1]Historical!$B$7:$B$1253,0)))^(1/3)-1)*100)</f>
        <v>11.087157915880685</v>
      </c>
      <c r="U396" s="162">
        <f>IF(INDEX([1]Historical!$H$7:$H$1222,MATCH(B396,[1]Historical!$B$7:$B$1253,0))=0,"n/a",((INDEX([1]Historical!$C$7:$C$1231,MATCH(B396,[1]Historical!$B$7:$B$1253,0))/INDEX([1]Historical!$H$7:$H$1222,MATCH(B396,[1]Historical!$B$7:$B$1253,0)))^(1/5)-1)*100)</f>
        <v>10.665210221130362</v>
      </c>
      <c r="V396" s="162" t="str">
        <f>IF(INDEX([1]Historical!$N$7:$N$1222,MATCH(B396,[1]Historical!$B$7:$B$1253,0))=0,"n/a",((INDEX([1]Historical!$C$7:$C$1231,MATCH(B396,[1]Historical!$B$7:$B$1253,0))/INDEX([1]Historical!$N$7:$N$1222,MATCH(B396,[1]Historical!$B$7:$B$1253,0)))^(1/10)-1)*100)</f>
        <v>n/a</v>
      </c>
      <c r="W396" s="163" t="str">
        <f t="shared" si="111"/>
        <v>n/a</v>
      </c>
      <c r="X396" s="164">
        <f t="shared" si="112"/>
        <v>0.42832169562772543</v>
      </c>
      <c r="Y396" s="178" t="s">
        <v>1131</v>
      </c>
      <c r="Z396" s="157">
        <f t="shared" si="113"/>
        <v>32.526845637583897</v>
      </c>
      <c r="AA396" s="166">
        <f t="shared" si="114"/>
        <v>16.65771812080537</v>
      </c>
      <c r="AB396" s="126">
        <v>12</v>
      </c>
      <c r="AC396" s="167">
        <v>2.98</v>
      </c>
      <c r="AD396" s="167">
        <v>4.08</v>
      </c>
      <c r="AE396" s="167">
        <v>1.72</v>
      </c>
      <c r="AF396" s="167">
        <v>3.85</v>
      </c>
      <c r="AG396" s="167">
        <v>21.6</v>
      </c>
      <c r="AH396" s="167">
        <v>-31.4</v>
      </c>
      <c r="AI396" s="167">
        <v>12.58</v>
      </c>
      <c r="AJ396" s="167">
        <v>24.9</v>
      </c>
      <c r="AK396" s="167">
        <v>4.2</v>
      </c>
      <c r="AL396" s="168">
        <v>8900</v>
      </c>
      <c r="AM396" s="169">
        <v>6.7</v>
      </c>
      <c r="AN396" s="167">
        <v>0</v>
      </c>
      <c r="AO396" s="170">
        <f t="shared" si="115"/>
        <v>-4.039848753824888</v>
      </c>
      <c r="AP396" s="171">
        <f t="shared" si="116"/>
        <v>12.617869366980482</v>
      </c>
      <c r="AQ396" s="172">
        <f t="shared" si="117"/>
        <v>68.828926912028237</v>
      </c>
      <c r="AR396" s="157">
        <f>INDEX([1]Historical!$C$7:$C$1231,MATCH(B396,[1]Historical!$B$7:$B$1253,0))*IF(AH396="n/a",1.03,IF(AH396&lt;0,1.01,IF(AH396&gt;10,1.1,(1+AH396/100))))</f>
        <v>0.95202600000000004</v>
      </c>
      <c r="AS396" s="166">
        <f t="shared" si="118"/>
        <v>1.0472286000000002</v>
      </c>
      <c r="AT396" s="166">
        <f t="shared" si="119"/>
        <v>1.0912122012000003</v>
      </c>
      <c r="AU396" s="166">
        <f t="shared" si="119"/>
        <v>1.1370431136504004</v>
      </c>
      <c r="AV396" s="166">
        <f t="shared" si="119"/>
        <v>1.1847989244237174</v>
      </c>
      <c r="AW396" s="157">
        <f t="shared" si="120"/>
        <v>5.4123088392741181</v>
      </c>
      <c r="AX396" s="173">
        <f t="shared" si="121"/>
        <v>10.903120143582026</v>
      </c>
      <c r="AY396" s="174">
        <v>1</v>
      </c>
      <c r="AZ396" s="169">
        <v>18.73</v>
      </c>
      <c r="BA396" s="169">
        <v>-43.309999999999995</v>
      </c>
      <c r="BB396" s="169">
        <v>3.3300000000000005</v>
      </c>
      <c r="BC396" s="169">
        <v>-18.899999999999999</v>
      </c>
      <c r="BE396" s="77">
        <v>2014</v>
      </c>
      <c r="BF396" s="77">
        <f t="shared" si="122"/>
        <v>1</v>
      </c>
      <c r="BG396" s="175">
        <v>12.8</v>
      </c>
      <c r="BH396" t="s">
        <v>1132</v>
      </c>
      <c r="BI396" t="s">
        <v>940</v>
      </c>
      <c r="BJ396" s="112"/>
      <c r="BK396" s="112"/>
      <c r="BL396" s="112"/>
    </row>
    <row r="397" spans="1:64" ht="11.25" customHeight="1" x14ac:dyDescent="0.2">
      <c r="A397" s="112" t="s">
        <v>1494</v>
      </c>
      <c r="B397" s="153" t="s">
        <v>363</v>
      </c>
      <c r="C397" s="154" t="s">
        <v>100</v>
      </c>
      <c r="D397" s="154" t="s">
        <v>989</v>
      </c>
      <c r="E397" s="155">
        <v>60</v>
      </c>
      <c r="F397" s="298">
        <v>12</v>
      </c>
      <c r="G397" s="298" t="s">
        <v>30</v>
      </c>
      <c r="H397" s="298" t="s">
        <v>104</v>
      </c>
      <c r="I397" s="167">
        <v>194.95</v>
      </c>
      <c r="J397" s="157">
        <f t="shared" si="108"/>
        <v>2.1543985637342908</v>
      </c>
      <c r="K397" s="158">
        <v>1.05</v>
      </c>
      <c r="L397" s="126">
        <v>4</v>
      </c>
      <c r="M397" s="82">
        <f t="shared" si="109"/>
        <v>4.2</v>
      </c>
      <c r="N397" s="159" t="s">
        <v>311</v>
      </c>
      <c r="O397" s="160">
        <v>0.8</v>
      </c>
      <c r="P397" s="161">
        <v>44761</v>
      </c>
      <c r="Q397" s="161">
        <v>44776</v>
      </c>
      <c r="R397" s="82">
        <f t="shared" si="110"/>
        <v>31.25</v>
      </c>
      <c r="S397" s="162">
        <f>IF(INDEX([1]Historical!$D$7:$D$1229,MATCH(B397,[1]Historical!$B$7:$B$1253,0))=0,"n/a",(INDEX([1]Historical!$C$7:$C$1231,MATCH(B397,[1]Historical!$B$7:$B$1253,0))/INDEX([1]Historical!$D$7:$D$1229,MATCH(B397,[1]Historical!$B$7:$B$1253,0))-1)*100)</f>
        <v>24.444444444444446</v>
      </c>
      <c r="T397" s="162">
        <f>IF(INDEX([1]Historical!$F$7:$F$1222,MATCH(B397,[1]Historical!$B$7:$B$1253,0))=0,"n/a",((INDEX([1]Historical!$C$7:$C$1231,MATCH(B397,[1]Historical!$B$7:$B$1253,0))/INDEX([1]Historical!$F$7:$F$1222,MATCH(B397,[1]Historical!$B$7:$B$1253,0)))^(1/3)-1)*100)</f>
        <v>16.29990045761587</v>
      </c>
      <c r="U397" s="162">
        <f>IF(INDEX([1]Historical!$H$7:$H$1222,MATCH(B397,[1]Historical!$B$7:$B$1253,0))=0,"n/a",((INDEX([1]Historical!$C$7:$C$1231,MATCH(B397,[1]Historical!$B$7:$B$1253,0))/INDEX([1]Historical!$H$7:$H$1222,MATCH(B397,[1]Historical!$B$7:$B$1253,0)))^(1/5)-1)*100)</f>
        <v>17.316067631184097</v>
      </c>
      <c r="V397" s="162">
        <f>IF(INDEX([1]Historical!$N$7:$N$1222,MATCH(B397,[1]Historical!$B$7:$B$1253,0))=0,"n/a",((INDEX([1]Historical!$C$7:$C$1231,MATCH(B397,[1]Historical!$B$7:$B$1253,0))/INDEX([1]Historical!$N$7:$N$1222,MATCH(B397,[1]Historical!$B$7:$B$1253,0)))^(1/10)-1)*100)</f>
        <v>18.800646135195585</v>
      </c>
      <c r="W397" s="163">
        <f t="shared" si="111"/>
        <v>0.92103577221038724</v>
      </c>
      <c r="X397" s="164">
        <f t="shared" si="112"/>
        <v>0.61404495146042903</v>
      </c>
      <c r="Y397" s="153"/>
      <c r="Z397" s="157">
        <f t="shared" si="113"/>
        <v>33.123028391167189</v>
      </c>
      <c r="AA397" s="166">
        <f t="shared" si="114"/>
        <v>15.374605678233438</v>
      </c>
      <c r="AB397" s="126">
        <v>1</v>
      </c>
      <c r="AC397" s="167">
        <v>12.68</v>
      </c>
      <c r="AD397" s="167">
        <v>1.67</v>
      </c>
      <c r="AE397" s="167">
        <v>1.26</v>
      </c>
      <c r="AF397" s="167" t="s">
        <v>95</v>
      </c>
      <c r="AG397" s="167">
        <v>-154.69999999999999</v>
      </c>
      <c r="AH397" s="167">
        <v>55.300000000000004</v>
      </c>
      <c r="AI397" s="167">
        <v>7.1</v>
      </c>
      <c r="AJ397" s="167">
        <v>28.199999999999996</v>
      </c>
      <c r="AK397" s="167">
        <v>9.4</v>
      </c>
      <c r="AL397" s="168">
        <v>120210</v>
      </c>
      <c r="AM397" s="169">
        <v>0.09</v>
      </c>
      <c r="AN397" s="167" t="s">
        <v>95</v>
      </c>
      <c r="AO397" s="170">
        <f t="shared" si="115"/>
        <v>4.0958605166849491</v>
      </c>
      <c r="AP397" s="171">
        <f t="shared" si="116"/>
        <v>19.470466194918387</v>
      </c>
      <c r="AQ397" s="172" t="str">
        <f t="shared" si="117"/>
        <v>n/a</v>
      </c>
      <c r="AR397" s="157">
        <f>INDEX([1]Historical!$C$7:$C$1231,MATCH(B397,[1]Historical!$B$7:$B$1253,0))*IF(AH397="n/a",1.03,IF(AH397&lt;0,1.01,IF(AH397&gt;10,1.1,(1+AH397/100))))</f>
        <v>3.08</v>
      </c>
      <c r="AS397" s="166">
        <f t="shared" si="118"/>
        <v>3.2986800000000001</v>
      </c>
      <c r="AT397" s="166">
        <f t="shared" si="119"/>
        <v>3.6087559200000001</v>
      </c>
      <c r="AU397" s="166">
        <f t="shared" si="119"/>
        <v>3.9479789764800004</v>
      </c>
      <c r="AV397" s="166">
        <f t="shared" si="119"/>
        <v>4.3190890002691207</v>
      </c>
      <c r="AW397" s="157">
        <f t="shared" si="120"/>
        <v>18.254503896749121</v>
      </c>
      <c r="AX397" s="173">
        <f t="shared" si="121"/>
        <v>9.3636849944853147</v>
      </c>
      <c r="AY397" s="174">
        <v>1.1499999999999999</v>
      </c>
      <c r="AZ397" s="169">
        <v>14.6</v>
      </c>
      <c r="BA397" s="169">
        <v>-25.96</v>
      </c>
      <c r="BB397" s="169">
        <v>-0.16</v>
      </c>
      <c r="BC397" s="169">
        <v>-3.75</v>
      </c>
      <c r="BE397" s="77">
        <v>1963</v>
      </c>
      <c r="BF397" s="77">
        <f t="shared" si="122"/>
        <v>7</v>
      </c>
      <c r="BG397" s="175">
        <v>17.599999999999998</v>
      </c>
      <c r="BH397" t="s">
        <v>939</v>
      </c>
      <c r="BI397" t="s">
        <v>940</v>
      </c>
    </row>
    <row r="398" spans="1:64" ht="11.25" customHeight="1" x14ac:dyDescent="0.2">
      <c r="A398" s="205" t="s">
        <v>1772</v>
      </c>
      <c r="B398" s="153" t="s">
        <v>1773</v>
      </c>
      <c r="C398" s="154" t="s">
        <v>96</v>
      </c>
      <c r="D398" s="154" t="s">
        <v>1154</v>
      </c>
      <c r="E398" s="155">
        <v>5</v>
      </c>
      <c r="F398" s="298">
        <v>699</v>
      </c>
      <c r="G398" s="298" t="s">
        <v>88</v>
      </c>
      <c r="H398" s="298" t="s">
        <v>88</v>
      </c>
      <c r="I398" s="156">
        <v>56.65</v>
      </c>
      <c r="J398" s="157">
        <f t="shared" si="108"/>
        <v>1.5533980582524274</v>
      </c>
      <c r="K398" s="158">
        <v>0.22</v>
      </c>
      <c r="L398" s="126">
        <v>4</v>
      </c>
      <c r="M398" s="82">
        <f t="shared" si="109"/>
        <v>0.88</v>
      </c>
      <c r="N398" s="159" t="s">
        <v>1017</v>
      </c>
      <c r="O398" s="160">
        <v>0.18</v>
      </c>
      <c r="P398" s="161">
        <v>44617</v>
      </c>
      <c r="Q398" s="161">
        <v>44634</v>
      </c>
      <c r="R398" s="82">
        <f t="shared" si="110"/>
        <v>22.222222222222225</v>
      </c>
      <c r="S398" s="162">
        <f>IF(INDEX([1]Historical!$D$7:$D$1229,MATCH(B398,[1]Historical!$B$7:$B$1253,0))=0,"n/a",(INDEX([1]Historical!$C$7:$C$1231,MATCH(B398,[1]Historical!$B$7:$B$1253,0))/INDEX([1]Historical!$D$7:$D$1229,MATCH(B398,[1]Historical!$B$7:$B$1253,0))-1)*100)</f>
        <v>17.24137931034484</v>
      </c>
      <c r="T398" s="162">
        <f>IF(INDEX([1]Historical!$F$7:$F$1222,MATCH(B398,[1]Historical!$B$7:$B$1253,0))=0,"n/a",((INDEX([1]Historical!$C$7:$C$1231,MATCH(B398,[1]Historical!$B$7:$B$1253,0))/INDEX([1]Historical!$F$7:$F$1222,MATCH(B398,[1]Historical!$B$7:$B$1253,0)))^(1/3)-1)*100)</f>
        <v>9.3541299792876842</v>
      </c>
      <c r="U398" s="162" t="str">
        <f>IF(INDEX([1]Historical!$H$7:$H$1222,MATCH(B398,[1]Historical!$B$7:$B$1253,0))=0,"n/a",((INDEX([1]Historical!$C$7:$C$1231,MATCH(B398,[1]Historical!$B$7:$B$1253,0))/INDEX([1]Historical!$H$7:$H$1222,MATCH(B398,[1]Historical!$B$7:$B$1253,0)))^(1/5)-1)*100)</f>
        <v>n/a</v>
      </c>
      <c r="V398" s="162" t="str">
        <f>IF(INDEX([1]Historical!$N$7:$N$1222,MATCH(B398,[1]Historical!$B$7:$B$1253,0))=0,"n/a",((INDEX([1]Historical!$C$7:$C$1231,MATCH(B398,[1]Historical!$B$7:$B$1253,0))/INDEX([1]Historical!$N$7:$N$1222,MATCH(B398,[1]Historical!$B$7:$B$1253,0)))^(1/10)-1)*100)</f>
        <v>n/a</v>
      </c>
      <c r="W398" s="163" t="str">
        <f t="shared" si="111"/>
        <v>n/a</v>
      </c>
      <c r="X398" s="164" t="str">
        <f t="shared" si="112"/>
        <v>n/a</v>
      </c>
      <c r="Y398" s="180"/>
      <c r="Z398" s="157">
        <f t="shared" si="113"/>
        <v>5.6921086675291068</v>
      </c>
      <c r="AA398" s="166">
        <f t="shared" si="114"/>
        <v>3.6642949547218624</v>
      </c>
      <c r="AB398" s="126">
        <v>12</v>
      </c>
      <c r="AC398" s="167">
        <v>15.46</v>
      </c>
      <c r="AD398" s="167">
        <v>0.77</v>
      </c>
      <c r="AE398" s="167">
        <v>0.95</v>
      </c>
      <c r="AF398" s="167">
        <v>3.24</v>
      </c>
      <c r="AG398" s="167">
        <v>100.1</v>
      </c>
      <c r="AH398" s="167">
        <v>215.39999999999998</v>
      </c>
      <c r="AI398" s="167">
        <v>-55.669999999999995</v>
      </c>
      <c r="AJ398" s="167">
        <v>68.5</v>
      </c>
      <c r="AK398" s="167">
        <v>5</v>
      </c>
      <c r="AL398" s="168">
        <v>4290</v>
      </c>
      <c r="AM398" s="169">
        <v>1</v>
      </c>
      <c r="AN398" s="167">
        <v>0.23</v>
      </c>
      <c r="AO398" s="170" t="str">
        <f t="shared" si="115"/>
        <v>n/a</v>
      </c>
      <c r="AP398" s="171" t="str">
        <f t="shared" si="116"/>
        <v>n/a</v>
      </c>
      <c r="AQ398" s="172">
        <f t="shared" si="117"/>
        <v>-27.359895823316151</v>
      </c>
      <c r="AR398" s="157">
        <f>INDEX([1]Historical!$C$7:$C$1231,MATCH(B398,[1]Historical!$B$7:$B$1253,0))*IF(AH398="n/a",1.03,IF(AH398&lt;0,1.01,IF(AH398&gt;10,1.1,(1+AH398/100))))</f>
        <v>0.74800000000000011</v>
      </c>
      <c r="AS398" s="166">
        <f t="shared" si="118"/>
        <v>0.75548000000000015</v>
      </c>
      <c r="AT398" s="166">
        <f t="shared" si="119"/>
        <v>0.79325400000000024</v>
      </c>
      <c r="AU398" s="166">
        <f t="shared" si="119"/>
        <v>0.83291670000000029</v>
      </c>
      <c r="AV398" s="166">
        <f t="shared" si="119"/>
        <v>0.87456253500000036</v>
      </c>
      <c r="AW398" s="157">
        <f t="shared" si="120"/>
        <v>4.0042132350000008</v>
      </c>
      <c r="AX398" s="173">
        <f t="shared" si="121"/>
        <v>7.068337572815536</v>
      </c>
      <c r="AY398" s="174">
        <v>1.63</v>
      </c>
      <c r="AZ398" s="169">
        <v>17.53</v>
      </c>
      <c r="BA398" s="169">
        <v>-28.98</v>
      </c>
      <c r="BB398" s="169">
        <v>4.25</v>
      </c>
      <c r="BC398" s="169">
        <v>-8.57</v>
      </c>
      <c r="BE398" s="77">
        <v>2018</v>
      </c>
      <c r="BF398" s="77">
        <f t="shared" si="122"/>
        <v>1</v>
      </c>
      <c r="BG398" s="175">
        <v>58.199999999999996</v>
      </c>
      <c r="BH398" t="s">
        <v>939</v>
      </c>
      <c r="BI398" t="s">
        <v>940</v>
      </c>
      <c r="BJ398" s="112"/>
      <c r="BK398" s="112"/>
      <c r="BL398" s="112"/>
    </row>
    <row r="399" spans="1:64" ht="11.25" customHeight="1" x14ac:dyDescent="0.2">
      <c r="A399" s="176" t="s">
        <v>1495</v>
      </c>
      <c r="B399" s="153" t="s">
        <v>819</v>
      </c>
      <c r="C399" s="154" t="s">
        <v>922</v>
      </c>
      <c r="D399" s="154" t="s">
        <v>950</v>
      </c>
      <c r="E399" s="155">
        <v>9</v>
      </c>
      <c r="F399" s="298">
        <v>560</v>
      </c>
      <c r="G399" s="298" t="s">
        <v>88</v>
      </c>
      <c r="H399" s="298" t="s">
        <v>88</v>
      </c>
      <c r="I399" s="156">
        <v>404.78</v>
      </c>
      <c r="J399" s="157">
        <f t="shared" si="108"/>
        <v>1.7046296753792185</v>
      </c>
      <c r="K399" s="158">
        <v>1.7250000000000001</v>
      </c>
      <c r="L399" s="126">
        <v>4</v>
      </c>
      <c r="M399" s="82">
        <f t="shared" si="109"/>
        <v>6.9</v>
      </c>
      <c r="N399" s="159" t="s">
        <v>126</v>
      </c>
      <c r="O399" s="160">
        <v>1.5</v>
      </c>
      <c r="P399" s="161">
        <v>44817</v>
      </c>
      <c r="Q399" s="161">
        <v>44839</v>
      </c>
      <c r="R399" s="82">
        <f t="shared" si="110"/>
        <v>15.000000000000005</v>
      </c>
      <c r="S399" s="162">
        <f>IF(INDEX([1]Historical!$D$7:$D$1229,MATCH(B399,[1]Historical!$B$7:$B$1253,0))=0,"n/a",(INDEX([1]Historical!$C$7:$C$1231,MATCH(B399,[1]Historical!$B$7:$B$1253,0))/INDEX([1]Historical!$D$7:$D$1229,MATCH(B399,[1]Historical!$B$7:$B$1253,0))-1)*100)</f>
        <v>13.684210526315788</v>
      </c>
      <c r="T399" s="162">
        <f>IF(INDEX([1]Historical!$F$7:$F$1222,MATCH(B399,[1]Historical!$B$7:$B$1253,0))=0,"n/a",((INDEX([1]Historical!$C$7:$C$1231,MATCH(B399,[1]Historical!$B$7:$B$1253,0))/INDEX([1]Historical!$F$7:$F$1222,MATCH(B399,[1]Historical!$B$7:$B$1253,0)))^(1/3)-1)*100)</f>
        <v>19.055078897614951</v>
      </c>
      <c r="U399" s="162">
        <f>IF(INDEX([1]Historical!$H$7:$H$1222,MATCH(B399,[1]Historical!$B$7:$B$1253,0))=0,"n/a",((INDEX([1]Historical!$C$7:$C$1231,MATCH(B399,[1]Historical!$B$7:$B$1253,0))/INDEX([1]Historical!$H$7:$H$1222,MATCH(B399,[1]Historical!$B$7:$B$1253,0)))^(1/5)-1)*100)</f>
        <v>35.096003852061351</v>
      </c>
      <c r="V399" s="162" t="str">
        <f>IF(INDEX([1]Historical!$N$7:$N$1222,MATCH(B399,[1]Historical!$B$7:$B$1253,0))=0,"n/a",((INDEX([1]Historical!$C$7:$C$1231,MATCH(B399,[1]Historical!$B$7:$B$1253,0))/INDEX([1]Historical!$N$7:$N$1222,MATCH(B399,[1]Historical!$B$7:$B$1253,0)))^(1/10)-1)*100)</f>
        <v>n/a</v>
      </c>
      <c r="W399" s="163" t="str">
        <f t="shared" si="111"/>
        <v>n/a</v>
      </c>
      <c r="X399" s="164">
        <f t="shared" si="112"/>
        <v>1.2186112448632416</v>
      </c>
      <c r="Y399" s="165"/>
      <c r="Z399" s="157">
        <f t="shared" si="113"/>
        <v>19.787783194723261</v>
      </c>
      <c r="AA399" s="166">
        <f t="shared" si="114"/>
        <v>11.608259248637797</v>
      </c>
      <c r="AB399" s="126">
        <v>6</v>
      </c>
      <c r="AC399" s="167">
        <v>34.869999999999997</v>
      </c>
      <c r="AD399" s="167">
        <v>1.52</v>
      </c>
      <c r="AE399" s="167">
        <v>2.95</v>
      </c>
      <c r="AF399" s="167">
        <v>7.49</v>
      </c>
      <c r="AG399" s="167">
        <v>74.099999999999994</v>
      </c>
      <c r="AH399" s="167">
        <v>21.8</v>
      </c>
      <c r="AI399" s="167">
        <v>-17.23</v>
      </c>
      <c r="AJ399" s="167">
        <v>28.799999999999997</v>
      </c>
      <c r="AK399" s="167">
        <v>7.66</v>
      </c>
      <c r="AL399" s="168">
        <v>53070</v>
      </c>
      <c r="AM399" s="169">
        <v>0.2</v>
      </c>
      <c r="AN399" s="167">
        <v>0.67</v>
      </c>
      <c r="AO399" s="170">
        <f t="shared" si="115"/>
        <v>25.19237427880277</v>
      </c>
      <c r="AP399" s="171">
        <f t="shared" si="116"/>
        <v>36.800633527440567</v>
      </c>
      <c r="AQ399" s="172">
        <f t="shared" si="117"/>
        <v>96.577224601763191</v>
      </c>
      <c r="AR399" s="157">
        <f>INDEX([1]Historical!$C$7:$C$1231,MATCH(B399,[1]Historical!$B$7:$B$1253,0))*IF(AH399="n/a",1.03,IF(AH399&lt;0,1.01,IF(AH399&gt;10,1.1,(1+AH399/100))))</f>
        <v>5.9400000000000013</v>
      </c>
      <c r="AS399" s="166">
        <f t="shared" si="118"/>
        <v>5.9994000000000014</v>
      </c>
      <c r="AT399" s="166">
        <f t="shared" si="119"/>
        <v>6.4589540400000018</v>
      </c>
      <c r="AU399" s="166">
        <f t="shared" si="119"/>
        <v>6.9537099194640017</v>
      </c>
      <c r="AV399" s="166">
        <f t="shared" si="119"/>
        <v>7.4863640992949447</v>
      </c>
      <c r="AW399" s="157">
        <f t="shared" si="120"/>
        <v>32.83842805875895</v>
      </c>
      <c r="AX399" s="173">
        <f t="shared" si="121"/>
        <v>8.1126607190965352</v>
      </c>
      <c r="AY399" s="174">
        <v>1.37</v>
      </c>
      <c r="AZ399" s="169">
        <v>35.11</v>
      </c>
      <c r="BA399" s="169">
        <v>-44.690000000000005</v>
      </c>
      <c r="BB399" s="169">
        <v>1.54</v>
      </c>
      <c r="BC399" s="169">
        <v>-15.509999999999998</v>
      </c>
      <c r="BE399" s="77">
        <v>2014</v>
      </c>
      <c r="BF399" s="77">
        <f t="shared" si="122"/>
        <v>1</v>
      </c>
      <c r="BG399" s="175">
        <v>28.000000000000004</v>
      </c>
      <c r="BH399" t="s">
        <v>939</v>
      </c>
      <c r="BI399" t="s">
        <v>940</v>
      </c>
      <c r="BJ399" s="112"/>
      <c r="BK399" s="112"/>
      <c r="BL399" s="112"/>
    </row>
    <row r="400" spans="1:64" s="252" customFormat="1" ht="11.25" customHeight="1" x14ac:dyDescent="0.2">
      <c r="A400" s="236" t="s">
        <v>1218</v>
      </c>
      <c r="B400" s="184" t="s">
        <v>1219</v>
      </c>
      <c r="C400" s="154" t="s">
        <v>90</v>
      </c>
      <c r="D400" s="154" t="s">
        <v>959</v>
      </c>
      <c r="E400" s="185">
        <v>6</v>
      </c>
      <c r="F400" s="298">
        <v>680</v>
      </c>
      <c r="G400" s="297" t="s">
        <v>88</v>
      </c>
      <c r="H400" s="297" t="s">
        <v>88</v>
      </c>
      <c r="I400" s="186">
        <v>13.13</v>
      </c>
      <c r="J400" s="187">
        <f t="shared" si="108"/>
        <v>5.4836252856054832</v>
      </c>
      <c r="K400" s="188">
        <v>0.18</v>
      </c>
      <c r="L400" s="189">
        <v>4</v>
      </c>
      <c r="M400" s="190">
        <f t="shared" si="109"/>
        <v>0.72</v>
      </c>
      <c r="N400" s="191" t="s">
        <v>167</v>
      </c>
      <c r="O400" s="192">
        <v>0.16</v>
      </c>
      <c r="P400" s="193">
        <v>44774</v>
      </c>
      <c r="Q400" s="193">
        <v>44792</v>
      </c>
      <c r="R400" s="190">
        <f t="shared" si="110"/>
        <v>12.499999999999993</v>
      </c>
      <c r="S400" s="162">
        <f>IF(INDEX([1]Historical!$D$7:$D$1229,MATCH(B400,[1]Historical!$B$7:$B$1253,0))=0,"n/a",(INDEX([1]Historical!$C$7:$C$1231,MATCH(B400,[1]Historical!$B$7:$B$1253,0))/INDEX([1]Historical!$D$7:$D$1229,MATCH(B400,[1]Historical!$B$7:$B$1253,0))-1)*100)</f>
        <v>10.204081632653072</v>
      </c>
      <c r="T400" s="162">
        <f>IF(INDEX([1]Historical!$F$7:$F$1222,MATCH(B400,[1]Historical!$B$7:$B$1253,0))=0,"n/a",((INDEX([1]Historical!$C$7:$C$1231,MATCH(B400,[1]Historical!$B$7:$B$1253,0))/INDEX([1]Historical!$F$7:$F$1222,MATCH(B400,[1]Historical!$B$7:$B$1253,0)))^(1/3)-1)*100)</f>
        <v>10.520944959211608</v>
      </c>
      <c r="U400" s="162">
        <f>IF(INDEX([1]Historical!$H$7:$H$1222,MATCH(B400,[1]Historical!$B$7:$B$1253,0))=0,"n/a",((INDEX([1]Historical!$C$7:$C$1231,MATCH(B400,[1]Historical!$B$7:$B$1253,0))/INDEX([1]Historical!$H$7:$H$1222,MATCH(B400,[1]Historical!$B$7:$B$1253,0)))^(1/5)-1)*100)</f>
        <v>14.037357635025295</v>
      </c>
      <c r="V400" s="162">
        <f>IF(INDEX([1]Historical!$N$7:$N$1222,MATCH(B400,[1]Historical!$B$7:$B$1253,0))=0,"n/a",((INDEX([1]Historical!$C$7:$C$1231,MATCH(B400,[1]Historical!$B$7:$B$1253,0))/INDEX([1]Historical!$N$7:$N$1222,MATCH(B400,[1]Historical!$B$7:$B$1253,0)))^(1/10)-1)*100)</f>
        <v>6.788275402791899</v>
      </c>
      <c r="W400" s="163">
        <f t="shared" si="111"/>
        <v>2.0678827540279192</v>
      </c>
      <c r="X400" s="164">
        <f t="shared" si="112"/>
        <v>1.1229886108020235</v>
      </c>
      <c r="Y400" s="227"/>
      <c r="Z400" s="187">
        <f t="shared" si="113"/>
        <v>65.454545454545439</v>
      </c>
      <c r="AA400" s="194">
        <f t="shared" si="114"/>
        <v>11.936363636363636</v>
      </c>
      <c r="AB400" s="189">
        <v>12</v>
      </c>
      <c r="AC400" s="195">
        <v>1.1000000000000001</v>
      </c>
      <c r="AD400" s="195" t="s">
        <v>95</v>
      </c>
      <c r="AE400" s="195">
        <v>3.02</v>
      </c>
      <c r="AF400" s="195">
        <v>0.97</v>
      </c>
      <c r="AG400" s="195">
        <v>6.6000000000000005</v>
      </c>
      <c r="AH400" s="195">
        <v>37.299999999999997</v>
      </c>
      <c r="AI400" s="195" t="s">
        <v>95</v>
      </c>
      <c r="AJ400" s="195">
        <v>12.5</v>
      </c>
      <c r="AK400" s="195" t="s">
        <v>95</v>
      </c>
      <c r="AL400" s="196">
        <v>76.48</v>
      </c>
      <c r="AM400" s="197">
        <v>0.89999999999999991</v>
      </c>
      <c r="AN400" s="195">
        <v>0</v>
      </c>
      <c r="AO400" s="198">
        <f t="shared" si="115"/>
        <v>7.5846192842671432</v>
      </c>
      <c r="AP400" s="199">
        <f t="shared" si="116"/>
        <v>19.520982920630779</v>
      </c>
      <c r="AQ400" s="172">
        <f t="shared" si="117"/>
        <v>-28.265078309800952</v>
      </c>
      <c r="AR400" s="157">
        <f>INDEX([1]Historical!$C$7:$C$1231,MATCH(B400,[1]Historical!$B$7:$B$1253,0))*IF(AH400="n/a",1.03,IF(AH400&lt;0,1.01,IF(AH400&gt;10,1.1,(1+AH400/100))))</f>
        <v>0.59400000000000008</v>
      </c>
      <c r="AS400" s="194">
        <f t="shared" si="118"/>
        <v>0.61182000000000014</v>
      </c>
      <c r="AT400" s="194">
        <f t="shared" si="119"/>
        <v>0.63017460000000014</v>
      </c>
      <c r="AU400" s="194">
        <f t="shared" si="119"/>
        <v>0.64907983800000013</v>
      </c>
      <c r="AV400" s="194">
        <f t="shared" si="119"/>
        <v>0.66855223314000012</v>
      </c>
      <c r="AW400" s="187">
        <f t="shared" si="120"/>
        <v>3.1536266711400005</v>
      </c>
      <c r="AX400" s="200">
        <f t="shared" si="121"/>
        <v>24.018481882254381</v>
      </c>
      <c r="AY400" s="201">
        <v>0.46</v>
      </c>
      <c r="AZ400" s="197">
        <v>1.23</v>
      </c>
      <c r="BA400" s="197">
        <v>-13.900000000000002</v>
      </c>
      <c r="BB400" s="197">
        <v>-2.16</v>
      </c>
      <c r="BC400" s="197">
        <v>-8.92</v>
      </c>
      <c r="BD400" s="202"/>
      <c r="BE400" s="77">
        <v>2017</v>
      </c>
      <c r="BF400" s="77">
        <f t="shared" si="122"/>
        <v>1</v>
      </c>
      <c r="BG400" s="203">
        <v>0.8</v>
      </c>
      <c r="BH400" t="s">
        <v>939</v>
      </c>
      <c r="BI400" t="s">
        <v>940</v>
      </c>
      <c r="BJ400" s="208"/>
      <c r="BK400" s="208"/>
      <c r="BL400" s="208"/>
    </row>
    <row r="401" spans="1:64" ht="11.25" customHeight="1" x14ac:dyDescent="0.2">
      <c r="A401" s="176" t="s">
        <v>1496</v>
      </c>
      <c r="B401" s="153" t="s">
        <v>353</v>
      </c>
      <c r="C401" s="154" t="s">
        <v>94</v>
      </c>
      <c r="D401" s="154" t="s">
        <v>1022</v>
      </c>
      <c r="E401" s="155">
        <v>18</v>
      </c>
      <c r="F401" s="298">
        <v>220</v>
      </c>
      <c r="G401" s="298" t="s">
        <v>88</v>
      </c>
      <c r="H401" s="298" t="s">
        <v>88</v>
      </c>
      <c r="I401" s="156">
        <v>156.22</v>
      </c>
      <c r="J401" s="157">
        <f t="shared" si="108"/>
        <v>0.76814748431698887</v>
      </c>
      <c r="K401" s="158">
        <v>0.3</v>
      </c>
      <c r="L401" s="126">
        <v>4</v>
      </c>
      <c r="M401" s="82">
        <f t="shared" si="109"/>
        <v>1.2</v>
      </c>
      <c r="N401" s="159" t="s">
        <v>186</v>
      </c>
      <c r="O401" s="160">
        <v>0.25</v>
      </c>
      <c r="P401" s="161">
        <v>44778</v>
      </c>
      <c r="Q401" s="161">
        <v>44799</v>
      </c>
      <c r="R401" s="82">
        <f t="shared" si="110"/>
        <v>19.999999999999996</v>
      </c>
      <c r="S401" s="162">
        <f>IF(INDEX([1]Historical!$D$7:$D$1229,MATCH(B401,[1]Historical!$B$7:$B$1253,0))=0,"n/a",(INDEX([1]Historical!$C$7:$C$1231,MATCH(B401,[1]Historical!$B$7:$B$1253,0))/INDEX([1]Historical!$D$7:$D$1229,MATCH(B401,[1]Historical!$B$7:$B$1253,0))-1)*100)</f>
        <v>16.455696202531644</v>
      </c>
      <c r="T401" s="162">
        <f>IF(INDEX([1]Historical!$F$7:$F$1222,MATCH(B401,[1]Historical!$B$7:$B$1253,0))=0,"n/a",((INDEX([1]Historical!$C$7:$C$1231,MATCH(B401,[1]Historical!$B$7:$B$1253,0))/INDEX([1]Historical!$F$7:$F$1222,MATCH(B401,[1]Historical!$B$7:$B$1253,0)))^(1/3)-1)*100)</f>
        <v>13.452941227266413</v>
      </c>
      <c r="U401" s="162">
        <f>IF(INDEX([1]Historical!$H$7:$H$1222,MATCH(B401,[1]Historical!$B$7:$B$1253,0))=0,"n/a",((INDEX([1]Historical!$C$7:$C$1231,MATCH(B401,[1]Historical!$B$7:$B$1253,0))/INDEX([1]Historical!$H$7:$H$1222,MATCH(B401,[1]Historical!$B$7:$B$1253,0)))^(1/5)-1)*100)</f>
        <v>22.028643074326347</v>
      </c>
      <c r="V401" s="162">
        <f>IF(INDEX([1]Historical!$N$7:$N$1222,MATCH(B401,[1]Historical!$B$7:$B$1253,0))=0,"n/a",((INDEX([1]Historical!$C$7:$C$1231,MATCH(B401,[1]Historical!$B$7:$B$1253,0))/INDEX([1]Historical!$N$7:$N$1222,MATCH(B401,[1]Historical!$B$7:$B$1253,0)))^(1/10)-1)*100)</f>
        <v>15.919594501910804</v>
      </c>
      <c r="W401" s="163">
        <f t="shared" si="111"/>
        <v>1.3837439811474019</v>
      </c>
      <c r="X401" s="164">
        <f t="shared" si="112"/>
        <v>0.87763518224407755</v>
      </c>
      <c r="Y401" s="214"/>
      <c r="Z401" s="157">
        <f t="shared" si="113"/>
        <v>9.8928276999175591</v>
      </c>
      <c r="AA401" s="166">
        <f t="shared" si="114"/>
        <v>12.878812860676009</v>
      </c>
      <c r="AB401" s="126">
        <v>12</v>
      </c>
      <c r="AC401" s="167">
        <v>12.13</v>
      </c>
      <c r="AD401" s="167">
        <v>0.57999999999999996</v>
      </c>
      <c r="AE401" s="167">
        <v>0.7</v>
      </c>
      <c r="AF401" s="167">
        <v>6.57</v>
      </c>
      <c r="AG401" s="167">
        <v>49.4</v>
      </c>
      <c r="AH401" s="167">
        <v>100.49999999999999</v>
      </c>
      <c r="AI401" s="167">
        <v>-23.14</v>
      </c>
      <c r="AJ401" s="167">
        <v>25.1</v>
      </c>
      <c r="AK401" s="167">
        <v>21.8</v>
      </c>
      <c r="AL401" s="168">
        <v>5370</v>
      </c>
      <c r="AM401" s="169">
        <v>0.6</v>
      </c>
      <c r="AN401" s="167">
        <v>0.26</v>
      </c>
      <c r="AO401" s="170">
        <f t="shared" si="115"/>
        <v>9.9179776979673253</v>
      </c>
      <c r="AP401" s="171">
        <f t="shared" si="116"/>
        <v>22.796790558643334</v>
      </c>
      <c r="AQ401" s="172">
        <f t="shared" si="117"/>
        <v>93.923009344363152</v>
      </c>
      <c r="AR401" s="157">
        <f>INDEX([1]Historical!$C$7:$C$1231,MATCH(B401,[1]Historical!$B$7:$B$1253,0))*IF(AH401="n/a",1.03,IF(AH401&lt;0,1.01,IF(AH401&gt;10,1.1,(1+AH401/100))))</f>
        <v>1.0120000000000002</v>
      </c>
      <c r="AS401" s="166">
        <f t="shared" si="118"/>
        <v>1.0221200000000001</v>
      </c>
      <c r="AT401" s="166">
        <f t="shared" si="119"/>
        <v>1.1243320000000003</v>
      </c>
      <c r="AU401" s="166">
        <f t="shared" si="119"/>
        <v>1.2367652000000005</v>
      </c>
      <c r="AV401" s="166">
        <f t="shared" si="119"/>
        <v>1.3604417200000005</v>
      </c>
      <c r="AW401" s="157">
        <f t="shared" si="120"/>
        <v>5.7556589200000019</v>
      </c>
      <c r="AX401" s="173">
        <f t="shared" si="121"/>
        <v>3.6843290999871985</v>
      </c>
      <c r="AY401" s="174">
        <v>0.88</v>
      </c>
      <c r="AZ401" s="169">
        <v>13.900000000000002</v>
      </c>
      <c r="BA401" s="169">
        <v>-16.25</v>
      </c>
      <c r="BB401" s="169">
        <v>6.16</v>
      </c>
      <c r="BC401" s="169">
        <v>3.4299999999999997</v>
      </c>
      <c r="BE401" s="77">
        <v>2005</v>
      </c>
      <c r="BF401" s="77">
        <f t="shared" si="122"/>
        <v>2</v>
      </c>
      <c r="BG401" s="175">
        <v>21.4</v>
      </c>
      <c r="BH401" t="s">
        <v>939</v>
      </c>
      <c r="BI401" t="s">
        <v>940</v>
      </c>
    </row>
    <row r="402" spans="1:64" ht="11.25" customHeight="1" x14ac:dyDescent="0.2">
      <c r="A402" s="205" t="s">
        <v>1133</v>
      </c>
      <c r="B402" s="153" t="s">
        <v>1134</v>
      </c>
      <c r="C402" s="154" t="s">
        <v>127</v>
      </c>
      <c r="D402" s="154" t="s">
        <v>951</v>
      </c>
      <c r="E402" s="155">
        <v>6</v>
      </c>
      <c r="F402" s="298">
        <v>656</v>
      </c>
      <c r="G402" s="298" t="s">
        <v>88</v>
      </c>
      <c r="H402" s="298" t="s">
        <v>88</v>
      </c>
      <c r="I402" s="156">
        <v>86.22</v>
      </c>
      <c r="J402" s="157">
        <f t="shared" si="108"/>
        <v>1.1366272326606355</v>
      </c>
      <c r="K402" s="158">
        <v>0.245</v>
      </c>
      <c r="L402" s="126">
        <v>4</v>
      </c>
      <c r="M402" s="82">
        <f t="shared" si="109"/>
        <v>0.98</v>
      </c>
      <c r="N402" s="159" t="s">
        <v>1006</v>
      </c>
      <c r="O402" s="160">
        <v>0.23499999999999999</v>
      </c>
      <c r="P402" s="161">
        <v>44595</v>
      </c>
      <c r="Q402" s="161">
        <v>44624</v>
      </c>
      <c r="R402" s="82">
        <f t="shared" si="110"/>
        <v>4.2553191489361746</v>
      </c>
      <c r="S402" s="162">
        <f>IF(INDEX([1]Historical!$D$7:$D$1229,MATCH(B402,[1]Historical!$B$7:$B$1253,0))=0,"n/a",(INDEX([1]Historical!$C$7:$C$1231,MATCH(B402,[1]Historical!$B$7:$B$1253,0))/INDEX([1]Historical!$D$7:$D$1229,MATCH(B402,[1]Historical!$B$7:$B$1253,0))-1)*100)</f>
        <v>2.1739130434782483</v>
      </c>
      <c r="T402" s="162">
        <f>IF(INDEX([1]Historical!$F$7:$F$1222,MATCH(B402,[1]Historical!$B$7:$B$1253,0))=0,"n/a",((INDEX([1]Historical!$C$7:$C$1231,MATCH(B402,[1]Historical!$B$7:$B$1253,0))/INDEX([1]Historical!$F$7:$F$1222,MATCH(B402,[1]Historical!$B$7:$B$1253,0)))^(1/3)-1)*100)</f>
        <v>7.0987242074486367</v>
      </c>
      <c r="U402" s="162" t="str">
        <f>IF(INDEX([1]Historical!$H$7:$H$1222,MATCH(B402,[1]Historical!$B$7:$B$1253,0))=0,"n/a",((INDEX([1]Historical!$C$7:$C$1231,MATCH(B402,[1]Historical!$B$7:$B$1253,0))/INDEX([1]Historical!$H$7:$H$1222,MATCH(B402,[1]Historical!$B$7:$B$1253,0)))^(1/5)-1)*100)</f>
        <v>n/a</v>
      </c>
      <c r="V402" s="162" t="str">
        <f>IF(INDEX([1]Historical!$N$7:$N$1222,MATCH(B402,[1]Historical!$B$7:$B$1253,0))=0,"n/a",((INDEX([1]Historical!$C$7:$C$1231,MATCH(B402,[1]Historical!$B$7:$B$1253,0))/INDEX([1]Historical!$N$7:$N$1222,MATCH(B402,[1]Historical!$B$7:$B$1253,0)))^(1/10)-1)*100)</f>
        <v>n/a</v>
      </c>
      <c r="W402" s="163" t="str">
        <f t="shared" si="111"/>
        <v>n/a</v>
      </c>
      <c r="X402" s="164" t="str">
        <f t="shared" si="112"/>
        <v>n/a</v>
      </c>
      <c r="Y402" s="180"/>
      <c r="Z402" s="157">
        <f t="shared" si="113"/>
        <v>35.251798561151084</v>
      </c>
      <c r="AA402" s="166">
        <f t="shared" si="114"/>
        <v>31.014388489208635</v>
      </c>
      <c r="AB402" s="126">
        <v>5</v>
      </c>
      <c r="AC402" s="167">
        <v>2.78</v>
      </c>
      <c r="AD402" s="167">
        <v>0.91</v>
      </c>
      <c r="AE402" s="167">
        <v>2.88</v>
      </c>
      <c r="AF402" s="167">
        <v>24.14</v>
      </c>
      <c r="AG402" s="167">
        <v>99</v>
      </c>
      <c r="AH402" s="167">
        <v>-36.299999999999997</v>
      </c>
      <c r="AI402" s="167">
        <v>32.729999999999997</v>
      </c>
      <c r="AJ402" s="167">
        <v>-9.1</v>
      </c>
      <c r="AK402" s="167">
        <v>33.900000000000006</v>
      </c>
      <c r="AL402" s="168">
        <v>12200</v>
      </c>
      <c r="AM402" s="169">
        <v>0.3</v>
      </c>
      <c r="AN402" s="167">
        <v>5.38</v>
      </c>
      <c r="AO402" s="170" t="str">
        <f t="shared" si="115"/>
        <v>n/a</v>
      </c>
      <c r="AP402" s="171" t="str">
        <f t="shared" si="116"/>
        <v>n/a</v>
      </c>
      <c r="AQ402" s="172">
        <f t="shared" si="117"/>
        <v>476.84480413500648</v>
      </c>
      <c r="AR402" s="157">
        <f>INDEX([1]Historical!$C$7:$C$1231,MATCH(B402,[1]Historical!$B$7:$B$1253,0))*IF(AH402="n/a",1.03,IF(AH402&lt;0,1.01,IF(AH402&gt;10,1.1,(1+AH402/100))))</f>
        <v>0.94939999999999991</v>
      </c>
      <c r="AS402" s="166">
        <f t="shared" si="118"/>
        <v>1.04434</v>
      </c>
      <c r="AT402" s="166">
        <f t="shared" si="119"/>
        <v>1.1487740000000002</v>
      </c>
      <c r="AU402" s="166">
        <f t="shared" si="119"/>
        <v>1.2636514000000003</v>
      </c>
      <c r="AV402" s="166">
        <f t="shared" si="119"/>
        <v>1.3900165400000004</v>
      </c>
      <c r="AW402" s="157">
        <f t="shared" si="120"/>
        <v>5.7961819400000012</v>
      </c>
      <c r="AX402" s="173">
        <f t="shared" si="121"/>
        <v>6.7225492229181185</v>
      </c>
      <c r="AY402" s="174">
        <v>0.53</v>
      </c>
      <c r="AZ402" s="169">
        <v>73.45</v>
      </c>
      <c r="BA402" s="169">
        <v>-0.3</v>
      </c>
      <c r="BB402" s="169">
        <v>6.99</v>
      </c>
      <c r="BC402" s="169">
        <v>22.5</v>
      </c>
      <c r="BE402" s="77">
        <v>2017</v>
      </c>
      <c r="BF402" s="77">
        <f t="shared" si="122"/>
        <v>1</v>
      </c>
      <c r="BG402" s="175">
        <v>9.6</v>
      </c>
      <c r="BH402" t="s">
        <v>939</v>
      </c>
      <c r="BI402" t="s">
        <v>940</v>
      </c>
      <c r="BJ402" s="112"/>
      <c r="BK402" s="112"/>
      <c r="BL402" s="112"/>
    </row>
    <row r="403" spans="1:64" ht="11.25" customHeight="1" x14ac:dyDescent="0.2">
      <c r="A403" s="176" t="s">
        <v>1497</v>
      </c>
      <c r="B403" s="153" t="s">
        <v>636</v>
      </c>
      <c r="C403" s="154" t="s">
        <v>96</v>
      </c>
      <c r="D403" s="154" t="s">
        <v>911</v>
      </c>
      <c r="E403" s="155">
        <v>12</v>
      </c>
      <c r="F403" s="298">
        <v>368</v>
      </c>
      <c r="G403" s="298" t="s">
        <v>88</v>
      </c>
      <c r="H403" s="298" t="s">
        <v>88</v>
      </c>
      <c r="I403" s="156">
        <v>76.45</v>
      </c>
      <c r="J403" s="157">
        <f t="shared" si="108"/>
        <v>6.2262916939175925</v>
      </c>
      <c r="K403" s="158">
        <v>1.19</v>
      </c>
      <c r="L403" s="126">
        <v>4</v>
      </c>
      <c r="M403" s="82">
        <f t="shared" si="109"/>
        <v>4.76</v>
      </c>
      <c r="N403" s="159" t="s">
        <v>93</v>
      </c>
      <c r="O403" s="160">
        <v>1.1299999999999999</v>
      </c>
      <c r="P403" s="161">
        <v>44715</v>
      </c>
      <c r="Q403" s="161">
        <v>44725</v>
      </c>
      <c r="R403" s="82">
        <f t="shared" si="110"/>
        <v>5.3097345132743419</v>
      </c>
      <c r="S403" s="162">
        <f>IF(INDEX([1]Historical!$D$7:$D$1229,MATCH(B403,[1]Historical!$B$7:$B$1253,0))=0,"n/a",(INDEX([1]Historical!$C$7:$C$1231,MATCH(B403,[1]Historical!$B$7:$B$1253,0))/INDEX([1]Historical!$D$7:$D$1229,MATCH(B403,[1]Historical!$B$7:$B$1253,0))-1)*100)</f>
        <v>5.7142857142857162</v>
      </c>
      <c r="T403" s="162">
        <f>IF(INDEX([1]Historical!$F$7:$F$1222,MATCH(B403,[1]Historical!$B$7:$B$1253,0))=0,"n/a",((INDEX([1]Historical!$C$7:$C$1231,MATCH(B403,[1]Historical!$B$7:$B$1253,0))/INDEX([1]Historical!$F$7:$F$1222,MATCH(B403,[1]Historical!$B$7:$B$1253,0)))^(1/3)-1)*100)</f>
        <v>3.5398805448406234</v>
      </c>
      <c r="U403" s="162">
        <f>IF(INDEX([1]Historical!$H$7:$H$1222,MATCH(B403,[1]Historical!$B$7:$B$1253,0))=0,"n/a",((INDEX([1]Historical!$C$7:$C$1231,MATCH(B403,[1]Historical!$B$7:$B$1253,0))/INDEX([1]Historical!$H$7:$H$1222,MATCH(B403,[1]Historical!$B$7:$B$1253,0)))^(1/5)-1)*100)</f>
        <v>5.9223841048812176</v>
      </c>
      <c r="V403" s="162">
        <f>IF(INDEX([1]Historical!$N$7:$N$1222,MATCH(B403,[1]Historical!$B$7:$B$1253,0))=0,"n/a",((INDEX([1]Historical!$C$7:$C$1231,MATCH(B403,[1]Historical!$B$7:$B$1253,0))/INDEX([1]Historical!$N$7:$N$1222,MATCH(B403,[1]Historical!$B$7:$B$1253,0)))^(1/10)-1)*100)</f>
        <v>23.225908309193777</v>
      </c>
      <c r="W403" s="163">
        <f t="shared" si="111"/>
        <v>0.25499041957971103</v>
      </c>
      <c r="X403" s="164">
        <f t="shared" si="112"/>
        <v>0.45909954301404787</v>
      </c>
      <c r="Y403" s="180"/>
      <c r="Z403" s="157">
        <f t="shared" si="113"/>
        <v>28.918590522478731</v>
      </c>
      <c r="AA403" s="166">
        <f t="shared" si="114"/>
        <v>4.6445929526123937</v>
      </c>
      <c r="AB403" s="126">
        <v>12</v>
      </c>
      <c r="AC403" s="167">
        <v>16.46</v>
      </c>
      <c r="AD403" s="167" t="s">
        <v>95</v>
      </c>
      <c r="AE403" s="167">
        <v>0.5</v>
      </c>
      <c r="AF403" s="167">
        <v>2.09</v>
      </c>
      <c r="AG403" s="167">
        <v>34.799999999999997</v>
      </c>
      <c r="AH403" s="167">
        <v>294.89999999999998</v>
      </c>
      <c r="AI403" s="167">
        <v>-16.18</v>
      </c>
      <c r="AJ403" s="167">
        <v>12.9</v>
      </c>
      <c r="AK403" s="167">
        <v>-14.57</v>
      </c>
      <c r="AL403" s="168">
        <v>26920</v>
      </c>
      <c r="AM403" s="169">
        <v>0.2</v>
      </c>
      <c r="AN403" s="167">
        <v>0.93</v>
      </c>
      <c r="AO403" s="170">
        <f t="shared" si="115"/>
        <v>7.5040828461864155</v>
      </c>
      <c r="AP403" s="171">
        <f t="shared" si="116"/>
        <v>12.148675798798809</v>
      </c>
      <c r="AQ403" s="172">
        <f t="shared" si="117"/>
        <v>-34.316586666851045</v>
      </c>
      <c r="AR403" s="157">
        <f>INDEX([1]Historical!$C$7:$C$1231,MATCH(B403,[1]Historical!$B$7:$B$1253,0))*IF(AH403="n/a",1.03,IF(AH403&lt;0,1.01,IF(AH403&gt;10,1.1,(1+AH403/100))))</f>
        <v>4.8840000000000012</v>
      </c>
      <c r="AS403" s="166">
        <f t="shared" si="118"/>
        <v>4.9328400000000014</v>
      </c>
      <c r="AT403" s="166">
        <f t="shared" si="119"/>
        <v>4.9821684000000017</v>
      </c>
      <c r="AU403" s="166">
        <f t="shared" si="119"/>
        <v>5.031990084000002</v>
      </c>
      <c r="AV403" s="166">
        <f t="shared" si="119"/>
        <v>5.082309984840002</v>
      </c>
      <c r="AW403" s="157">
        <f t="shared" si="120"/>
        <v>24.913308468840007</v>
      </c>
      <c r="AX403" s="173">
        <f t="shared" si="121"/>
        <v>32.587715459568358</v>
      </c>
      <c r="AY403" s="174">
        <v>1.25</v>
      </c>
      <c r="AZ403" s="169">
        <v>6.98</v>
      </c>
      <c r="BA403" s="169">
        <v>-32.06</v>
      </c>
      <c r="BB403" s="169">
        <v>-5</v>
      </c>
      <c r="BC403" s="169">
        <v>-16.950000000000003</v>
      </c>
      <c r="BE403" s="77">
        <v>2011</v>
      </c>
      <c r="BF403" s="77">
        <f t="shared" si="122"/>
        <v>1</v>
      </c>
      <c r="BG403" s="175">
        <v>11.5</v>
      </c>
      <c r="BH403" t="s">
        <v>939</v>
      </c>
      <c r="BI403" t="s">
        <v>940</v>
      </c>
    </row>
    <row r="404" spans="1:64" ht="11.25" customHeight="1" x14ac:dyDescent="0.2">
      <c r="A404" s="112" t="s">
        <v>1498</v>
      </c>
      <c r="B404" s="153" t="s">
        <v>674</v>
      </c>
      <c r="C404" s="154" t="s">
        <v>922</v>
      </c>
      <c r="D404" s="154" t="s">
        <v>949</v>
      </c>
      <c r="E404" s="155">
        <v>11</v>
      </c>
      <c r="F404" s="298">
        <v>402</v>
      </c>
      <c r="G404" s="298" t="s">
        <v>88</v>
      </c>
      <c r="H404" s="298" t="s">
        <v>88</v>
      </c>
      <c r="I404" s="156">
        <v>328.18</v>
      </c>
      <c r="J404" s="157">
        <f t="shared" si="108"/>
        <v>0.5972332256688403</v>
      </c>
      <c r="K404" s="158">
        <v>0.49</v>
      </c>
      <c r="L404" s="126">
        <v>4</v>
      </c>
      <c r="M404" s="82">
        <f t="shared" si="109"/>
        <v>1.96</v>
      </c>
      <c r="N404" s="159" t="s">
        <v>311</v>
      </c>
      <c r="O404" s="160">
        <v>0.44</v>
      </c>
      <c r="P404" s="161">
        <v>44567</v>
      </c>
      <c r="Q404" s="161">
        <v>44601</v>
      </c>
      <c r="R404" s="82">
        <f t="shared" si="110"/>
        <v>11.36363636363636</v>
      </c>
      <c r="S404" s="162">
        <f>IF(INDEX([1]Historical!$D$7:$D$1229,MATCH(B404,[1]Historical!$B$7:$B$1253,0))=0,"n/a",(INDEX([1]Historical!$C$7:$C$1231,MATCH(B404,[1]Historical!$B$7:$B$1253,0))/INDEX([1]Historical!$D$7:$D$1229,MATCH(B404,[1]Historical!$B$7:$B$1253,0))-1)*100)</f>
        <v>9.9999999999999858</v>
      </c>
      <c r="T404" s="162">
        <f>IF(INDEX([1]Historical!$F$7:$F$1222,MATCH(B404,[1]Historical!$B$7:$B$1253,0))=0,"n/a",((INDEX([1]Historical!$C$7:$C$1231,MATCH(B404,[1]Historical!$B$7:$B$1253,0))/INDEX([1]Historical!$F$7:$F$1222,MATCH(B404,[1]Historical!$B$7:$B$1253,0)))^(1/3)-1)*100)</f>
        <v>20.73621473595373</v>
      </c>
      <c r="U404" s="162">
        <f>IF(INDEX([1]Historical!$H$7:$H$1222,MATCH(B404,[1]Historical!$B$7:$B$1253,0))=0,"n/a",((INDEX([1]Historical!$C$7:$C$1231,MATCH(B404,[1]Historical!$B$7:$B$1253,0))/INDEX([1]Historical!$H$7:$H$1222,MATCH(B404,[1]Historical!$B$7:$B$1253,0)))^(1/5)-1)*100)</f>
        <v>18.287762019416952</v>
      </c>
      <c r="V404" s="162">
        <f>IF(INDEX([1]Historical!$N$7:$N$1222,MATCH(B404,[1]Historical!$B$7:$B$1253,0))=0,"n/a",((INDEX([1]Historical!$C$7:$C$1231,MATCH(B404,[1]Historical!$B$7:$B$1253,0))/INDEX([1]Historical!$N$7:$N$1222,MATCH(B404,[1]Historical!$B$7:$B$1253,0)))^(1/10)-1)*100)</f>
        <v>40.196167540781659</v>
      </c>
      <c r="W404" s="163">
        <f t="shared" si="111"/>
        <v>0.45496282701237162</v>
      </c>
      <c r="X404" s="164">
        <f t="shared" si="112"/>
        <v>0.96760645605380713</v>
      </c>
      <c r="Y404" s="165"/>
      <c r="Z404" s="157">
        <f t="shared" si="113"/>
        <v>19.858156028368796</v>
      </c>
      <c r="AA404" s="166">
        <f t="shared" si="114"/>
        <v>33.250253292806491</v>
      </c>
      <c r="AB404" s="126">
        <v>12</v>
      </c>
      <c r="AC404" s="167">
        <v>9.8699999999999992</v>
      </c>
      <c r="AD404" s="167">
        <v>1.58</v>
      </c>
      <c r="AE404" s="167">
        <v>14.79</v>
      </c>
      <c r="AF404" s="167">
        <v>50</v>
      </c>
      <c r="AG404" s="167">
        <v>145.6</v>
      </c>
      <c r="AH404" s="167">
        <v>37.4</v>
      </c>
      <c r="AI404" s="167">
        <v>16.13</v>
      </c>
      <c r="AJ404" s="167">
        <v>18.899999999999999</v>
      </c>
      <c r="AK404" s="167">
        <v>21.14</v>
      </c>
      <c r="AL404" s="168">
        <v>308630</v>
      </c>
      <c r="AM404" s="169">
        <v>10.7</v>
      </c>
      <c r="AN404" s="167">
        <v>2.2799999999999998</v>
      </c>
      <c r="AO404" s="170">
        <f t="shared" si="115"/>
        <v>-14.365258047720697</v>
      </c>
      <c r="AP404" s="171">
        <f t="shared" si="116"/>
        <v>18.884995245085793</v>
      </c>
      <c r="AQ404" s="172">
        <f t="shared" si="117"/>
        <v>759.58973796685234</v>
      </c>
      <c r="AR404" s="157">
        <f>INDEX([1]Historical!$C$7:$C$1231,MATCH(B404,[1]Historical!$B$7:$B$1253,0))*IF(AH404="n/a",1.03,IF(AH404&lt;0,1.01,IF(AH404&gt;10,1.1,(1+AH404/100))))</f>
        <v>1.9360000000000002</v>
      </c>
      <c r="AS404" s="166">
        <f t="shared" si="118"/>
        <v>2.1296000000000004</v>
      </c>
      <c r="AT404" s="166">
        <f t="shared" si="119"/>
        <v>2.3425600000000006</v>
      </c>
      <c r="AU404" s="166">
        <f t="shared" si="119"/>
        <v>2.5768160000000009</v>
      </c>
      <c r="AV404" s="166">
        <f t="shared" si="119"/>
        <v>2.8344976000000011</v>
      </c>
      <c r="AW404" s="157">
        <f t="shared" si="120"/>
        <v>11.819473600000004</v>
      </c>
      <c r="AX404" s="173">
        <f t="shared" si="121"/>
        <v>3.6015216039978073</v>
      </c>
      <c r="AY404" s="174">
        <v>1.0900000000000001</v>
      </c>
      <c r="AZ404" s="169">
        <v>18.529999999999998</v>
      </c>
      <c r="BA404" s="169">
        <v>-17.940000000000001</v>
      </c>
      <c r="BB404" s="169">
        <v>5.19</v>
      </c>
      <c r="BC404" s="169">
        <v>-3.35</v>
      </c>
      <c r="BE404" s="77">
        <v>2012</v>
      </c>
      <c r="BF404" s="77">
        <f t="shared" si="122"/>
        <v>1</v>
      </c>
      <c r="BG404" s="175">
        <v>26.3</v>
      </c>
      <c r="BH404" t="s">
        <v>939</v>
      </c>
      <c r="BI404" t="s">
        <v>940</v>
      </c>
    </row>
    <row r="405" spans="1:64" ht="11.25" customHeight="1" x14ac:dyDescent="0.2">
      <c r="A405" s="112" t="s">
        <v>1499</v>
      </c>
      <c r="B405" s="153" t="s">
        <v>542</v>
      </c>
      <c r="C405" s="154" t="s">
        <v>947</v>
      </c>
      <c r="D405" s="154" t="s">
        <v>948</v>
      </c>
      <c r="E405" s="155">
        <v>12</v>
      </c>
      <c r="F405" s="298">
        <v>373</v>
      </c>
      <c r="G405" s="298" t="s">
        <v>30</v>
      </c>
      <c r="H405" s="298" t="s">
        <v>30</v>
      </c>
      <c r="I405" s="156">
        <v>157.44999999999999</v>
      </c>
      <c r="J405" s="157">
        <f t="shared" si="108"/>
        <v>3.1756113051762465</v>
      </c>
      <c r="K405" s="158">
        <v>1.25</v>
      </c>
      <c r="L405" s="126">
        <v>4</v>
      </c>
      <c r="M405" s="82">
        <f t="shared" si="109"/>
        <v>5</v>
      </c>
      <c r="N405" s="159" t="s">
        <v>190</v>
      </c>
      <c r="O405" s="160">
        <v>1.0874999999999999</v>
      </c>
      <c r="P405" s="161">
        <v>44756</v>
      </c>
      <c r="Q405" s="161">
        <v>44771</v>
      </c>
      <c r="R405" s="82">
        <f t="shared" si="110"/>
        <v>14.942528735632193</v>
      </c>
      <c r="S405" s="162">
        <f>IF(INDEX([1]Historical!$D$7:$D$1229,MATCH(B405,[1]Historical!$B$7:$B$1253,0))=0,"n/a",(INDEX([1]Historical!$C$7:$C$1231,MATCH(B405,[1]Historical!$B$7:$B$1253,0))/INDEX([1]Historical!$D$7:$D$1229,MATCH(B405,[1]Historical!$B$7:$B$1253,0))-1)*100)</f>
        <v>2.4999999999999911</v>
      </c>
      <c r="T405" s="162">
        <f>IF(INDEX([1]Historical!$F$7:$F$1222,MATCH(B405,[1]Historical!$B$7:$B$1253,0))=0,"n/a",((INDEX([1]Historical!$C$7:$C$1231,MATCH(B405,[1]Historical!$B$7:$B$1253,0))/INDEX([1]Historical!$F$7:$F$1222,MATCH(B405,[1]Historical!$B$7:$B$1253,0)))^(1/3)-1)*100)</f>
        <v>3.5744168651286268</v>
      </c>
      <c r="U405" s="162">
        <f>IF(INDEX([1]Historical!$H$7:$H$1222,MATCH(B405,[1]Historical!$B$7:$B$1253,0))=0,"n/a",((INDEX([1]Historical!$C$7:$C$1231,MATCH(B405,[1]Historical!$B$7:$B$1253,0))/INDEX([1]Historical!$H$7:$H$1222,MATCH(B405,[1]Historical!$B$7:$B$1253,0)))^(1/5)-1)*100)</f>
        <v>4.5639552591273169</v>
      </c>
      <c r="V405" s="162">
        <f>IF(INDEX([1]Historical!$N$7:$N$1222,MATCH(B405,[1]Historical!$B$7:$B$1253,0))=0,"n/a",((INDEX([1]Historical!$C$7:$C$1231,MATCH(B405,[1]Historical!$B$7:$B$1253,0))/INDEX([1]Historical!$N$7:$N$1222,MATCH(B405,[1]Historical!$B$7:$B$1253,0)))^(1/10)-1)*100)</f>
        <v>5.029431202129242</v>
      </c>
      <c r="W405" s="163">
        <f t="shared" si="111"/>
        <v>0.90744958539151255</v>
      </c>
      <c r="X405" s="164">
        <f t="shared" si="112"/>
        <v>0.40034695255502778</v>
      </c>
      <c r="Y405" s="165"/>
      <c r="Z405" s="157">
        <f t="shared" si="113"/>
        <v>92.421441774491669</v>
      </c>
      <c r="AA405" s="166">
        <f t="shared" si="114"/>
        <v>29.103512014787427</v>
      </c>
      <c r="AB405" s="126">
        <v>12</v>
      </c>
      <c r="AC405" s="167">
        <v>5.41</v>
      </c>
      <c r="AD405" s="167">
        <v>4.13</v>
      </c>
      <c r="AE405" s="167">
        <v>9.34</v>
      </c>
      <c r="AF405" s="167">
        <v>3.03</v>
      </c>
      <c r="AG405" s="167">
        <v>10.5</v>
      </c>
      <c r="AH405" s="167">
        <v>110.00000000000001</v>
      </c>
      <c r="AI405" s="167">
        <v>-8.870000000000001</v>
      </c>
      <c r="AJ405" s="167">
        <v>11.4</v>
      </c>
      <c r="AK405" s="167">
        <v>7.0000000000000009</v>
      </c>
      <c r="AL405" s="168">
        <v>18270</v>
      </c>
      <c r="AM405" s="169">
        <v>0.2</v>
      </c>
      <c r="AN405" s="167">
        <v>0.76</v>
      </c>
      <c r="AO405" s="170">
        <f t="shared" si="115"/>
        <v>-21.363945450483861</v>
      </c>
      <c r="AP405" s="171">
        <f t="shared" si="116"/>
        <v>7.7395665643035638</v>
      </c>
      <c r="AQ405" s="172">
        <f t="shared" si="117"/>
        <v>97.971537129070811</v>
      </c>
      <c r="AR405" s="157">
        <f>INDEX([1]Historical!$C$7:$C$1231,MATCH(B405,[1]Historical!$B$7:$B$1253,0))*IF(AH405="n/a",1.03,IF(AH405&lt;0,1.01,IF(AH405&gt;10,1.1,(1+AH405/100))))</f>
        <v>4.51</v>
      </c>
      <c r="AS405" s="166">
        <f t="shared" si="118"/>
        <v>4.5550999999999995</v>
      </c>
      <c r="AT405" s="166">
        <f t="shared" si="119"/>
        <v>4.8739569999999999</v>
      </c>
      <c r="AU405" s="166">
        <f t="shared" si="119"/>
        <v>5.21513399</v>
      </c>
      <c r="AV405" s="166">
        <f t="shared" si="119"/>
        <v>5.5801933693000008</v>
      </c>
      <c r="AW405" s="157">
        <f t="shared" si="120"/>
        <v>24.734384359299998</v>
      </c>
      <c r="AX405" s="173">
        <f t="shared" si="121"/>
        <v>15.709358119593523</v>
      </c>
      <c r="AY405" s="174">
        <v>0.73</v>
      </c>
      <c r="AZ405" s="169">
        <v>11.559999999999999</v>
      </c>
      <c r="BA405" s="169">
        <v>-32.029999999999994</v>
      </c>
      <c r="BB405" s="169">
        <v>-1.58</v>
      </c>
      <c r="BC405" s="169">
        <v>-14.37</v>
      </c>
      <c r="BE405" s="77">
        <v>2011</v>
      </c>
      <c r="BF405" s="77">
        <f t="shared" si="122"/>
        <v>1</v>
      </c>
      <c r="BG405" s="175">
        <v>5.5</v>
      </c>
      <c r="BH405" t="s">
        <v>939</v>
      </c>
      <c r="BI405" t="s">
        <v>945</v>
      </c>
    </row>
    <row r="406" spans="1:64" ht="11.25" customHeight="1" x14ac:dyDescent="0.2">
      <c r="A406" s="112" t="s">
        <v>1500</v>
      </c>
      <c r="B406" s="153" t="s">
        <v>606</v>
      </c>
      <c r="C406" s="154" t="s">
        <v>90</v>
      </c>
      <c r="D406" s="154" t="s">
        <v>972</v>
      </c>
      <c r="E406" s="155">
        <v>12</v>
      </c>
      <c r="F406" s="298">
        <v>386</v>
      </c>
      <c r="G406" s="298" t="s">
        <v>88</v>
      </c>
      <c r="H406" s="298" t="s">
        <v>88</v>
      </c>
      <c r="I406" s="156">
        <v>36.94</v>
      </c>
      <c r="J406" s="157">
        <f t="shared" si="108"/>
        <v>7.1467244179750953</v>
      </c>
      <c r="K406" s="158">
        <v>0.22</v>
      </c>
      <c r="L406" s="126">
        <v>12</v>
      </c>
      <c r="M406" s="82">
        <f t="shared" si="109"/>
        <v>2.64</v>
      </c>
      <c r="N406" s="159" t="s">
        <v>453</v>
      </c>
      <c r="O406" s="160">
        <v>0.215</v>
      </c>
      <c r="P406" s="161">
        <v>44840</v>
      </c>
      <c r="Q406" s="161">
        <v>44848</v>
      </c>
      <c r="R406" s="82">
        <f t="shared" si="110"/>
        <v>2.3255813953488391</v>
      </c>
      <c r="S406" s="162">
        <f>IF(INDEX([1]Historical!$D$7:$D$1229,MATCH(B406,[1]Historical!$B$7:$B$1253,0))=0,"n/a",(INDEX([1]Historical!$C$7:$C$1231,MATCH(B406,[1]Historical!$B$7:$B$1253,0))/INDEX([1]Historical!$D$7:$D$1229,MATCH(B406,[1]Historical!$B$7:$B$1253,0))-1)*100)</f>
        <v>0.60975609756097615</v>
      </c>
      <c r="T406" s="162">
        <f>IF(INDEX([1]Historical!$F$7:$F$1222,MATCH(B406,[1]Historical!$B$7:$B$1253,0))=0,"n/a",((INDEX([1]Historical!$C$7:$C$1231,MATCH(B406,[1]Historical!$B$7:$B$1253,0))/INDEX([1]Historical!$F$7:$F$1222,MATCH(B406,[1]Historical!$B$7:$B$1253,0)))^(1/3)-1)*100)</f>
        <v>2.5488602286219519</v>
      </c>
      <c r="U406" s="162">
        <f>IF(INDEX([1]Historical!$H$7:$H$1222,MATCH(B406,[1]Historical!$B$7:$B$1253,0))=0,"n/a",((INDEX([1]Historical!$C$7:$C$1231,MATCH(B406,[1]Historical!$B$7:$B$1253,0))/INDEX([1]Historical!$H$7:$H$1222,MATCH(B406,[1]Historical!$B$7:$B$1253,0)))^(1/5)-1)*100)</f>
        <v>2.6179154775372693</v>
      </c>
      <c r="V406" s="162">
        <f>IF(INDEX([1]Historical!$N$7:$N$1222,MATCH(B406,[1]Historical!$B$7:$B$1253,0))=0,"n/a",((INDEX([1]Historical!$C$7:$C$1231,MATCH(B406,[1]Historical!$B$7:$B$1253,0))/INDEX([1]Historical!$N$7:$N$1222,MATCH(B406,[1]Historical!$B$7:$B$1253,0)))^(1/10)-1)*100)</f>
        <v>4.7237199154959164</v>
      </c>
      <c r="W406" s="163">
        <f t="shared" si="111"/>
        <v>0.5542063298353771</v>
      </c>
      <c r="X406" s="164">
        <f t="shared" si="112"/>
        <v>0.21112221593042493</v>
      </c>
      <c r="Y406" s="180"/>
      <c r="Z406" s="157">
        <f t="shared" si="113"/>
        <v>71.934604904632167</v>
      </c>
      <c r="AA406" s="166">
        <f t="shared" si="114"/>
        <v>10.065395095367847</v>
      </c>
      <c r="AB406" s="126">
        <v>12</v>
      </c>
      <c r="AC406" s="167">
        <v>3.67</v>
      </c>
      <c r="AD406" s="167">
        <v>1.26</v>
      </c>
      <c r="AE406" s="167">
        <v>8.42</v>
      </c>
      <c r="AF406" s="167">
        <v>1.45</v>
      </c>
      <c r="AG406" s="167">
        <v>14.299999999999999</v>
      </c>
      <c r="AH406" s="167">
        <v>972.60000000000014</v>
      </c>
      <c r="AI406" s="167">
        <v>4.34</v>
      </c>
      <c r="AJ406" s="167">
        <v>12.4</v>
      </c>
      <c r="AK406" s="167">
        <v>8</v>
      </c>
      <c r="AL406" s="168">
        <v>2720</v>
      </c>
      <c r="AM406" s="169">
        <v>4.2</v>
      </c>
      <c r="AN406" s="167">
        <v>1</v>
      </c>
      <c r="AO406" s="170">
        <f t="shared" si="115"/>
        <v>-0.30075519985548382</v>
      </c>
      <c r="AP406" s="171">
        <f t="shared" si="116"/>
        <v>9.7646398955123637</v>
      </c>
      <c r="AQ406" s="172">
        <f t="shared" si="117"/>
        <v>-19.460643469492712</v>
      </c>
      <c r="AR406" s="157">
        <f>INDEX([1]Historical!$C$7:$C$1231,MATCH(B406,[1]Historical!$B$7:$B$1253,0))*IF(AH406="n/a",1.03,IF(AH406&lt;0,1.01,IF(AH406&gt;10,1.1,(1+AH406/100))))</f>
        <v>2.7225000000000001</v>
      </c>
      <c r="AS406" s="166">
        <f t="shared" si="118"/>
        <v>2.8406565000000006</v>
      </c>
      <c r="AT406" s="166">
        <f t="shared" si="119"/>
        <v>3.067909020000001</v>
      </c>
      <c r="AU406" s="166">
        <f t="shared" si="119"/>
        <v>3.3133417416000013</v>
      </c>
      <c r="AV406" s="166">
        <f t="shared" si="119"/>
        <v>3.5784090809280018</v>
      </c>
      <c r="AW406" s="157">
        <f t="shared" si="120"/>
        <v>15.522816342528003</v>
      </c>
      <c r="AX406" s="173">
        <f t="shared" si="121"/>
        <v>42.021700981396869</v>
      </c>
      <c r="AY406" s="174">
        <v>1.32</v>
      </c>
      <c r="AZ406" s="169">
        <v>16.68</v>
      </c>
      <c r="BA406" s="169">
        <v>-20.93</v>
      </c>
      <c r="BB406" s="169">
        <v>-1.41</v>
      </c>
      <c r="BC406" s="169">
        <v>-7.86</v>
      </c>
      <c r="BE406" s="77">
        <v>2011</v>
      </c>
      <c r="BF406" s="77">
        <f t="shared" si="122"/>
        <v>1</v>
      </c>
      <c r="BG406" s="175">
        <v>7.1</v>
      </c>
      <c r="BH406" t="s">
        <v>939</v>
      </c>
      <c r="BI406" t="s">
        <v>940</v>
      </c>
    </row>
    <row r="407" spans="1:64" ht="11.25" customHeight="1" x14ac:dyDescent="0.2">
      <c r="A407" s="176" t="s">
        <v>1501</v>
      </c>
      <c r="B407" s="153" t="s">
        <v>637</v>
      </c>
      <c r="C407" s="154" t="s">
        <v>94</v>
      </c>
      <c r="D407" s="154" t="s">
        <v>1031</v>
      </c>
      <c r="E407" s="155">
        <v>12</v>
      </c>
      <c r="F407" s="298">
        <v>367</v>
      </c>
      <c r="G407" s="298" t="s">
        <v>88</v>
      </c>
      <c r="H407" s="298" t="s">
        <v>88</v>
      </c>
      <c r="I407" s="156">
        <v>78.34</v>
      </c>
      <c r="J407" s="157">
        <f t="shared" si="108"/>
        <v>3.4720449323461833</v>
      </c>
      <c r="K407" s="158">
        <v>1.36</v>
      </c>
      <c r="L407" s="126">
        <v>2</v>
      </c>
      <c r="M407" s="82">
        <f t="shared" si="109"/>
        <v>2.72</v>
      </c>
      <c r="N407" s="159" t="s">
        <v>168</v>
      </c>
      <c r="O407" s="160">
        <v>1.26</v>
      </c>
      <c r="P407" s="161">
        <v>44712</v>
      </c>
      <c r="Q407" s="161">
        <v>44727</v>
      </c>
      <c r="R407" s="82">
        <f t="shared" si="110"/>
        <v>7.936507936507943</v>
      </c>
      <c r="S407" s="162">
        <f>IF(INDEX([1]Historical!$D$7:$D$1229,MATCH(B407,[1]Historical!$B$7:$B$1253,0))=0,"n/a",(INDEX([1]Historical!$C$7:$C$1231,MATCH(B407,[1]Historical!$B$7:$B$1253,0))/INDEX([1]Historical!$D$7:$D$1229,MATCH(B407,[1]Historical!$B$7:$B$1253,0))-1)*100)</f>
        <v>11.504424778761081</v>
      </c>
      <c r="T407" s="162">
        <f>IF(INDEX([1]Historical!$F$7:$F$1222,MATCH(B407,[1]Historical!$B$7:$B$1253,0))=0,"n/a",((INDEX([1]Historical!$C$7:$C$1231,MATCH(B407,[1]Historical!$B$7:$B$1253,0))/INDEX([1]Historical!$F$7:$F$1222,MATCH(B407,[1]Historical!$B$7:$B$1253,0)))^(1/3)-1)*100)</f>
        <v>7.6505840618042553</v>
      </c>
      <c r="U407" s="162">
        <f>IF(INDEX([1]Historical!$H$7:$H$1222,MATCH(B407,[1]Historical!$B$7:$B$1253,0))=0,"n/a",((INDEX([1]Historical!$C$7:$C$1231,MATCH(B407,[1]Historical!$B$7:$B$1253,0))/INDEX([1]Historical!$H$7:$H$1222,MATCH(B407,[1]Historical!$B$7:$B$1253,0)))^(1/5)-1)*100)</f>
        <v>8.7072452803623293</v>
      </c>
      <c r="V407" s="162">
        <f>IF(INDEX([1]Historical!$N$7:$N$1222,MATCH(B407,[1]Historical!$B$7:$B$1253,0))=0,"n/a",((INDEX([1]Historical!$C$7:$C$1231,MATCH(B407,[1]Historical!$B$7:$B$1253,0))/INDEX([1]Historical!$N$7:$N$1222,MATCH(B407,[1]Historical!$B$7:$B$1253,0)))^(1/10)-1)*100)</f>
        <v>12.158206350003109</v>
      </c>
      <c r="W407" s="163">
        <f t="shared" si="111"/>
        <v>0.71616199213135601</v>
      </c>
      <c r="X407" s="164">
        <f t="shared" si="112"/>
        <v>4.3536226401811646</v>
      </c>
      <c r="Y407" s="178"/>
      <c r="Z407" s="157">
        <f t="shared" si="113"/>
        <v>33.538840937114678</v>
      </c>
      <c r="AA407" s="166">
        <f t="shared" si="114"/>
        <v>9.6596794081381017</v>
      </c>
      <c r="AB407" s="126">
        <v>12</v>
      </c>
      <c r="AC407" s="167">
        <v>8.11</v>
      </c>
      <c r="AD407" s="167">
        <v>1.05</v>
      </c>
      <c r="AE407" s="167">
        <v>0.19</v>
      </c>
      <c r="AF407" s="167">
        <v>1.7</v>
      </c>
      <c r="AG407" s="167">
        <v>16.5</v>
      </c>
      <c r="AH407" s="167">
        <v>28.1</v>
      </c>
      <c r="AI407" s="167">
        <v>-11.899999999999999</v>
      </c>
      <c r="AJ407" s="167">
        <v>2</v>
      </c>
      <c r="AK407" s="167">
        <v>9.1999999999999993</v>
      </c>
      <c r="AL407" s="168">
        <v>3930</v>
      </c>
      <c r="AM407" s="169">
        <v>0.86999999999999988</v>
      </c>
      <c r="AN407" s="167">
        <v>0.57999999999999996</v>
      </c>
      <c r="AO407" s="170">
        <f t="shared" si="115"/>
        <v>2.5196108045704104</v>
      </c>
      <c r="AP407" s="171">
        <f t="shared" si="116"/>
        <v>12.179290212708512</v>
      </c>
      <c r="AQ407" s="172">
        <f t="shared" si="117"/>
        <v>-14.569183301900113</v>
      </c>
      <c r="AR407" s="157">
        <f>INDEX([1]Historical!$C$7:$C$1231,MATCH(B407,[1]Historical!$B$7:$B$1253,0))*IF(AH407="n/a",1.03,IF(AH407&lt;0,1.01,IF(AH407&gt;10,1.1,(1+AH407/100))))</f>
        <v>2.7720000000000002</v>
      </c>
      <c r="AS407" s="166">
        <f t="shared" si="118"/>
        <v>2.7997200000000002</v>
      </c>
      <c r="AT407" s="166">
        <f t="shared" ref="AT407:AV422" si="123">IF($AK407="n/a",1.03*AS407,IF($AK407&lt;0,1.01*AS407,IF($AK407&gt;10,1.1*AS407,(1+$AK407/100)*AS407)))</f>
        <v>3.0572942400000005</v>
      </c>
      <c r="AU407" s="166">
        <f t="shared" si="123"/>
        <v>3.3385653100800008</v>
      </c>
      <c r="AV407" s="166">
        <f t="shared" si="123"/>
        <v>3.6457133186073611</v>
      </c>
      <c r="AW407" s="157">
        <f t="shared" si="120"/>
        <v>15.613292868687365</v>
      </c>
      <c r="AX407" s="173">
        <f t="shared" si="121"/>
        <v>19.930167052192193</v>
      </c>
      <c r="AY407" s="174">
        <v>1.68</v>
      </c>
      <c r="AZ407" s="169">
        <v>22.41</v>
      </c>
      <c r="BA407" s="169">
        <v>-32.200000000000003</v>
      </c>
      <c r="BB407" s="169">
        <v>9.0300000000000011</v>
      </c>
      <c r="BC407" s="169">
        <v>-8.82</v>
      </c>
      <c r="BE407" s="77">
        <v>2011</v>
      </c>
      <c r="BF407" s="77">
        <f t="shared" si="122"/>
        <v>1</v>
      </c>
      <c r="BG407" s="175">
        <v>4.3</v>
      </c>
      <c r="BH407" t="s">
        <v>939</v>
      </c>
      <c r="BI407" t="s">
        <v>940</v>
      </c>
    </row>
    <row r="408" spans="1:64" ht="11.25" customHeight="1" x14ac:dyDescent="0.2">
      <c r="A408" s="205" t="s">
        <v>1502</v>
      </c>
      <c r="B408" s="153" t="s">
        <v>1135</v>
      </c>
      <c r="C408" s="154" t="s">
        <v>94</v>
      </c>
      <c r="D408" s="154" t="s">
        <v>760</v>
      </c>
      <c r="E408" s="155">
        <v>9</v>
      </c>
      <c r="F408" s="298">
        <v>525</v>
      </c>
      <c r="G408" s="298" t="s">
        <v>88</v>
      </c>
      <c r="H408" s="298" t="s">
        <v>88</v>
      </c>
      <c r="I408" s="156">
        <v>46.27</v>
      </c>
      <c r="J408" s="157">
        <f t="shared" si="108"/>
        <v>2.4205748865355523</v>
      </c>
      <c r="K408" s="158">
        <v>0.28000000000000003</v>
      </c>
      <c r="L408" s="126">
        <v>4</v>
      </c>
      <c r="M408" s="82">
        <f t="shared" si="109"/>
        <v>1.1200000000000001</v>
      </c>
      <c r="N408" t="s">
        <v>233</v>
      </c>
      <c r="O408" s="160">
        <v>0.23499999999999999</v>
      </c>
      <c r="P408" s="161">
        <v>44616</v>
      </c>
      <c r="Q408" s="161">
        <v>44634</v>
      </c>
      <c r="R408" s="82">
        <f t="shared" si="110"/>
        <v>19.148936170212785</v>
      </c>
      <c r="S408" s="162">
        <f>IF(INDEX([1]Historical!$D$7:$D$1229,MATCH(B408,[1]Historical!$B$7:$B$1253,0))=0,"n/a",(INDEX([1]Historical!$C$7:$C$1231,MATCH(B408,[1]Historical!$B$7:$B$1253,0))/INDEX([1]Historical!$D$7:$D$1229,MATCH(B408,[1]Historical!$B$7:$B$1253,0))-1)*100)</f>
        <v>55.045871559633007</v>
      </c>
      <c r="T408" s="162">
        <f>IF(INDEX([1]Historical!$F$7:$F$1222,MATCH(B408,[1]Historical!$B$7:$B$1253,0))=0,"n/a",((INDEX([1]Historical!$C$7:$C$1231,MATCH(B408,[1]Historical!$B$7:$B$1253,0))/INDEX([1]Historical!$F$7:$F$1222,MATCH(B408,[1]Historical!$B$7:$B$1253,0)))^(1/3)-1)*100)</f>
        <v>24.773536321545219</v>
      </c>
      <c r="U408" s="162">
        <f>IF(INDEX([1]Historical!$H$7:$H$1222,MATCH(B408,[1]Historical!$B$7:$B$1253,0))=0,"n/a",((INDEX([1]Historical!$C$7:$C$1231,MATCH(B408,[1]Historical!$B$7:$B$1253,0))/INDEX([1]Historical!$H$7:$H$1222,MATCH(B408,[1]Historical!$B$7:$B$1253,0)))^(1/5)-1)*100)</f>
        <v>17.025147149180597</v>
      </c>
      <c r="V408" s="162">
        <f>IF(INDEX([1]Historical!$N$7:$N$1222,MATCH(B408,[1]Historical!$B$7:$B$1253,0))=0,"n/a",((INDEX([1]Historical!$C$7:$C$1231,MATCH(B408,[1]Historical!$B$7:$B$1253,0))/INDEX([1]Historical!$N$7:$N$1222,MATCH(B408,[1]Historical!$B$7:$B$1253,0)))^(1/10)-1)*100)</f>
        <v>10.91072531401467</v>
      </c>
      <c r="W408" s="163">
        <f t="shared" si="111"/>
        <v>1.5604047081372345</v>
      </c>
      <c r="X408" s="164">
        <f t="shared" si="112"/>
        <v>8.9606037627266311</v>
      </c>
      <c r="Y408" s="178"/>
      <c r="Z408" s="157">
        <f t="shared" si="113"/>
        <v>30.684931506849317</v>
      </c>
      <c r="AA408" s="166">
        <f t="shared" si="114"/>
        <v>12.676712328767124</v>
      </c>
      <c r="AB408" s="126">
        <v>12</v>
      </c>
      <c r="AC408" s="167">
        <v>3.65</v>
      </c>
      <c r="AD408" s="167">
        <v>2.06</v>
      </c>
      <c r="AE408" s="167">
        <v>1.18</v>
      </c>
      <c r="AF408" s="167" t="s">
        <v>95</v>
      </c>
      <c r="AG408" s="167">
        <v>-180</v>
      </c>
      <c r="AH408" s="167">
        <v>-46.9</v>
      </c>
      <c r="AI408" s="167">
        <v>-1.08</v>
      </c>
      <c r="AJ408" s="167">
        <v>1.9</v>
      </c>
      <c r="AK408" s="167">
        <v>6.2600000000000007</v>
      </c>
      <c r="AL408" s="168">
        <v>10380</v>
      </c>
      <c r="AM408" s="169">
        <v>0.2</v>
      </c>
      <c r="AN408" s="167" t="s">
        <v>95</v>
      </c>
      <c r="AO408" s="170">
        <f t="shared" si="115"/>
        <v>6.7690097069490243</v>
      </c>
      <c r="AP408" s="171">
        <f t="shared" si="116"/>
        <v>19.445722035716148</v>
      </c>
      <c r="AQ408" s="172" t="str">
        <f t="shared" si="117"/>
        <v>n/a</v>
      </c>
      <c r="AR408" s="157">
        <f>INDEX([1]Historical!$C$7:$C$1231,MATCH(B408,[1]Historical!$B$7:$B$1253,0))*IF(AH408="n/a",1.03,IF(AH408&lt;0,1.01,IF(AH408&gt;10,1.1,(1+AH408/100))))</f>
        <v>0.85344999999999993</v>
      </c>
      <c r="AS408" s="166">
        <f t="shared" si="118"/>
        <v>0.86198449999999993</v>
      </c>
      <c r="AT408" s="166">
        <f t="shared" si="123"/>
        <v>0.91594472969999996</v>
      </c>
      <c r="AU408" s="166">
        <f t="shared" si="123"/>
        <v>0.97328286977921996</v>
      </c>
      <c r="AV408" s="166">
        <f t="shared" si="123"/>
        <v>1.0342103774273992</v>
      </c>
      <c r="AW408" s="157">
        <f t="shared" si="120"/>
        <v>4.6388724769066192</v>
      </c>
      <c r="AX408" s="173">
        <f t="shared" si="121"/>
        <v>10.025659124501013</v>
      </c>
      <c r="AY408" s="174">
        <v>1.18</v>
      </c>
      <c r="AZ408" s="169">
        <v>9.31</v>
      </c>
      <c r="BA408" s="169">
        <v>-34.880000000000003</v>
      </c>
      <c r="BB408" s="169">
        <v>-5.71</v>
      </c>
      <c r="BC408" s="169">
        <v>-13.569999999999999</v>
      </c>
      <c r="BE408" s="77">
        <v>2014</v>
      </c>
      <c r="BF408" s="77">
        <f t="shared" si="122"/>
        <v>1</v>
      </c>
      <c r="BG408" s="175">
        <v>15.6</v>
      </c>
      <c r="BH408" t="s">
        <v>939</v>
      </c>
      <c r="BI408" t="s">
        <v>940</v>
      </c>
      <c r="BJ408" s="112"/>
      <c r="BK408" s="112"/>
      <c r="BL408" s="112"/>
    </row>
    <row r="409" spans="1:64" s="252" customFormat="1" ht="11.25" customHeight="1" x14ac:dyDescent="0.2">
      <c r="A409" s="208" t="s">
        <v>1503</v>
      </c>
      <c r="B409" s="184" t="s">
        <v>370</v>
      </c>
      <c r="C409" s="154" t="s">
        <v>94</v>
      </c>
      <c r="D409" s="154" t="s">
        <v>943</v>
      </c>
      <c r="E409" s="185">
        <v>27</v>
      </c>
      <c r="F409" s="298">
        <v>126</v>
      </c>
      <c r="G409" s="297" t="s">
        <v>88</v>
      </c>
      <c r="H409" s="297" t="s">
        <v>88</v>
      </c>
      <c r="I409" s="195">
        <v>26.88</v>
      </c>
      <c r="J409" s="187">
        <f t="shared" si="108"/>
        <v>3.2738095238095242</v>
      </c>
      <c r="K409" s="231">
        <v>0.22</v>
      </c>
      <c r="L409" s="189">
        <v>4</v>
      </c>
      <c r="M409" s="190">
        <f t="shared" si="109"/>
        <v>0.88</v>
      </c>
      <c r="N409" s="191" t="s">
        <v>140</v>
      </c>
      <c r="O409" s="232">
        <v>0.215</v>
      </c>
      <c r="P409" s="247">
        <v>44526</v>
      </c>
      <c r="Q409" s="247">
        <v>44543</v>
      </c>
      <c r="R409" s="190">
        <f t="shared" si="110"/>
        <v>2.3255813953488391</v>
      </c>
      <c r="S409" s="162">
        <f>IF(INDEX([1]Historical!$D$7:$D$1229,MATCH(B409,[1]Historical!$B$7:$B$1253,0))=0,"n/a",(INDEX([1]Historical!$C$7:$C$1231,MATCH(B409,[1]Historical!$B$7:$B$1253,0))/INDEX([1]Historical!$D$7:$D$1229,MATCH(B409,[1]Historical!$B$7:$B$1253,0))-1)*100)</f>
        <v>2.3668639053254559</v>
      </c>
      <c r="T409" s="162">
        <f>IF(INDEX([1]Historical!$F$7:$F$1222,MATCH(B409,[1]Historical!$B$7:$B$1253,0))=0,"n/a",((INDEX([1]Historical!$C$7:$C$1231,MATCH(B409,[1]Historical!$B$7:$B$1253,0))/INDEX([1]Historical!$F$7:$F$1222,MATCH(B409,[1]Historical!$B$7:$B$1253,0)))^(1/3)-1)*100)</f>
        <v>3.9541410047541969</v>
      </c>
      <c r="U409" s="162">
        <f>IF(INDEX([1]Historical!$H$7:$H$1222,MATCH(B409,[1]Historical!$B$7:$B$1253,0))=0,"n/a",((INDEX([1]Historical!$C$7:$C$1231,MATCH(B409,[1]Historical!$B$7:$B$1253,0))/INDEX([1]Historical!$H$7:$H$1222,MATCH(B409,[1]Historical!$B$7:$B$1253,0)))^(1/5)-1)*100)</f>
        <v>6.8869989429909628</v>
      </c>
      <c r="V409" s="162">
        <f>IF(INDEX([1]Historical!$N$7:$N$1222,MATCH(B409,[1]Historical!$B$7:$B$1253,0))=0,"n/a",((INDEX([1]Historical!$C$7:$C$1231,MATCH(B409,[1]Historical!$B$7:$B$1253,0))/INDEX([1]Historical!$N$7:$N$1222,MATCH(B409,[1]Historical!$B$7:$B$1253,0)))^(1/10)-1)*100)</f>
        <v>10.115946663205699</v>
      </c>
      <c r="W409" s="163">
        <f t="shared" si="111"/>
        <v>0.68080617388392817</v>
      </c>
      <c r="X409" s="164" t="str">
        <f t="shared" si="112"/>
        <v>n/a</v>
      </c>
      <c r="Y409" s="184"/>
      <c r="Z409" s="187" t="str">
        <f t="shared" si="113"/>
        <v>n/a</v>
      </c>
      <c r="AA409" s="194" t="str">
        <f t="shared" si="114"/>
        <v>n/a</v>
      </c>
      <c r="AB409" s="189">
        <v>9</v>
      </c>
      <c r="AC409" s="195">
        <v>-0.71</v>
      </c>
      <c r="AD409" s="195" t="s">
        <v>95</v>
      </c>
      <c r="AE409" s="195">
        <v>0.46</v>
      </c>
      <c r="AF409" s="195">
        <v>1.44</v>
      </c>
      <c r="AG409" s="195">
        <v>-3.5999999999999996</v>
      </c>
      <c r="AH409" s="195">
        <v>103.3</v>
      </c>
      <c r="AI409" s="195">
        <v>11.57</v>
      </c>
      <c r="AJ409" s="195">
        <v>-46.300000000000004</v>
      </c>
      <c r="AK409" s="195">
        <v>-10</v>
      </c>
      <c r="AL409" s="196">
        <v>804.26</v>
      </c>
      <c r="AM409" s="197">
        <v>9.31</v>
      </c>
      <c r="AN409" s="195">
        <v>1.31</v>
      </c>
      <c r="AO409" s="198" t="str">
        <f t="shared" si="115"/>
        <v>n/a</v>
      </c>
      <c r="AP409" s="199">
        <f t="shared" si="116"/>
        <v>10.160808466800487</v>
      </c>
      <c r="AQ409" s="172" t="str">
        <f t="shared" si="117"/>
        <v>n/a</v>
      </c>
      <c r="AR409" s="157">
        <f>INDEX([1]Historical!$C$7:$C$1231,MATCH(B409,[1]Historical!$B$7:$B$1253,0))*IF(AH409="n/a",1.03,IF(AH409&lt;0,1.01,IF(AH409&gt;10,1.1,(1+AH409/100))))</f>
        <v>0.95150000000000001</v>
      </c>
      <c r="AS409" s="194">
        <f t="shared" si="118"/>
        <v>1.0466500000000001</v>
      </c>
      <c r="AT409" s="194">
        <f t="shared" si="123"/>
        <v>1.0571165</v>
      </c>
      <c r="AU409" s="194">
        <f t="shared" si="123"/>
        <v>1.067687665</v>
      </c>
      <c r="AV409" s="194">
        <f t="shared" si="123"/>
        <v>1.0783645416500001</v>
      </c>
      <c r="AW409" s="187">
        <f t="shared" si="120"/>
        <v>5.2013187066500004</v>
      </c>
      <c r="AX409" s="200">
        <f t="shared" si="121"/>
        <v>19.350143997953872</v>
      </c>
      <c r="AY409" s="201">
        <v>1.06</v>
      </c>
      <c r="AZ409" s="197">
        <v>21.52</v>
      </c>
      <c r="BA409" s="197">
        <v>-32.39</v>
      </c>
      <c r="BB409" s="197">
        <v>9.35</v>
      </c>
      <c r="BC409" s="197">
        <v>-8.5400000000000009</v>
      </c>
      <c r="BD409" s="202"/>
      <c r="BE409" s="77">
        <v>1996</v>
      </c>
      <c r="BF409" s="77">
        <f t="shared" si="122"/>
        <v>3</v>
      </c>
      <c r="BG409" s="203">
        <v>-1.0999999999999999</v>
      </c>
      <c r="BH409" t="s">
        <v>939</v>
      </c>
      <c r="BI409" t="s">
        <v>940</v>
      </c>
    </row>
    <row r="410" spans="1:64" ht="11.25" customHeight="1" x14ac:dyDescent="0.2">
      <c r="A410" s="238" t="s">
        <v>1504</v>
      </c>
      <c r="B410" s="153" t="s">
        <v>914</v>
      </c>
      <c r="C410" s="154" t="s">
        <v>94</v>
      </c>
      <c r="D410" s="154" t="s">
        <v>1136</v>
      </c>
      <c r="E410" s="155">
        <v>11</v>
      </c>
      <c r="F410" s="298">
        <v>430</v>
      </c>
      <c r="G410" s="298" t="s">
        <v>88</v>
      </c>
      <c r="H410" s="298" t="s">
        <v>88</v>
      </c>
      <c r="I410" s="116">
        <v>73.58</v>
      </c>
      <c r="J410" s="157">
        <f t="shared" si="108"/>
        <v>1.6852405544985052</v>
      </c>
      <c r="K410" s="112">
        <v>0.31</v>
      </c>
      <c r="L410" s="298">
        <v>4</v>
      </c>
      <c r="M410" s="82">
        <f t="shared" si="109"/>
        <v>1.24</v>
      </c>
      <c r="N410" s="298" t="s">
        <v>915</v>
      </c>
      <c r="O410" s="239">
        <v>0.3</v>
      </c>
      <c r="P410" s="161">
        <v>44776</v>
      </c>
      <c r="Q410" s="161">
        <v>44805</v>
      </c>
      <c r="R410" s="82">
        <f t="shared" si="110"/>
        <v>3.3333333333333366</v>
      </c>
      <c r="S410" s="162">
        <f>IF(INDEX([1]Historical!$D$7:$D$1229,MATCH(B410,[1]Historical!$B$7:$B$1253,0))=0,"n/a",(INDEX([1]Historical!$C$7:$C$1231,MATCH(B410,[1]Historical!$B$7:$B$1253,0))/INDEX([1]Historical!$D$7:$D$1229,MATCH(B410,[1]Historical!$B$7:$B$1253,0))-1)*100)</f>
        <v>17.777777777777782</v>
      </c>
      <c r="T410" s="162">
        <f>IF(INDEX([1]Historical!$F$7:$F$1222,MATCH(B410,[1]Historical!$B$7:$B$1253,0))=0,"n/a",((INDEX([1]Historical!$C$7:$C$1231,MATCH(B410,[1]Historical!$B$7:$B$1253,0))/INDEX([1]Historical!$F$7:$F$1222,MATCH(B410,[1]Historical!$B$7:$B$1253,0)))^(1/3)-1)*100)</f>
        <v>8.9341387842532871</v>
      </c>
      <c r="U410" s="162">
        <f>IF(INDEX([1]Historical!$H$7:$H$1222,MATCH(B410,[1]Historical!$B$7:$B$1253,0))=0,"n/a",((INDEX([1]Historical!$C$7:$C$1231,MATCH(B410,[1]Historical!$B$7:$B$1253,0))/INDEX([1]Historical!$H$7:$H$1222,MATCH(B410,[1]Historical!$B$7:$B$1253,0)))^(1/5)-1)*100)</f>
        <v>7.4520805832128945</v>
      </c>
      <c r="V410" s="162" t="str">
        <f>IF(INDEX([1]Historical!$N$7:$N$1222,MATCH(B410,[1]Historical!$B$7:$B$1253,0))=0,"n/a",((INDEX([1]Historical!$C$7:$C$1231,MATCH(B410,[1]Historical!$B$7:$B$1253,0))/INDEX([1]Historical!$N$7:$N$1222,MATCH(B410,[1]Historical!$B$7:$B$1253,0)))^(1/10)-1)*100)</f>
        <v>n/a</v>
      </c>
      <c r="W410" s="163" t="str">
        <f t="shared" si="111"/>
        <v>n/a</v>
      </c>
      <c r="X410" s="164">
        <f t="shared" si="112"/>
        <v>0.11772639151995094</v>
      </c>
      <c r="Y410" s="240"/>
      <c r="Z410" s="157">
        <f t="shared" si="113"/>
        <v>3.6784336991990503</v>
      </c>
      <c r="AA410" s="166">
        <f t="shared" si="114"/>
        <v>2.1827350934440819</v>
      </c>
      <c r="AB410" s="126">
        <v>12</v>
      </c>
      <c r="AC410" s="175">
        <v>33.71</v>
      </c>
      <c r="AD410" s="175">
        <v>0.14000000000000001</v>
      </c>
      <c r="AE410" s="167">
        <v>0.59</v>
      </c>
      <c r="AF410" s="167">
        <v>1.36</v>
      </c>
      <c r="AG410" s="167">
        <v>79.2</v>
      </c>
      <c r="AH410" s="167">
        <v>383.59999999999997</v>
      </c>
      <c r="AI410" s="167">
        <v>-71.760000000000005</v>
      </c>
      <c r="AJ410" s="241">
        <v>63.3</v>
      </c>
      <c r="AK410" s="241">
        <v>15</v>
      </c>
      <c r="AL410" s="175">
        <v>2830</v>
      </c>
      <c r="AM410" s="175">
        <v>1.3</v>
      </c>
      <c r="AN410" s="175">
        <v>0.27</v>
      </c>
      <c r="AO410" s="170">
        <f t="shared" si="115"/>
        <v>6.9545860442673177</v>
      </c>
      <c r="AP410" s="171">
        <f t="shared" si="116"/>
        <v>9.1373211377113996</v>
      </c>
      <c r="AQ410" s="172">
        <f t="shared" si="117"/>
        <v>-63.677250917280489</v>
      </c>
      <c r="AR410" s="157">
        <f>INDEX([1]Historical!$C$7:$C$1231,MATCH(B410,[1]Historical!$B$7:$B$1253,0))*IF(AH410="n/a",1.03,IF(AH410&lt;0,1.01,IF(AH410&gt;10,1.1,(1+AH410/100))))</f>
        <v>1.1660000000000001</v>
      </c>
      <c r="AS410" s="166">
        <f t="shared" si="118"/>
        <v>1.1776600000000002</v>
      </c>
      <c r="AT410" s="166">
        <f t="shared" si="123"/>
        <v>1.2954260000000002</v>
      </c>
      <c r="AU410" s="166">
        <f t="shared" si="123"/>
        <v>1.4249686000000004</v>
      </c>
      <c r="AV410" s="166">
        <f t="shared" si="123"/>
        <v>1.5674654600000004</v>
      </c>
      <c r="AW410" s="157">
        <f t="shared" si="120"/>
        <v>6.6315200600000015</v>
      </c>
      <c r="AX410" s="173">
        <f t="shared" si="121"/>
        <v>9.0126665670019044</v>
      </c>
      <c r="AY410" s="225">
        <v>1.32</v>
      </c>
      <c r="AZ410" s="167">
        <v>21.92</v>
      </c>
      <c r="BA410" s="167">
        <v>-41.3</v>
      </c>
      <c r="BB410" s="167">
        <v>4.29</v>
      </c>
      <c r="BC410" s="167">
        <v>-14.27</v>
      </c>
      <c r="BE410" s="77">
        <v>2012</v>
      </c>
      <c r="BF410" s="77">
        <f t="shared" si="122"/>
        <v>1</v>
      </c>
      <c r="BG410" s="175">
        <v>37.1</v>
      </c>
      <c r="BH410" t="s">
        <v>939</v>
      </c>
      <c r="BI410" t="s">
        <v>940</v>
      </c>
    </row>
    <row r="411" spans="1:64" ht="11.25" customHeight="1" x14ac:dyDescent="0.2">
      <c r="A411" s="205" t="s">
        <v>1804</v>
      </c>
      <c r="B411" s="153" t="s">
        <v>1805</v>
      </c>
      <c r="C411" s="154" t="s">
        <v>90</v>
      </c>
      <c r="D411" s="154" t="s">
        <v>959</v>
      </c>
      <c r="E411" s="155">
        <v>5</v>
      </c>
      <c r="F411" s="298">
        <v>702</v>
      </c>
      <c r="G411" s="298" t="s">
        <v>88</v>
      </c>
      <c r="H411" s="298" t="s">
        <v>88</v>
      </c>
      <c r="I411" s="156">
        <v>23.95</v>
      </c>
      <c r="J411" s="157">
        <f t="shared" si="108"/>
        <v>1.1691022964509397</v>
      </c>
      <c r="K411" s="158">
        <v>7.0000000000000007E-2</v>
      </c>
      <c r="L411" s="126">
        <v>4</v>
      </c>
      <c r="M411" s="82">
        <f t="shared" si="109"/>
        <v>0.28000000000000003</v>
      </c>
      <c r="N411" s="159" t="s">
        <v>988</v>
      </c>
      <c r="O411" s="160">
        <v>0.06</v>
      </c>
      <c r="P411" s="161">
        <v>44634</v>
      </c>
      <c r="Q411" s="161">
        <v>44652</v>
      </c>
      <c r="R411" s="82">
        <f t="shared" si="110"/>
        <v>16.666666666666682</v>
      </c>
      <c r="S411" s="162">
        <f>IF(INDEX([1]Historical!$D$7:$D$1229,MATCH(B411,[1]Historical!$B$7:$B$1253,0))=0,"n/a",(INDEX([1]Historical!$C$7:$C$1231,MATCH(B411,[1]Historical!$B$7:$B$1253,0))/INDEX([1]Historical!$D$7:$D$1229,MATCH(B411,[1]Historical!$B$7:$B$1253,0))-1)*100)</f>
        <v>12.903225806451623</v>
      </c>
      <c r="T411" s="162">
        <f>IF(INDEX([1]Historical!$F$7:$F$1222,MATCH(B411,[1]Historical!$B$7:$B$1253,0))=0,"n/a",((INDEX([1]Historical!$C$7:$C$1231,MATCH(B411,[1]Historical!$B$7:$B$1253,0))/INDEX([1]Historical!$F$7:$F$1222,MATCH(B411,[1]Historical!$B$7:$B$1253,0)))^(1/3)-1)*100)</f>
        <v>15.021776101472994</v>
      </c>
      <c r="U411" s="162" t="str">
        <f>IF(INDEX([1]Historical!$H$7:$H$1222,MATCH(B411,[1]Historical!$B$7:$B$1253,0))=0,"n/a",((INDEX([1]Historical!$C$7:$C$1231,MATCH(B411,[1]Historical!$B$7:$B$1253,0))/INDEX([1]Historical!$H$7:$H$1222,MATCH(B411,[1]Historical!$B$7:$B$1253,0)))^(1/5)-1)*100)</f>
        <v>n/a</v>
      </c>
      <c r="V411" s="162" t="str">
        <f>IF(INDEX([1]Historical!$N$7:$N$1222,MATCH(B411,[1]Historical!$B$7:$B$1253,0))=0,"n/a",((INDEX([1]Historical!$C$7:$C$1231,MATCH(B411,[1]Historical!$B$7:$B$1253,0))/INDEX([1]Historical!$N$7:$N$1222,MATCH(B411,[1]Historical!$B$7:$B$1253,0)))^(1/10)-1)*100)</f>
        <v>n/a</v>
      </c>
      <c r="W411" s="163" t="str">
        <f t="shared" si="111"/>
        <v>n/a</v>
      </c>
      <c r="X411" s="164" t="str">
        <f t="shared" si="112"/>
        <v>n/a</v>
      </c>
      <c r="Y411" s="180"/>
      <c r="Z411" s="157">
        <f t="shared" si="113"/>
        <v>5.4794520547945211</v>
      </c>
      <c r="AA411" s="166">
        <f t="shared" si="114"/>
        <v>4.6868884540117408</v>
      </c>
      <c r="AB411" s="126">
        <v>12</v>
      </c>
      <c r="AC411" s="167">
        <v>5.1100000000000003</v>
      </c>
      <c r="AD411" s="167" t="s">
        <v>95</v>
      </c>
      <c r="AE411" s="167">
        <v>3.24</v>
      </c>
      <c r="AF411" s="167">
        <v>1.21</v>
      </c>
      <c r="AG411" s="167">
        <v>23.799999999999997</v>
      </c>
      <c r="AH411" s="167">
        <v>-17.5</v>
      </c>
      <c r="AI411" s="167">
        <v>-0.77</v>
      </c>
      <c r="AJ411" s="167">
        <v>32.800000000000004</v>
      </c>
      <c r="AK411" s="167" t="s">
        <v>95</v>
      </c>
      <c r="AL411" s="168">
        <v>1050</v>
      </c>
      <c r="AM411" s="169">
        <v>7.0000000000000009</v>
      </c>
      <c r="AN411" s="167">
        <v>0.66</v>
      </c>
      <c r="AO411" s="170" t="str">
        <f t="shared" si="115"/>
        <v>n/a</v>
      </c>
      <c r="AP411" s="171" t="str">
        <f t="shared" si="116"/>
        <v>n/a</v>
      </c>
      <c r="AQ411" s="172">
        <f t="shared" si="117"/>
        <v>-49.795374142507967</v>
      </c>
      <c r="AR411" s="157">
        <f>INDEX([1]Historical!$C$7:$C$1231,MATCH(B411,[1]Historical!$B$7:$B$1253,0))*IF(AH411="n/a",1.03,IF(AH411&lt;0,1.01,IF(AH411&gt;10,1.1,(1+AH411/100))))</f>
        <v>0.23566666666666666</v>
      </c>
      <c r="AS411" s="166">
        <f t="shared" si="118"/>
        <v>0.23802333333333334</v>
      </c>
      <c r="AT411" s="166">
        <f t="shared" si="123"/>
        <v>0.24516403333333334</v>
      </c>
      <c r="AU411" s="166">
        <f t="shared" si="123"/>
        <v>0.25251895433333332</v>
      </c>
      <c r="AV411" s="166">
        <f t="shared" si="123"/>
        <v>0.26009452296333335</v>
      </c>
      <c r="AW411" s="157">
        <f t="shared" si="120"/>
        <v>1.2314675106299999</v>
      </c>
      <c r="AX411" s="173">
        <f t="shared" si="121"/>
        <v>5.1418267667223381</v>
      </c>
      <c r="AY411" s="174">
        <v>1.1200000000000001</v>
      </c>
      <c r="AZ411" s="169">
        <v>11.29</v>
      </c>
      <c r="BA411" s="169">
        <v>-28.660000000000004</v>
      </c>
      <c r="BB411" s="169">
        <v>-4.5600000000000005</v>
      </c>
      <c r="BC411" s="169">
        <v>-8.18</v>
      </c>
      <c r="BE411" s="77">
        <v>2018</v>
      </c>
      <c r="BF411" s="77">
        <f t="shared" si="122"/>
        <v>1</v>
      </c>
      <c r="BG411" s="175">
        <v>1.7999999999999998</v>
      </c>
      <c r="BH411" t="s">
        <v>939</v>
      </c>
      <c r="BI411" t="s">
        <v>940</v>
      </c>
      <c r="BJ411" s="112"/>
      <c r="BK411" s="112"/>
      <c r="BL411" s="112"/>
    </row>
    <row r="412" spans="1:64" ht="11.25" customHeight="1" x14ac:dyDescent="0.2">
      <c r="A412" s="176" t="s">
        <v>1505</v>
      </c>
      <c r="B412" s="153" t="s">
        <v>698</v>
      </c>
      <c r="C412" s="154" t="s">
        <v>90</v>
      </c>
      <c r="D412" s="154" t="s">
        <v>969</v>
      </c>
      <c r="E412" s="155">
        <v>11</v>
      </c>
      <c r="F412" s="298">
        <v>437</v>
      </c>
      <c r="G412" s="298" t="s">
        <v>30</v>
      </c>
      <c r="H412" s="298" t="s">
        <v>30</v>
      </c>
      <c r="I412" s="156">
        <v>34.950000000000003</v>
      </c>
      <c r="J412" s="157">
        <f t="shared" si="108"/>
        <v>3.662374821173104</v>
      </c>
      <c r="K412" s="158">
        <v>0.32</v>
      </c>
      <c r="L412" s="126">
        <v>4</v>
      </c>
      <c r="M412" s="82">
        <f t="shared" si="109"/>
        <v>1.28</v>
      </c>
      <c r="N412" s="159" t="s">
        <v>668</v>
      </c>
      <c r="O412" s="160">
        <v>0.31</v>
      </c>
      <c r="P412" s="161">
        <v>44805</v>
      </c>
      <c r="Q412" s="161">
        <v>44818</v>
      </c>
      <c r="R412" s="82">
        <f t="shared" si="110"/>
        <v>3.2258064516129057</v>
      </c>
      <c r="S412" s="162">
        <f>IF(INDEX([1]Historical!$D$7:$D$1229,MATCH(B412,[1]Historical!$B$7:$B$1253,0))=0,"n/a",(INDEX([1]Historical!$C$7:$C$1231,MATCH(B412,[1]Historical!$B$7:$B$1253,0))/INDEX([1]Historical!$D$7:$D$1229,MATCH(B412,[1]Historical!$B$7:$B$1253,0))-1)*100)</f>
        <v>5.3571428571428381</v>
      </c>
      <c r="T412" s="162">
        <f>IF(INDEX([1]Historical!$F$7:$F$1222,MATCH(B412,[1]Historical!$B$7:$B$1253,0))=0,"n/a",((INDEX([1]Historical!$C$7:$C$1231,MATCH(B412,[1]Historical!$B$7:$B$1253,0))/INDEX([1]Historical!$F$7:$F$1222,MATCH(B412,[1]Historical!$B$7:$B$1253,0)))^(1/3)-1)*100)</f>
        <v>8.2595837472417166</v>
      </c>
      <c r="U412" s="162">
        <f>IF(INDEX([1]Historical!$H$7:$H$1222,MATCH(B412,[1]Historical!$B$7:$B$1253,0))=0,"n/a",((INDEX([1]Historical!$C$7:$C$1231,MATCH(B412,[1]Historical!$B$7:$B$1253,0))/INDEX([1]Historical!$H$7:$H$1222,MATCH(B412,[1]Historical!$B$7:$B$1253,0)))^(1/5)-1)*100)</f>
        <v>12.322720670278752</v>
      </c>
      <c r="V412" s="162" t="str">
        <f>IF(INDEX([1]Historical!$N$7:$N$1222,MATCH(B412,[1]Historical!$B$7:$B$1253,0))=0,"n/a",((INDEX([1]Historical!$C$7:$C$1231,MATCH(B412,[1]Historical!$B$7:$B$1253,0))/INDEX([1]Historical!$N$7:$N$1222,MATCH(B412,[1]Historical!$B$7:$B$1253,0)))^(1/10)-1)*100)</f>
        <v>n/a</v>
      </c>
      <c r="W412" s="163" t="str">
        <f t="shared" si="111"/>
        <v>n/a</v>
      </c>
      <c r="X412" s="164">
        <f t="shared" si="112"/>
        <v>0.91279412372435198</v>
      </c>
      <c r="Y412" s="178"/>
      <c r="Z412" s="157">
        <f t="shared" si="113"/>
        <v>39.751552795031053</v>
      </c>
      <c r="AA412" s="166">
        <f t="shared" si="114"/>
        <v>10.854037267080745</v>
      </c>
      <c r="AB412" s="126">
        <v>12</v>
      </c>
      <c r="AC412" s="167">
        <v>3.22</v>
      </c>
      <c r="AD412" s="167">
        <v>1.34</v>
      </c>
      <c r="AE412" s="167">
        <v>3.32</v>
      </c>
      <c r="AF412" s="167">
        <v>1.28</v>
      </c>
      <c r="AG412" s="167">
        <v>12.7</v>
      </c>
      <c r="AH412" s="167">
        <v>36.1</v>
      </c>
      <c r="AI412" s="167">
        <v>23.59</v>
      </c>
      <c r="AJ412" s="167">
        <v>13.5</v>
      </c>
      <c r="AK412" s="167">
        <v>8</v>
      </c>
      <c r="AL412" s="168">
        <v>532.65</v>
      </c>
      <c r="AM412" s="169">
        <v>0.70000000000000007</v>
      </c>
      <c r="AN412" s="167">
        <v>0.32</v>
      </c>
      <c r="AO412" s="170">
        <f t="shared" si="115"/>
        <v>5.1310582243711114</v>
      </c>
      <c r="AP412" s="171">
        <f t="shared" si="116"/>
        <v>15.985095491451856</v>
      </c>
      <c r="AQ412" s="172">
        <f t="shared" si="117"/>
        <v>-21.420478489442562</v>
      </c>
      <c r="AR412" s="157">
        <f>INDEX([1]Historical!$C$7:$C$1231,MATCH(B412,[1]Historical!$B$7:$B$1253,0))*IF(AH412="n/a",1.03,IF(AH412&lt;0,1.01,IF(AH412&gt;10,1.1,(1+AH412/100))))</f>
        <v>1.298</v>
      </c>
      <c r="AS412" s="166">
        <f t="shared" si="118"/>
        <v>1.4278000000000002</v>
      </c>
      <c r="AT412" s="166">
        <f t="shared" si="123"/>
        <v>1.5420240000000003</v>
      </c>
      <c r="AU412" s="166">
        <f t="shared" si="123"/>
        <v>1.6653859200000005</v>
      </c>
      <c r="AV412" s="166">
        <f t="shared" si="123"/>
        <v>1.7986167936000006</v>
      </c>
      <c r="AW412" s="157">
        <f t="shared" si="120"/>
        <v>7.7318267136000021</v>
      </c>
      <c r="AX412" s="173">
        <f t="shared" si="121"/>
        <v>22.122537091845498</v>
      </c>
      <c r="AY412" s="174">
        <v>1.01</v>
      </c>
      <c r="AZ412" s="169">
        <v>19.45</v>
      </c>
      <c r="BA412" s="169">
        <v>-12.65</v>
      </c>
      <c r="BB412" s="169">
        <v>7.79</v>
      </c>
      <c r="BC412" s="169">
        <v>2.69</v>
      </c>
      <c r="BE412" s="77">
        <v>2012</v>
      </c>
      <c r="BF412" s="77">
        <f t="shared" si="122"/>
        <v>1</v>
      </c>
      <c r="BG412" s="175">
        <v>1.0999999999999999</v>
      </c>
      <c r="BH412" t="s">
        <v>939</v>
      </c>
      <c r="BI412" t="s">
        <v>940</v>
      </c>
    </row>
    <row r="413" spans="1:64" ht="11.25" customHeight="1" x14ac:dyDescent="0.2">
      <c r="A413" s="112" t="s">
        <v>1506</v>
      </c>
      <c r="B413" s="153" t="s">
        <v>372</v>
      </c>
      <c r="C413" s="154" t="s">
        <v>100</v>
      </c>
      <c r="D413" s="154" t="s">
        <v>991</v>
      </c>
      <c r="E413" s="155">
        <v>47</v>
      </c>
      <c r="F413" s="298">
        <v>57</v>
      </c>
      <c r="G413" s="298" t="s">
        <v>30</v>
      </c>
      <c r="H413" s="298" t="s">
        <v>104</v>
      </c>
      <c r="I413" s="167">
        <v>272.66000000000003</v>
      </c>
      <c r="J413" s="157">
        <f t="shared" si="108"/>
        <v>2.2298833712315704</v>
      </c>
      <c r="K413" s="158">
        <v>1.52</v>
      </c>
      <c r="L413" s="126">
        <v>4</v>
      </c>
      <c r="M413" s="82">
        <f t="shared" si="109"/>
        <v>6.08</v>
      </c>
      <c r="N413" s="159" t="s">
        <v>167</v>
      </c>
      <c r="O413" s="160">
        <v>1.38</v>
      </c>
      <c r="P413" s="161">
        <v>44895</v>
      </c>
      <c r="Q413" s="161">
        <v>44910</v>
      </c>
      <c r="R413" s="82">
        <f t="shared" si="110"/>
        <v>10.144927536231894</v>
      </c>
      <c r="S413" s="162">
        <f>IF(INDEX([1]Historical!$D$7:$D$1229,MATCH(B413,[1]Historical!$B$7:$B$1253,0))=0,"n/a",(INDEX([1]Historical!$C$7:$C$1231,MATCH(B413,[1]Historical!$B$7:$B$1253,0))/INDEX([1]Historical!$D$7:$D$1229,MATCH(B413,[1]Historical!$B$7:$B$1253,0))-1)*100)</f>
        <v>4.1666666666666741</v>
      </c>
      <c r="T413" s="162">
        <f>IF(INDEX([1]Historical!$F$7:$F$1222,MATCH(B413,[1]Historical!$B$7:$B$1253,0))=0,"n/a",((INDEX([1]Historical!$C$7:$C$1231,MATCH(B413,[1]Historical!$B$7:$B$1253,0))/INDEX([1]Historical!$F$7:$F$1222,MATCH(B413,[1]Historical!$B$7:$B$1253,0)))^(1/3)-1)*100)</f>
        <v>7.8073638973510828</v>
      </c>
      <c r="U413" s="162">
        <f>IF(INDEX([1]Historical!$H$7:$H$1222,MATCH(B413,[1]Historical!$B$7:$B$1253,0))=0,"n/a",((INDEX([1]Historical!$C$7:$C$1231,MATCH(B413,[1]Historical!$B$7:$B$1253,0))/INDEX([1]Historical!$H$7:$H$1222,MATCH(B413,[1]Historical!$B$7:$B$1253,0)))^(1/5)-1)*100)</f>
        <v>7.7780744557718773</v>
      </c>
      <c r="V413" s="162">
        <f>IF(INDEX([1]Historical!$N$7:$N$1222,MATCH(B413,[1]Historical!$B$7:$B$1253,0))=0,"n/a",((INDEX([1]Historical!$C$7:$C$1231,MATCH(B413,[1]Historical!$B$7:$B$1253,0))/INDEX([1]Historical!$N$7:$N$1222,MATCH(B413,[1]Historical!$B$7:$B$1253,0)))^(1/10)-1)*100)</f>
        <v>7.5731480746471735</v>
      </c>
      <c r="W413" s="163">
        <f t="shared" si="111"/>
        <v>1.0270596031009536</v>
      </c>
      <c r="X413" s="164">
        <f t="shared" si="112"/>
        <v>0.59831341967475982</v>
      </c>
      <c r="Y413" s="324"/>
      <c r="Z413" s="157">
        <f t="shared" si="113"/>
        <v>76.57430730478589</v>
      </c>
      <c r="AA413" s="166">
        <f t="shared" si="114"/>
        <v>34.340050377833755</v>
      </c>
      <c r="AB413" s="126">
        <v>12</v>
      </c>
      <c r="AC413" s="167">
        <v>7.94</v>
      </c>
      <c r="AD413" s="167">
        <v>5.18</v>
      </c>
      <c r="AE413" s="167">
        <v>8.3800000000000008</v>
      </c>
      <c r="AF413" s="167" t="s">
        <v>95</v>
      </c>
      <c r="AG413" s="235">
        <v>-125.69999999999999</v>
      </c>
      <c r="AH413" s="167">
        <v>59.099999999999994</v>
      </c>
      <c r="AI413" s="167">
        <v>5.35</v>
      </c>
      <c r="AJ413" s="167">
        <v>13</v>
      </c>
      <c r="AK413" s="167">
        <v>6.67</v>
      </c>
      <c r="AL413" s="168">
        <v>195050</v>
      </c>
      <c r="AM413" s="169">
        <v>0.16999999999999998</v>
      </c>
      <c r="AN413" s="167" t="s">
        <v>95</v>
      </c>
      <c r="AO413" s="170">
        <f t="shared" si="115"/>
        <v>-24.332092550830307</v>
      </c>
      <c r="AP413" s="171">
        <f t="shared" si="116"/>
        <v>10.007957827003448</v>
      </c>
      <c r="AQ413" s="172" t="str">
        <f t="shared" si="117"/>
        <v>n/a</v>
      </c>
      <c r="AR413" s="157">
        <f>INDEX([1]Historical!$C$7:$C$1231,MATCH(B413,[1]Historical!$B$7:$B$1253,0))*IF(AH413="n/a",1.03,IF(AH413&lt;0,1.01,IF(AH413&gt;10,1.1,(1+AH413/100))))</f>
        <v>5.7750000000000004</v>
      </c>
      <c r="AS413" s="166">
        <f t="shared" si="118"/>
        <v>6.0839625000000011</v>
      </c>
      <c r="AT413" s="166">
        <f t="shared" si="123"/>
        <v>6.4897627987500011</v>
      </c>
      <c r="AU413" s="166">
        <f t="shared" si="123"/>
        <v>6.9226299774266264</v>
      </c>
      <c r="AV413" s="166">
        <f t="shared" si="123"/>
        <v>7.3843693969209827</v>
      </c>
      <c r="AW413" s="157">
        <f t="shared" si="120"/>
        <v>32.655724673097609</v>
      </c>
      <c r="AX413" s="173">
        <f t="shared" si="121"/>
        <v>11.976719971061984</v>
      </c>
      <c r="AY413" s="174">
        <v>0.63</v>
      </c>
      <c r="AZ413" s="169">
        <v>25.259999999999998</v>
      </c>
      <c r="BA413" s="169">
        <v>-0.77999999999999992</v>
      </c>
      <c r="BB413" s="169">
        <v>8.7900000000000009</v>
      </c>
      <c r="BC413" s="169">
        <v>9.32</v>
      </c>
      <c r="BE413" s="77">
        <v>1976</v>
      </c>
      <c r="BF413" s="77">
        <f t="shared" si="122"/>
        <v>5</v>
      </c>
      <c r="BG413" s="175">
        <v>13.8</v>
      </c>
      <c r="BH413" t="s">
        <v>939</v>
      </c>
      <c r="BI413" t="s">
        <v>940</v>
      </c>
    </row>
    <row r="414" spans="1:64" ht="11.25" customHeight="1" x14ac:dyDescent="0.2">
      <c r="A414" s="176" t="s">
        <v>1507</v>
      </c>
      <c r="B414" s="153" t="s">
        <v>378</v>
      </c>
      <c r="C414" s="154" t="s">
        <v>922</v>
      </c>
      <c r="D414" s="154" t="s">
        <v>950</v>
      </c>
      <c r="E414" s="155">
        <v>21</v>
      </c>
      <c r="F414" s="298">
        <v>168</v>
      </c>
      <c r="G414" s="298" t="s">
        <v>88</v>
      </c>
      <c r="H414" s="298" t="s">
        <v>88</v>
      </c>
      <c r="I414" s="156">
        <v>61.74</v>
      </c>
      <c r="J414" s="157">
        <f t="shared" si="108"/>
        <v>1.9501133786848071</v>
      </c>
      <c r="K414" s="158">
        <v>0.30099999999999999</v>
      </c>
      <c r="L414" s="126">
        <v>4</v>
      </c>
      <c r="M414" s="82">
        <f t="shared" si="109"/>
        <v>1.204</v>
      </c>
      <c r="N414" s="159" t="s">
        <v>461</v>
      </c>
      <c r="O414" s="160">
        <v>0.27600000000000002</v>
      </c>
      <c r="P414" s="161">
        <v>44791</v>
      </c>
      <c r="Q414" s="161">
        <v>44806</v>
      </c>
      <c r="R414" s="82">
        <f t="shared" si="110"/>
        <v>9.0579710144927414</v>
      </c>
      <c r="S414" s="162">
        <f>IF(INDEX([1]Historical!$D$7:$D$1229,MATCH(B414,[1]Historical!$B$7:$B$1253,0))=0,"n/a",(INDEX([1]Historical!$C$7:$C$1231,MATCH(B414,[1]Historical!$B$7:$B$1253,0))/INDEX([1]Historical!$D$7:$D$1229,MATCH(B414,[1]Historical!$B$7:$B$1253,0))-1)*100)</f>
        <v>15.83956492182188</v>
      </c>
      <c r="T414" s="162">
        <f>IF(INDEX([1]Historical!$F$7:$F$1222,MATCH(B414,[1]Historical!$B$7:$B$1253,0))=0,"n/a",((INDEX([1]Historical!$C$7:$C$1231,MATCH(B414,[1]Historical!$B$7:$B$1253,0))/INDEX([1]Historical!$F$7:$F$1222,MATCH(B414,[1]Historical!$B$7:$B$1253,0)))^(1/3)-1)*100)</f>
        <v>5.4068574566400018</v>
      </c>
      <c r="U414" s="162">
        <f>IF(INDEX([1]Historical!$H$7:$H$1222,MATCH(B414,[1]Historical!$B$7:$B$1253,0))=0,"n/a",((INDEX([1]Historical!$C$7:$C$1231,MATCH(B414,[1]Historical!$B$7:$B$1253,0))/INDEX([1]Historical!$H$7:$H$1222,MATCH(B414,[1]Historical!$B$7:$B$1253,0)))^(1/5)-1)*100)</f>
        <v>3.4383916885796895</v>
      </c>
      <c r="V414" s="162">
        <f>IF(INDEX([1]Historical!$N$7:$N$1222,MATCH(B414,[1]Historical!$B$7:$B$1253,0))=0,"n/a",((INDEX([1]Historical!$C$7:$C$1231,MATCH(B414,[1]Historical!$B$7:$B$1253,0))/INDEX([1]Historical!$N$7:$N$1222,MATCH(B414,[1]Historical!$B$7:$B$1253,0)))^(1/10)-1)*100)</f>
        <v>2.0870457185408142</v>
      </c>
      <c r="W414" s="163">
        <f t="shared" si="111"/>
        <v>1.6474922700704835</v>
      </c>
      <c r="X414" s="164">
        <f t="shared" si="112"/>
        <v>7.7616065204959131E-2</v>
      </c>
      <c r="Y414" s="178"/>
      <c r="Z414" s="157">
        <f t="shared" si="113"/>
        <v>44.102564102564102</v>
      </c>
      <c r="AA414" s="166">
        <f t="shared" si="114"/>
        <v>22.615384615384617</v>
      </c>
      <c r="AB414" s="126">
        <v>3</v>
      </c>
      <c r="AC414" s="167">
        <v>2.73</v>
      </c>
      <c r="AD414" s="167">
        <v>2.5099999999999998</v>
      </c>
      <c r="AE414" s="167">
        <v>4.6900000000000004</v>
      </c>
      <c r="AF414" s="167">
        <v>5.84</v>
      </c>
      <c r="AG414" s="167">
        <v>26.3</v>
      </c>
      <c r="AH414" s="167">
        <v>75.900000000000006</v>
      </c>
      <c r="AI414" s="167">
        <v>-1.2</v>
      </c>
      <c r="AJ414" s="167">
        <v>44.3</v>
      </c>
      <c r="AK414" s="167">
        <v>9.1999999999999993</v>
      </c>
      <c r="AL414" s="168">
        <v>33830</v>
      </c>
      <c r="AM414" s="169">
        <v>2.0699999999999998</v>
      </c>
      <c r="AN414" s="167">
        <v>0</v>
      </c>
      <c r="AO414" s="170">
        <f t="shared" si="115"/>
        <v>-17.22687954812012</v>
      </c>
      <c r="AP414" s="171">
        <f t="shared" si="116"/>
        <v>5.3885050672644965</v>
      </c>
      <c r="AQ414" s="172">
        <f t="shared" si="117"/>
        <v>142.27977047101393</v>
      </c>
      <c r="AR414" s="157">
        <f>INDEX([1]Historical!$C$7:$C$1231,MATCH(B414,[1]Historical!$B$7:$B$1253,0))*IF(AH414="n/a",1.03,IF(AH414&lt;0,1.01,IF(AH414&gt;10,1.1,(1+AH414/100))))</f>
        <v>0.93720000000000003</v>
      </c>
      <c r="AS414" s="166">
        <f t="shared" si="118"/>
        <v>0.94657200000000008</v>
      </c>
      <c r="AT414" s="166">
        <f t="shared" si="123"/>
        <v>1.0336566240000002</v>
      </c>
      <c r="AU414" s="166">
        <f t="shared" si="123"/>
        <v>1.1287530334080003</v>
      </c>
      <c r="AV414" s="166">
        <f t="shared" si="123"/>
        <v>1.2325983124815363</v>
      </c>
      <c r="AW414" s="157">
        <f t="shared" si="120"/>
        <v>5.2787799698895368</v>
      </c>
      <c r="AX414" s="173">
        <f t="shared" si="121"/>
        <v>8.5500161481851915</v>
      </c>
      <c r="AY414" s="174">
        <v>1.53</v>
      </c>
      <c r="AZ414" s="169">
        <v>13.639999999999999</v>
      </c>
      <c r="BA414" s="169">
        <v>-31.4</v>
      </c>
      <c r="BB414" s="169">
        <v>-3.39</v>
      </c>
      <c r="BC414" s="169">
        <v>-8.75</v>
      </c>
      <c r="BE414" s="77">
        <v>2002</v>
      </c>
      <c r="BF414" s="77">
        <f t="shared" si="122"/>
        <v>2</v>
      </c>
      <c r="BG414" s="175">
        <v>9.5</v>
      </c>
      <c r="BH414" t="s">
        <v>939</v>
      </c>
      <c r="BI414" t="s">
        <v>940</v>
      </c>
    </row>
    <row r="415" spans="1:64" ht="11.25" customHeight="1" x14ac:dyDescent="0.2">
      <c r="A415" s="176" t="s">
        <v>1508</v>
      </c>
      <c r="B415" s="153" t="s">
        <v>374</v>
      </c>
      <c r="C415" s="154" t="s">
        <v>137</v>
      </c>
      <c r="D415" s="154" t="s">
        <v>942</v>
      </c>
      <c r="E415" s="155">
        <v>15</v>
      </c>
      <c r="F415" s="298">
        <v>256</v>
      </c>
      <c r="G415" s="298" t="s">
        <v>104</v>
      </c>
      <c r="H415" s="298" t="s">
        <v>104</v>
      </c>
      <c r="I415" s="156">
        <v>389.37</v>
      </c>
      <c r="J415" s="157">
        <f t="shared" si="108"/>
        <v>0.55474227598428227</v>
      </c>
      <c r="K415" s="158">
        <v>0.54</v>
      </c>
      <c r="L415" s="126">
        <v>4</v>
      </c>
      <c r="M415" s="82">
        <f t="shared" si="109"/>
        <v>2.16</v>
      </c>
      <c r="N415" s="159" t="s">
        <v>183</v>
      </c>
      <c r="O415" s="160">
        <v>0.47</v>
      </c>
      <c r="P415" s="161">
        <v>44804</v>
      </c>
      <c r="Q415" s="161">
        <v>44837</v>
      </c>
      <c r="R415" s="82">
        <f t="shared" si="110"/>
        <v>14.89361702127661</v>
      </c>
      <c r="S415" s="162">
        <f>IF(INDEX([1]Historical!$D$7:$D$1229,MATCH(B415,[1]Historical!$B$7:$B$1253,0))=0,"n/a",(INDEX([1]Historical!$C$7:$C$1231,MATCH(B415,[1]Historical!$B$7:$B$1253,0))/INDEX([1]Historical!$D$7:$D$1229,MATCH(B415,[1]Historical!$B$7:$B$1253,0))-1)*100)</f>
        <v>4.8484848484848575</v>
      </c>
      <c r="T415" s="162">
        <f>IF(INDEX([1]Historical!$F$7:$F$1222,MATCH(B415,[1]Historical!$B$7:$B$1253,0))=0,"n/a",((INDEX([1]Historical!$C$7:$C$1231,MATCH(B415,[1]Historical!$B$7:$B$1253,0))/INDEX([1]Historical!$F$7:$F$1222,MATCH(B415,[1]Historical!$B$7:$B$1253,0)))^(1/3)-1)*100)</f>
        <v>7.0555031172336191</v>
      </c>
      <c r="U415" s="162">
        <f>IF(INDEX([1]Historical!$H$7:$H$1222,MATCH(B415,[1]Historical!$B$7:$B$1253,0))=0,"n/a",((INDEX([1]Historical!$C$7:$C$1231,MATCH(B415,[1]Historical!$B$7:$B$1253,0))/INDEX([1]Historical!$H$7:$H$1222,MATCH(B415,[1]Historical!$B$7:$B$1253,0)))^(1/5)-1)*100)</f>
        <v>9.0851457141648559</v>
      </c>
      <c r="V415" s="162">
        <f>IF(INDEX([1]Historical!$N$7:$N$1222,MATCH(B415,[1]Historical!$B$7:$B$1253,0))=0,"n/a",((INDEX([1]Historical!$C$7:$C$1231,MATCH(B415,[1]Historical!$B$7:$B$1253,0))/INDEX([1]Historical!$N$7:$N$1222,MATCH(B415,[1]Historical!$B$7:$B$1253,0)))^(1/10)-1)*100)</f>
        <v>8.2916946573984074</v>
      </c>
      <c r="W415" s="163">
        <f t="shared" si="111"/>
        <v>1.0956922667260158</v>
      </c>
      <c r="X415" s="164" t="str">
        <f t="shared" si="112"/>
        <v>n/a</v>
      </c>
      <c r="Y415" s="212"/>
      <c r="Z415" s="157">
        <f t="shared" si="113"/>
        <v>22.978723404255319</v>
      </c>
      <c r="AA415" s="166">
        <f t="shared" si="114"/>
        <v>41.422340425531914</v>
      </c>
      <c r="AB415" s="126">
        <v>3</v>
      </c>
      <c r="AC415" s="167">
        <v>9.4</v>
      </c>
      <c r="AD415" s="167">
        <v>4.4400000000000004</v>
      </c>
      <c r="AE415" s="167">
        <v>0.21</v>
      </c>
      <c r="AF415" s="167" t="s">
        <v>95</v>
      </c>
      <c r="AG415" s="167">
        <v>-91.2</v>
      </c>
      <c r="AH415" s="167">
        <v>125.69999999999999</v>
      </c>
      <c r="AI415" s="167">
        <v>6.2</v>
      </c>
      <c r="AJ415" s="167">
        <v>-20.8</v>
      </c>
      <c r="AK415" s="167">
        <v>9.4600000000000009</v>
      </c>
      <c r="AL415" s="168">
        <v>55780</v>
      </c>
      <c r="AM415" s="169">
        <v>0.1</v>
      </c>
      <c r="AN415" s="167" t="s">
        <v>95</v>
      </c>
      <c r="AO415" s="170">
        <f t="shared" si="115"/>
        <v>-31.782452435382776</v>
      </c>
      <c r="AP415" s="171">
        <f t="shared" si="116"/>
        <v>9.6398879901491377</v>
      </c>
      <c r="AQ415" s="172" t="str">
        <f t="shared" si="117"/>
        <v>n/a</v>
      </c>
      <c r="AR415" s="157">
        <f>INDEX([1]Historical!$C$7:$C$1231,MATCH(B415,[1]Historical!$B$7:$B$1253,0))*IF(AH415="n/a",1.03,IF(AH415&lt;0,1.01,IF(AH415&gt;10,1.1,(1+AH415/100))))</f>
        <v>1.903</v>
      </c>
      <c r="AS415" s="166">
        <f t="shared" si="118"/>
        <v>2.0209860000000002</v>
      </c>
      <c r="AT415" s="166">
        <f t="shared" si="123"/>
        <v>2.2121712756000003</v>
      </c>
      <c r="AU415" s="166">
        <f t="shared" si="123"/>
        <v>2.4214426782717604</v>
      </c>
      <c r="AV415" s="166">
        <f t="shared" si="123"/>
        <v>2.650511155636269</v>
      </c>
      <c r="AW415" s="157">
        <f t="shared" si="120"/>
        <v>11.208111109508032</v>
      </c>
      <c r="AX415" s="173">
        <f t="shared" si="121"/>
        <v>2.8785245677653726</v>
      </c>
      <c r="AY415" s="174">
        <v>0.65</v>
      </c>
      <c r="AZ415" s="169">
        <v>91.490000000000009</v>
      </c>
      <c r="BA415" s="169">
        <v>-1.67</v>
      </c>
      <c r="BB415" s="169">
        <v>8.75</v>
      </c>
      <c r="BC415" s="169">
        <v>21.38</v>
      </c>
      <c r="BE415" s="77">
        <v>2008</v>
      </c>
      <c r="BF415" s="77">
        <f t="shared" si="122"/>
        <v>2</v>
      </c>
      <c r="BG415" s="175">
        <v>2.1999999999999997</v>
      </c>
      <c r="BH415" t="s">
        <v>939</v>
      </c>
      <c r="BI415" t="s">
        <v>940</v>
      </c>
    </row>
    <row r="416" spans="1:64" ht="11.25" customHeight="1" x14ac:dyDescent="0.2">
      <c r="A416" s="112" t="s">
        <v>1509</v>
      </c>
      <c r="B416" s="153" t="s">
        <v>383</v>
      </c>
      <c r="C416" s="154" t="s">
        <v>90</v>
      </c>
      <c r="D416" s="154" t="s">
        <v>972</v>
      </c>
      <c r="E416" s="155">
        <v>13</v>
      </c>
      <c r="F416" s="298">
        <v>280</v>
      </c>
      <c r="G416" s="298" t="s">
        <v>88</v>
      </c>
      <c r="H416" s="298" t="s">
        <v>88</v>
      </c>
      <c r="I416" s="156">
        <v>264.87</v>
      </c>
      <c r="J416" s="157">
        <f t="shared" si="108"/>
        <v>1.0571223619133914</v>
      </c>
      <c r="K416" s="158">
        <v>0.7</v>
      </c>
      <c r="L416" s="126">
        <v>4</v>
      </c>
      <c r="M416" s="82">
        <f t="shared" si="109"/>
        <v>2.8</v>
      </c>
      <c r="N416" s="159" t="s">
        <v>93</v>
      </c>
      <c r="O416" s="160">
        <v>0.62</v>
      </c>
      <c r="P416" s="161">
        <v>44616</v>
      </c>
      <c r="Q416" s="161">
        <v>44638</v>
      </c>
      <c r="R416" s="82">
        <f t="shared" si="110"/>
        <v>12.903225806451607</v>
      </c>
      <c r="S416" s="162">
        <f>IF(INDEX([1]Historical!$D$7:$D$1229,MATCH(B416,[1]Historical!$B$7:$B$1253,0))=0,"n/a",(INDEX([1]Historical!$C$7:$C$1231,MATCH(B416,[1]Historical!$B$7:$B$1253,0))/INDEX([1]Historical!$D$7:$D$1229,MATCH(B416,[1]Historical!$B$7:$B$1253,0))-1)*100)</f>
        <v>10.714285714285698</v>
      </c>
      <c r="T416" s="162">
        <f>IF(INDEX([1]Historical!$F$7:$F$1222,MATCH(B416,[1]Historical!$B$7:$B$1253,0))=0,"n/a",((INDEX([1]Historical!$C$7:$C$1231,MATCH(B416,[1]Historical!$B$7:$B$1253,0))/INDEX([1]Historical!$F$7:$F$1222,MATCH(B416,[1]Historical!$B$7:$B$1253,0)))^(1/3)-1)*100)</f>
        <v>12.110512440831279</v>
      </c>
      <c r="U416" s="162">
        <f>IF(INDEX([1]Historical!$H$7:$H$1222,MATCH(B416,[1]Historical!$B$7:$B$1253,0))=0,"n/a",((INDEX([1]Historical!$C$7:$C$1231,MATCH(B416,[1]Historical!$B$7:$B$1253,0))/INDEX([1]Historical!$H$7:$H$1222,MATCH(B416,[1]Historical!$B$7:$B$1253,0)))^(1/5)-1)*100)</f>
        <v>11.178232402599765</v>
      </c>
      <c r="V416" s="162">
        <f>IF(INDEX([1]Historical!$N$7:$N$1222,MATCH(B416,[1]Historical!$B$7:$B$1253,0))=0,"n/a",((INDEX([1]Historical!$C$7:$C$1231,MATCH(B416,[1]Historical!$B$7:$B$1253,0))/INDEX([1]Historical!$N$7:$N$1222,MATCH(B416,[1]Historical!$B$7:$B$1253,0)))^(1/10)-1)*100)</f>
        <v>16.576171878410207</v>
      </c>
      <c r="W416" s="163">
        <f t="shared" si="111"/>
        <v>0.67435548355763375</v>
      </c>
      <c r="X416" s="164">
        <f t="shared" si="112"/>
        <v>0.20738835626344646</v>
      </c>
      <c r="Y416" s="165"/>
      <c r="Z416" s="157">
        <f t="shared" si="113"/>
        <v>33.452807646356035</v>
      </c>
      <c r="AA416" s="166">
        <f t="shared" si="114"/>
        <v>31.645161290322584</v>
      </c>
      <c r="AB416" s="126">
        <v>12</v>
      </c>
      <c r="AC416" s="167">
        <v>8.3699999999999992</v>
      </c>
      <c r="AD416" s="167">
        <v>160.79</v>
      </c>
      <c r="AE416" s="167">
        <v>8.36</v>
      </c>
      <c r="AF416" s="167">
        <v>21.86</v>
      </c>
      <c r="AG416" s="235">
        <v>64.3</v>
      </c>
      <c r="AH416" s="167">
        <v>25.4</v>
      </c>
      <c r="AI416" s="167">
        <v>13.669999999999998</v>
      </c>
      <c r="AJ416" s="167">
        <v>53.900000000000006</v>
      </c>
      <c r="AK416" s="167">
        <v>0.2</v>
      </c>
      <c r="AL416" s="168">
        <v>47810</v>
      </c>
      <c r="AM416" s="213">
        <v>0.1</v>
      </c>
      <c r="AN416" s="167">
        <v>0</v>
      </c>
      <c r="AO416" s="170">
        <f t="shared" si="115"/>
        <v>-19.409806525809429</v>
      </c>
      <c r="AP416" s="171">
        <f t="shared" si="116"/>
        <v>12.235354764513156</v>
      </c>
      <c r="AQ416" s="172">
        <f t="shared" si="117"/>
        <v>454.48203089067295</v>
      </c>
      <c r="AR416" s="157">
        <f>INDEX([1]Historical!$C$7:$C$1231,MATCH(B416,[1]Historical!$B$7:$B$1253,0))*IF(AH416="n/a",1.03,IF(AH416&lt;0,1.01,IF(AH416&gt;10,1.1,(1+AH416/100))))</f>
        <v>2.7280000000000002</v>
      </c>
      <c r="AS416" s="166">
        <f t="shared" si="118"/>
        <v>3.0008000000000004</v>
      </c>
      <c r="AT416" s="166">
        <f t="shared" si="123"/>
        <v>3.0068016000000002</v>
      </c>
      <c r="AU416" s="166">
        <f t="shared" si="123"/>
        <v>3.0128152032000002</v>
      </c>
      <c r="AV416" s="166">
        <f t="shared" si="123"/>
        <v>3.0188408336064003</v>
      </c>
      <c r="AW416" s="157">
        <f t="shared" si="120"/>
        <v>14.767257636806402</v>
      </c>
      <c r="AX416" s="173">
        <f t="shared" si="121"/>
        <v>5.5752850971444108</v>
      </c>
      <c r="AY416" s="174">
        <v>1.23</v>
      </c>
      <c r="AZ416" s="169">
        <v>15.079999999999998</v>
      </c>
      <c r="BA416" s="169">
        <v>-35.07</v>
      </c>
      <c r="BB416" s="169">
        <v>-1.22</v>
      </c>
      <c r="BC416" s="169">
        <v>-11.66</v>
      </c>
      <c r="BE416" s="77">
        <v>2010</v>
      </c>
      <c r="BF416" s="77">
        <f t="shared" si="122"/>
        <v>1</v>
      </c>
      <c r="BG416" s="175">
        <v>10.8</v>
      </c>
      <c r="BH416" t="s">
        <v>939</v>
      </c>
      <c r="BI416" t="s">
        <v>940</v>
      </c>
    </row>
    <row r="417" spans="1:64" ht="11.25" customHeight="1" x14ac:dyDescent="0.2">
      <c r="A417" s="238" t="s">
        <v>1510</v>
      </c>
      <c r="B417" s="153" t="s">
        <v>916</v>
      </c>
      <c r="C417" s="154" t="s">
        <v>127</v>
      </c>
      <c r="D417" s="154" t="s">
        <v>951</v>
      </c>
      <c r="E417" s="155">
        <v>11</v>
      </c>
      <c r="F417" s="298">
        <v>441</v>
      </c>
      <c r="G417" s="298" t="s">
        <v>88</v>
      </c>
      <c r="H417" s="298" t="s">
        <v>88</v>
      </c>
      <c r="I417" s="116">
        <v>61.48</v>
      </c>
      <c r="J417" s="157">
        <f t="shared" si="108"/>
        <v>2.5048796356538712</v>
      </c>
      <c r="K417" s="112">
        <v>0.38500000000000001</v>
      </c>
      <c r="L417" s="298">
        <v>4</v>
      </c>
      <c r="M417" s="82">
        <f t="shared" si="109"/>
        <v>1.54</v>
      </c>
      <c r="N417" s="298" t="s">
        <v>126</v>
      </c>
      <c r="O417" s="239">
        <v>0.35</v>
      </c>
      <c r="P417" s="161">
        <v>44833</v>
      </c>
      <c r="Q417" s="161">
        <v>44848</v>
      </c>
      <c r="R417" s="82">
        <f t="shared" si="110"/>
        <v>10.000000000000009</v>
      </c>
      <c r="S417" s="162">
        <f>IF(INDEX([1]Historical!$D$7:$D$1229,MATCH(B417,[1]Historical!$B$7:$B$1253,0))=0,"n/a",(INDEX([1]Historical!$C$7:$C$1231,MATCH(B417,[1]Historical!$B$7:$B$1253,0))/INDEX([1]Historical!$D$7:$D$1229,MATCH(B417,[1]Historical!$B$7:$B$1253,0))-1)*100)</f>
        <v>10.68376068376069</v>
      </c>
      <c r="T417" s="162">
        <f>IF(INDEX([1]Historical!$F$7:$F$1222,MATCH(B417,[1]Historical!$B$7:$B$1253,0))=0,"n/a",((INDEX([1]Historical!$C$7:$C$1231,MATCH(B417,[1]Historical!$B$7:$B$1253,0))/INDEX([1]Historical!$F$7:$F$1222,MATCH(B417,[1]Historical!$B$7:$B$1253,0)))^(1/3)-1)*100)</f>
        <v>12.071189213318956</v>
      </c>
      <c r="U417" s="162">
        <f>IF(INDEX([1]Historical!$H$7:$H$1222,MATCH(B417,[1]Historical!$B$7:$B$1253,0))=0,"n/a",((INDEX([1]Historical!$C$7:$C$1231,MATCH(B417,[1]Historical!$B$7:$B$1253,0))/INDEX([1]Historical!$H$7:$H$1222,MATCH(B417,[1]Historical!$B$7:$B$1253,0)))^(1/5)-1)*100)</f>
        <v>12.457248761465568</v>
      </c>
      <c r="V417" s="162" t="str">
        <f>IF(INDEX([1]Historical!$N$7:$N$1222,MATCH(B417,[1]Historical!$B$7:$B$1253,0))=0,"n/a",((INDEX([1]Historical!$C$7:$C$1231,MATCH(B417,[1]Historical!$B$7:$B$1253,0))/INDEX([1]Historical!$N$7:$N$1222,MATCH(B417,[1]Historical!$B$7:$B$1253,0)))^(1/10)-1)*100)</f>
        <v>n/a</v>
      </c>
      <c r="W417" s="163" t="str">
        <f t="shared" si="111"/>
        <v>n/a</v>
      </c>
      <c r="X417" s="164">
        <f t="shared" si="112"/>
        <v>0.51905203172773196</v>
      </c>
      <c r="Y417" s="240"/>
      <c r="Z417" s="157">
        <f t="shared" si="113"/>
        <v>55.797101449275367</v>
      </c>
      <c r="AA417" s="166">
        <f t="shared" si="114"/>
        <v>22.275362318840582</v>
      </c>
      <c r="AB417" s="126">
        <v>12</v>
      </c>
      <c r="AC417" s="175">
        <v>2.76</v>
      </c>
      <c r="AD417" s="175">
        <v>5.03</v>
      </c>
      <c r="AE417" s="167">
        <v>2.77</v>
      </c>
      <c r="AF417" s="167">
        <v>3.1</v>
      </c>
      <c r="AG417" s="167">
        <v>13.8</v>
      </c>
      <c r="AH417" s="167">
        <v>23.400000000000002</v>
      </c>
      <c r="AI417" s="167">
        <v>5.7700000000000005</v>
      </c>
      <c r="AJ417" s="241">
        <v>24</v>
      </c>
      <c r="AK417" s="241">
        <v>4.45</v>
      </c>
      <c r="AL417" s="175">
        <v>82660</v>
      </c>
      <c r="AM417" s="175">
        <v>0.16</v>
      </c>
      <c r="AN417" s="175">
        <v>0.7</v>
      </c>
      <c r="AO417" s="170">
        <f t="shared" si="115"/>
        <v>-7.3132339217211424</v>
      </c>
      <c r="AP417" s="171">
        <f t="shared" si="116"/>
        <v>14.962128397119439</v>
      </c>
      <c r="AQ417" s="172">
        <f t="shared" si="117"/>
        <v>75.18704060188648</v>
      </c>
      <c r="AR417" s="157">
        <f>INDEX([1]Historical!$C$7:$C$1231,MATCH(B417,[1]Historical!$B$7:$B$1253,0))*IF(AH417="n/a",1.03,IF(AH417&lt;0,1.01,IF(AH417&gt;10,1.1,(1+AH417/100))))</f>
        <v>1.4245000000000001</v>
      </c>
      <c r="AS417" s="166">
        <f t="shared" si="118"/>
        <v>1.5066936500000003</v>
      </c>
      <c r="AT417" s="166">
        <f t="shared" si="123"/>
        <v>1.5737415174250002</v>
      </c>
      <c r="AU417" s="166">
        <f t="shared" si="123"/>
        <v>1.6437730149504126</v>
      </c>
      <c r="AV417" s="166">
        <f t="shared" si="123"/>
        <v>1.716920914115706</v>
      </c>
      <c r="AW417" s="157">
        <f t="shared" si="120"/>
        <v>7.8656290964911193</v>
      </c>
      <c r="AX417" s="173">
        <f t="shared" si="121"/>
        <v>12.793801393121534</v>
      </c>
      <c r="AY417" s="225">
        <v>0.66</v>
      </c>
      <c r="AZ417" s="167">
        <v>12.35</v>
      </c>
      <c r="BA417" s="167">
        <v>-11.5</v>
      </c>
      <c r="BB417" s="167">
        <v>3.2399999999999998</v>
      </c>
      <c r="BC417" s="167">
        <v>-1.9800000000000002</v>
      </c>
      <c r="BE417" s="77">
        <v>2012</v>
      </c>
      <c r="BF417" s="77">
        <f t="shared" si="122"/>
        <v>1</v>
      </c>
      <c r="BG417" s="175">
        <v>5.8000000000000007</v>
      </c>
      <c r="BH417" t="s">
        <v>939</v>
      </c>
      <c r="BI417" t="s">
        <v>940</v>
      </c>
    </row>
    <row r="418" spans="1:64" ht="11.25" customHeight="1" x14ac:dyDescent="0.2">
      <c r="A418" s="176" t="s">
        <v>541</v>
      </c>
      <c r="B418" s="153" t="s">
        <v>376</v>
      </c>
      <c r="C418" s="154" t="s">
        <v>137</v>
      </c>
      <c r="D418" s="154" t="s">
        <v>946</v>
      </c>
      <c r="E418" s="155">
        <v>45</v>
      </c>
      <c r="F418" s="298">
        <v>61</v>
      </c>
      <c r="G418" s="298" t="s">
        <v>104</v>
      </c>
      <c r="H418" s="298" t="s">
        <v>104</v>
      </c>
      <c r="I418" s="167">
        <v>87.34</v>
      </c>
      <c r="J418" s="157">
        <f t="shared" si="108"/>
        <v>3.1142660865582781</v>
      </c>
      <c r="K418" s="158">
        <v>0.68</v>
      </c>
      <c r="L418" s="126">
        <v>4</v>
      </c>
      <c r="M418" s="82">
        <f t="shared" si="109"/>
        <v>2.72</v>
      </c>
      <c r="N418" s="159" t="s">
        <v>534</v>
      </c>
      <c r="O418" s="160">
        <v>0.63</v>
      </c>
      <c r="P418" s="161">
        <v>44735</v>
      </c>
      <c r="Q418" s="161">
        <v>44757</v>
      </c>
      <c r="R418" s="82">
        <f t="shared" si="110"/>
        <v>7.936507936507943</v>
      </c>
      <c r="S418" s="162">
        <f>IF(INDEX([1]Historical!$D$7:$D$1229,MATCH(B418,[1]Historical!$B$7:$B$1253,0))=0,"n/a",(INDEX([1]Historical!$C$7:$C$1231,MATCH(B418,[1]Historical!$B$7:$B$1253,0))/INDEX([1]Historical!$D$7:$D$1229,MATCH(B418,[1]Historical!$B$7:$B$1253,0))-1)*100)</f>
        <v>8.0357142857142794</v>
      </c>
      <c r="T418" s="162">
        <f>IF(INDEX([1]Historical!$F$7:$F$1222,MATCH(B418,[1]Historical!$B$7:$B$1253,0))=0,"n/a",((INDEX([1]Historical!$C$7:$C$1231,MATCH(B418,[1]Historical!$B$7:$B$1253,0))/INDEX([1]Historical!$F$7:$F$1222,MATCH(B418,[1]Historical!$B$7:$B$1253,0)))^(1/3)-1)*100)</f>
        <v>8.0201341824893024</v>
      </c>
      <c r="U418" s="162">
        <f>IF(INDEX([1]Historical!$H$7:$H$1222,MATCH(B418,[1]Historical!$B$7:$B$1253,0))=0,"n/a",((INDEX([1]Historical!$C$7:$C$1231,MATCH(B418,[1]Historical!$B$7:$B$1253,0))/INDEX([1]Historical!$H$7:$H$1222,MATCH(B418,[1]Historical!$B$7:$B$1253,0)))^(1/5)-1)*100)</f>
        <v>8.3577728950453576</v>
      </c>
      <c r="V418" s="162">
        <f>IF(INDEX([1]Historical!$N$7:$N$1222,MATCH(B418,[1]Historical!$B$7:$B$1253,0))=0,"n/a",((INDEX([1]Historical!$C$7:$C$1231,MATCH(B418,[1]Historical!$B$7:$B$1253,0))/INDEX([1]Historical!$N$7:$N$1222,MATCH(B418,[1]Historical!$B$7:$B$1253,0)))^(1/10)-1)*100)</f>
        <v>9.9766218946124816</v>
      </c>
      <c r="W418" s="163">
        <f t="shared" si="111"/>
        <v>0.83773575698590663</v>
      </c>
      <c r="X418" s="164">
        <f t="shared" si="112"/>
        <v>1.6072640182779534</v>
      </c>
      <c r="Y418" s="244" t="s">
        <v>270</v>
      </c>
      <c r="Z418" s="157">
        <f t="shared" si="113"/>
        <v>70.284237726098198</v>
      </c>
      <c r="AA418" s="166">
        <f t="shared" si="114"/>
        <v>22.568475452196381</v>
      </c>
      <c r="AB418" s="126">
        <v>4</v>
      </c>
      <c r="AC418" s="167">
        <v>3.87</v>
      </c>
      <c r="AD418" s="167">
        <v>1.77</v>
      </c>
      <c r="AE418" s="167">
        <v>3.66</v>
      </c>
      <c r="AF418" s="167">
        <v>2.19</v>
      </c>
      <c r="AG418" s="167">
        <v>9.9</v>
      </c>
      <c r="AH418" s="167">
        <v>44.2</v>
      </c>
      <c r="AI418" s="167">
        <v>5.88</v>
      </c>
      <c r="AJ418" s="167">
        <v>5.2</v>
      </c>
      <c r="AK418" s="167">
        <v>12.659999999999998</v>
      </c>
      <c r="AL418" s="168">
        <v>113740</v>
      </c>
      <c r="AM418" s="169">
        <v>0.1</v>
      </c>
      <c r="AN418" s="167">
        <v>0.44</v>
      </c>
      <c r="AO418" s="170">
        <f t="shared" si="115"/>
        <v>-11.096436470592746</v>
      </c>
      <c r="AP418" s="171">
        <f t="shared" si="116"/>
        <v>11.472038981603635</v>
      </c>
      <c r="AQ418" s="172">
        <f t="shared" si="117"/>
        <v>48.211502388100143</v>
      </c>
      <c r="AR418" s="157">
        <f>INDEX([1]Historical!$C$7:$C$1231,MATCH(B418,[1]Historical!$B$7:$B$1253,0))*IF(AH418="n/a",1.03,IF(AH418&lt;0,1.01,IF(AH418&gt;10,1.1,(1+AH418/100))))</f>
        <v>2.6619999999999999</v>
      </c>
      <c r="AS418" s="166">
        <f t="shared" si="118"/>
        <v>2.8185255999999996</v>
      </c>
      <c r="AT418" s="166">
        <f t="shared" si="123"/>
        <v>3.10037816</v>
      </c>
      <c r="AU418" s="166">
        <f t="shared" si="123"/>
        <v>3.4104159760000003</v>
      </c>
      <c r="AV418" s="166">
        <f t="shared" si="123"/>
        <v>3.7514575736000007</v>
      </c>
      <c r="AW418" s="157">
        <f t="shared" si="120"/>
        <v>15.742777309600001</v>
      </c>
      <c r="AX418" s="173">
        <f t="shared" si="121"/>
        <v>18.024704957178841</v>
      </c>
      <c r="AY418" s="174">
        <v>0.77</v>
      </c>
      <c r="AZ418" s="169">
        <v>9.94</v>
      </c>
      <c r="BA418" s="169">
        <v>-29.92</v>
      </c>
      <c r="BB418" s="169">
        <v>1.5</v>
      </c>
      <c r="BC418" s="169">
        <v>-9.9699999999999989</v>
      </c>
      <c r="BE418" s="77">
        <v>1978</v>
      </c>
      <c r="BF418" s="77">
        <f t="shared" si="122"/>
        <v>5</v>
      </c>
      <c r="BG418" s="175">
        <v>5.7</v>
      </c>
      <c r="BH418" t="s">
        <v>939</v>
      </c>
      <c r="BI418" t="s">
        <v>940</v>
      </c>
    </row>
    <row r="419" spans="1:64" ht="11.25" customHeight="1" x14ac:dyDescent="0.2">
      <c r="A419" s="176" t="s">
        <v>1511</v>
      </c>
      <c r="B419" s="153" t="s">
        <v>375</v>
      </c>
      <c r="C419" s="154" t="s">
        <v>117</v>
      </c>
      <c r="D419" s="154" t="s">
        <v>953</v>
      </c>
      <c r="E419" s="155">
        <v>30</v>
      </c>
      <c r="F419" s="298">
        <v>96</v>
      </c>
      <c r="G419" s="298" t="s">
        <v>30</v>
      </c>
      <c r="H419" s="298" t="s">
        <v>30</v>
      </c>
      <c r="I419" s="167">
        <v>28.48</v>
      </c>
      <c r="J419" s="157">
        <f t="shared" si="108"/>
        <v>3.0547752808988764</v>
      </c>
      <c r="K419" s="209">
        <v>0.2175</v>
      </c>
      <c r="L419" s="126">
        <v>4</v>
      </c>
      <c r="M419" s="82">
        <f t="shared" si="109"/>
        <v>0.87</v>
      </c>
      <c r="N419" s="159" t="s">
        <v>121</v>
      </c>
      <c r="O419" s="210">
        <v>0.21249999999999999</v>
      </c>
      <c r="P419" s="161">
        <v>44538</v>
      </c>
      <c r="Q419" s="161">
        <v>44562</v>
      </c>
      <c r="R419" s="82">
        <f t="shared" si="110"/>
        <v>2.3529411764705901</v>
      </c>
      <c r="S419" s="162">
        <f>IF(INDEX([1]Historical!$D$7:$D$1229,MATCH(B419,[1]Historical!$B$7:$B$1253,0))=0,"n/a",(INDEX([1]Historical!$C$7:$C$1231,MATCH(B419,[1]Historical!$B$7:$B$1253,0))/INDEX([1]Historical!$D$7:$D$1229,MATCH(B419,[1]Historical!$B$7:$B$1253,0))-1)*100)</f>
        <v>2.4096385542168752</v>
      </c>
      <c r="T419" s="162">
        <f>IF(INDEX([1]Historical!$F$7:$F$1222,MATCH(B419,[1]Historical!$B$7:$B$1253,0))=0,"n/a",((INDEX([1]Historical!$C$7:$C$1231,MATCH(B419,[1]Historical!$B$7:$B$1253,0))/INDEX([1]Historical!$F$7:$F$1222,MATCH(B419,[1]Historical!$B$7:$B$1253,0)))^(1/3)-1)*100)</f>
        <v>2.4701278673611382</v>
      </c>
      <c r="U419" s="162">
        <f>IF(INDEX([1]Historical!$H$7:$H$1222,MATCH(B419,[1]Historical!$B$7:$B$1253,0))=0,"n/a",((INDEX([1]Historical!$C$7:$C$1231,MATCH(B419,[1]Historical!$B$7:$B$1253,0))/INDEX([1]Historical!$H$7:$H$1222,MATCH(B419,[1]Historical!$B$7:$B$1253,0)))^(1/5)-1)*100)</f>
        <v>2.5348575657732741</v>
      </c>
      <c r="V419" s="162">
        <f>IF(INDEX([1]Historical!$N$7:$N$1222,MATCH(B419,[1]Historical!$B$7:$B$1253,0))=0,"n/a",((INDEX([1]Historical!$C$7:$C$1231,MATCH(B419,[1]Historical!$B$7:$B$1253,0))/INDEX([1]Historical!$N$7:$N$1222,MATCH(B419,[1]Historical!$B$7:$B$1253,0)))^(1/10)-1)*100)</f>
        <v>2.7189465815924629</v>
      </c>
      <c r="W419" s="163">
        <f t="shared" si="111"/>
        <v>0.93229399317166084</v>
      </c>
      <c r="X419" s="164">
        <f t="shared" si="112"/>
        <v>0.26682711218666044</v>
      </c>
      <c r="Y419" s="181"/>
      <c r="Z419" s="157">
        <f t="shared" si="113"/>
        <v>54.03726708074533</v>
      </c>
      <c r="AA419" s="166">
        <f t="shared" si="114"/>
        <v>17.689440993788818</v>
      </c>
      <c r="AB419" s="126">
        <v>12</v>
      </c>
      <c r="AC419" s="167">
        <v>1.61</v>
      </c>
      <c r="AD419" s="167">
        <v>2.82</v>
      </c>
      <c r="AE419" s="167">
        <v>0.93</v>
      </c>
      <c r="AF419" s="167">
        <v>1.72</v>
      </c>
      <c r="AG419" s="167">
        <v>9.8000000000000007</v>
      </c>
      <c r="AH419" s="179">
        <v>-4.1000000000000005</v>
      </c>
      <c r="AI419" s="179">
        <v>21.29</v>
      </c>
      <c r="AJ419" s="167">
        <v>9.5</v>
      </c>
      <c r="AK419" s="167">
        <v>6.3</v>
      </c>
      <c r="AL419" s="168">
        <v>5740</v>
      </c>
      <c r="AM419" s="169">
        <v>0.1</v>
      </c>
      <c r="AN419" s="167">
        <v>0.89</v>
      </c>
      <c r="AO419" s="170">
        <f t="shared" si="115"/>
        <v>-12.099808147116667</v>
      </c>
      <c r="AP419" s="171">
        <f t="shared" si="116"/>
        <v>5.589632846672151</v>
      </c>
      <c r="AQ419" s="172">
        <f t="shared" si="117"/>
        <v>16.28669267388112</v>
      </c>
      <c r="AR419" s="157">
        <f>INDEX([1]Historical!$C$7:$C$1231,MATCH(B419,[1]Historical!$B$7:$B$1253,0))*IF(AH419="n/a",1.03,IF(AH419&lt;0,1.01,IF(AH419&gt;10,1.1,(1+AH419/100))))</f>
        <v>0.85849999999999993</v>
      </c>
      <c r="AS419" s="166">
        <f t="shared" si="118"/>
        <v>0.94435000000000002</v>
      </c>
      <c r="AT419" s="166">
        <f t="shared" si="123"/>
        <v>1.0038440499999999</v>
      </c>
      <c r="AU419" s="166">
        <f t="shared" si="123"/>
        <v>1.0670862251499997</v>
      </c>
      <c r="AV419" s="166">
        <f t="shared" si="123"/>
        <v>1.1343126573344497</v>
      </c>
      <c r="AW419" s="157">
        <f t="shared" si="120"/>
        <v>5.0080929324844492</v>
      </c>
      <c r="AX419" s="173">
        <f t="shared" si="121"/>
        <v>17.584595970802138</v>
      </c>
      <c r="AY419" s="174">
        <v>0.74</v>
      </c>
      <c r="AZ419" s="169">
        <v>14.29</v>
      </c>
      <c r="BA419" s="169">
        <v>-11.53</v>
      </c>
      <c r="BB419" s="169">
        <v>-2.2999999999999998</v>
      </c>
      <c r="BC419" s="169">
        <v>2.4699999999999998</v>
      </c>
      <c r="BE419" s="77">
        <v>1992</v>
      </c>
      <c r="BF419" s="77">
        <f t="shared" si="122"/>
        <v>3</v>
      </c>
      <c r="BG419" s="175">
        <v>3.6999999999999997</v>
      </c>
      <c r="BH419" t="s">
        <v>939</v>
      </c>
      <c r="BI419" t="s">
        <v>940</v>
      </c>
    </row>
    <row r="420" spans="1:64" ht="11.25" customHeight="1" x14ac:dyDescent="0.2">
      <c r="A420" s="205" t="s">
        <v>1137</v>
      </c>
      <c r="B420" s="153" t="s">
        <v>1138</v>
      </c>
      <c r="C420" s="154" t="s">
        <v>127</v>
      </c>
      <c r="D420" s="154" t="s">
        <v>235</v>
      </c>
      <c r="E420" s="155">
        <v>7</v>
      </c>
      <c r="F420" s="298">
        <v>628</v>
      </c>
      <c r="G420" s="298" t="s">
        <v>88</v>
      </c>
      <c r="H420" s="298" t="s">
        <v>88</v>
      </c>
      <c r="I420" s="156">
        <v>116.99</v>
      </c>
      <c r="J420" s="157">
        <f t="shared" si="108"/>
        <v>5.607316864689289</v>
      </c>
      <c r="K420" s="158">
        <v>1.64</v>
      </c>
      <c r="L420" s="126">
        <v>4</v>
      </c>
      <c r="M420" s="82">
        <f t="shared" si="109"/>
        <v>6.56</v>
      </c>
      <c r="N420" s="159" t="s">
        <v>1139</v>
      </c>
      <c r="O420" s="160">
        <v>1.42</v>
      </c>
      <c r="P420" s="161">
        <v>44648</v>
      </c>
      <c r="Q420" s="161">
        <v>44690</v>
      </c>
      <c r="R420" s="82">
        <f t="shared" si="110"/>
        <v>15.492957746478872</v>
      </c>
      <c r="S420" s="162">
        <f>IF(INDEX([1]Historical!$D$7:$D$1229,MATCH(B420,[1]Historical!$B$7:$B$1253,0))=0,"n/a",(INDEX([1]Historical!$C$7:$C$1231,MATCH(B420,[1]Historical!$B$7:$B$1253,0))/INDEX([1]Historical!$D$7:$D$1229,MATCH(B420,[1]Historical!$B$7:$B$1253,0))-1)*100)</f>
        <v>19.247787610619472</v>
      </c>
      <c r="T420" s="162">
        <f>IF(INDEX([1]Historical!$F$7:$F$1222,MATCH(B420,[1]Historical!$B$7:$B$1253,0))=0,"n/a",((INDEX([1]Historical!$C$7:$C$1231,MATCH(B420,[1]Historical!$B$7:$B$1253,0))/INDEX([1]Historical!$F$7:$F$1222,MATCH(B420,[1]Historical!$B$7:$B$1253,0)))^(1/3)-1)*100)</f>
        <v>41.068217525332294</v>
      </c>
      <c r="U420" s="162">
        <f>IF(INDEX([1]Historical!$H$7:$H$1222,MATCH(B420,[1]Historical!$B$7:$B$1253,0))=0,"n/a",((INDEX([1]Historical!$C$7:$C$1231,MATCH(B420,[1]Historical!$B$7:$B$1253,0))/INDEX([1]Historical!$H$7:$H$1222,MATCH(B420,[1]Historical!$B$7:$B$1253,0)))^(1/5)-1)*100)</f>
        <v>40.061171010826072</v>
      </c>
      <c r="V420" s="162" t="str">
        <f>IF(INDEX([1]Historical!$N$7:$N$1222,MATCH(B420,[1]Historical!$B$7:$B$1253,0))=0,"n/a",((INDEX([1]Historical!$C$7:$C$1231,MATCH(B420,[1]Historical!$B$7:$B$1253,0))/INDEX([1]Historical!$N$7:$N$1222,MATCH(B420,[1]Historical!$B$7:$B$1253,0)))^(1/10)-1)*100)</f>
        <v>n/a</v>
      </c>
      <c r="W420" s="163" t="str">
        <f t="shared" si="111"/>
        <v>n/a</v>
      </c>
      <c r="X420" s="164">
        <f t="shared" si="112"/>
        <v>0.71283222439192295</v>
      </c>
      <c r="Y420" s="178"/>
      <c r="Z420" s="157">
        <f t="shared" si="113"/>
        <v>48.700816629547141</v>
      </c>
      <c r="AA420" s="166">
        <f t="shared" si="114"/>
        <v>8.6852264291017072</v>
      </c>
      <c r="AB420" s="126">
        <v>12</v>
      </c>
      <c r="AC420" s="167">
        <v>13.47</v>
      </c>
      <c r="AD420" s="167">
        <v>0.44</v>
      </c>
      <c r="AE420" s="167">
        <v>0.77</v>
      </c>
      <c r="AF420" s="167">
        <v>10.3</v>
      </c>
      <c r="AG420" s="167">
        <v>84.3</v>
      </c>
      <c r="AH420" s="167">
        <v>60</v>
      </c>
      <c r="AI420" s="167">
        <v>25.900000000000002</v>
      </c>
      <c r="AJ420" s="167">
        <v>56.2</v>
      </c>
      <c r="AK420" s="167">
        <v>20</v>
      </c>
      <c r="AL420" s="168">
        <v>1280</v>
      </c>
      <c r="AM420" s="169">
        <v>0.3</v>
      </c>
      <c r="AN420" s="167">
        <v>0.21</v>
      </c>
      <c r="AO420" s="170">
        <f t="shared" si="115"/>
        <v>36.98326144641365</v>
      </c>
      <c r="AP420" s="171">
        <f t="shared" si="116"/>
        <v>45.66848787551536</v>
      </c>
      <c r="AQ420" s="172">
        <f t="shared" si="117"/>
        <v>99.396681371857468</v>
      </c>
      <c r="AR420" s="157">
        <f>INDEX([1]Historical!$C$7:$C$1231,MATCH(B420,[1]Historical!$B$7:$B$1253,0))*IF(AH420="n/a",1.03,IF(AH420&lt;0,1.01,IF(AH420&gt;10,1.1,(1+AH420/100))))</f>
        <v>5.9290000000000003</v>
      </c>
      <c r="AS420" s="166">
        <f t="shared" si="118"/>
        <v>6.5219000000000005</v>
      </c>
      <c r="AT420" s="166">
        <f t="shared" si="123"/>
        <v>7.1740900000000014</v>
      </c>
      <c r="AU420" s="166">
        <f t="shared" si="123"/>
        <v>7.8914990000000023</v>
      </c>
      <c r="AV420" s="166">
        <f t="shared" si="123"/>
        <v>8.6806489000000031</v>
      </c>
      <c r="AW420" s="157">
        <f t="shared" si="120"/>
        <v>36.197137900000008</v>
      </c>
      <c r="AX420" s="173">
        <f t="shared" si="121"/>
        <v>30.940369176852734</v>
      </c>
      <c r="AY420" s="174">
        <v>1.21</v>
      </c>
      <c r="AZ420" s="169">
        <v>9.34</v>
      </c>
      <c r="BA420" s="169">
        <v>-50.370000000000005</v>
      </c>
      <c r="BB420" s="169">
        <v>-2.0099999999999998</v>
      </c>
      <c r="BC420" s="169">
        <v>-28.23</v>
      </c>
      <c r="BE420" s="77">
        <v>2016</v>
      </c>
      <c r="BF420" s="77">
        <f t="shared" si="122"/>
        <v>1</v>
      </c>
      <c r="BG420" s="175">
        <v>41</v>
      </c>
      <c r="BH420" t="s">
        <v>939</v>
      </c>
      <c r="BI420" t="s">
        <v>940</v>
      </c>
      <c r="BJ420" s="112"/>
      <c r="BK420" s="112"/>
      <c r="BL420" s="112"/>
    </row>
    <row r="421" spans="1:64" ht="11.25" customHeight="1" x14ac:dyDescent="0.2">
      <c r="A421" s="176" t="s">
        <v>1512</v>
      </c>
      <c r="B421" s="153" t="s">
        <v>820</v>
      </c>
      <c r="C421" s="154" t="s">
        <v>90</v>
      </c>
      <c r="D421" s="154" t="s">
        <v>110</v>
      </c>
      <c r="E421" s="155">
        <v>10</v>
      </c>
      <c r="F421" s="298">
        <v>489</v>
      </c>
      <c r="G421" s="298" t="s">
        <v>88</v>
      </c>
      <c r="H421" s="298" t="s">
        <v>88</v>
      </c>
      <c r="I421" s="156">
        <v>73.209999999999994</v>
      </c>
      <c r="J421" s="157">
        <f t="shared" si="108"/>
        <v>2.7318672312525614</v>
      </c>
      <c r="K421" s="158">
        <v>0.5</v>
      </c>
      <c r="L421" s="126">
        <v>4</v>
      </c>
      <c r="M421" s="82">
        <f t="shared" si="109"/>
        <v>2</v>
      </c>
      <c r="N421" s="159" t="s">
        <v>147</v>
      </c>
      <c r="O421" s="160">
        <v>0.48</v>
      </c>
      <c r="P421" s="161">
        <v>44690</v>
      </c>
      <c r="Q421" s="161">
        <v>44726</v>
      </c>
      <c r="R421" s="82">
        <f t="shared" si="110"/>
        <v>4.1666666666666705</v>
      </c>
      <c r="S421" s="162">
        <f>IF(INDEX([1]Historical!$D$7:$D$1229,MATCH(B421,[1]Historical!$B$7:$B$1253,0))=0,"n/a",(INDEX([1]Historical!$C$7:$C$1231,MATCH(B421,[1]Historical!$B$7:$B$1253,0))/INDEX([1]Historical!$D$7:$D$1229,MATCH(B421,[1]Historical!$B$7:$B$1253,0))-1)*100)</f>
        <v>4.39560439560438</v>
      </c>
      <c r="T421" s="162">
        <f>IF(INDEX([1]Historical!$F$7:$F$1222,MATCH(B421,[1]Historical!$B$7:$B$1253,0))=0,"n/a",((INDEX([1]Historical!$C$7:$C$1231,MATCH(B421,[1]Historical!$B$7:$B$1253,0))/INDEX([1]Historical!$F$7:$F$1222,MATCH(B421,[1]Historical!$B$7:$B$1253,0)))^(1/3)-1)*100)</f>
        <v>4.604051127515274</v>
      </c>
      <c r="U421" s="162">
        <f>IF(INDEX([1]Historical!$H$7:$H$1222,MATCH(B421,[1]Historical!$B$7:$B$1253,0))=0,"n/a",((INDEX([1]Historical!$C$7:$C$1231,MATCH(B421,[1]Historical!$B$7:$B$1253,0))/INDEX([1]Historical!$H$7:$H$1222,MATCH(B421,[1]Historical!$B$7:$B$1253,0)))^(1/5)-1)*100)</f>
        <v>3.8232473709484127</v>
      </c>
      <c r="V421" s="162">
        <f>IF(INDEX([1]Historical!$N$7:$N$1222,MATCH(B421,[1]Historical!$B$7:$B$1253,0))=0,"n/a",((INDEX([1]Historical!$C$7:$C$1231,MATCH(B421,[1]Historical!$B$7:$B$1253,0))/INDEX([1]Historical!$N$7:$N$1222,MATCH(B421,[1]Historical!$B$7:$B$1253,0)))^(1/10)-1)*100)</f>
        <v>11.160693128838206</v>
      </c>
      <c r="W421" s="163">
        <f t="shared" si="111"/>
        <v>0.34256361381978084</v>
      </c>
      <c r="X421" s="164">
        <f t="shared" si="112"/>
        <v>0.20778518320371811</v>
      </c>
      <c r="Y421" s="222"/>
      <c r="Z421" s="157">
        <f t="shared" si="113"/>
        <v>49.875311720698257</v>
      </c>
      <c r="AA421" s="166">
        <f t="shared" si="114"/>
        <v>18.256857855361595</v>
      </c>
      <c r="AB421" s="126">
        <v>12</v>
      </c>
      <c r="AC421" s="167">
        <v>4.01</v>
      </c>
      <c r="AD421" s="167" t="s">
        <v>95</v>
      </c>
      <c r="AE421" s="167">
        <v>0.83</v>
      </c>
      <c r="AF421" s="167">
        <v>1.6</v>
      </c>
      <c r="AG421" s="167">
        <v>6</v>
      </c>
      <c r="AH421" s="167">
        <v>28.599999999999998</v>
      </c>
      <c r="AI421" s="167">
        <v>15.83</v>
      </c>
      <c r="AJ421" s="167">
        <v>18.399999999999999</v>
      </c>
      <c r="AK421" s="167">
        <v>-0.43</v>
      </c>
      <c r="AL421" s="168">
        <v>56750</v>
      </c>
      <c r="AM421" s="169">
        <v>0.1</v>
      </c>
      <c r="AN421" s="167">
        <v>0.46</v>
      </c>
      <c r="AO421" s="170">
        <f t="shared" si="115"/>
        <v>-11.701743253160622</v>
      </c>
      <c r="AP421" s="171">
        <f t="shared" si="116"/>
        <v>6.5551146022009741</v>
      </c>
      <c r="AQ421" s="172">
        <f t="shared" si="117"/>
        <v>13.941451960749562</v>
      </c>
      <c r="AR421" s="157">
        <f>INDEX([1]Historical!$C$7:$C$1231,MATCH(B421,[1]Historical!$B$7:$B$1253,0))*IF(AH421="n/a",1.03,IF(AH421&lt;0,1.01,IF(AH421&gt;10,1.1,(1+AH421/100))))</f>
        <v>2.09</v>
      </c>
      <c r="AS421" s="166">
        <f t="shared" si="118"/>
        <v>2.2989999999999999</v>
      </c>
      <c r="AT421" s="166">
        <f t="shared" si="123"/>
        <v>2.32199</v>
      </c>
      <c r="AU421" s="166">
        <f t="shared" si="123"/>
        <v>2.3452099</v>
      </c>
      <c r="AV421" s="166">
        <f t="shared" si="123"/>
        <v>2.368661999</v>
      </c>
      <c r="AW421" s="157">
        <f t="shared" si="120"/>
        <v>11.424861899</v>
      </c>
      <c r="AX421" s="173">
        <f t="shared" si="121"/>
        <v>15.605602921732004</v>
      </c>
      <c r="AY421" s="174">
        <v>1.05</v>
      </c>
      <c r="AZ421" s="169">
        <v>28.33</v>
      </c>
      <c r="BA421" s="169">
        <v>0</v>
      </c>
      <c r="BB421" s="169">
        <v>11.64</v>
      </c>
      <c r="BC421" s="169">
        <v>11.04</v>
      </c>
      <c r="BE421" s="77">
        <v>2013</v>
      </c>
      <c r="BF421" s="77">
        <f t="shared" si="122"/>
        <v>1</v>
      </c>
      <c r="BG421" s="175">
        <v>0.5</v>
      </c>
      <c r="BH421" t="s">
        <v>939</v>
      </c>
      <c r="BI421" t="s">
        <v>940</v>
      </c>
    </row>
    <row r="422" spans="1:64" s="252" customFormat="1" ht="11.25" customHeight="1" x14ac:dyDescent="0.2">
      <c r="A422" s="325" t="s">
        <v>912</v>
      </c>
      <c r="B422" s="184" t="s">
        <v>913</v>
      </c>
      <c r="C422" s="154" t="s">
        <v>90</v>
      </c>
      <c r="D422" s="154" t="s">
        <v>110</v>
      </c>
      <c r="E422" s="185">
        <v>9</v>
      </c>
      <c r="F422" s="298">
        <v>523</v>
      </c>
      <c r="G422" s="297" t="s">
        <v>88</v>
      </c>
      <c r="H422" s="297" t="s">
        <v>88</v>
      </c>
      <c r="I422" s="326">
        <v>16.55</v>
      </c>
      <c r="J422" s="187">
        <f t="shared" si="108"/>
        <v>7.9758308157099691</v>
      </c>
      <c r="K422" s="208">
        <v>0.33</v>
      </c>
      <c r="L422" s="297">
        <v>4</v>
      </c>
      <c r="M422" s="190">
        <f t="shared" si="109"/>
        <v>1.32</v>
      </c>
      <c r="N422" s="297" t="s">
        <v>231</v>
      </c>
      <c r="O422" s="327">
        <v>0.28000000000000003</v>
      </c>
      <c r="P422" s="193">
        <v>44614</v>
      </c>
      <c r="Q422" s="193">
        <v>44641</v>
      </c>
      <c r="R422" s="190">
        <f t="shared" si="110"/>
        <v>17.857142857142851</v>
      </c>
      <c r="S422" s="162">
        <f>IF(INDEX([1]Historical!$D$7:$D$1229,MATCH(B422,[1]Historical!$B$7:$B$1253,0))=0,"n/a",(INDEX([1]Historical!$C$7:$C$1231,MATCH(B422,[1]Historical!$B$7:$B$1253,0))/INDEX([1]Historical!$D$7:$D$1229,MATCH(B422,[1]Historical!$B$7:$B$1253,0))-1)*100)</f>
        <v>4.4642857142856984</v>
      </c>
      <c r="T422" s="162">
        <f>IF(INDEX([1]Historical!$F$7:$F$1222,MATCH(B422,[1]Historical!$B$7:$B$1253,0))=0,"n/a",((INDEX([1]Historical!$C$7:$C$1231,MATCH(B422,[1]Historical!$B$7:$B$1253,0))/INDEX([1]Historical!$F$7:$F$1222,MATCH(B422,[1]Historical!$B$7:$B$1253,0)))^(1/3)-1)*100)</f>
        <v>8.7380373002892142</v>
      </c>
      <c r="U422" s="162">
        <f>IF(INDEX([1]Historical!$H$7:$H$1222,MATCH(B422,[1]Historical!$B$7:$B$1253,0))=0,"n/a",((INDEX([1]Historical!$C$7:$C$1231,MATCH(B422,[1]Historical!$B$7:$B$1253,0))/INDEX([1]Historical!$H$7:$H$1222,MATCH(B422,[1]Historical!$B$7:$B$1253,0)))^(1/5)-1)*100)</f>
        <v>9.5950220583515424</v>
      </c>
      <c r="V422" s="162">
        <f>IF(INDEX([1]Historical!$N$7:$N$1222,MATCH(B422,[1]Historical!$B$7:$B$1253,0))=0,"n/a",((INDEX([1]Historical!$C$7:$C$1231,MATCH(B422,[1]Historical!$B$7:$B$1253,0))/INDEX([1]Historical!$N$7:$N$1222,MATCH(B422,[1]Historical!$B$7:$B$1253,0)))^(1/10)-1)*100)</f>
        <v>8.4471771197698544</v>
      </c>
      <c r="W422" s="163">
        <f t="shared" si="111"/>
        <v>1.1358850326335954</v>
      </c>
      <c r="X422" s="164">
        <f t="shared" si="112"/>
        <v>0.47736428151002697</v>
      </c>
      <c r="Y422" s="227" t="s">
        <v>1754</v>
      </c>
      <c r="Z422" s="187">
        <f t="shared" si="113"/>
        <v>46.315789473684212</v>
      </c>
      <c r="AA422" s="194">
        <f t="shared" si="114"/>
        <v>5.807017543859649</v>
      </c>
      <c r="AB422" s="189">
        <v>12</v>
      </c>
      <c r="AC422" s="203">
        <v>2.85</v>
      </c>
      <c r="AD422" s="203">
        <v>0.68</v>
      </c>
      <c r="AE422" s="195">
        <v>1.42</v>
      </c>
      <c r="AF422" s="195">
        <v>0.91</v>
      </c>
      <c r="AG422" s="195">
        <v>15.299999999999999</v>
      </c>
      <c r="AH422" s="195">
        <v>20.7</v>
      </c>
      <c r="AI422" s="195">
        <v>6.1</v>
      </c>
      <c r="AJ422" s="328">
        <v>20.100000000000001</v>
      </c>
      <c r="AK422" s="328">
        <v>8.6</v>
      </c>
      <c r="AL422" s="203">
        <v>31160</v>
      </c>
      <c r="AM422" s="203">
        <v>0.02</v>
      </c>
      <c r="AN422" s="203">
        <v>0.27</v>
      </c>
      <c r="AO422" s="198">
        <f t="shared" si="115"/>
        <v>11.763835330201863</v>
      </c>
      <c r="AP422" s="199">
        <f t="shared" si="116"/>
        <v>17.570852874061512</v>
      </c>
      <c r="AQ422" s="172">
        <f t="shared" si="117"/>
        <v>-51.537478559143679</v>
      </c>
      <c r="AR422" s="157">
        <f>INDEX([1]Historical!$C$7:$C$1231,MATCH(B422,[1]Historical!$B$7:$B$1253,0))*IF(AH422="n/a",1.03,IF(AH422&lt;0,1.01,IF(AH422&gt;10,1.1,(1+AH422/100))))</f>
        <v>1.2869999999999999</v>
      </c>
      <c r="AS422" s="194">
        <f t="shared" si="118"/>
        <v>1.3655069999999998</v>
      </c>
      <c r="AT422" s="194">
        <f t="shared" si="123"/>
        <v>1.482940602</v>
      </c>
      <c r="AU422" s="194">
        <f t="shared" si="123"/>
        <v>1.6104734937720002</v>
      </c>
      <c r="AV422" s="194">
        <f t="shared" si="123"/>
        <v>1.7489742142363924</v>
      </c>
      <c r="AW422" s="187">
        <f t="shared" si="120"/>
        <v>7.4948953100083928</v>
      </c>
      <c r="AX422" s="200">
        <f t="shared" si="121"/>
        <v>45.286376495518986</v>
      </c>
      <c r="AY422" s="329">
        <v>1.1399999999999999</v>
      </c>
      <c r="AZ422" s="195">
        <v>10.92</v>
      </c>
      <c r="BA422" s="195">
        <v>-25.419999999999998</v>
      </c>
      <c r="BB422" s="195">
        <v>-0.91999999999999993</v>
      </c>
      <c r="BC422" s="195">
        <v>-11.18</v>
      </c>
      <c r="BD422" s="202"/>
      <c r="BE422" s="77">
        <v>2014</v>
      </c>
      <c r="BF422" s="77">
        <f t="shared" si="122"/>
        <v>1</v>
      </c>
      <c r="BG422" s="203">
        <v>0.89999999999999991</v>
      </c>
      <c r="BH422" t="s">
        <v>1023</v>
      </c>
      <c r="BI422" t="s">
        <v>940</v>
      </c>
      <c r="BJ422" s="208"/>
      <c r="BK422" s="208"/>
      <c r="BL422" s="208"/>
    </row>
    <row r="423" spans="1:64" ht="11.25" customHeight="1" x14ac:dyDescent="0.2">
      <c r="A423" s="112" t="s">
        <v>365</v>
      </c>
      <c r="B423" s="153" t="s">
        <v>366</v>
      </c>
      <c r="C423" s="154" t="s">
        <v>100</v>
      </c>
      <c r="D423" s="154" t="s">
        <v>1089</v>
      </c>
      <c r="E423" s="155">
        <v>13</v>
      </c>
      <c r="F423" s="298">
        <v>281</v>
      </c>
      <c r="G423" s="298" t="s">
        <v>88</v>
      </c>
      <c r="H423" s="298" t="s">
        <v>88</v>
      </c>
      <c r="I423" s="156">
        <v>55.73</v>
      </c>
      <c r="J423" s="157">
        <f t="shared" si="108"/>
        <v>3.2298582451103535</v>
      </c>
      <c r="K423" s="158">
        <v>0.45</v>
      </c>
      <c r="L423" s="126">
        <v>4</v>
      </c>
      <c r="M423" s="82">
        <f t="shared" si="109"/>
        <v>1.8</v>
      </c>
      <c r="N423" s="159" t="s">
        <v>319</v>
      </c>
      <c r="O423" s="160">
        <v>0.43</v>
      </c>
      <c r="P423" s="161">
        <v>44616</v>
      </c>
      <c r="Q423" s="161">
        <v>44631</v>
      </c>
      <c r="R423" s="82">
        <f t="shared" si="110"/>
        <v>4.6511627906976782</v>
      </c>
      <c r="S423" s="162">
        <f>IF(INDEX([1]Historical!$D$7:$D$1229,MATCH(B423,[1]Historical!$B$7:$B$1253,0))=0,"n/a",(INDEX([1]Historical!$C$7:$C$1231,MATCH(B423,[1]Historical!$B$7:$B$1253,0))/INDEX([1]Historical!$D$7:$D$1229,MATCH(B423,[1]Historical!$B$7:$B$1253,0))-1)*100)</f>
        <v>7.4999999999999956</v>
      </c>
      <c r="T423" s="162">
        <f>IF(INDEX([1]Historical!$F$7:$F$1222,MATCH(B423,[1]Historical!$B$7:$B$1253,0))=0,"n/a",((INDEX([1]Historical!$C$7:$C$1231,MATCH(B423,[1]Historical!$B$7:$B$1253,0))/INDEX([1]Historical!$F$7:$F$1222,MATCH(B423,[1]Historical!$B$7:$B$1253,0)))^(1/3)-1)*100)</f>
        <v>9.2240238124367213</v>
      </c>
      <c r="U423" s="162">
        <f>IF(INDEX([1]Historical!$H$7:$H$1222,MATCH(B423,[1]Historical!$B$7:$B$1253,0))=0,"n/a",((INDEX([1]Historical!$C$7:$C$1231,MATCH(B423,[1]Historical!$B$7:$B$1253,0))/INDEX([1]Historical!$H$7:$H$1222,MATCH(B423,[1]Historical!$B$7:$B$1253,0)))^(1/5)-1)*100)</f>
        <v>11.456573996486764</v>
      </c>
      <c r="V423" s="162">
        <f>IF(INDEX([1]Historical!$N$7:$N$1222,MATCH(B423,[1]Historical!$B$7:$B$1253,0))=0,"n/a",((INDEX([1]Historical!$C$7:$C$1231,MATCH(B423,[1]Historical!$B$7:$B$1253,0))/INDEX([1]Historical!$N$7:$N$1222,MATCH(B423,[1]Historical!$B$7:$B$1253,0)))^(1/10)-1)*100)</f>
        <v>13.15033504297265</v>
      </c>
      <c r="W423" s="163">
        <f t="shared" si="111"/>
        <v>0.87120016022778013</v>
      </c>
      <c r="X423" s="164" t="str">
        <f t="shared" si="112"/>
        <v>n/a</v>
      </c>
      <c r="Y423" s="178" t="s">
        <v>253</v>
      </c>
      <c r="Z423" s="157">
        <f t="shared" si="113"/>
        <v>79.646017699115063</v>
      </c>
      <c r="AA423" s="166">
        <f t="shared" si="114"/>
        <v>24.659292035398231</v>
      </c>
      <c r="AB423" s="126">
        <v>12</v>
      </c>
      <c r="AC423" s="167">
        <v>2.2599999999999998</v>
      </c>
      <c r="AD423" s="167">
        <v>0.62</v>
      </c>
      <c r="AE423" s="167">
        <v>0.44</v>
      </c>
      <c r="AF423" s="167">
        <v>1.49</v>
      </c>
      <c r="AG423" s="167">
        <v>5.8999999999999995</v>
      </c>
      <c r="AH423" s="167">
        <v>98.4</v>
      </c>
      <c r="AI423" s="167">
        <v>41.31</v>
      </c>
      <c r="AJ423" s="167">
        <v>-0.6</v>
      </c>
      <c r="AK423" s="167">
        <v>39.800000000000004</v>
      </c>
      <c r="AL423" s="168">
        <v>15760</v>
      </c>
      <c r="AM423" s="169">
        <v>1.6</v>
      </c>
      <c r="AN423" s="167">
        <v>0.32</v>
      </c>
      <c r="AO423" s="170">
        <f t="shared" si="115"/>
        <v>-9.9728597938011134</v>
      </c>
      <c r="AP423" s="171">
        <f t="shared" si="116"/>
        <v>14.686432241597117</v>
      </c>
      <c r="AQ423" s="172">
        <f t="shared" si="117"/>
        <v>27.788619094613274</v>
      </c>
      <c r="AR423" s="157">
        <f>INDEX([1]Historical!$C$7:$C$1231,MATCH(B423,[1]Historical!$B$7:$B$1253,0))*IF(AH423="n/a",1.03,IF(AH423&lt;0,1.01,IF(AH423&gt;10,1.1,(1+AH423/100))))</f>
        <v>1.8920000000000001</v>
      </c>
      <c r="AS423" s="166">
        <f t="shared" si="118"/>
        <v>2.0812000000000004</v>
      </c>
      <c r="AT423" s="166">
        <f t="shared" ref="AT423:AV438" si="124">IF($AK423="n/a",1.03*AS423,IF($AK423&lt;0,1.01*AS423,IF($AK423&gt;10,1.1*AS423,(1+$AK423/100)*AS423)))</f>
        <v>2.2893200000000005</v>
      </c>
      <c r="AU423" s="166">
        <f t="shared" si="124"/>
        <v>2.5182520000000008</v>
      </c>
      <c r="AV423" s="166">
        <f t="shared" si="124"/>
        <v>2.7700772000000011</v>
      </c>
      <c r="AW423" s="157">
        <f t="shared" si="120"/>
        <v>11.550849200000002</v>
      </c>
      <c r="AX423" s="173">
        <f t="shared" si="121"/>
        <v>20.726447514803521</v>
      </c>
      <c r="AY423" s="174">
        <v>1.52</v>
      </c>
      <c r="AZ423" s="169">
        <v>22.27</v>
      </c>
      <c r="BA423" s="169">
        <v>-38.18</v>
      </c>
      <c r="BB423" s="169">
        <v>3.64</v>
      </c>
      <c r="BC423" s="169">
        <v>-10.34</v>
      </c>
      <c r="BE423" s="77">
        <v>2011</v>
      </c>
      <c r="BF423" s="77">
        <f t="shared" si="122"/>
        <v>1</v>
      </c>
      <c r="BG423" s="175">
        <v>2.4</v>
      </c>
      <c r="BH423" t="s">
        <v>939</v>
      </c>
      <c r="BI423" t="s">
        <v>940</v>
      </c>
    </row>
    <row r="424" spans="1:64" ht="11.25" customHeight="1" x14ac:dyDescent="0.2">
      <c r="A424" s="112" t="s">
        <v>1513</v>
      </c>
      <c r="B424" s="153" t="s">
        <v>377</v>
      </c>
      <c r="C424" s="154" t="s">
        <v>117</v>
      </c>
      <c r="D424" s="154" t="s">
        <v>957</v>
      </c>
      <c r="E424" s="155">
        <v>47</v>
      </c>
      <c r="F424" s="298">
        <v>56</v>
      </c>
      <c r="G424" s="298" t="s">
        <v>30</v>
      </c>
      <c r="H424" s="298" t="s">
        <v>30</v>
      </c>
      <c r="I424" s="167">
        <v>68.09</v>
      </c>
      <c r="J424" s="157">
        <f t="shared" si="108"/>
        <v>2.3938904391246876</v>
      </c>
      <c r="K424" s="158">
        <v>0.40749999999999997</v>
      </c>
      <c r="L424" s="126">
        <v>4</v>
      </c>
      <c r="M424" s="82">
        <f t="shared" si="109"/>
        <v>1.63</v>
      </c>
      <c r="N424" s="159" t="s">
        <v>167</v>
      </c>
      <c r="O424" s="160">
        <v>0.38750000000000001</v>
      </c>
      <c r="P424" s="161">
        <v>44804</v>
      </c>
      <c r="Q424" s="161">
        <v>44819</v>
      </c>
      <c r="R424" s="82">
        <f t="shared" si="110"/>
        <v>5.1612903225806352</v>
      </c>
      <c r="S424" s="162">
        <f>IF(INDEX([1]Historical!$D$7:$D$1229,MATCH(B424,[1]Historical!$B$7:$B$1253,0))=0,"n/a",(INDEX([1]Historical!$C$7:$C$1231,MATCH(B424,[1]Historical!$B$7:$B$1253,0))/INDEX([1]Historical!$D$7:$D$1229,MATCH(B424,[1]Historical!$B$7:$B$1253,0))-1)*100)</f>
        <v>4.8442906574394318</v>
      </c>
      <c r="T424" s="162">
        <f>IF(INDEX([1]Historical!$F$7:$F$1222,MATCH(B424,[1]Historical!$B$7:$B$1253,0))=0,"n/a",((INDEX([1]Historical!$C$7:$C$1231,MATCH(B424,[1]Historical!$B$7:$B$1253,0))/INDEX([1]Historical!$F$7:$F$1222,MATCH(B424,[1]Historical!$B$7:$B$1253,0)))^(1/3)-1)*100)</f>
        <v>4.6998920438107383</v>
      </c>
      <c r="U424" s="162">
        <f>IF(INDEX([1]Historical!$H$7:$H$1222,MATCH(B424,[1]Historical!$B$7:$B$1253,0))=0,"n/a",((INDEX([1]Historical!$C$7:$C$1231,MATCH(B424,[1]Historical!$B$7:$B$1253,0))/INDEX([1]Historical!$H$7:$H$1222,MATCH(B424,[1]Historical!$B$7:$B$1253,0)))^(1/5)-1)*100)</f>
        <v>4.6851590432896106</v>
      </c>
      <c r="V424" s="162">
        <f>IF(INDEX([1]Historical!$N$7:$N$1222,MATCH(B424,[1]Historical!$B$7:$B$1253,0))=0,"n/a",((INDEX([1]Historical!$C$7:$C$1231,MATCH(B424,[1]Historical!$B$7:$B$1253,0))/INDEX([1]Historical!$N$7:$N$1222,MATCH(B424,[1]Historical!$B$7:$B$1253,0)))^(1/10)-1)*100)</f>
        <v>4.1352252809612633</v>
      </c>
      <c r="W424" s="163">
        <f t="shared" si="111"/>
        <v>1.1329876185610162</v>
      </c>
      <c r="X424" s="164">
        <f t="shared" si="112"/>
        <v>0.76805885955567388</v>
      </c>
      <c r="Y424" s="212"/>
      <c r="Z424" s="157">
        <f t="shared" si="113"/>
        <v>56.597222222222221</v>
      </c>
      <c r="AA424" s="166">
        <f t="shared" si="114"/>
        <v>23.642361111111114</v>
      </c>
      <c r="AB424" s="126">
        <v>12</v>
      </c>
      <c r="AC424" s="167">
        <v>2.88</v>
      </c>
      <c r="AD424" s="167">
        <v>5.66</v>
      </c>
      <c r="AE424" s="167">
        <v>3.59</v>
      </c>
      <c r="AF424" s="167">
        <v>2.34</v>
      </c>
      <c r="AG424" s="167">
        <v>10</v>
      </c>
      <c r="AH424" s="167">
        <v>12.7</v>
      </c>
      <c r="AI424" s="167">
        <v>7.1800000000000006</v>
      </c>
      <c r="AJ424" s="167">
        <v>6.1</v>
      </c>
      <c r="AK424" s="167">
        <v>4.2</v>
      </c>
      <c r="AL424" s="168">
        <v>2400</v>
      </c>
      <c r="AM424" s="169">
        <v>0.15</v>
      </c>
      <c r="AN424" s="167">
        <v>0.6</v>
      </c>
      <c r="AO424" s="170">
        <f t="shared" si="115"/>
        <v>-16.563311628696816</v>
      </c>
      <c r="AP424" s="171">
        <f t="shared" si="116"/>
        <v>7.0790494824142982</v>
      </c>
      <c r="AQ424" s="172">
        <f t="shared" si="117"/>
        <v>56.805789292218265</v>
      </c>
      <c r="AR424" s="157">
        <f>INDEX([1]Historical!$C$7:$C$1231,MATCH(B424,[1]Historical!$B$7:$B$1253,0))*IF(AH424="n/a",1.03,IF(AH424&lt;0,1.01,IF(AH424&gt;10,1.1,(1+AH424/100))))</f>
        <v>1.6665000000000001</v>
      </c>
      <c r="AS424" s="166">
        <f t="shared" si="118"/>
        <v>1.7861547000000002</v>
      </c>
      <c r="AT424" s="166">
        <f t="shared" si="124"/>
        <v>1.8611731974000003</v>
      </c>
      <c r="AU424" s="166">
        <f t="shared" si="124"/>
        <v>1.9393424716908003</v>
      </c>
      <c r="AV424" s="166">
        <f t="shared" si="124"/>
        <v>2.0207948555018138</v>
      </c>
      <c r="AW424" s="157">
        <f t="shared" si="120"/>
        <v>9.2739652245926152</v>
      </c>
      <c r="AX424" s="173">
        <f t="shared" si="121"/>
        <v>13.620157474801903</v>
      </c>
      <c r="AY424" s="174">
        <v>0.68</v>
      </c>
      <c r="AZ424" s="169">
        <v>10.41</v>
      </c>
      <c r="BA424" s="169">
        <v>-21.07</v>
      </c>
      <c r="BB424" s="169">
        <v>-5.7</v>
      </c>
      <c r="BC424" s="169">
        <v>-11.25</v>
      </c>
      <c r="BE424" s="77">
        <v>1976</v>
      </c>
      <c r="BF424" s="77">
        <f t="shared" si="122"/>
        <v>5</v>
      </c>
      <c r="BG424" s="175">
        <v>4.3999999999999995</v>
      </c>
      <c r="BH424" t="s">
        <v>939</v>
      </c>
      <c r="BI424" t="s">
        <v>940</v>
      </c>
    </row>
    <row r="425" spans="1:64" ht="11.25" customHeight="1" x14ac:dyDescent="0.2">
      <c r="A425" s="176" t="s">
        <v>1514</v>
      </c>
      <c r="B425" s="153" t="s">
        <v>373</v>
      </c>
      <c r="C425" s="154" t="s">
        <v>94</v>
      </c>
      <c r="D425" s="154" t="s">
        <v>943</v>
      </c>
      <c r="E425" s="155">
        <v>30</v>
      </c>
      <c r="F425" s="298">
        <v>100</v>
      </c>
      <c r="G425" s="298" t="s">
        <v>88</v>
      </c>
      <c r="H425" s="298" t="s">
        <v>88</v>
      </c>
      <c r="I425" s="167">
        <v>94.05</v>
      </c>
      <c r="J425" s="157">
        <f t="shared" si="108"/>
        <v>1.9351408825093035</v>
      </c>
      <c r="K425" s="209">
        <v>0.45500000000000002</v>
      </c>
      <c r="L425" s="126">
        <v>4</v>
      </c>
      <c r="M425" s="82">
        <f t="shared" si="109"/>
        <v>1.82</v>
      </c>
      <c r="N425" s="159" t="s">
        <v>309</v>
      </c>
      <c r="O425" s="210">
        <v>0.435</v>
      </c>
      <c r="P425" s="161">
        <v>44664</v>
      </c>
      <c r="Q425" s="161">
        <v>44680</v>
      </c>
      <c r="R425" s="82">
        <f t="shared" si="110"/>
        <v>4.5977011494252915</v>
      </c>
      <c r="S425" s="162">
        <f>IF(INDEX([1]Historical!$D$7:$D$1229,MATCH(B425,[1]Historical!$B$7:$B$1253,0))=0,"n/a",(INDEX([1]Historical!$C$7:$C$1231,MATCH(B425,[1]Historical!$B$7:$B$1253,0))/INDEX([1]Historical!$D$7:$D$1229,MATCH(B425,[1]Historical!$B$7:$B$1253,0))-1)*100)</f>
        <v>5.5045871559633142</v>
      </c>
      <c r="T425" s="162">
        <f>IF(INDEX([1]Historical!$F$7:$F$1222,MATCH(B425,[1]Historical!$B$7:$B$1253,0))=0,"n/a",((INDEX([1]Historical!$C$7:$C$1231,MATCH(B425,[1]Historical!$B$7:$B$1253,0))/INDEX([1]Historical!$F$7:$F$1222,MATCH(B425,[1]Historical!$B$7:$B$1253,0)))^(1/3)-1)*100)</f>
        <v>10.456949030045148</v>
      </c>
      <c r="U425" s="162">
        <f>IF(INDEX([1]Historical!$H$7:$H$1222,MATCH(B425,[1]Historical!$B$7:$B$1253,0))=0,"n/a",((INDEX([1]Historical!$C$7:$C$1231,MATCH(B425,[1]Historical!$B$7:$B$1253,0))/INDEX([1]Historical!$H$7:$H$1222,MATCH(B425,[1]Historical!$B$7:$B$1253,0)))^(1/5)-1)*100)</f>
        <v>11.189713560568549</v>
      </c>
      <c r="V425" s="162">
        <f>IF(INDEX([1]Historical!$N$7:$N$1222,MATCH(B425,[1]Historical!$B$7:$B$1253,0))=0,"n/a",((INDEX([1]Historical!$C$7:$C$1231,MATCH(B425,[1]Historical!$B$7:$B$1253,0))/INDEX([1]Historical!$N$7:$N$1222,MATCH(B425,[1]Historical!$B$7:$B$1253,0)))^(1/10)-1)*100)</f>
        <v>6.5459142973809836</v>
      </c>
      <c r="W425" s="163">
        <f t="shared" si="111"/>
        <v>1.7094195023368313</v>
      </c>
      <c r="X425" s="164">
        <f t="shared" si="112"/>
        <v>0.61821621881594202</v>
      </c>
      <c r="Y425" s="153"/>
      <c r="Z425" s="157">
        <f t="shared" si="113"/>
        <v>46.192893401015226</v>
      </c>
      <c r="AA425" s="166">
        <f t="shared" si="114"/>
        <v>23.870558375634516</v>
      </c>
      <c r="AB425" s="126">
        <v>12</v>
      </c>
      <c r="AC425" s="167">
        <v>3.94</v>
      </c>
      <c r="AD425" s="167">
        <v>2.4500000000000002</v>
      </c>
      <c r="AE425" s="167">
        <v>3.14</v>
      </c>
      <c r="AF425" s="167">
        <v>3.05</v>
      </c>
      <c r="AG425" s="167">
        <v>13.900000000000002</v>
      </c>
      <c r="AH425" s="167">
        <v>-12</v>
      </c>
      <c r="AI425" s="167">
        <v>3.6999999999999997</v>
      </c>
      <c r="AJ425" s="167">
        <v>18.099999999999998</v>
      </c>
      <c r="AK425" s="167">
        <v>10</v>
      </c>
      <c r="AL425" s="168">
        <v>2110</v>
      </c>
      <c r="AM425" s="169">
        <v>0.89999999999999991</v>
      </c>
      <c r="AN425" s="167">
        <v>0.54</v>
      </c>
      <c r="AO425" s="170">
        <f t="shared" si="115"/>
        <v>-10.745703932556664</v>
      </c>
      <c r="AP425" s="171">
        <f t="shared" si="116"/>
        <v>13.124854443077853</v>
      </c>
      <c r="AQ425" s="172">
        <f t="shared" si="117"/>
        <v>79.882928651677673</v>
      </c>
      <c r="AR425" s="157">
        <f>INDEX([1]Historical!$C$7:$C$1231,MATCH(B425,[1]Historical!$B$7:$B$1253,0))*IF(AH425="n/a",1.03,IF(AH425&lt;0,1.01,IF(AH425&gt;10,1.1,(1+AH425/100))))</f>
        <v>1.7422500000000001</v>
      </c>
      <c r="AS425" s="166">
        <f t="shared" si="118"/>
        <v>1.80671325</v>
      </c>
      <c r="AT425" s="166">
        <f t="shared" si="124"/>
        <v>1.9873845750000003</v>
      </c>
      <c r="AU425" s="166">
        <f t="shared" si="124"/>
        <v>2.1861230325000007</v>
      </c>
      <c r="AV425" s="166">
        <f t="shared" si="124"/>
        <v>2.4047353357500012</v>
      </c>
      <c r="AW425" s="157">
        <f t="shared" si="120"/>
        <v>10.127206193250002</v>
      </c>
      <c r="AX425" s="173">
        <f t="shared" si="121"/>
        <v>10.76789600558214</v>
      </c>
      <c r="AY425" s="174">
        <v>0.75</v>
      </c>
      <c r="AZ425" s="169">
        <v>34.18</v>
      </c>
      <c r="BA425" s="169">
        <v>-3.01</v>
      </c>
      <c r="BB425" s="169">
        <v>10.36</v>
      </c>
      <c r="BC425" s="169">
        <v>14.899999999999999</v>
      </c>
      <c r="BE425" s="77">
        <v>1993</v>
      </c>
      <c r="BF425" s="77">
        <f t="shared" si="122"/>
        <v>3</v>
      </c>
      <c r="BG425" s="175">
        <v>6.4</v>
      </c>
      <c r="BH425" t="s">
        <v>939</v>
      </c>
      <c r="BI425" t="s">
        <v>940</v>
      </c>
    </row>
    <row r="426" spans="1:64" ht="11.25" customHeight="1" x14ac:dyDescent="0.2">
      <c r="A426" s="112" t="s">
        <v>1515</v>
      </c>
      <c r="B426" s="153" t="s">
        <v>371</v>
      </c>
      <c r="C426" s="154" t="s">
        <v>127</v>
      </c>
      <c r="D426" s="154" t="s">
        <v>951</v>
      </c>
      <c r="E426" s="155">
        <v>35</v>
      </c>
      <c r="F426" s="298">
        <v>81</v>
      </c>
      <c r="G426" s="298" t="s">
        <v>30</v>
      </c>
      <c r="H426" s="298" t="s">
        <v>30</v>
      </c>
      <c r="I426" s="167">
        <v>78.64</v>
      </c>
      <c r="J426" s="157">
        <f t="shared" si="108"/>
        <v>1.8819938962360121</v>
      </c>
      <c r="K426" s="209">
        <v>0.37</v>
      </c>
      <c r="L426" s="126">
        <v>4</v>
      </c>
      <c r="M426" s="82">
        <f t="shared" si="109"/>
        <v>1.48</v>
      </c>
      <c r="N426" s="159" t="s">
        <v>112</v>
      </c>
      <c r="O426" s="210">
        <v>0.34</v>
      </c>
      <c r="P426" s="161">
        <v>44559</v>
      </c>
      <c r="Q426" s="161">
        <v>44571</v>
      </c>
      <c r="R426" s="82">
        <f t="shared" si="110"/>
        <v>8.8235294117646959</v>
      </c>
      <c r="S426" s="162">
        <f>IF(INDEX([1]Historical!$D$7:$D$1229,MATCH(B426,[1]Historical!$B$7:$B$1253,0))=0,"n/a",(INDEX([1]Historical!$C$7:$C$1231,MATCH(B426,[1]Historical!$B$7:$B$1253,0))/INDEX([1]Historical!$D$7:$D$1229,MATCH(B426,[1]Historical!$B$7:$B$1253,0))-1)*100)</f>
        <v>9.6774193548387224</v>
      </c>
      <c r="T426" s="162">
        <f>IF(INDEX([1]Historical!$F$7:$F$1222,MATCH(B426,[1]Historical!$B$7:$B$1253,0))=0,"n/a",((INDEX([1]Historical!$C$7:$C$1231,MATCH(B426,[1]Historical!$B$7:$B$1253,0))/INDEX([1]Historical!$F$7:$F$1222,MATCH(B426,[1]Historical!$B$7:$B$1253,0)))^(1/3)-1)*100)</f>
        <v>9.3541299792876842</v>
      </c>
      <c r="U426" s="162">
        <f>IF(INDEX([1]Historical!$H$7:$H$1222,MATCH(B426,[1]Historical!$B$7:$B$1253,0))=0,"n/a",((INDEX([1]Historical!$C$7:$C$1231,MATCH(B426,[1]Historical!$B$7:$B$1253,0))/INDEX([1]Historical!$H$7:$H$1222,MATCH(B426,[1]Historical!$B$7:$B$1253,0)))^(1/5)-1)*100)</f>
        <v>9.5993785007892249</v>
      </c>
      <c r="V426" s="162">
        <f>IF(INDEX([1]Historical!$N$7:$N$1222,MATCH(B426,[1]Historical!$B$7:$B$1253,0))=0,"n/a",((INDEX([1]Historical!$C$7:$C$1231,MATCH(B426,[1]Historical!$B$7:$B$1253,0))/INDEX([1]Historical!$N$7:$N$1222,MATCH(B426,[1]Historical!$B$7:$B$1253,0)))^(1/10)-1)*100)</f>
        <v>9.2785913533468758</v>
      </c>
      <c r="W426" s="163">
        <f t="shared" si="111"/>
        <v>1.0345728284850737</v>
      </c>
      <c r="X426" s="164">
        <f t="shared" si="112"/>
        <v>1.1033768391711753</v>
      </c>
      <c r="Y426" s="153" t="s">
        <v>856</v>
      </c>
      <c r="Z426" s="157">
        <f t="shared" si="113"/>
        <v>57.587548638132304</v>
      </c>
      <c r="AA426" s="166">
        <f t="shared" si="114"/>
        <v>30.59922178988327</v>
      </c>
      <c r="AB426" s="126">
        <v>11</v>
      </c>
      <c r="AC426" s="330">
        <v>2.57</v>
      </c>
      <c r="AD426" s="330">
        <v>6.05</v>
      </c>
      <c r="AE426" s="330">
        <v>3.26</v>
      </c>
      <c r="AF426" s="330">
        <v>4.63</v>
      </c>
      <c r="AG426" s="167">
        <v>15.2</v>
      </c>
      <c r="AH426" s="330">
        <v>0.8</v>
      </c>
      <c r="AI426" s="330">
        <v>8.98</v>
      </c>
      <c r="AJ426" s="167">
        <v>8.6999999999999993</v>
      </c>
      <c r="AK426" s="167">
        <v>5.0999999999999996</v>
      </c>
      <c r="AL426" s="331">
        <v>20840</v>
      </c>
      <c r="AM426" s="169">
        <v>0.21</v>
      </c>
      <c r="AN426" s="167">
        <v>1.17</v>
      </c>
      <c r="AO426" s="170">
        <f t="shared" si="115"/>
        <v>-19.117849392858034</v>
      </c>
      <c r="AP426" s="171">
        <f t="shared" si="116"/>
        <v>11.481372397025236</v>
      </c>
      <c r="AQ426" s="172">
        <f t="shared" si="117"/>
        <v>150.93106347464305</v>
      </c>
      <c r="AR426" s="157">
        <f>INDEX([1]Historical!$C$7:$C$1231,MATCH(B426,[1]Historical!$B$7:$B$1253,0))*IF(AH426="n/a",1.03,IF(AH426&lt;0,1.01,IF(AH426&gt;10,1.1,(1+AH426/100))))</f>
        <v>1.3708800000000001</v>
      </c>
      <c r="AS426" s="166">
        <f t="shared" si="118"/>
        <v>1.4939850240000003</v>
      </c>
      <c r="AT426" s="166">
        <f t="shared" si="124"/>
        <v>1.5701782602240002</v>
      </c>
      <c r="AU426" s="166">
        <f t="shared" si="124"/>
        <v>1.6502573514954242</v>
      </c>
      <c r="AV426" s="166">
        <f t="shared" si="124"/>
        <v>1.7344204764216906</v>
      </c>
      <c r="AW426" s="157">
        <f t="shared" si="120"/>
        <v>7.8197211121411145</v>
      </c>
      <c r="AX426" s="173">
        <f t="shared" si="121"/>
        <v>9.9436941914307155</v>
      </c>
      <c r="AY426" s="174">
        <v>0.59</v>
      </c>
      <c r="AZ426" s="169">
        <v>10.459999999999999</v>
      </c>
      <c r="BA426" s="169">
        <v>-26.740000000000002</v>
      </c>
      <c r="BB426" s="169">
        <v>-0.01</v>
      </c>
      <c r="BC426" s="169">
        <v>-12.76</v>
      </c>
      <c r="BE426" s="77">
        <v>1987</v>
      </c>
      <c r="BF426" s="77">
        <f t="shared" si="122"/>
        <v>4</v>
      </c>
      <c r="BG426" s="175">
        <v>5.4</v>
      </c>
      <c r="BH426" t="s">
        <v>939</v>
      </c>
      <c r="BI426" t="s">
        <v>940</v>
      </c>
    </row>
    <row r="427" spans="1:64" ht="11.25" customHeight="1" x14ac:dyDescent="0.2">
      <c r="A427" s="112" t="s">
        <v>367</v>
      </c>
      <c r="B427" s="153" t="s">
        <v>368</v>
      </c>
      <c r="C427" s="154" t="s">
        <v>90</v>
      </c>
      <c r="D427" s="154" t="s">
        <v>972</v>
      </c>
      <c r="E427" s="155">
        <v>14</v>
      </c>
      <c r="F427" s="298">
        <v>262</v>
      </c>
      <c r="G427" s="298" t="s">
        <v>88</v>
      </c>
      <c r="H427" s="298" t="s">
        <v>88</v>
      </c>
      <c r="I427" s="156">
        <v>244.04</v>
      </c>
      <c r="J427" s="157">
        <f t="shared" si="108"/>
        <v>1.1473528929683658</v>
      </c>
      <c r="K427" s="158">
        <v>0.7</v>
      </c>
      <c r="L427" s="126">
        <v>4</v>
      </c>
      <c r="M427" s="82">
        <f t="shared" si="109"/>
        <v>2.8</v>
      </c>
      <c r="N427" s="159" t="s">
        <v>143</v>
      </c>
      <c r="O427" s="160">
        <v>0.66</v>
      </c>
      <c r="P427" s="161">
        <v>44600</v>
      </c>
      <c r="Q427" s="161">
        <v>44615</v>
      </c>
      <c r="R427" s="82">
        <f t="shared" si="110"/>
        <v>6.060606060606049</v>
      </c>
      <c r="S427" s="162">
        <f>IF(INDEX([1]Historical!$D$7:$D$1229,MATCH(B427,[1]Historical!$B$7:$B$1253,0))=0,"n/a",(INDEX([1]Historical!$C$7:$C$1231,MATCH(B427,[1]Historical!$B$7:$B$1253,0))/INDEX([1]Historical!$D$7:$D$1229,MATCH(B427,[1]Historical!$B$7:$B$1253,0))-1)*100)</f>
        <v>10.000000000000009</v>
      </c>
      <c r="T427" s="162">
        <f>IF(INDEX([1]Historical!$F$7:$F$1222,MATCH(B427,[1]Historical!$B$7:$B$1253,0))=0,"n/a",((INDEX([1]Historical!$C$7:$C$1231,MATCH(B427,[1]Historical!$B$7:$B$1253,0))/INDEX([1]Historical!$F$7:$F$1222,MATCH(B427,[1]Historical!$B$7:$B$1253,0)))^(1/3)-1)*100)</f>
        <v>16.260329205681458</v>
      </c>
      <c r="U427" s="162">
        <f>IF(INDEX([1]Historical!$H$7:$H$1222,MATCH(B427,[1]Historical!$B$7:$B$1253,0))=0,"n/a",((INDEX([1]Historical!$C$7:$C$1231,MATCH(B427,[1]Historical!$B$7:$B$1253,0))/INDEX([1]Historical!$H$7:$H$1222,MATCH(B427,[1]Historical!$B$7:$B$1253,0)))^(1/5)-1)*100)</f>
        <v>20.479766598839678</v>
      </c>
      <c r="V427" s="162">
        <f>IF(INDEX([1]Historical!$N$7:$N$1222,MATCH(B427,[1]Historical!$B$7:$B$1253,0))=0,"n/a",((INDEX([1]Historical!$C$7:$C$1231,MATCH(B427,[1]Historical!$B$7:$B$1253,0))/INDEX([1]Historical!$N$7:$N$1222,MATCH(B427,[1]Historical!$B$7:$B$1253,0)))^(1/10)-1)*100)</f>
        <v>22.047852624585261</v>
      </c>
      <c r="W427" s="163">
        <f t="shared" si="111"/>
        <v>0.92887806116786942</v>
      </c>
      <c r="X427" s="164">
        <f t="shared" si="112"/>
        <v>1.3473530657131367</v>
      </c>
      <c r="Y427" s="153"/>
      <c r="Z427" s="157">
        <f t="shared" si="113"/>
        <v>43.478260869565212</v>
      </c>
      <c r="AA427" s="166">
        <f t="shared" si="114"/>
        <v>37.894409937888199</v>
      </c>
      <c r="AB427" s="126">
        <v>12</v>
      </c>
      <c r="AC427" s="167">
        <v>6.44</v>
      </c>
      <c r="AD427" s="167">
        <v>4.8600000000000003</v>
      </c>
      <c r="AE427" s="167">
        <v>12.68</v>
      </c>
      <c r="AF427" s="167">
        <v>9</v>
      </c>
      <c r="AG427" s="167">
        <v>23.799999999999997</v>
      </c>
      <c r="AH427" s="167">
        <v>-13.8</v>
      </c>
      <c r="AI427" s="167">
        <v>12.86</v>
      </c>
      <c r="AJ427" s="167">
        <v>15.2</v>
      </c>
      <c r="AK427" s="167">
        <v>7.82</v>
      </c>
      <c r="AL427" s="168">
        <v>8950</v>
      </c>
      <c r="AM427" s="169">
        <v>0.1</v>
      </c>
      <c r="AN427" s="167">
        <v>0</v>
      </c>
      <c r="AO427" s="170">
        <f t="shared" si="115"/>
        <v>-16.267290446080153</v>
      </c>
      <c r="AP427" s="171">
        <f t="shared" si="116"/>
        <v>21.627119491808045</v>
      </c>
      <c r="AQ427" s="172">
        <f t="shared" si="117"/>
        <v>289.32973139943061</v>
      </c>
      <c r="AR427" s="157">
        <f>INDEX([1]Historical!$C$7:$C$1231,MATCH(B427,[1]Historical!$B$7:$B$1253,0))*IF(AH427="n/a",1.03,IF(AH427&lt;0,1.01,IF(AH427&gt;10,1.1,(1+AH427/100))))</f>
        <v>2.6664000000000003</v>
      </c>
      <c r="AS427" s="166">
        <f t="shared" si="118"/>
        <v>2.9330400000000005</v>
      </c>
      <c r="AT427" s="166">
        <f t="shared" si="124"/>
        <v>3.1624037280000006</v>
      </c>
      <c r="AU427" s="166">
        <f t="shared" si="124"/>
        <v>3.4097036995296008</v>
      </c>
      <c r="AV427" s="166">
        <f t="shared" si="124"/>
        <v>3.6763425288328158</v>
      </c>
      <c r="AW427" s="157">
        <f t="shared" si="120"/>
        <v>15.847889956362419</v>
      </c>
      <c r="AX427" s="173">
        <f t="shared" si="121"/>
        <v>6.4939722817416907</v>
      </c>
      <c r="AY427" s="174">
        <v>0.66</v>
      </c>
      <c r="AZ427" s="169">
        <v>12.23</v>
      </c>
      <c r="BA427" s="169">
        <v>-42.25</v>
      </c>
      <c r="BB427" s="169">
        <v>0.86</v>
      </c>
      <c r="BC427" s="169">
        <v>-15.18</v>
      </c>
      <c r="BE427" s="77">
        <v>2009</v>
      </c>
      <c r="BF427" s="77">
        <f t="shared" si="122"/>
        <v>1</v>
      </c>
      <c r="BG427" s="175">
        <v>15.299999999999999</v>
      </c>
      <c r="BH427" t="s">
        <v>939</v>
      </c>
      <c r="BI427" t="s">
        <v>940</v>
      </c>
    </row>
    <row r="428" spans="1:64" ht="11.25" customHeight="1" x14ac:dyDescent="0.2">
      <c r="A428" s="205" t="s">
        <v>1140</v>
      </c>
      <c r="B428" s="153" t="s">
        <v>1141</v>
      </c>
      <c r="C428" s="154" t="s">
        <v>96</v>
      </c>
      <c r="D428" s="154" t="s">
        <v>1142</v>
      </c>
      <c r="E428" s="155">
        <v>7</v>
      </c>
      <c r="F428" s="298">
        <v>637</v>
      </c>
      <c r="G428" s="298" t="s">
        <v>88</v>
      </c>
      <c r="H428" s="298" t="s">
        <v>88</v>
      </c>
      <c r="I428" s="156">
        <v>335.98</v>
      </c>
      <c r="J428" s="157">
        <f t="shared" si="108"/>
        <v>0.78576105720578604</v>
      </c>
      <c r="K428" s="158">
        <v>0.66</v>
      </c>
      <c r="L428" s="126">
        <v>4</v>
      </c>
      <c r="M428" s="82">
        <f t="shared" si="109"/>
        <v>2.64</v>
      </c>
      <c r="N428" s="159" t="s">
        <v>119</v>
      </c>
      <c r="O428" s="160">
        <v>0.61</v>
      </c>
      <c r="P428" s="161">
        <v>44804</v>
      </c>
      <c r="Q428" s="161">
        <v>44834</v>
      </c>
      <c r="R428" s="82">
        <f t="shared" si="110"/>
        <v>8.196721311475418</v>
      </c>
      <c r="S428" s="162">
        <f>IF(INDEX([1]Historical!$D$7:$D$1229,MATCH(B428,[1]Historical!$B$7:$B$1253,0))=0,"n/a",(INDEX([1]Historical!$C$7:$C$1231,MATCH(B428,[1]Historical!$B$7:$B$1253,0))/INDEX([1]Historical!$D$7:$D$1229,MATCH(B428,[1]Historical!$B$7:$B$1253,0))-1)*100)</f>
        <v>5.3571428571428381</v>
      </c>
      <c r="T428" s="162">
        <f>IF(INDEX([1]Historical!$F$7:$F$1222,MATCH(B428,[1]Historical!$B$7:$B$1253,0))=0,"n/a",((INDEX([1]Historical!$C$7:$C$1231,MATCH(B428,[1]Historical!$B$7:$B$1253,0))/INDEX([1]Historical!$F$7:$F$1222,MATCH(B428,[1]Historical!$B$7:$B$1253,0)))^(1/3)-1)*100)</f>
        <v>8.6504159591211494</v>
      </c>
      <c r="U428" s="162">
        <f>IF(INDEX([1]Historical!$H$7:$H$1222,MATCH(B428,[1]Historical!$B$7:$B$1253,0))=0,"n/a",((INDEX([1]Historical!$C$7:$C$1231,MATCH(B428,[1]Historical!$B$7:$B$1253,0))/INDEX([1]Historical!$H$7:$H$1222,MATCH(B428,[1]Historical!$B$7:$B$1253,0)))^(1/5)-1)*100)</f>
        <v>7.5507964875582312</v>
      </c>
      <c r="V428" s="162">
        <f>IF(INDEX([1]Historical!$N$7:$N$1222,MATCH(B428,[1]Historical!$B$7:$B$1253,0))=0,"n/a",((INDEX([1]Historical!$C$7:$C$1231,MATCH(B428,[1]Historical!$B$7:$B$1253,0))/INDEX([1]Historical!$N$7:$N$1222,MATCH(B428,[1]Historical!$B$7:$B$1253,0)))^(1/10)-1)*100)</f>
        <v>3.9630954752501335</v>
      </c>
      <c r="W428" s="163">
        <f t="shared" si="111"/>
        <v>1.9052774616997228</v>
      </c>
      <c r="X428" s="164">
        <f t="shared" si="112"/>
        <v>0.68025193581605692</v>
      </c>
      <c r="Y428" s="178"/>
      <c r="Z428" s="157">
        <f t="shared" si="113"/>
        <v>20.952380952380953</v>
      </c>
      <c r="AA428" s="166">
        <f t="shared" si="114"/>
        <v>26.665079365079368</v>
      </c>
      <c r="AB428" s="126">
        <v>12</v>
      </c>
      <c r="AC428" s="167">
        <v>12.6</v>
      </c>
      <c r="AD428" s="167">
        <v>1.72</v>
      </c>
      <c r="AE428" s="167">
        <v>3.48</v>
      </c>
      <c r="AF428" s="167">
        <v>3.12</v>
      </c>
      <c r="AG428" s="167">
        <v>12.3</v>
      </c>
      <c r="AH428" s="167">
        <v>-2.9000000000000004</v>
      </c>
      <c r="AI428" s="167">
        <v>20.190000000000001</v>
      </c>
      <c r="AJ428" s="167">
        <v>11.1</v>
      </c>
      <c r="AK428" s="167">
        <v>15.6</v>
      </c>
      <c r="AL428" s="168">
        <v>20610</v>
      </c>
      <c r="AM428" s="169">
        <v>0.2</v>
      </c>
      <c r="AN428" s="167">
        <v>0</v>
      </c>
      <c r="AO428" s="170">
        <f t="shared" si="115"/>
        <v>-18.328521820315352</v>
      </c>
      <c r="AP428" s="171">
        <f t="shared" si="116"/>
        <v>8.3365575447640179</v>
      </c>
      <c r="AQ428" s="172">
        <f t="shared" si="117"/>
        <v>92.290344842315776</v>
      </c>
      <c r="AR428" s="157">
        <f>INDEX([1]Historical!$C$7:$C$1231,MATCH(B428,[1]Historical!$B$7:$B$1253,0))*IF(AH428="n/a",1.03,IF(AH428&lt;0,1.01,IF(AH428&gt;10,1.1,(1+AH428/100))))</f>
        <v>2.3835999999999999</v>
      </c>
      <c r="AS428" s="166">
        <f t="shared" si="118"/>
        <v>2.6219600000000001</v>
      </c>
      <c r="AT428" s="166">
        <f t="shared" si="124"/>
        <v>2.8841560000000004</v>
      </c>
      <c r="AU428" s="166">
        <f t="shared" si="124"/>
        <v>3.1725716000000008</v>
      </c>
      <c r="AV428" s="166">
        <f t="shared" si="124"/>
        <v>3.4898287600000013</v>
      </c>
      <c r="AW428" s="157">
        <f t="shared" si="120"/>
        <v>14.552116360000003</v>
      </c>
      <c r="AX428" s="173">
        <f t="shared" si="121"/>
        <v>4.3312448240966726</v>
      </c>
      <c r="AY428" s="174">
        <v>0.86</v>
      </c>
      <c r="AZ428" s="169">
        <v>17.89</v>
      </c>
      <c r="BA428" s="169">
        <v>-24.75</v>
      </c>
      <c r="BB428" s="169">
        <v>1</v>
      </c>
      <c r="BC428" s="169">
        <v>-3.7600000000000002</v>
      </c>
      <c r="BE428" s="77">
        <v>2016</v>
      </c>
      <c r="BF428" s="77">
        <f t="shared" si="122"/>
        <v>1</v>
      </c>
      <c r="BG428" s="175">
        <v>5.6000000000000005</v>
      </c>
      <c r="BH428" t="s">
        <v>939</v>
      </c>
      <c r="BI428" t="s">
        <v>940</v>
      </c>
      <c r="BJ428" s="112"/>
      <c r="BK428" s="112"/>
      <c r="BL428" s="112"/>
    </row>
    <row r="429" spans="1:64" ht="11.25" customHeight="1" x14ac:dyDescent="0.2">
      <c r="A429" s="112" t="s">
        <v>1516</v>
      </c>
      <c r="B429" s="153" t="s">
        <v>369</v>
      </c>
      <c r="C429" s="154" t="s">
        <v>90</v>
      </c>
      <c r="D429" s="154" t="s">
        <v>110</v>
      </c>
      <c r="E429" s="155">
        <v>13</v>
      </c>
      <c r="F429" s="298">
        <v>295</v>
      </c>
      <c r="G429" s="298" t="s">
        <v>104</v>
      </c>
      <c r="H429" s="298" t="s">
        <v>104</v>
      </c>
      <c r="I429" s="156">
        <v>161.49</v>
      </c>
      <c r="J429" s="157">
        <f t="shared" si="108"/>
        <v>1.4613907981918384</v>
      </c>
      <c r="K429" s="158">
        <v>0.59</v>
      </c>
      <c r="L429" s="126">
        <v>4</v>
      </c>
      <c r="M429" s="82">
        <f t="shared" si="109"/>
        <v>2.36</v>
      </c>
      <c r="N429" s="159" t="s">
        <v>89</v>
      </c>
      <c r="O429" s="160">
        <v>0.53500000000000003</v>
      </c>
      <c r="P429" s="161">
        <v>44769</v>
      </c>
      <c r="Q429" s="161">
        <v>44788</v>
      </c>
      <c r="R429" s="82">
        <f t="shared" si="110"/>
        <v>10.280373831775687</v>
      </c>
      <c r="S429" s="162">
        <f>IF(INDEX([1]Historical!$D$7:$D$1229,MATCH(B429,[1]Historical!$B$7:$B$1253,0))=0,"n/a",(INDEX([1]Historical!$C$7:$C$1231,MATCH(B429,[1]Historical!$B$7:$B$1253,0))/INDEX([1]Historical!$D$7:$D$1229,MATCH(B429,[1]Historical!$B$7:$B$1253,0))-1)*100)</f>
        <v>8.6956521739130377</v>
      </c>
      <c r="T429" s="162">
        <f>IF(INDEX([1]Historical!$F$7:$F$1222,MATCH(B429,[1]Historical!$B$7:$B$1253,0))=0,"n/a",((INDEX([1]Historical!$C$7:$C$1231,MATCH(B429,[1]Historical!$B$7:$B$1253,0))/INDEX([1]Historical!$F$7:$F$1222,MATCH(B429,[1]Historical!$B$7:$B$1253,0)))^(1/3)-1)*100)</f>
        <v>8.1743521473638161</v>
      </c>
      <c r="U429" s="162">
        <f>IF(INDEX([1]Historical!$H$7:$H$1222,MATCH(B429,[1]Historical!$B$7:$B$1253,0))=0,"n/a",((INDEX([1]Historical!$C$7:$C$1231,MATCH(B429,[1]Historical!$B$7:$B$1253,0))/INDEX([1]Historical!$H$7:$H$1222,MATCH(B429,[1]Historical!$B$7:$B$1253,0)))^(1/5)-1)*100)</f>
        <v>8.9976987048345336</v>
      </c>
      <c r="V429" s="162">
        <f>IF(INDEX([1]Historical!$N$7:$N$1222,MATCH(B429,[1]Historical!$B$7:$B$1253,0))=0,"n/a",((INDEX([1]Historical!$C$7:$C$1231,MATCH(B429,[1]Historical!$B$7:$B$1253,0))/INDEX([1]Historical!$N$7:$N$1222,MATCH(B429,[1]Historical!$B$7:$B$1253,0)))^(1/10)-1)*100)</f>
        <v>8.8060775849534867</v>
      </c>
      <c r="W429" s="163">
        <f t="shared" si="111"/>
        <v>1.0217600989807836</v>
      </c>
      <c r="X429" s="164">
        <f t="shared" si="112"/>
        <v>0.70848021297909713</v>
      </c>
      <c r="Y429" s="212"/>
      <c r="Z429" s="157">
        <f t="shared" si="113"/>
        <v>35.382308845577207</v>
      </c>
      <c r="AA429" s="166">
        <f t="shared" si="114"/>
        <v>24.211394302848579</v>
      </c>
      <c r="AB429" s="126">
        <v>12</v>
      </c>
      <c r="AC429" s="167">
        <v>6.67</v>
      </c>
      <c r="AD429" s="167">
        <v>2.96</v>
      </c>
      <c r="AE429" s="167">
        <v>3.7</v>
      </c>
      <c r="AF429" s="167">
        <v>8.52</v>
      </c>
      <c r="AG429" s="167">
        <v>32.1</v>
      </c>
      <c r="AH429" s="167">
        <v>55.600000000000009</v>
      </c>
      <c r="AI429" s="167">
        <v>9.6100000000000012</v>
      </c>
      <c r="AJ429" s="167">
        <v>12.7</v>
      </c>
      <c r="AK429" s="167">
        <v>8.3000000000000007</v>
      </c>
      <c r="AL429" s="168">
        <v>77000</v>
      </c>
      <c r="AM429" s="169">
        <v>0.12</v>
      </c>
      <c r="AN429" s="167">
        <v>1.19</v>
      </c>
      <c r="AO429" s="170">
        <f t="shared" si="115"/>
        <v>-13.752304799822207</v>
      </c>
      <c r="AP429" s="171">
        <f t="shared" si="116"/>
        <v>10.459089503026371</v>
      </c>
      <c r="AQ429" s="172">
        <f t="shared" si="117"/>
        <v>202.78784612351922</v>
      </c>
      <c r="AR429" s="157">
        <f>INDEX([1]Historical!$C$7:$C$1231,MATCH(B429,[1]Historical!$B$7:$B$1253,0))*IF(AH429="n/a",1.03,IF(AH429&lt;0,1.01,IF(AH429&gt;10,1.1,(1+AH429/100))))</f>
        <v>2.2000000000000002</v>
      </c>
      <c r="AS429" s="166">
        <f t="shared" si="118"/>
        <v>2.4114200000000006</v>
      </c>
      <c r="AT429" s="166">
        <f t="shared" si="124"/>
        <v>2.6115678600000005</v>
      </c>
      <c r="AU429" s="166">
        <f t="shared" si="124"/>
        <v>2.8283279923800007</v>
      </c>
      <c r="AV429" s="166">
        <f t="shared" si="124"/>
        <v>3.0630792157475404</v>
      </c>
      <c r="AW429" s="157">
        <f t="shared" si="120"/>
        <v>13.114395068127543</v>
      </c>
      <c r="AX429" s="173">
        <f t="shared" si="121"/>
        <v>8.1208713035652629</v>
      </c>
      <c r="AY429" s="174">
        <v>0.88</v>
      </c>
      <c r="AZ429" s="169">
        <v>13.089999999999998</v>
      </c>
      <c r="BA429" s="169">
        <v>-11.82</v>
      </c>
      <c r="BB429" s="169">
        <v>2.0500000000000003</v>
      </c>
      <c r="BC429" s="169">
        <v>1.68</v>
      </c>
      <c r="BE429" s="77">
        <v>2010</v>
      </c>
      <c r="BF429" s="77">
        <f t="shared" si="122"/>
        <v>1</v>
      </c>
      <c r="BG429" s="175">
        <v>10.100000000000001</v>
      </c>
      <c r="BH429" t="s">
        <v>939</v>
      </c>
      <c r="BI429" t="s">
        <v>940</v>
      </c>
    </row>
    <row r="430" spans="1:64" ht="11.25" customHeight="1" x14ac:dyDescent="0.2">
      <c r="A430" s="112" t="s">
        <v>91</v>
      </c>
      <c r="B430" s="153" t="s">
        <v>92</v>
      </c>
      <c r="C430" s="154" t="s">
        <v>94</v>
      </c>
      <c r="D430" s="154" t="s">
        <v>1033</v>
      </c>
      <c r="E430" s="155">
        <v>64</v>
      </c>
      <c r="F430" s="298">
        <v>8</v>
      </c>
      <c r="G430" s="298" t="s">
        <v>30</v>
      </c>
      <c r="H430" s="298" t="s">
        <v>30</v>
      </c>
      <c r="I430" s="167">
        <v>125.79</v>
      </c>
      <c r="J430" s="157">
        <f t="shared" si="108"/>
        <v>4.7380554893075759</v>
      </c>
      <c r="K430" s="158">
        <v>1.49</v>
      </c>
      <c r="L430" s="126">
        <v>4</v>
      </c>
      <c r="M430" s="82">
        <f t="shared" si="109"/>
        <v>5.96</v>
      </c>
      <c r="N430" s="159" t="s">
        <v>93</v>
      </c>
      <c r="O430" s="160">
        <v>1.48</v>
      </c>
      <c r="P430" s="161">
        <v>44609</v>
      </c>
      <c r="Q430" s="161">
        <v>44632</v>
      </c>
      <c r="R430" s="82">
        <f t="shared" si="110"/>
        <v>0.67567567567567632</v>
      </c>
      <c r="S430" s="162">
        <f>IF(INDEX([1]Historical!$D$7:$D$1229,MATCH(B430,[1]Historical!$B$7:$B$1253,0))=0,"n/a",(INDEX([1]Historical!$C$7:$C$1231,MATCH(B430,[1]Historical!$B$7:$B$1253,0))/INDEX([1]Historical!$D$7:$D$1229,MATCH(B430,[1]Historical!$B$7:$B$1253,0))-1)*100)</f>
        <v>0.68027210884353817</v>
      </c>
      <c r="T430" s="162">
        <f>IF(INDEX([1]Historical!$F$7:$F$1222,MATCH(B430,[1]Historical!$B$7:$B$1253,0))=0,"n/a",((INDEX([1]Historical!$C$7:$C$1231,MATCH(B430,[1]Historical!$B$7:$B$1253,0))/INDEX([1]Historical!$F$7:$F$1222,MATCH(B430,[1]Historical!$B$7:$B$1253,0)))^(1/3)-1)*100)</f>
        <v>2.8586773986917446</v>
      </c>
      <c r="U430" s="162">
        <f>IF(INDEX([1]Historical!$H$7:$H$1222,MATCH(B430,[1]Historical!$B$7:$B$1253,0))=0,"n/a",((INDEX([1]Historical!$C$7:$C$1231,MATCH(B430,[1]Historical!$B$7:$B$1253,0))/INDEX([1]Historical!$H$7:$H$1222,MATCH(B430,[1]Historical!$B$7:$B$1253,0)))^(1/5)-1)*100)</f>
        <v>5.9223841048812176</v>
      </c>
      <c r="V430" s="162">
        <f>IF(INDEX([1]Historical!$N$7:$N$1222,MATCH(B430,[1]Historical!$B$7:$B$1253,0))=0,"n/a",((INDEX([1]Historical!$C$7:$C$1231,MATCH(B430,[1]Historical!$B$7:$B$1253,0))/INDEX([1]Historical!$N$7:$N$1222,MATCH(B430,[1]Historical!$B$7:$B$1253,0)))^(1/10)-1)*100)</f>
        <v>10.405295021184235</v>
      </c>
      <c r="W430" s="163">
        <f t="shared" si="111"/>
        <v>0.569170224661942</v>
      </c>
      <c r="X430" s="164">
        <f t="shared" si="112"/>
        <v>1.3459963874730041</v>
      </c>
      <c r="Y430" s="153"/>
      <c r="Z430" s="157">
        <f t="shared" si="113"/>
        <v>51.961639058413247</v>
      </c>
      <c r="AA430" s="166">
        <f t="shared" si="114"/>
        <v>10.966870095902355</v>
      </c>
      <c r="AB430" s="126">
        <v>12</v>
      </c>
      <c r="AC430" s="167">
        <v>11.47</v>
      </c>
      <c r="AD430" s="167">
        <v>27.58</v>
      </c>
      <c r="AE430" s="167">
        <v>1.95</v>
      </c>
      <c r="AF430" s="167">
        <v>5.12</v>
      </c>
      <c r="AG430" s="167">
        <v>45.5</v>
      </c>
      <c r="AH430" s="167">
        <v>8.1</v>
      </c>
      <c r="AI430" s="167">
        <v>2.5499999999999998</v>
      </c>
      <c r="AJ430" s="167">
        <v>4.3999999999999995</v>
      </c>
      <c r="AK430" s="167">
        <v>0.4</v>
      </c>
      <c r="AL430" s="168">
        <v>67880</v>
      </c>
      <c r="AM430" s="169">
        <v>0.09</v>
      </c>
      <c r="AN430" s="167">
        <v>1.1200000000000001</v>
      </c>
      <c r="AO430" s="170">
        <f t="shared" si="115"/>
        <v>-0.30643050171356023</v>
      </c>
      <c r="AP430" s="171">
        <f t="shared" si="116"/>
        <v>10.660439594188794</v>
      </c>
      <c r="AQ430" s="172">
        <f t="shared" si="117"/>
        <v>57.973802175508517</v>
      </c>
      <c r="AR430" s="157">
        <f>INDEX([1]Historical!$C$7:$C$1231,MATCH(B430,[1]Historical!$B$7:$B$1253,0))*IF(AH430="n/a",1.03,IF(AH430&lt;0,1.01,IF(AH430&gt;10,1.1,(1+AH430/100))))</f>
        <v>6.3995199999999999</v>
      </c>
      <c r="AS430" s="166">
        <f t="shared" si="118"/>
        <v>6.5627077600000003</v>
      </c>
      <c r="AT430" s="166">
        <f t="shared" si="124"/>
        <v>6.5889585910399999</v>
      </c>
      <c r="AU430" s="166">
        <f t="shared" si="124"/>
        <v>6.6153144254041596</v>
      </c>
      <c r="AV430" s="166">
        <f t="shared" si="124"/>
        <v>6.6417756831057764</v>
      </c>
      <c r="AW430" s="157">
        <f t="shared" si="120"/>
        <v>32.808276459549937</v>
      </c>
      <c r="AX430" s="173">
        <f t="shared" si="121"/>
        <v>26.081784290921327</v>
      </c>
      <c r="AY430" s="174">
        <v>1.01</v>
      </c>
      <c r="AZ430" s="169">
        <v>17.48</v>
      </c>
      <c r="BA430" s="169">
        <v>-32.479999999999997</v>
      </c>
      <c r="BB430" s="169">
        <v>5.24</v>
      </c>
      <c r="BC430" s="169">
        <v>-10.43</v>
      </c>
      <c r="BE430" s="77">
        <v>1959</v>
      </c>
      <c r="BF430" s="77">
        <f t="shared" si="122"/>
        <v>8</v>
      </c>
      <c r="BG430" s="175">
        <v>14.2</v>
      </c>
      <c r="BH430" t="s">
        <v>939</v>
      </c>
      <c r="BI430" t="s">
        <v>940</v>
      </c>
    </row>
    <row r="431" spans="1:64" ht="11.25" customHeight="1" x14ac:dyDescent="0.2">
      <c r="A431" s="112" t="s">
        <v>1517</v>
      </c>
      <c r="B431" s="153" t="s">
        <v>364</v>
      </c>
      <c r="C431" s="154" t="s">
        <v>109</v>
      </c>
      <c r="D431" s="154" t="s">
        <v>1028</v>
      </c>
      <c r="E431" s="155">
        <v>22</v>
      </c>
      <c r="F431" s="298">
        <v>162</v>
      </c>
      <c r="G431" s="298" t="s">
        <v>88</v>
      </c>
      <c r="H431" s="298" t="s">
        <v>88</v>
      </c>
      <c r="I431" s="156">
        <v>53.95</v>
      </c>
      <c r="J431" s="157">
        <f t="shared" si="108"/>
        <v>7.7664504170528268</v>
      </c>
      <c r="K431" s="209">
        <v>1.0475000000000001</v>
      </c>
      <c r="L431" s="126">
        <v>4</v>
      </c>
      <c r="M431" s="82">
        <f t="shared" si="109"/>
        <v>4.1900000000000004</v>
      </c>
      <c r="N431" s="159" t="s">
        <v>89</v>
      </c>
      <c r="O431" s="210">
        <v>1.0375000000000001</v>
      </c>
      <c r="P431" s="161">
        <v>44869</v>
      </c>
      <c r="Q431" s="161">
        <v>44879</v>
      </c>
      <c r="R431" s="82">
        <f t="shared" si="110"/>
        <v>0.96385542168674776</v>
      </c>
      <c r="S431" s="162">
        <f>IF(INDEX([1]Historical!$D$7:$D$1229,MATCH(B431,[1]Historical!$B$7:$B$1253,0))=0,"n/a",(INDEX([1]Historical!$C$7:$C$1231,MATCH(B431,[1]Historical!$B$7:$B$1253,0))/INDEX([1]Historical!$D$7:$D$1229,MATCH(B431,[1]Historical!$B$7:$B$1253,0))-1)*100)</f>
        <v>0.24330900243307862</v>
      </c>
      <c r="T431" s="162">
        <f>IF(INDEX([1]Historical!$F$7:$F$1222,MATCH(B431,[1]Historical!$B$7:$B$1253,0))=0,"n/a",((INDEX([1]Historical!$C$7:$C$1231,MATCH(B431,[1]Historical!$B$7:$B$1253,0))/INDEX([1]Historical!$F$7:$F$1222,MATCH(B431,[1]Historical!$B$7:$B$1253,0)))^(1/3)-1)*100)</f>
        <v>2.7993910838894021</v>
      </c>
      <c r="U431" s="162">
        <f>IF(INDEX([1]Historical!$H$7:$H$1222,MATCH(B431,[1]Historical!$B$7:$B$1253,0))=0,"n/a",((INDEX([1]Historical!$C$7:$C$1231,MATCH(B431,[1]Historical!$B$7:$B$1253,0))/INDEX([1]Historical!$H$7:$H$1222,MATCH(B431,[1]Historical!$B$7:$B$1253,0)))^(1/5)-1)*100)</f>
        <v>4.8905838881368124</v>
      </c>
      <c r="V431" s="162">
        <f>IF(INDEX([1]Historical!$N$7:$N$1222,MATCH(B431,[1]Historical!$B$7:$B$1253,0))=0,"n/a",((INDEX([1]Historical!$C$7:$C$1231,MATCH(B431,[1]Historical!$B$7:$B$1253,0))/INDEX([1]Historical!$N$7:$N$1222,MATCH(B431,[1]Historical!$B$7:$B$1253,0)))^(1/10)-1)*100)</f>
        <v>10.225425795273768</v>
      </c>
      <c r="W431" s="163">
        <f t="shared" si="111"/>
        <v>0.47827679610146501</v>
      </c>
      <c r="X431" s="164">
        <f t="shared" si="112"/>
        <v>1.2869957600360034</v>
      </c>
      <c r="Y431" s="178"/>
      <c r="Z431" s="157">
        <f t="shared" si="113"/>
        <v>97.668997668997676</v>
      </c>
      <c r="AA431" s="166">
        <f t="shared" si="114"/>
        <v>12.575757575757576</v>
      </c>
      <c r="AB431" s="126">
        <v>12</v>
      </c>
      <c r="AC431" s="167">
        <v>4.29</v>
      </c>
      <c r="AD431" s="167">
        <v>7.74</v>
      </c>
      <c r="AE431" s="167">
        <v>3.49</v>
      </c>
      <c r="AF431" s="167">
        <v>6.3</v>
      </c>
      <c r="AG431" s="167">
        <v>60.6</v>
      </c>
      <c r="AH431" s="167">
        <v>21.4</v>
      </c>
      <c r="AI431" s="167">
        <v>-2.23</v>
      </c>
      <c r="AJ431" s="167">
        <v>3.8</v>
      </c>
      <c r="AK431" s="167">
        <v>1.6</v>
      </c>
      <c r="AL431" s="168">
        <v>10980</v>
      </c>
      <c r="AM431" s="169">
        <v>0.1</v>
      </c>
      <c r="AN431" s="167">
        <v>2.86</v>
      </c>
      <c r="AO431" s="170">
        <f t="shared" si="115"/>
        <v>8.1276729432063988E-2</v>
      </c>
      <c r="AP431" s="171">
        <f t="shared" si="116"/>
        <v>12.65703430518964</v>
      </c>
      <c r="AQ431" s="172">
        <f t="shared" si="117"/>
        <v>87.648930751340032</v>
      </c>
      <c r="AR431" s="157">
        <f>INDEX([1]Historical!$C$7:$C$1231,MATCH(B431,[1]Historical!$B$7:$B$1253,0))*IF(AH431="n/a",1.03,IF(AH431&lt;0,1.01,IF(AH431&gt;10,1.1,(1+AH431/100))))</f>
        <v>4.5320000000000009</v>
      </c>
      <c r="AS431" s="166">
        <f t="shared" si="118"/>
        <v>4.5773200000000012</v>
      </c>
      <c r="AT431" s="166">
        <f t="shared" si="124"/>
        <v>4.6505571200000011</v>
      </c>
      <c r="AU431" s="166">
        <f t="shared" si="124"/>
        <v>4.7249660339200013</v>
      </c>
      <c r="AV431" s="166">
        <f t="shared" si="124"/>
        <v>4.8005654904627217</v>
      </c>
      <c r="AW431" s="157">
        <f t="shared" si="120"/>
        <v>23.285408644382727</v>
      </c>
      <c r="AX431" s="173">
        <f t="shared" si="121"/>
        <v>43.161091092461028</v>
      </c>
      <c r="AY431" s="174">
        <v>0.94</v>
      </c>
      <c r="AZ431" s="169">
        <v>23.799999999999997</v>
      </c>
      <c r="BA431" s="169">
        <v>0.37</v>
      </c>
      <c r="BB431" s="169">
        <v>7.6</v>
      </c>
      <c r="BC431" s="169">
        <v>8.81</v>
      </c>
      <c r="BE431" s="77">
        <v>2001</v>
      </c>
      <c r="BF431" s="77">
        <f t="shared" si="122"/>
        <v>3</v>
      </c>
      <c r="BG431" s="175">
        <v>13.8</v>
      </c>
      <c r="BH431" t="s">
        <v>939</v>
      </c>
      <c r="BI431" t="s">
        <v>993</v>
      </c>
    </row>
    <row r="432" spans="1:64" s="252" customFormat="1" ht="11.25" customHeight="1" x14ac:dyDescent="0.2">
      <c r="A432" s="243" t="s">
        <v>1518</v>
      </c>
      <c r="B432" s="184" t="s">
        <v>855</v>
      </c>
      <c r="C432" s="154" t="s">
        <v>90</v>
      </c>
      <c r="D432" s="154" t="s">
        <v>969</v>
      </c>
      <c r="E432" s="185">
        <v>9</v>
      </c>
      <c r="F432" s="298">
        <v>534</v>
      </c>
      <c r="G432" s="297" t="s">
        <v>88</v>
      </c>
      <c r="H432" s="297" t="s">
        <v>88</v>
      </c>
      <c r="I432" s="186">
        <v>27.31</v>
      </c>
      <c r="J432" s="187">
        <f t="shared" si="108"/>
        <v>4.1010618820944718</v>
      </c>
      <c r="K432" s="188">
        <v>0.28000000000000003</v>
      </c>
      <c r="L432" s="189">
        <v>4</v>
      </c>
      <c r="M432" s="190">
        <f t="shared" si="109"/>
        <v>1.1200000000000001</v>
      </c>
      <c r="N432" s="191" t="s">
        <v>183</v>
      </c>
      <c r="O432" s="192">
        <v>0.27</v>
      </c>
      <c r="P432" s="193">
        <v>44637</v>
      </c>
      <c r="Q432" s="193">
        <v>44652</v>
      </c>
      <c r="R432" s="190">
        <f t="shared" si="110"/>
        <v>3.7037037037037068</v>
      </c>
      <c r="S432" s="162">
        <f>IF(INDEX([1]Historical!$D$7:$D$1229,MATCH(B432,[1]Historical!$B$7:$B$1253,0))=0,"n/a",(INDEX([1]Historical!$C$7:$C$1231,MATCH(B432,[1]Historical!$B$7:$B$1253,0))/INDEX([1]Historical!$D$7:$D$1229,MATCH(B432,[1]Historical!$B$7:$B$1253,0))-1)*100)</f>
        <v>3.8834951456310662</v>
      </c>
      <c r="T432" s="162">
        <f>IF(INDEX([1]Historical!$F$7:$F$1222,MATCH(B432,[1]Historical!$B$7:$B$1253,0))=0,"n/a",((INDEX([1]Historical!$C$7:$C$1231,MATCH(B432,[1]Historical!$B$7:$B$1253,0))/INDEX([1]Historical!$F$7:$F$1222,MATCH(B432,[1]Historical!$B$7:$B$1253,0)))^(1/3)-1)*100)</f>
        <v>29.298313314831415</v>
      </c>
      <c r="U432" s="162">
        <f>IF(INDEX([1]Historical!$H$7:$H$1222,MATCH(B432,[1]Historical!$B$7:$B$1253,0))=0,"n/a",((INDEX([1]Historical!$C$7:$C$1231,MATCH(B432,[1]Historical!$B$7:$B$1253,0))/INDEX([1]Historical!$H$7:$H$1222,MATCH(B432,[1]Historical!$B$7:$B$1253,0)))^(1/5)-1)*100)</f>
        <v>23.898888638377258</v>
      </c>
      <c r="V432" s="162" t="str">
        <f>IF(INDEX([1]Historical!$N$7:$N$1222,MATCH(B432,[1]Historical!$B$7:$B$1253,0))=0,"n/a",((INDEX([1]Historical!$C$7:$C$1231,MATCH(B432,[1]Historical!$B$7:$B$1253,0))/INDEX([1]Historical!$N$7:$N$1222,MATCH(B432,[1]Historical!$B$7:$B$1253,0)))^(1/10)-1)*100)</f>
        <v>n/a</v>
      </c>
      <c r="W432" s="163" t="str">
        <f t="shared" si="111"/>
        <v>n/a</v>
      </c>
      <c r="X432" s="164" t="str">
        <f t="shared" si="112"/>
        <v>n/a</v>
      </c>
      <c r="Y432" s="221"/>
      <c r="Z432" s="187" t="str">
        <f t="shared" si="113"/>
        <v>n/a</v>
      </c>
      <c r="AA432" s="194" t="str">
        <f t="shared" si="114"/>
        <v>n/a</v>
      </c>
      <c r="AB432" s="189">
        <v>12</v>
      </c>
      <c r="AC432" s="195" t="s">
        <v>95</v>
      </c>
      <c r="AD432" s="195" t="s">
        <v>95</v>
      </c>
      <c r="AE432" s="195" t="s">
        <v>95</v>
      </c>
      <c r="AF432" s="195" t="s">
        <v>95</v>
      </c>
      <c r="AG432" s="195" t="s">
        <v>95</v>
      </c>
      <c r="AH432" s="195" t="s">
        <v>95</v>
      </c>
      <c r="AI432" s="195" t="s">
        <v>95</v>
      </c>
      <c r="AJ432" s="195" t="s">
        <v>95</v>
      </c>
      <c r="AK432" s="195" t="s">
        <v>95</v>
      </c>
      <c r="AL432" s="196" t="s">
        <v>95</v>
      </c>
      <c r="AM432" s="197" t="s">
        <v>95</v>
      </c>
      <c r="AN432" s="195" t="s">
        <v>95</v>
      </c>
      <c r="AO432" s="198" t="str">
        <f t="shared" si="115"/>
        <v>n/a</v>
      </c>
      <c r="AP432" s="199">
        <f t="shared" si="116"/>
        <v>27.999950520471728</v>
      </c>
      <c r="AQ432" s="172" t="str">
        <f t="shared" si="117"/>
        <v>n/a</v>
      </c>
      <c r="AR432" s="157">
        <f>INDEX([1]Historical!$C$7:$C$1231,MATCH(B432,[1]Historical!$B$7:$B$1253,0))*IF(AH432="n/a",1.03,IF(AH432&lt;0,1.01,IF(AH432&gt;10,1.1,(1+AH432/100))))</f>
        <v>1.1021000000000001</v>
      </c>
      <c r="AS432" s="194">
        <f t="shared" si="118"/>
        <v>1.1351630000000001</v>
      </c>
      <c r="AT432" s="194">
        <f t="shared" si="124"/>
        <v>1.1692178900000001</v>
      </c>
      <c r="AU432" s="194">
        <f t="shared" si="124"/>
        <v>1.2042944267000002</v>
      </c>
      <c r="AV432" s="194">
        <f t="shared" si="124"/>
        <v>1.2404232595010003</v>
      </c>
      <c r="AW432" s="187">
        <f t="shared" si="120"/>
        <v>5.8511985762010008</v>
      </c>
      <c r="AX432" s="200">
        <f t="shared" si="121"/>
        <v>21.425113790556576</v>
      </c>
      <c r="AY432" s="201" t="s">
        <v>95</v>
      </c>
      <c r="AZ432" s="197" t="s">
        <v>95</v>
      </c>
      <c r="BA432" s="197" t="s">
        <v>95</v>
      </c>
      <c r="BB432" s="197" t="s">
        <v>95</v>
      </c>
      <c r="BC432" s="197" t="s">
        <v>95</v>
      </c>
      <c r="BD432" s="202" t="s">
        <v>932</v>
      </c>
      <c r="BE432" s="77">
        <v>2014</v>
      </c>
      <c r="BF432" s="77">
        <f t="shared" si="122"/>
        <v>1</v>
      </c>
      <c r="BG432" s="203" t="s">
        <v>95</v>
      </c>
      <c r="BH432" t="s">
        <v>939</v>
      </c>
      <c r="BI432" t="s">
        <v>940</v>
      </c>
      <c r="BJ432" s="208"/>
      <c r="BK432" s="208"/>
      <c r="BL432" s="208"/>
    </row>
    <row r="433" spans="1:64" ht="11.25" customHeight="1" x14ac:dyDescent="0.2">
      <c r="A433" s="176" t="s">
        <v>1519</v>
      </c>
      <c r="B433" s="153" t="s">
        <v>382</v>
      </c>
      <c r="C433" s="154" t="s">
        <v>100</v>
      </c>
      <c r="D433" s="154" t="s">
        <v>989</v>
      </c>
      <c r="E433" s="155">
        <v>18</v>
      </c>
      <c r="F433" s="298">
        <v>216</v>
      </c>
      <c r="G433" s="298" t="s">
        <v>88</v>
      </c>
      <c r="H433" s="298" t="s">
        <v>88</v>
      </c>
      <c r="I433" s="156">
        <v>47.75</v>
      </c>
      <c r="J433" s="157">
        <f t="shared" si="108"/>
        <v>2.3455497382198955</v>
      </c>
      <c r="K433" s="158">
        <v>0.28000000000000003</v>
      </c>
      <c r="L433" s="126">
        <v>4</v>
      </c>
      <c r="M433" s="82">
        <f t="shared" si="109"/>
        <v>1.1200000000000001</v>
      </c>
      <c r="N433" s="159" t="s">
        <v>93</v>
      </c>
      <c r="O433" s="160">
        <v>0.26</v>
      </c>
      <c r="P433" s="161">
        <v>44715</v>
      </c>
      <c r="Q433" s="161">
        <v>44732</v>
      </c>
      <c r="R433" s="82">
        <f t="shared" si="110"/>
        <v>7.6923076923076987</v>
      </c>
      <c r="S433" s="162">
        <f>IF(INDEX([1]Historical!$D$7:$D$1229,MATCH(B433,[1]Historical!$B$7:$B$1253,0))=0,"n/a",(INDEX([1]Historical!$C$7:$C$1231,MATCH(B433,[1]Historical!$B$7:$B$1253,0))/INDEX([1]Historical!$D$7:$D$1229,MATCH(B433,[1]Historical!$B$7:$B$1253,0))-1)*100)</f>
        <v>11.363636363636353</v>
      </c>
      <c r="T433" s="162">
        <f>IF(INDEX([1]Historical!$F$7:$F$1222,MATCH(B433,[1]Historical!$B$7:$B$1253,0))=0,"n/a",((INDEX([1]Historical!$C$7:$C$1231,MATCH(B433,[1]Historical!$B$7:$B$1253,0))/INDEX([1]Historical!$F$7:$F$1222,MATCH(B433,[1]Historical!$B$7:$B$1253,0)))^(1/3)-1)*100)</f>
        <v>7.9055603436663846</v>
      </c>
      <c r="U433" s="162">
        <f>IF(INDEX([1]Historical!$H$7:$H$1222,MATCH(B433,[1]Historical!$B$7:$B$1253,0))=0,"n/a",((INDEX([1]Historical!$C$7:$C$1231,MATCH(B433,[1]Historical!$B$7:$B$1253,0))/INDEX([1]Historical!$H$7:$H$1222,MATCH(B433,[1]Historical!$B$7:$B$1253,0)))^(1/5)-1)*100)</f>
        <v>8.2272013176834626</v>
      </c>
      <c r="V433" s="162">
        <f>IF(INDEX([1]Historical!$N$7:$N$1222,MATCH(B433,[1]Historical!$B$7:$B$1253,0))=0,"n/a",((INDEX([1]Historical!$C$7:$C$1231,MATCH(B433,[1]Historical!$B$7:$B$1253,0))/INDEX([1]Historical!$N$7:$N$1222,MATCH(B433,[1]Historical!$B$7:$B$1253,0)))^(1/10)-1)*100)</f>
        <v>11.16670053981812</v>
      </c>
      <c r="W433" s="163">
        <f t="shared" si="111"/>
        <v>0.73676206219975027</v>
      </c>
      <c r="X433" s="164" t="str">
        <f t="shared" si="112"/>
        <v>n/a</v>
      </c>
      <c r="Y433" s="180"/>
      <c r="Z433" s="157">
        <f t="shared" si="113"/>
        <v>203.63636363636365</v>
      </c>
      <c r="AA433" s="166">
        <f t="shared" si="114"/>
        <v>86.818181818181813</v>
      </c>
      <c r="AB433" s="126">
        <v>3</v>
      </c>
      <c r="AC433" s="167">
        <v>0.55000000000000004</v>
      </c>
      <c r="AD433" s="167">
        <v>5.7</v>
      </c>
      <c r="AE433" s="167">
        <v>1.07</v>
      </c>
      <c r="AF433" s="167">
        <v>2.04</v>
      </c>
      <c r="AG433" s="167" t="s">
        <v>95</v>
      </c>
      <c r="AH433" s="167">
        <v>79.5</v>
      </c>
      <c r="AI433" s="167">
        <v>21.51</v>
      </c>
      <c r="AJ433" s="167">
        <v>-0.4</v>
      </c>
      <c r="AK433" s="167">
        <v>15</v>
      </c>
      <c r="AL433" s="168">
        <v>1470</v>
      </c>
      <c r="AM433" s="169">
        <v>3.3000000000000003</v>
      </c>
      <c r="AN433" s="167">
        <v>0.64</v>
      </c>
      <c r="AO433" s="170">
        <f t="shared" si="115"/>
        <v>-76.24543076227846</v>
      </c>
      <c r="AP433" s="171">
        <f t="shared" si="116"/>
        <v>10.572751055903359</v>
      </c>
      <c r="AQ433" s="172">
        <f t="shared" si="117"/>
        <v>180.56220614179574</v>
      </c>
      <c r="AR433" s="157">
        <f>INDEX([1]Historical!$C$7:$C$1231,MATCH(B433,[1]Historical!$B$7:$B$1253,0))*IF(AH433="n/a",1.03,IF(AH433&lt;0,1.01,IF(AH433&gt;10,1.1,(1+AH433/100))))</f>
        <v>1.0780000000000001</v>
      </c>
      <c r="AS433" s="166">
        <f t="shared" si="118"/>
        <v>1.1858000000000002</v>
      </c>
      <c r="AT433" s="166">
        <f t="shared" si="124"/>
        <v>1.3043800000000003</v>
      </c>
      <c r="AU433" s="166">
        <f t="shared" si="124"/>
        <v>1.4348180000000004</v>
      </c>
      <c r="AV433" s="166">
        <f t="shared" si="124"/>
        <v>1.5782998000000006</v>
      </c>
      <c r="AW433" s="157">
        <f t="shared" si="120"/>
        <v>6.5812978000000024</v>
      </c>
      <c r="AX433" s="173">
        <f t="shared" si="121"/>
        <v>13.782822617801052</v>
      </c>
      <c r="AY433" s="174">
        <v>1.04</v>
      </c>
      <c r="AZ433" s="169">
        <v>27.37</v>
      </c>
      <c r="BA433" s="169">
        <v>-26.21</v>
      </c>
      <c r="BB433" s="169">
        <v>3.61</v>
      </c>
      <c r="BC433" s="169">
        <v>2.82</v>
      </c>
      <c r="BE433" s="77">
        <v>2005</v>
      </c>
      <c r="BF433" s="77">
        <f t="shared" si="122"/>
        <v>2</v>
      </c>
      <c r="BG433" s="175" t="s">
        <v>95</v>
      </c>
      <c r="BH433" t="s">
        <v>939</v>
      </c>
      <c r="BI433" t="s">
        <v>940</v>
      </c>
    </row>
    <row r="434" spans="1:64" ht="11.25" customHeight="1" x14ac:dyDescent="0.2">
      <c r="A434" s="112" t="s">
        <v>1520</v>
      </c>
      <c r="B434" s="153" t="s">
        <v>124</v>
      </c>
      <c r="C434" s="154" t="s">
        <v>127</v>
      </c>
      <c r="D434" s="154" t="s">
        <v>125</v>
      </c>
      <c r="E434" s="155">
        <v>53</v>
      </c>
      <c r="F434" s="298">
        <v>27</v>
      </c>
      <c r="G434" s="298" t="s">
        <v>104</v>
      </c>
      <c r="H434" s="298" t="s">
        <v>104</v>
      </c>
      <c r="I434" s="167">
        <v>46.27</v>
      </c>
      <c r="J434" s="157">
        <f t="shared" si="108"/>
        <v>8.1262156905122112</v>
      </c>
      <c r="K434" s="158">
        <v>0.94</v>
      </c>
      <c r="L434" s="126">
        <v>4</v>
      </c>
      <c r="M434" s="82">
        <f t="shared" si="109"/>
        <v>3.76</v>
      </c>
      <c r="N434" s="159" t="s">
        <v>126</v>
      </c>
      <c r="O434" s="160">
        <v>0.9</v>
      </c>
      <c r="P434" s="161">
        <v>44818</v>
      </c>
      <c r="Q434" s="161">
        <v>44845</v>
      </c>
      <c r="R434" s="82">
        <f t="shared" si="110"/>
        <v>4.4444444444444366</v>
      </c>
      <c r="S434" s="162">
        <f>IF(INDEX([1]Historical!$D$7:$D$1229,MATCH(B434,[1]Historical!$B$7:$B$1253,0))=0,"n/a",(INDEX([1]Historical!$C$7:$C$1231,MATCH(B434,[1]Historical!$B$7:$B$1253,0))/INDEX([1]Historical!$D$7:$D$1229,MATCH(B434,[1]Historical!$B$7:$B$1253,0))-1)*100)</f>
        <v>2.9585798816567976</v>
      </c>
      <c r="T434" s="162">
        <f>IF(INDEX([1]Historical!$F$7:$F$1222,MATCH(B434,[1]Historical!$B$7:$B$1253,0))=0,"n/a",((INDEX([1]Historical!$C$7:$C$1231,MATCH(B434,[1]Historical!$B$7:$B$1253,0))/INDEX([1]Historical!$F$7:$F$1222,MATCH(B434,[1]Historical!$B$7:$B$1253,0)))^(1/3)-1)*100)</f>
        <v>6.7589770060238363</v>
      </c>
      <c r="U434" s="162">
        <f>IF(INDEX([1]Historical!$H$7:$H$1222,MATCH(B434,[1]Historical!$B$7:$B$1253,0))=0,"n/a",((INDEX([1]Historical!$C$7:$C$1231,MATCH(B434,[1]Historical!$B$7:$B$1253,0))/INDEX([1]Historical!$H$7:$H$1222,MATCH(B434,[1]Historical!$B$7:$B$1253,0)))^(1/5)-1)*100)</f>
        <v>8.5879571401781707</v>
      </c>
      <c r="V434" s="162">
        <f>IF(INDEX([1]Historical!$N$7:$N$1222,MATCH(B434,[1]Historical!$B$7:$B$1253,0))=0,"n/a",((INDEX([1]Historical!$C$7:$C$1231,MATCH(B434,[1]Historical!$B$7:$B$1253,0))/INDEX([1]Historical!$N$7:$N$1222,MATCH(B434,[1]Historical!$B$7:$B$1253,0)))^(1/10)-1)*100)</f>
        <v>8.4238325457558272</v>
      </c>
      <c r="W434" s="163">
        <f t="shared" si="111"/>
        <v>1.0194833638407299</v>
      </c>
      <c r="X434" s="164" t="str">
        <f t="shared" si="112"/>
        <v>n/a</v>
      </c>
      <c r="Y434" s="292"/>
      <c r="Z434" s="157">
        <f t="shared" si="113"/>
        <v>387.62886597938143</v>
      </c>
      <c r="AA434" s="166">
        <f t="shared" si="114"/>
        <v>47.701030927835056</v>
      </c>
      <c r="AB434" s="126">
        <v>12</v>
      </c>
      <c r="AC434" s="167">
        <v>0.97</v>
      </c>
      <c r="AD434" s="167">
        <v>11.18</v>
      </c>
      <c r="AE434" s="167">
        <v>3.21</v>
      </c>
      <c r="AF434" s="167" t="s">
        <v>95</v>
      </c>
      <c r="AG434" s="179">
        <v>-187.4</v>
      </c>
      <c r="AH434" s="167">
        <v>-44.6</v>
      </c>
      <c r="AI434" s="167">
        <v>3.4299999999999997</v>
      </c>
      <c r="AJ434" s="167">
        <v>-28.799999999999997</v>
      </c>
      <c r="AK434" s="167">
        <v>4.26</v>
      </c>
      <c r="AL434" s="168">
        <v>81790</v>
      </c>
      <c r="AM434" s="169">
        <v>6.9999999999999993E-2</v>
      </c>
      <c r="AN434" s="167" t="s">
        <v>95</v>
      </c>
      <c r="AO434" s="170">
        <f t="shared" si="115"/>
        <v>-30.986858097144676</v>
      </c>
      <c r="AP434" s="171">
        <f t="shared" si="116"/>
        <v>16.71417283069038</v>
      </c>
      <c r="AQ434" s="172" t="str">
        <f t="shared" si="117"/>
        <v>n/a</v>
      </c>
      <c r="AR434" s="157">
        <f>INDEX([1]Historical!$C$7:$C$1231,MATCH(B434,[1]Historical!$B$7:$B$1253,0))*IF(AH434="n/a",1.03,IF(AH434&lt;0,1.01,IF(AH434&gt;10,1.1,(1+AH434/100))))</f>
        <v>3.5148000000000001</v>
      </c>
      <c r="AS434" s="166">
        <f t="shared" si="118"/>
        <v>3.6353576400000001</v>
      </c>
      <c r="AT434" s="166">
        <f t="shared" si="124"/>
        <v>3.7902238754640001</v>
      </c>
      <c r="AU434" s="166">
        <f t="shared" si="124"/>
        <v>3.9516874125587664</v>
      </c>
      <c r="AV434" s="166">
        <f t="shared" si="124"/>
        <v>4.1200292963337697</v>
      </c>
      <c r="AW434" s="157">
        <f t="shared" si="120"/>
        <v>19.012098224356535</v>
      </c>
      <c r="AX434" s="173">
        <f t="shared" si="121"/>
        <v>41.0894709841291</v>
      </c>
      <c r="AY434" s="174">
        <v>0.68</v>
      </c>
      <c r="AZ434" s="169">
        <v>14.67</v>
      </c>
      <c r="BA434" s="169">
        <v>-18.899999999999999</v>
      </c>
      <c r="BB434" s="169">
        <v>5.08</v>
      </c>
      <c r="BC434" s="169">
        <v>-4.1399999999999997</v>
      </c>
      <c r="BE434" s="77">
        <v>1970</v>
      </c>
      <c r="BF434" s="77">
        <f t="shared" si="122"/>
        <v>7</v>
      </c>
      <c r="BG434" s="175">
        <v>12.5</v>
      </c>
      <c r="BH434" t="s">
        <v>939</v>
      </c>
      <c r="BI434" t="s">
        <v>940</v>
      </c>
    </row>
    <row r="435" spans="1:64" ht="11.25" customHeight="1" x14ac:dyDescent="0.2">
      <c r="A435" s="112" t="s">
        <v>1521</v>
      </c>
      <c r="B435" s="153" t="s">
        <v>543</v>
      </c>
      <c r="C435" s="154" t="s">
        <v>90</v>
      </c>
      <c r="D435" s="154" t="s">
        <v>969</v>
      </c>
      <c r="E435" s="155">
        <v>12</v>
      </c>
      <c r="F435" s="298">
        <v>342</v>
      </c>
      <c r="G435" s="298" t="s">
        <v>88</v>
      </c>
      <c r="H435" s="298" t="s">
        <v>88</v>
      </c>
      <c r="I435" s="156">
        <v>33.6</v>
      </c>
      <c r="J435" s="157">
        <f t="shared" si="108"/>
        <v>2.8273809523809521</v>
      </c>
      <c r="K435" s="158">
        <v>0.23749999999999999</v>
      </c>
      <c r="L435" s="126">
        <v>4</v>
      </c>
      <c r="M435" s="82">
        <f t="shared" si="109"/>
        <v>0.95</v>
      </c>
      <c r="N435" s="159" t="s">
        <v>167</v>
      </c>
      <c r="O435" s="160">
        <v>0.22500000000000001</v>
      </c>
      <c r="P435" s="161">
        <v>44620</v>
      </c>
      <c r="Q435" s="161">
        <v>44635</v>
      </c>
      <c r="R435" s="82">
        <f t="shared" si="110"/>
        <v>5.5555555555555483</v>
      </c>
      <c r="S435" s="162">
        <f>IF(INDEX([1]Historical!$D$7:$D$1229,MATCH(B435,[1]Historical!$B$7:$B$1253,0))=0,"n/a",(INDEX([1]Historical!$C$7:$C$1231,MATCH(B435,[1]Historical!$B$7:$B$1253,0))/INDEX([1]Historical!$D$7:$D$1229,MATCH(B435,[1]Historical!$B$7:$B$1253,0))-1)*100)</f>
        <v>2.2727272727272707</v>
      </c>
      <c r="T435" s="162">
        <f>IF(INDEX([1]Historical!$F$7:$F$1222,MATCH(B435,[1]Historical!$B$7:$B$1253,0))=0,"n/a",((INDEX([1]Historical!$C$7:$C$1231,MATCH(B435,[1]Historical!$B$7:$B$1253,0))/INDEX([1]Historical!$F$7:$F$1222,MATCH(B435,[1]Historical!$B$7:$B$1253,0)))^(1/3)-1)*100)</f>
        <v>4.8856246288386806</v>
      </c>
      <c r="U435" s="162">
        <f>IF(INDEX([1]Historical!$H$7:$H$1222,MATCH(B435,[1]Historical!$B$7:$B$1253,0))=0,"n/a",((INDEX([1]Historical!$C$7:$C$1231,MATCH(B435,[1]Historical!$B$7:$B$1253,0))/INDEX([1]Historical!$H$7:$H$1222,MATCH(B435,[1]Historical!$B$7:$B$1253,0)))^(1/5)-1)*100)</f>
        <v>7.0563684169161922</v>
      </c>
      <c r="V435" s="162">
        <f>IF(INDEX([1]Historical!$N$7:$N$1222,MATCH(B435,[1]Historical!$B$7:$B$1253,0))=0,"n/a",((INDEX([1]Historical!$C$7:$C$1231,MATCH(B435,[1]Historical!$B$7:$B$1253,0))/INDEX([1]Historical!$N$7:$N$1222,MATCH(B435,[1]Historical!$B$7:$B$1253,0)))^(1/10)-1)*100)</f>
        <v>15.128271105738422</v>
      </c>
      <c r="W435" s="163">
        <f t="shared" si="111"/>
        <v>0.46643587807198844</v>
      </c>
      <c r="X435" s="164">
        <f t="shared" si="112"/>
        <v>0.35819129019879148</v>
      </c>
      <c r="Y435" s="178"/>
      <c r="Z435" s="157">
        <f t="shared" si="113"/>
        <v>26.243093922651934</v>
      </c>
      <c r="AA435" s="166">
        <f t="shared" si="114"/>
        <v>9.2817679558011044</v>
      </c>
      <c r="AB435" s="126">
        <v>12</v>
      </c>
      <c r="AC435" s="167">
        <v>3.62</v>
      </c>
      <c r="AD435" s="167">
        <v>1.1200000000000001</v>
      </c>
      <c r="AE435" s="167">
        <v>2.7</v>
      </c>
      <c r="AF435" s="167">
        <v>1.04</v>
      </c>
      <c r="AG435" s="167">
        <v>12</v>
      </c>
      <c r="AH435" s="167">
        <v>962.7</v>
      </c>
      <c r="AI435" s="167">
        <v>3.9699999999999998</v>
      </c>
      <c r="AJ435" s="167">
        <v>19.7</v>
      </c>
      <c r="AK435" s="167">
        <v>8</v>
      </c>
      <c r="AL435" s="168">
        <v>474.01</v>
      </c>
      <c r="AM435" s="169">
        <v>1.7999999999999998</v>
      </c>
      <c r="AN435" s="167">
        <v>0.27</v>
      </c>
      <c r="AO435" s="170">
        <f t="shared" si="115"/>
        <v>0.60198141349603951</v>
      </c>
      <c r="AP435" s="171">
        <f t="shared" si="116"/>
        <v>9.8837493692971439</v>
      </c>
      <c r="AQ435" s="172">
        <f t="shared" si="117"/>
        <v>-34.500080834543013</v>
      </c>
      <c r="AR435" s="157">
        <f>INDEX([1]Historical!$C$7:$C$1231,MATCH(B435,[1]Historical!$B$7:$B$1253,0))*IF(AH435="n/a",1.03,IF(AH435&lt;0,1.01,IF(AH435&gt;10,1.1,(1+AH435/100))))</f>
        <v>0.9900000000000001</v>
      </c>
      <c r="AS435" s="166">
        <f t="shared" si="118"/>
        <v>1.0293030000000001</v>
      </c>
      <c r="AT435" s="166">
        <f t="shared" si="124"/>
        <v>1.1116472400000001</v>
      </c>
      <c r="AU435" s="166">
        <f t="shared" si="124"/>
        <v>1.2005790192000003</v>
      </c>
      <c r="AV435" s="166">
        <f t="shared" si="124"/>
        <v>1.2966253407360004</v>
      </c>
      <c r="AW435" s="157">
        <f t="shared" si="120"/>
        <v>5.6281545999360016</v>
      </c>
      <c r="AX435" s="173">
        <f t="shared" si="121"/>
        <v>16.750460118857148</v>
      </c>
      <c r="AY435" s="174">
        <v>0.91</v>
      </c>
      <c r="AZ435" s="169">
        <v>23.669999999999998</v>
      </c>
      <c r="BA435" s="169">
        <v>-3.0300000000000002</v>
      </c>
      <c r="BB435" s="169">
        <v>12.959999999999999</v>
      </c>
      <c r="BC435" s="169">
        <v>9.5699999999999985</v>
      </c>
      <c r="BE435" s="77">
        <v>2011</v>
      </c>
      <c r="BF435" s="77">
        <f t="shared" si="122"/>
        <v>1</v>
      </c>
      <c r="BG435" s="175">
        <v>1</v>
      </c>
      <c r="BH435" t="s">
        <v>939</v>
      </c>
      <c r="BI435" t="s">
        <v>940</v>
      </c>
    </row>
    <row r="436" spans="1:64" ht="11.25" customHeight="1" x14ac:dyDescent="0.2">
      <c r="A436" s="112" t="s">
        <v>1522</v>
      </c>
      <c r="B436" s="153" t="s">
        <v>544</v>
      </c>
      <c r="C436" s="154" t="s">
        <v>90</v>
      </c>
      <c r="D436" s="154" t="s">
        <v>972</v>
      </c>
      <c r="E436" s="155">
        <v>12</v>
      </c>
      <c r="F436" s="298">
        <v>324</v>
      </c>
      <c r="G436" s="298" t="s">
        <v>88</v>
      </c>
      <c r="H436" s="298" t="s">
        <v>88</v>
      </c>
      <c r="I436" s="156">
        <v>232.18</v>
      </c>
      <c r="J436" s="157">
        <f t="shared" si="108"/>
        <v>0.62020845895425958</v>
      </c>
      <c r="K436" s="158">
        <v>0.36</v>
      </c>
      <c r="L436" s="126">
        <v>4</v>
      </c>
      <c r="M436" s="82">
        <f t="shared" si="109"/>
        <v>1.44</v>
      </c>
      <c r="N436" s="159" t="s">
        <v>190</v>
      </c>
      <c r="O436" s="160">
        <v>0.315</v>
      </c>
      <c r="P436" s="161">
        <v>44567</v>
      </c>
      <c r="Q436" s="161">
        <v>44592</v>
      </c>
      <c r="R436" s="82">
        <f t="shared" si="110"/>
        <v>14.285714285714279</v>
      </c>
      <c r="S436" s="162">
        <f>IF(INDEX([1]Historical!$D$7:$D$1229,MATCH(B436,[1]Historical!$B$7:$B$1253,0))=0,"n/a",(INDEX([1]Historical!$C$7:$C$1231,MATCH(B436,[1]Historical!$B$7:$B$1253,0))/INDEX([1]Historical!$D$7:$D$1229,MATCH(B436,[1]Historical!$B$7:$B$1253,0))-1)*100)</f>
        <v>14.285714285714279</v>
      </c>
      <c r="T436" s="162">
        <f>IF(INDEX([1]Historical!$F$7:$F$1222,MATCH(B436,[1]Historical!$B$7:$B$1253,0))=0,"n/a",((INDEX([1]Historical!$C$7:$C$1231,MATCH(B436,[1]Historical!$B$7:$B$1253,0))/INDEX([1]Historical!$F$7:$F$1222,MATCH(B436,[1]Historical!$B$7:$B$1253,0)))^(1/3)-1)*100)</f>
        <v>12.924323465723408</v>
      </c>
      <c r="U436" s="162">
        <f>IF(INDEX([1]Historical!$H$7:$H$1222,MATCH(B436,[1]Historical!$B$7:$B$1253,0))=0,"n/a",((INDEX([1]Historical!$C$7:$C$1231,MATCH(B436,[1]Historical!$B$7:$B$1253,0))/INDEX([1]Historical!$H$7:$H$1222,MATCH(B436,[1]Historical!$B$7:$B$1253,0)))^(1/5)-1)*100)</f>
        <v>10.350921459993479</v>
      </c>
      <c r="V436" s="162">
        <f>IF(INDEX([1]Historical!$N$7:$N$1222,MATCH(B436,[1]Historical!$B$7:$B$1253,0))=0,"n/a",((INDEX([1]Historical!$C$7:$C$1231,MATCH(B436,[1]Historical!$B$7:$B$1253,0))/INDEX([1]Historical!$N$7:$N$1222,MATCH(B436,[1]Historical!$B$7:$B$1253,0)))^(1/10)-1)*100)</f>
        <v>21.824110663778651</v>
      </c>
      <c r="W436" s="163">
        <f t="shared" si="111"/>
        <v>0.47428835105628581</v>
      </c>
      <c r="X436" s="164">
        <f t="shared" si="112"/>
        <v>2.7975463405387786</v>
      </c>
      <c r="Y436" s="165"/>
      <c r="Z436" s="157">
        <f t="shared" si="113"/>
        <v>50.526315789473685</v>
      </c>
      <c r="AA436" s="166">
        <f t="shared" si="114"/>
        <v>81.466666666666669</v>
      </c>
      <c r="AB436" s="126">
        <v>12</v>
      </c>
      <c r="AC436" s="167">
        <v>2.85</v>
      </c>
      <c r="AD436" s="167">
        <v>5.14</v>
      </c>
      <c r="AE436" s="167">
        <v>5.17</v>
      </c>
      <c r="AF436" s="167">
        <v>8.0399999999999991</v>
      </c>
      <c r="AG436" s="167">
        <v>13.700000000000001</v>
      </c>
      <c r="AH436" s="167">
        <v>-13.900000000000002</v>
      </c>
      <c r="AI436" s="167">
        <v>24.099999999999998</v>
      </c>
      <c r="AJ436" s="167">
        <v>3.6999999999999997</v>
      </c>
      <c r="AK436" s="167">
        <v>16</v>
      </c>
      <c r="AL436" s="168">
        <v>9610</v>
      </c>
      <c r="AM436" s="169">
        <v>29.5</v>
      </c>
      <c r="AN436" s="167">
        <v>0.95</v>
      </c>
      <c r="AO436" s="170">
        <f t="shared" si="115"/>
        <v>-70.49553674771893</v>
      </c>
      <c r="AP436" s="171">
        <f t="shared" si="116"/>
        <v>10.971129918947739</v>
      </c>
      <c r="AQ436" s="172">
        <f t="shared" si="117"/>
        <v>439.54384025355671</v>
      </c>
      <c r="AR436" s="157">
        <f>INDEX([1]Historical!$C$7:$C$1231,MATCH(B436,[1]Historical!$B$7:$B$1253,0))*IF(AH436="n/a",1.03,IF(AH436&lt;0,1.01,IF(AH436&gt;10,1.1,(1+AH436/100))))</f>
        <v>1.4543999999999999</v>
      </c>
      <c r="AS436" s="166">
        <f t="shared" si="118"/>
        <v>1.5998399999999999</v>
      </c>
      <c r="AT436" s="166">
        <f t="shared" si="124"/>
        <v>1.7598240000000001</v>
      </c>
      <c r="AU436" s="166">
        <f t="shared" si="124"/>
        <v>1.9358064000000001</v>
      </c>
      <c r="AV436" s="166">
        <f t="shared" si="124"/>
        <v>2.1293870400000001</v>
      </c>
      <c r="AW436" s="157">
        <f t="shared" si="120"/>
        <v>8.8792574399999999</v>
      </c>
      <c r="AX436" s="173">
        <f t="shared" si="121"/>
        <v>3.824299009389267</v>
      </c>
      <c r="AY436" s="174">
        <v>1.1100000000000001</v>
      </c>
      <c r="AZ436" s="169">
        <v>12.1</v>
      </c>
      <c r="BA436" s="169">
        <v>-33.700000000000003</v>
      </c>
      <c r="BB436" s="169">
        <v>3.46</v>
      </c>
      <c r="BC436" s="169">
        <v>-7.4899999999999993</v>
      </c>
      <c r="BE436" s="77">
        <v>2011</v>
      </c>
      <c r="BF436" s="77">
        <f t="shared" si="122"/>
        <v>1</v>
      </c>
      <c r="BG436" s="175">
        <v>6.2</v>
      </c>
      <c r="BH436" t="s">
        <v>939</v>
      </c>
      <c r="BI436" t="s">
        <v>940</v>
      </c>
    </row>
    <row r="437" spans="1:64" ht="11.25" customHeight="1" x14ac:dyDescent="0.2">
      <c r="A437" s="176" t="s">
        <v>1523</v>
      </c>
      <c r="B437" s="153" t="s">
        <v>821</v>
      </c>
      <c r="C437" s="154" t="s">
        <v>90</v>
      </c>
      <c r="D437" s="154" t="s">
        <v>969</v>
      </c>
      <c r="E437" s="155">
        <v>8</v>
      </c>
      <c r="F437" s="298">
        <v>567</v>
      </c>
      <c r="G437" s="298" t="s">
        <v>30</v>
      </c>
      <c r="H437" s="298" t="s">
        <v>30</v>
      </c>
      <c r="I437" s="156">
        <v>34.18</v>
      </c>
      <c r="J437" s="157">
        <f t="shared" si="108"/>
        <v>2.3405500292568755</v>
      </c>
      <c r="K437" s="158">
        <v>0.2</v>
      </c>
      <c r="L437" s="126">
        <v>4</v>
      </c>
      <c r="M437" s="82">
        <f t="shared" si="109"/>
        <v>0.8</v>
      </c>
      <c r="N437" s="159" t="s">
        <v>741</v>
      </c>
      <c r="O437" s="160">
        <v>0.19</v>
      </c>
      <c r="P437" s="182">
        <v>44323</v>
      </c>
      <c r="Q437" s="182">
        <v>44340</v>
      </c>
      <c r="R437" s="82">
        <f t="shared" si="110"/>
        <v>5.2631578947368469</v>
      </c>
      <c r="S437" s="162">
        <f>IF(INDEX([1]Historical!$D$7:$D$1229,MATCH(B437,[1]Historical!$B$7:$B$1253,0))=0,"n/a",(INDEX([1]Historical!$C$7:$C$1231,MATCH(B437,[1]Historical!$B$7:$B$1253,0))/INDEX([1]Historical!$D$7:$D$1229,MATCH(B437,[1]Historical!$B$7:$B$1253,0))-1)*100)</f>
        <v>9.7222222222222321</v>
      </c>
      <c r="T437" s="162">
        <f>IF(INDEX([1]Historical!$F$7:$F$1222,MATCH(B437,[1]Historical!$B$7:$B$1253,0))=0,"n/a",((INDEX([1]Historical!$C$7:$C$1231,MATCH(B437,[1]Historical!$B$7:$B$1253,0))/INDEX([1]Historical!$F$7:$F$1222,MATCH(B437,[1]Historical!$B$7:$B$1253,0)))^(1/3)-1)*100)</f>
        <v>9.6037164041921308</v>
      </c>
      <c r="U437" s="162">
        <f>IF(INDEX([1]Historical!$H$7:$H$1222,MATCH(B437,[1]Historical!$B$7:$B$1253,0))=0,"n/a",((INDEX([1]Historical!$C$7:$C$1231,MATCH(B437,[1]Historical!$B$7:$B$1253,0))/INDEX([1]Historical!$H$7:$H$1222,MATCH(B437,[1]Historical!$B$7:$B$1253,0)))^(1/5)-1)*100)</f>
        <v>10.478347805926491</v>
      </c>
      <c r="V437" s="162">
        <f>IF(INDEX([1]Historical!$N$7:$N$1222,MATCH(B437,[1]Historical!$B$7:$B$1253,0))=0,"n/a",((INDEX([1]Historical!$C$7:$C$1231,MATCH(B437,[1]Historical!$B$7:$B$1253,0))/INDEX([1]Historical!$N$7:$N$1222,MATCH(B437,[1]Historical!$B$7:$B$1253,0)))^(1/10)-1)*100)</f>
        <v>14.725434074158784</v>
      </c>
      <c r="W437" s="163">
        <f t="shared" si="111"/>
        <v>0.71158159095049189</v>
      </c>
      <c r="X437" s="164">
        <f t="shared" si="112"/>
        <v>1.3097934757408114</v>
      </c>
      <c r="Y437" s="299"/>
      <c r="Z437" s="157">
        <f t="shared" si="113"/>
        <v>32.128514056224901</v>
      </c>
      <c r="AA437" s="166">
        <f t="shared" si="114"/>
        <v>13.726907630522087</v>
      </c>
      <c r="AB437" s="126">
        <v>12</v>
      </c>
      <c r="AC437" s="167">
        <v>2.4900000000000002</v>
      </c>
      <c r="AD437" s="167" t="s">
        <v>95</v>
      </c>
      <c r="AE437" s="167">
        <v>3.51</v>
      </c>
      <c r="AF437" s="167">
        <v>1.1000000000000001</v>
      </c>
      <c r="AG437" s="167">
        <v>6.9</v>
      </c>
      <c r="AH437" s="167">
        <v>-12.7</v>
      </c>
      <c r="AI437" s="167">
        <v>15.939999999999998</v>
      </c>
      <c r="AJ437" s="167">
        <v>8</v>
      </c>
      <c r="AK437" s="167" t="s">
        <v>95</v>
      </c>
      <c r="AL437" s="168">
        <v>531.47</v>
      </c>
      <c r="AM437" s="169">
        <v>1.7999999999999998</v>
      </c>
      <c r="AN437" s="167">
        <v>0.16</v>
      </c>
      <c r="AO437" s="170">
        <f t="shared" si="115"/>
        <v>-0.90800979533871917</v>
      </c>
      <c r="AP437" s="171">
        <f t="shared" si="116"/>
        <v>12.818897835183368</v>
      </c>
      <c r="AQ437" s="172">
        <f t="shared" si="117"/>
        <v>-18.079717899861002</v>
      </c>
      <c r="AR437" s="157">
        <f>INDEX([1]Historical!$C$7:$C$1231,MATCH(B437,[1]Historical!$B$7:$B$1253,0))*IF(AH437="n/a",1.03,IF(AH437&lt;0,1.01,IF(AH437&gt;10,1.1,(1+AH437/100))))</f>
        <v>0.79790000000000005</v>
      </c>
      <c r="AS437" s="166">
        <f t="shared" si="118"/>
        <v>0.87769000000000008</v>
      </c>
      <c r="AT437" s="166">
        <f t="shared" si="124"/>
        <v>0.90402070000000012</v>
      </c>
      <c r="AU437" s="166">
        <f t="shared" si="124"/>
        <v>0.93114132100000013</v>
      </c>
      <c r="AV437" s="166">
        <f t="shared" si="124"/>
        <v>0.95907556063000021</v>
      </c>
      <c r="AW437" s="157">
        <f t="shared" si="120"/>
        <v>4.4698275816300006</v>
      </c>
      <c r="AX437" s="173">
        <f t="shared" si="121"/>
        <v>13.07731884619661</v>
      </c>
      <c r="AY437" s="174">
        <v>0.54</v>
      </c>
      <c r="AZ437" s="169">
        <v>37.769999999999996</v>
      </c>
      <c r="BA437" s="169">
        <v>-0.67</v>
      </c>
      <c r="BB437" s="169">
        <v>13.81</v>
      </c>
      <c r="BC437" s="169">
        <v>20.9</v>
      </c>
      <c r="BE437" s="77">
        <v>2014</v>
      </c>
      <c r="BF437" s="77">
        <f t="shared" si="122"/>
        <v>1</v>
      </c>
      <c r="BG437" s="175">
        <v>0.70000000000000007</v>
      </c>
      <c r="BH437" t="s">
        <v>939</v>
      </c>
      <c r="BI437" t="s">
        <v>940</v>
      </c>
      <c r="BJ437" s="112"/>
      <c r="BK437" s="112"/>
      <c r="BL437" s="112"/>
    </row>
    <row r="438" spans="1:64" ht="11.25" customHeight="1" x14ac:dyDescent="0.2">
      <c r="A438" s="176" t="s">
        <v>768</v>
      </c>
      <c r="B438" s="153" t="s">
        <v>769</v>
      </c>
      <c r="C438" s="154" t="s">
        <v>109</v>
      </c>
      <c r="D438" s="154" t="s">
        <v>1028</v>
      </c>
      <c r="E438" s="155">
        <v>9</v>
      </c>
      <c r="F438" s="298">
        <v>511</v>
      </c>
      <c r="G438" s="298" t="s">
        <v>88</v>
      </c>
      <c r="H438" s="298" t="s">
        <v>88</v>
      </c>
      <c r="I438" s="156">
        <v>33.54</v>
      </c>
      <c r="J438" s="157">
        <f t="shared" si="108"/>
        <v>8.4078711985688734</v>
      </c>
      <c r="K438" s="158">
        <v>0.70499999999999996</v>
      </c>
      <c r="L438" s="126">
        <v>4</v>
      </c>
      <c r="M438" s="82">
        <f t="shared" si="109"/>
        <v>2.82</v>
      </c>
      <c r="N438" s="159" t="s">
        <v>89</v>
      </c>
      <c r="O438" s="160">
        <v>0.6875</v>
      </c>
      <c r="P438" s="224">
        <v>44510</v>
      </c>
      <c r="Q438" s="224">
        <v>44519</v>
      </c>
      <c r="R438" s="82">
        <f t="shared" si="110"/>
        <v>2.5454545454545396</v>
      </c>
      <c r="S438" s="162">
        <f>IF(INDEX([1]Historical!$D$7:$D$1229,MATCH(B438,[1]Historical!$B$7:$B$1253,0))=0,"n/a",(INDEX([1]Historical!$C$7:$C$1231,MATCH(B438,[1]Historical!$B$7:$B$1253,0))/INDEX([1]Historical!$D$7:$D$1229,MATCH(B438,[1]Historical!$B$7:$B$1253,0))-1)*100)</f>
        <v>0.63636363636363491</v>
      </c>
      <c r="T438" s="162">
        <f>IF(INDEX([1]Historical!$F$7:$F$1222,MATCH(B438,[1]Historical!$B$7:$B$1253,0))=0,"n/a",((INDEX([1]Historical!$C$7:$C$1231,MATCH(B438,[1]Historical!$B$7:$B$1253,0))/INDEX([1]Historical!$F$7:$F$1222,MATCH(B438,[1]Historical!$B$7:$B$1253,0)))^(1/3)-1)*100)</f>
        <v>3.5848148590610585</v>
      </c>
      <c r="U438" s="162">
        <f>IF(INDEX([1]Historical!$H$7:$H$1222,MATCH(B438,[1]Historical!$B$7:$B$1253,0))=0,"n/a",((INDEX([1]Historical!$C$7:$C$1231,MATCH(B438,[1]Historical!$B$7:$B$1253,0))/INDEX([1]Historical!$H$7:$H$1222,MATCH(B438,[1]Historical!$B$7:$B$1253,0)))^(1/5)-1)*100)</f>
        <v>6.3942894088214963</v>
      </c>
      <c r="V438" s="162" t="str">
        <f>IF(INDEX([1]Historical!$N$7:$N$1222,MATCH(B438,[1]Historical!$B$7:$B$1253,0))=0,"n/a",((INDEX([1]Historical!$C$7:$C$1231,MATCH(B438,[1]Historical!$B$7:$B$1253,0))/INDEX([1]Historical!$N$7:$N$1222,MATCH(B438,[1]Historical!$B$7:$B$1253,0)))^(1/10)-1)*100)</f>
        <v>n/a</v>
      </c>
      <c r="W438" s="163" t="str">
        <f t="shared" si="111"/>
        <v>n/a</v>
      </c>
      <c r="X438" s="164">
        <f t="shared" si="112"/>
        <v>2.1653536772168969E-2</v>
      </c>
      <c r="Y438" s="178"/>
      <c r="Z438" s="157">
        <f t="shared" si="113"/>
        <v>89.808917197452217</v>
      </c>
      <c r="AA438" s="166">
        <f t="shared" si="114"/>
        <v>10.681528662420382</v>
      </c>
      <c r="AB438" s="126">
        <v>12</v>
      </c>
      <c r="AC438" s="167">
        <v>3.14</v>
      </c>
      <c r="AD438" s="167">
        <v>1.08</v>
      </c>
      <c r="AE438" s="167">
        <v>3.09</v>
      </c>
      <c r="AF438" s="167">
        <v>3</v>
      </c>
      <c r="AG438" s="167">
        <v>28.000000000000004</v>
      </c>
      <c r="AH438" s="167">
        <v>456.79999999999995</v>
      </c>
      <c r="AI438" s="167">
        <v>5.3199999999999994</v>
      </c>
      <c r="AJ438" s="167">
        <v>295.3</v>
      </c>
      <c r="AK438" s="167">
        <v>9.94</v>
      </c>
      <c r="AL438" s="168">
        <v>33500</v>
      </c>
      <c r="AM438" s="169">
        <v>64.12</v>
      </c>
      <c r="AN438" s="167">
        <v>1.84</v>
      </c>
      <c r="AO438" s="170">
        <f t="shared" si="115"/>
        <v>4.120631944969988</v>
      </c>
      <c r="AP438" s="171">
        <f t="shared" si="116"/>
        <v>14.80216060739037</v>
      </c>
      <c r="AQ438" s="172">
        <f t="shared" si="117"/>
        <v>19.340010962629407</v>
      </c>
      <c r="AR438" s="157">
        <f>INDEX([1]Historical!$C$7:$C$1231,MATCH(B438,[1]Historical!$B$7:$B$1253,0))*IF(AH438="n/a",1.03,IF(AH438&lt;0,1.01,IF(AH438&gt;10,1.1,(1+AH438/100))))</f>
        <v>3.0442500000000003</v>
      </c>
      <c r="AS438" s="166">
        <f t="shared" si="118"/>
        <v>3.2062040999999999</v>
      </c>
      <c r="AT438" s="166">
        <f t="shared" si="124"/>
        <v>3.5249007875399996</v>
      </c>
      <c r="AU438" s="166">
        <f t="shared" si="124"/>
        <v>3.8752759258214753</v>
      </c>
      <c r="AV438" s="166">
        <f t="shared" si="124"/>
        <v>4.2604783528481294</v>
      </c>
      <c r="AW438" s="157">
        <f t="shared" si="120"/>
        <v>17.911109166209606</v>
      </c>
      <c r="AX438" s="173">
        <f t="shared" si="121"/>
        <v>53.402233649998834</v>
      </c>
      <c r="AY438" s="174">
        <v>1.47</v>
      </c>
      <c r="AZ438" s="169">
        <v>22.12</v>
      </c>
      <c r="BA438" s="169">
        <v>-5.4899999999999993</v>
      </c>
      <c r="BB438" s="169">
        <v>4.71</v>
      </c>
      <c r="BC438" s="169">
        <v>4.91</v>
      </c>
      <c r="BE438" s="77">
        <v>2013</v>
      </c>
      <c r="BF438" s="77">
        <f t="shared" si="122"/>
        <v>1</v>
      </c>
      <c r="BG438" s="175">
        <v>8.9</v>
      </c>
      <c r="BH438" t="s">
        <v>939</v>
      </c>
      <c r="BI438" t="s">
        <v>993</v>
      </c>
      <c r="BJ438" s="112"/>
      <c r="BK438" s="112"/>
      <c r="BL438" s="112"/>
    </row>
    <row r="439" spans="1:64" ht="11.25" customHeight="1" x14ac:dyDescent="0.2">
      <c r="A439" s="176" t="s">
        <v>1524</v>
      </c>
      <c r="B439" s="153" t="s">
        <v>857</v>
      </c>
      <c r="C439" s="154" t="s">
        <v>947</v>
      </c>
      <c r="D439" s="154" t="s">
        <v>948</v>
      </c>
      <c r="E439" s="155">
        <v>9</v>
      </c>
      <c r="F439" s="298">
        <v>532</v>
      </c>
      <c r="G439" s="298" t="s">
        <v>88</v>
      </c>
      <c r="H439" s="298" t="s">
        <v>88</v>
      </c>
      <c r="I439" s="156">
        <v>11.45</v>
      </c>
      <c r="J439" s="157">
        <f t="shared" si="108"/>
        <v>10.131004366812228</v>
      </c>
      <c r="K439" s="158">
        <v>0.28999999999999998</v>
      </c>
      <c r="L439" s="126">
        <v>4</v>
      </c>
      <c r="M439" s="82">
        <f t="shared" si="109"/>
        <v>1.1599999999999999</v>
      </c>
      <c r="N439" s="159" t="s">
        <v>741</v>
      </c>
      <c r="O439" s="160">
        <v>0.28000000000000003</v>
      </c>
      <c r="P439" s="161">
        <v>44636</v>
      </c>
      <c r="Q439" s="161">
        <v>44665</v>
      </c>
      <c r="R439" s="82">
        <f t="shared" si="110"/>
        <v>3.5714285714285547</v>
      </c>
      <c r="S439" s="162">
        <f>IF(INDEX([1]Historical!$D$7:$D$1229,MATCH(B439,[1]Historical!$B$7:$B$1253,0))=0,"n/a",(INDEX([1]Historical!$C$7:$C$1231,MATCH(B439,[1]Historical!$B$7:$B$1253,0))/INDEX([1]Historical!$D$7:$D$1229,MATCH(B439,[1]Historical!$B$7:$B$1253,0))-1)*100)</f>
        <v>3.7383177570093462</v>
      </c>
      <c r="T439" s="162">
        <f>IF(INDEX([1]Historical!$F$7:$F$1222,MATCH(B439,[1]Historical!$B$7:$B$1253,0))=0,"n/a",((INDEX([1]Historical!$C$7:$C$1231,MATCH(B439,[1]Historical!$B$7:$B$1253,0))/INDEX([1]Historical!$F$7:$F$1222,MATCH(B439,[1]Historical!$B$7:$B$1253,0)))^(1/3)-1)*100)</f>
        <v>3.8873324124418351</v>
      </c>
      <c r="U439" s="162">
        <f>IF(INDEX([1]Historical!$H$7:$H$1222,MATCH(B439,[1]Historical!$B$7:$B$1253,0))=0,"n/a",((INDEX([1]Historical!$C$7:$C$1231,MATCH(B439,[1]Historical!$B$7:$B$1253,0))/INDEX([1]Historical!$H$7:$H$1222,MATCH(B439,[1]Historical!$B$7:$B$1253,0)))^(1/5)-1)*100)</f>
        <v>4.2836189040638795</v>
      </c>
      <c r="V439" s="162">
        <f>IF(INDEX([1]Historical!$N$7:$N$1222,MATCH(B439,[1]Historical!$B$7:$B$1253,0))=0,"n/a",((INDEX([1]Historical!$C$7:$C$1231,MATCH(B439,[1]Historical!$B$7:$B$1253,0))/INDEX([1]Historical!$N$7:$N$1222,MATCH(B439,[1]Historical!$B$7:$B$1253,0)))^(1/10)-1)*100)</f>
        <v>3.3292552440287393</v>
      </c>
      <c r="W439" s="163">
        <f t="shared" si="111"/>
        <v>1.2866598052963529</v>
      </c>
      <c r="X439" s="164">
        <f t="shared" si="112"/>
        <v>0.82377286616613066</v>
      </c>
      <c r="Y439" s="178"/>
      <c r="Z439" s="157">
        <f t="shared" si="113"/>
        <v>55.769230769230759</v>
      </c>
      <c r="AA439" s="166">
        <f t="shared" si="114"/>
        <v>5.5048076923076916</v>
      </c>
      <c r="AB439" s="126">
        <v>12</v>
      </c>
      <c r="AC439" s="167">
        <v>2.08</v>
      </c>
      <c r="AD439" s="167">
        <v>0.56999999999999995</v>
      </c>
      <c r="AE439" s="167">
        <v>4.45</v>
      </c>
      <c r="AF439" s="167">
        <v>0.78</v>
      </c>
      <c r="AG439" s="167">
        <v>13</v>
      </c>
      <c r="AH439" s="167">
        <v>36.9</v>
      </c>
      <c r="AI439" s="167">
        <v>-36.42</v>
      </c>
      <c r="AJ439" s="167">
        <v>5.2</v>
      </c>
      <c r="AK439" s="167">
        <v>9.8000000000000007</v>
      </c>
      <c r="AL439" s="168">
        <v>7000</v>
      </c>
      <c r="AM439" s="169">
        <v>1.2</v>
      </c>
      <c r="AN439" s="167">
        <v>1.1399999999999999</v>
      </c>
      <c r="AO439" s="170">
        <f t="shared" si="115"/>
        <v>8.9098155785684146</v>
      </c>
      <c r="AP439" s="171">
        <f t="shared" si="116"/>
        <v>14.414623270876106</v>
      </c>
      <c r="AQ439" s="172">
        <f t="shared" si="117"/>
        <v>-56.315525259729469</v>
      </c>
      <c r="AR439" s="157">
        <f>INDEX([1]Historical!$C$7:$C$1231,MATCH(B439,[1]Historical!$B$7:$B$1253,0))*IF(AH439="n/a",1.03,IF(AH439&lt;0,1.01,IF(AH439&gt;10,1.1,(1+AH439/100))))</f>
        <v>1.2210000000000003</v>
      </c>
      <c r="AS439" s="166">
        <f t="shared" si="118"/>
        <v>1.2332100000000004</v>
      </c>
      <c r="AT439" s="166">
        <f t="shared" ref="AT439:AV454" si="125">IF($AK439="n/a",1.03*AS439,IF($AK439&lt;0,1.01*AS439,IF($AK439&gt;10,1.1*AS439,(1+$AK439/100)*AS439)))</f>
        <v>1.3540645800000004</v>
      </c>
      <c r="AU439" s="166">
        <f t="shared" si="125"/>
        <v>1.4867629088400005</v>
      </c>
      <c r="AV439" s="166">
        <f t="shared" si="125"/>
        <v>1.6324656739063206</v>
      </c>
      <c r="AW439" s="157">
        <f t="shared" si="120"/>
        <v>6.9275031627463219</v>
      </c>
      <c r="AX439" s="173">
        <f t="shared" si="121"/>
        <v>60.502211028352157</v>
      </c>
      <c r="AY439" s="174">
        <v>0.87</v>
      </c>
      <c r="AZ439" s="169">
        <v>15.659999999999998</v>
      </c>
      <c r="BA439" s="169">
        <v>-52.55</v>
      </c>
      <c r="BB439" s="169">
        <v>-10.24</v>
      </c>
      <c r="BC439" s="169">
        <v>-33.68</v>
      </c>
      <c r="BE439" s="77">
        <v>2014</v>
      </c>
      <c r="BF439" s="77">
        <f t="shared" si="122"/>
        <v>1</v>
      </c>
      <c r="BG439" s="175">
        <v>5.6000000000000005</v>
      </c>
      <c r="BH439" t="s">
        <v>939</v>
      </c>
      <c r="BI439" t="s">
        <v>945</v>
      </c>
      <c r="BJ439" s="112"/>
      <c r="BK439" s="112"/>
      <c r="BL439" s="112"/>
    </row>
    <row r="440" spans="1:64" ht="11.25" customHeight="1" x14ac:dyDescent="0.2">
      <c r="A440" s="205" t="s">
        <v>1774</v>
      </c>
      <c r="B440" s="153" t="s">
        <v>1775</v>
      </c>
      <c r="C440" s="154" t="s">
        <v>922</v>
      </c>
      <c r="D440" s="154" t="s">
        <v>950</v>
      </c>
      <c r="E440" s="155">
        <v>5</v>
      </c>
      <c r="F440" s="298">
        <v>706</v>
      </c>
      <c r="G440" s="298" t="s">
        <v>88</v>
      </c>
      <c r="H440" s="298" t="s">
        <v>88</v>
      </c>
      <c r="I440" s="156">
        <v>339.45</v>
      </c>
      <c r="J440" s="157">
        <f t="shared" si="108"/>
        <v>0.88378258948298727</v>
      </c>
      <c r="K440" s="158">
        <v>0.75</v>
      </c>
      <c r="L440" s="126">
        <v>4</v>
      </c>
      <c r="M440" s="82">
        <f t="shared" si="109"/>
        <v>3</v>
      </c>
      <c r="N440" s="159" t="s">
        <v>164</v>
      </c>
      <c r="O440" s="160">
        <v>0.6</v>
      </c>
      <c r="P440" s="161">
        <v>44650</v>
      </c>
      <c r="Q440" s="161">
        <v>44666</v>
      </c>
      <c r="R440" s="82">
        <f t="shared" si="110"/>
        <v>25.000000000000007</v>
      </c>
      <c r="S440" s="162">
        <f>IF(INDEX([1]Historical!$D$7:$D$1229,MATCH(B440,[1]Historical!$B$7:$B$1253,0))=0,"n/a",(INDEX([1]Historical!$C$7:$C$1231,MATCH(B440,[1]Historical!$B$7:$B$1253,0))/INDEX([1]Historical!$D$7:$D$1229,MATCH(B440,[1]Historical!$B$7:$B$1253,0))-1)*100)</f>
        <v>21.052631578947366</v>
      </c>
      <c r="T440" s="162">
        <f>IF(INDEX([1]Historical!$F$7:$F$1222,MATCH(B440,[1]Historical!$B$7:$B$1253,0))=0,"n/a",((INDEX([1]Historical!$C$7:$C$1231,MATCH(B440,[1]Historical!$B$7:$B$1253,0))/INDEX([1]Historical!$F$7:$F$1222,MATCH(B440,[1]Historical!$B$7:$B$1253,0)))^(1/3)-1)*100)</f>
        <v>27.872861448303944</v>
      </c>
      <c r="U440" s="162">
        <f>IF(INDEX([1]Historical!$H$7:$H$1222,MATCH(B440,[1]Historical!$B$7:$B$1253,0))=0,"n/a",((INDEX([1]Historical!$C$7:$C$1231,MATCH(B440,[1]Historical!$B$7:$B$1253,0))/INDEX([1]Historical!$H$7:$H$1222,MATCH(B440,[1]Historical!$B$7:$B$1253,0)))^(1/5)-1)*100)</f>
        <v>23.517237451927929</v>
      </c>
      <c r="V440" s="162" t="str">
        <f>IF(INDEX([1]Historical!$N$7:$N$1222,MATCH(B440,[1]Historical!$B$7:$B$1253,0))=0,"n/a",((INDEX([1]Historical!$C$7:$C$1231,MATCH(B440,[1]Historical!$B$7:$B$1253,0))/INDEX([1]Historical!$N$7:$N$1222,MATCH(B440,[1]Historical!$B$7:$B$1253,0)))^(1/10)-1)*100)</f>
        <v>n/a</v>
      </c>
      <c r="W440" s="163" t="str">
        <f t="shared" si="111"/>
        <v>n/a</v>
      </c>
      <c r="X440" s="164">
        <f t="shared" si="112"/>
        <v>0.73262421968622826</v>
      </c>
      <c r="Y440" s="180"/>
      <c r="Z440" s="157">
        <f t="shared" si="113"/>
        <v>37.037037037037038</v>
      </c>
      <c r="AA440" s="166">
        <f t="shared" si="114"/>
        <v>41.907407407407405</v>
      </c>
      <c r="AB440" s="126">
        <v>12</v>
      </c>
      <c r="AC440" s="167">
        <v>8.1</v>
      </c>
      <c r="AD440" s="167">
        <v>1.71</v>
      </c>
      <c r="AE440" s="167">
        <v>9.23</v>
      </c>
      <c r="AF440" s="167">
        <v>11.37</v>
      </c>
      <c r="AG440" s="167">
        <v>21.4</v>
      </c>
      <c r="AH440" s="167">
        <v>44.5</v>
      </c>
      <c r="AI440" s="167">
        <v>5.6099999999999994</v>
      </c>
      <c r="AJ440" s="167">
        <v>32.1</v>
      </c>
      <c r="AK440" s="167">
        <v>25</v>
      </c>
      <c r="AL440" s="168">
        <v>15420</v>
      </c>
      <c r="AM440" s="169">
        <v>4</v>
      </c>
      <c r="AN440" s="167">
        <v>0</v>
      </c>
      <c r="AO440" s="170">
        <f t="shared" si="115"/>
        <v>-17.506387365996488</v>
      </c>
      <c r="AP440" s="171">
        <f t="shared" si="116"/>
        <v>24.401020041410916</v>
      </c>
      <c r="AQ440" s="172">
        <f t="shared" si="117"/>
        <v>360.18702585517559</v>
      </c>
      <c r="AR440" s="157">
        <f>INDEX([1]Historical!$C$7:$C$1231,MATCH(B440,[1]Historical!$B$7:$B$1253,0))*IF(AH440="n/a",1.03,IF(AH440&lt;0,1.01,IF(AH440&gt;10,1.1,(1+AH440/100))))</f>
        <v>2.5299999999999998</v>
      </c>
      <c r="AS440" s="166">
        <f t="shared" si="118"/>
        <v>2.6719330000000001</v>
      </c>
      <c r="AT440" s="166">
        <f t="shared" si="125"/>
        <v>2.9391263000000003</v>
      </c>
      <c r="AU440" s="166">
        <f t="shared" si="125"/>
        <v>3.2330389300000006</v>
      </c>
      <c r="AV440" s="166">
        <f t="shared" si="125"/>
        <v>3.5563428230000009</v>
      </c>
      <c r="AW440" s="157">
        <f t="shared" si="120"/>
        <v>14.930441053000003</v>
      </c>
      <c r="AX440" s="173">
        <f t="shared" si="121"/>
        <v>4.3984212853144804</v>
      </c>
      <c r="AY440" s="174">
        <v>1.1100000000000001</v>
      </c>
      <c r="AZ440" s="169">
        <v>12.520000000000001</v>
      </c>
      <c r="BA440" s="169">
        <v>-41.47</v>
      </c>
      <c r="BB440" s="169">
        <v>-14.12</v>
      </c>
      <c r="BC440" s="169">
        <v>-19.950000000000003</v>
      </c>
      <c r="BE440" s="77">
        <v>2018</v>
      </c>
      <c r="BF440" s="77">
        <f t="shared" si="122"/>
        <v>1</v>
      </c>
      <c r="BG440" s="175">
        <v>16.8</v>
      </c>
      <c r="BH440" t="s">
        <v>939</v>
      </c>
      <c r="BI440" t="s">
        <v>940</v>
      </c>
      <c r="BJ440" s="112"/>
      <c r="BK440" s="112"/>
      <c r="BL440" s="112"/>
    </row>
    <row r="441" spans="1:64" ht="11.25" customHeight="1" x14ac:dyDescent="0.2">
      <c r="A441" s="176" t="s">
        <v>1525</v>
      </c>
      <c r="B441" s="153" t="s">
        <v>675</v>
      </c>
      <c r="C441" s="154" t="s">
        <v>137</v>
      </c>
      <c r="D441" s="154" t="s">
        <v>996</v>
      </c>
      <c r="E441" s="155">
        <v>11</v>
      </c>
      <c r="F441" s="298">
        <v>398</v>
      </c>
      <c r="G441" s="298" t="s">
        <v>104</v>
      </c>
      <c r="H441" s="298" t="s">
        <v>104</v>
      </c>
      <c r="I441" s="156">
        <v>101.2</v>
      </c>
      <c r="J441" s="157">
        <f t="shared" si="108"/>
        <v>2.7272727272727271</v>
      </c>
      <c r="K441" s="158">
        <v>0.69</v>
      </c>
      <c r="L441" s="126">
        <v>4</v>
      </c>
      <c r="M441" s="82">
        <f t="shared" si="109"/>
        <v>2.76</v>
      </c>
      <c r="N441" s="159" t="s">
        <v>538</v>
      </c>
      <c r="O441" s="160">
        <v>0.65</v>
      </c>
      <c r="P441" s="161">
        <v>44544</v>
      </c>
      <c r="Q441" s="161">
        <v>44568</v>
      </c>
      <c r="R441" s="82">
        <f t="shared" si="110"/>
        <v>6.1538461538461418</v>
      </c>
      <c r="S441" s="162">
        <f>IF(INDEX([1]Historical!$D$7:$D$1229,MATCH(B441,[1]Historical!$B$7:$B$1253,0))=0,"n/a",(INDEX([1]Historical!$C$7:$C$1231,MATCH(B441,[1]Historical!$B$7:$B$1253,0))/INDEX([1]Historical!$D$7:$D$1229,MATCH(B441,[1]Historical!$B$7:$B$1253,0))-1)*100)</f>
        <v>6.5573770491803351</v>
      </c>
      <c r="T441" s="162">
        <f>IF(INDEX([1]Historical!$F$7:$F$1222,MATCH(B441,[1]Historical!$B$7:$B$1253,0))=0,"n/a",((INDEX([1]Historical!$C$7:$C$1231,MATCH(B441,[1]Historical!$B$7:$B$1253,0))/INDEX([1]Historical!$F$7:$F$1222,MATCH(B441,[1]Historical!$B$7:$B$1253,0)))^(1/3)-1)*100)</f>
        <v>10.63453285514775</v>
      </c>
      <c r="U441" s="162">
        <f>IF(INDEX([1]Historical!$H$7:$H$1222,MATCH(B441,[1]Historical!$B$7:$B$1253,0))=0,"n/a",((INDEX([1]Historical!$C$7:$C$1231,MATCH(B441,[1]Historical!$B$7:$B$1253,0))/INDEX([1]Historical!$H$7:$H$1222,MATCH(B441,[1]Historical!$B$7:$B$1253,0)))^(1/5)-1)*100)</f>
        <v>7.1596052225361806</v>
      </c>
      <c r="V441" s="162">
        <f>IF(INDEX([1]Historical!$N$7:$N$1222,MATCH(B441,[1]Historical!$B$7:$B$1253,0))=0,"n/a",((INDEX([1]Historical!$C$7:$C$1231,MATCH(B441,[1]Historical!$B$7:$B$1253,0))/INDEX([1]Historical!$N$7:$N$1222,MATCH(B441,[1]Historical!$B$7:$B$1253,0)))^(1/10)-1)*100)</f>
        <v>5.514701825660917</v>
      </c>
      <c r="W441" s="163">
        <f t="shared" si="111"/>
        <v>1.2982760353825888</v>
      </c>
      <c r="X441" s="164">
        <f t="shared" si="112"/>
        <v>0.25388671001901353</v>
      </c>
      <c r="Y441" s="165"/>
      <c r="Z441" s="157">
        <f t="shared" si="113"/>
        <v>45.69536423841059</v>
      </c>
      <c r="AA441" s="166">
        <f t="shared" si="114"/>
        <v>16.754966887417218</v>
      </c>
      <c r="AB441" s="126">
        <v>12</v>
      </c>
      <c r="AC441" s="167">
        <v>6.04</v>
      </c>
      <c r="AD441" s="167">
        <v>1.55</v>
      </c>
      <c r="AE441" s="167">
        <v>4.28</v>
      </c>
      <c r="AF441" s="167">
        <v>5.9</v>
      </c>
      <c r="AG441" s="167">
        <v>35.9</v>
      </c>
      <c r="AH441" s="167">
        <v>173.5</v>
      </c>
      <c r="AI441" s="167">
        <v>1.6400000000000001</v>
      </c>
      <c r="AJ441" s="167">
        <v>28.199999999999996</v>
      </c>
      <c r="AK441" s="167">
        <v>10.8</v>
      </c>
      <c r="AL441" s="168">
        <v>252670</v>
      </c>
      <c r="AM441" s="169">
        <v>0.1</v>
      </c>
      <c r="AN441" s="167">
        <v>0.73</v>
      </c>
      <c r="AO441" s="170">
        <f t="shared" si="115"/>
        <v>-6.8680889376083112</v>
      </c>
      <c r="AP441" s="171">
        <f t="shared" si="116"/>
        <v>9.8868779498089072</v>
      </c>
      <c r="AQ441" s="172">
        <f t="shared" si="117"/>
        <v>109.60736271606235</v>
      </c>
      <c r="AR441" s="157">
        <f>INDEX([1]Historical!$C$7:$C$1231,MATCH(B441,[1]Historical!$B$7:$B$1253,0))*IF(AH441="n/a",1.03,IF(AH441&lt;0,1.01,IF(AH441&gt;10,1.1,(1+AH441/100))))</f>
        <v>2.8600000000000003</v>
      </c>
      <c r="AS441" s="166">
        <f t="shared" si="118"/>
        <v>2.9069040000000004</v>
      </c>
      <c r="AT441" s="166">
        <f t="shared" si="125"/>
        <v>3.1975944000000007</v>
      </c>
      <c r="AU441" s="166">
        <f t="shared" si="125"/>
        <v>3.5173538400000011</v>
      </c>
      <c r="AV441" s="166">
        <f t="shared" si="125"/>
        <v>3.8690892240000014</v>
      </c>
      <c r="AW441" s="157">
        <f t="shared" si="120"/>
        <v>16.350941464000002</v>
      </c>
      <c r="AX441" s="173">
        <f t="shared" si="121"/>
        <v>16.157056782608699</v>
      </c>
      <c r="AY441" s="174">
        <v>0.38</v>
      </c>
      <c r="AZ441" s="169">
        <v>41.54</v>
      </c>
      <c r="BA441" s="169">
        <v>-0.3</v>
      </c>
      <c r="BB441" s="169">
        <v>12.85</v>
      </c>
      <c r="BC441" s="169">
        <v>16.850000000000001</v>
      </c>
      <c r="BE441" s="77">
        <v>2012</v>
      </c>
      <c r="BF441" s="77">
        <f t="shared" si="122"/>
        <v>1</v>
      </c>
      <c r="BG441" s="175">
        <v>13.700000000000001</v>
      </c>
      <c r="BH441" t="s">
        <v>939</v>
      </c>
      <c r="BI441" t="s">
        <v>940</v>
      </c>
    </row>
    <row r="442" spans="1:64" s="252" customFormat="1" ht="11.25" customHeight="1" x14ac:dyDescent="0.2">
      <c r="A442" s="236" t="s">
        <v>1821</v>
      </c>
      <c r="B442" s="184" t="s">
        <v>1822</v>
      </c>
      <c r="C442" s="154" t="s">
        <v>94</v>
      </c>
      <c r="D442" s="154" t="s">
        <v>1022</v>
      </c>
      <c r="E442" s="185">
        <v>6</v>
      </c>
      <c r="F442" s="298">
        <v>668</v>
      </c>
      <c r="G442" s="297" t="s">
        <v>88</v>
      </c>
      <c r="H442" s="297" t="s">
        <v>88</v>
      </c>
      <c r="I442" s="186">
        <v>18.77</v>
      </c>
      <c r="J442" s="187">
        <f t="shared" si="108"/>
        <v>1.2786361214704314</v>
      </c>
      <c r="K442" s="188">
        <v>0.06</v>
      </c>
      <c r="L442" s="189">
        <v>4</v>
      </c>
      <c r="M442" s="190">
        <f t="shared" si="109"/>
        <v>0.24</v>
      </c>
      <c r="N442" s="191" t="s">
        <v>119</v>
      </c>
      <c r="O442" s="192">
        <v>0.04</v>
      </c>
      <c r="P442" s="193">
        <v>44636</v>
      </c>
      <c r="Q442" s="193">
        <v>44651</v>
      </c>
      <c r="R442" s="190">
        <f t="shared" si="110"/>
        <v>49.999999999999986</v>
      </c>
      <c r="S442" s="162">
        <f>IF(INDEX([1]Historical!$D$7:$D$1229,MATCH(B442,[1]Historical!$B$7:$B$1253,0))=0,"n/a",(INDEX([1]Historical!$C$7:$C$1231,MATCH(B442,[1]Historical!$B$7:$B$1253,0))/INDEX([1]Historical!$D$7:$D$1229,MATCH(B442,[1]Historical!$B$7:$B$1253,0))-1)*100)</f>
        <v>19.999999999999996</v>
      </c>
      <c r="T442" s="162">
        <f>IF(INDEX([1]Historical!$F$7:$F$1222,MATCH(B442,[1]Historical!$B$7:$B$1253,0))=0,"n/a",((INDEX([1]Historical!$C$7:$C$1231,MATCH(B442,[1]Historical!$B$7:$B$1253,0))/INDEX([1]Historical!$F$7:$F$1222,MATCH(B442,[1]Historical!$B$7:$B$1253,0)))^(1/3)-1)*100)</f>
        <v>33.886590016433885</v>
      </c>
      <c r="U442" s="162">
        <f>IF(INDEX([1]Historical!$H$7:$H$1222,MATCH(B442,[1]Historical!$B$7:$B$1253,0))=0,"n/a",((INDEX([1]Historical!$C$7:$C$1231,MATCH(B442,[1]Historical!$B$7:$B$1253,0))/INDEX([1]Historical!$H$7:$H$1222,MATCH(B442,[1]Historical!$B$7:$B$1253,0)))^(1/5)-1)*100)</f>
        <v>31.95079107728942</v>
      </c>
      <c r="V442" s="162">
        <f>IF(INDEX([1]Historical!$N$7:$N$1222,MATCH(B442,[1]Historical!$B$7:$B$1253,0))=0,"n/a",((INDEX([1]Historical!$C$7:$C$1231,MATCH(B442,[1]Historical!$B$7:$B$1253,0))/INDEX([1]Historical!$N$7:$N$1222,MATCH(B442,[1]Historical!$B$7:$B$1253,0)))^(1/10)-1)*100)</f>
        <v>22.322439870612243</v>
      </c>
      <c r="W442" s="163">
        <f t="shared" si="111"/>
        <v>1.4313305921075865</v>
      </c>
      <c r="X442" s="164">
        <f t="shared" si="112"/>
        <v>1.5895915958850457</v>
      </c>
      <c r="Y442" s="227"/>
      <c r="Z442" s="187">
        <f t="shared" si="113"/>
        <v>18.045112781954884</v>
      </c>
      <c r="AA442" s="194">
        <f t="shared" si="114"/>
        <v>14.112781954887216</v>
      </c>
      <c r="AB442" s="189">
        <v>12</v>
      </c>
      <c r="AC442" s="195">
        <v>1.33</v>
      </c>
      <c r="AD442" s="195">
        <v>1.41</v>
      </c>
      <c r="AE442" s="195">
        <v>1.25</v>
      </c>
      <c r="AF442" s="195">
        <v>2.3199999999999998</v>
      </c>
      <c r="AG442" s="195">
        <v>14.7</v>
      </c>
      <c r="AH442" s="195">
        <v>22.6</v>
      </c>
      <c r="AI442" s="195">
        <v>-0.74</v>
      </c>
      <c r="AJ442" s="195">
        <v>20.100000000000001</v>
      </c>
      <c r="AK442" s="195">
        <v>10</v>
      </c>
      <c r="AL442" s="196">
        <v>1510</v>
      </c>
      <c r="AM442" s="197">
        <v>22.900000000000002</v>
      </c>
      <c r="AN442" s="195">
        <v>0</v>
      </c>
      <c r="AO442" s="198">
        <f t="shared" si="115"/>
        <v>19.116645243872632</v>
      </c>
      <c r="AP442" s="199">
        <f t="shared" si="116"/>
        <v>33.229427198759851</v>
      </c>
      <c r="AQ442" s="172">
        <f t="shared" si="117"/>
        <v>20.63103366204151</v>
      </c>
      <c r="AR442" s="157">
        <f>INDEX([1]Historical!$C$7:$C$1231,MATCH(B442,[1]Historical!$B$7:$B$1253,0))*IF(AH442="n/a",1.03,IF(AH442&lt;0,1.01,IF(AH442&gt;10,1.1,(1+AH442/100))))</f>
        <v>0.17600000000000002</v>
      </c>
      <c r="AS442" s="194">
        <f t="shared" si="118"/>
        <v>0.17776000000000003</v>
      </c>
      <c r="AT442" s="194">
        <f t="shared" si="125"/>
        <v>0.19553600000000004</v>
      </c>
      <c r="AU442" s="194">
        <f t="shared" si="125"/>
        <v>0.21508960000000008</v>
      </c>
      <c r="AV442" s="194">
        <f t="shared" si="125"/>
        <v>0.2365985600000001</v>
      </c>
      <c r="AW442" s="187">
        <f t="shared" si="120"/>
        <v>1.0009841600000002</v>
      </c>
      <c r="AX442" s="200">
        <f t="shared" si="121"/>
        <v>5.3328937666489091</v>
      </c>
      <c r="AY442" s="201">
        <v>0.88</v>
      </c>
      <c r="AZ442" s="197">
        <v>19.55</v>
      </c>
      <c r="BA442" s="197">
        <v>-19.89</v>
      </c>
      <c r="BB442" s="197">
        <v>-5.04</v>
      </c>
      <c r="BC442" s="197">
        <v>1.91</v>
      </c>
      <c r="BD442" s="202"/>
      <c r="BE442" s="77">
        <v>2017</v>
      </c>
      <c r="BF442" s="77">
        <f t="shared" si="122"/>
        <v>1</v>
      </c>
      <c r="BG442" s="203">
        <v>10.6</v>
      </c>
      <c r="BH442" t="s">
        <v>939</v>
      </c>
      <c r="BI442" t="s">
        <v>940</v>
      </c>
      <c r="BJ442" s="208"/>
      <c r="BK442" s="208"/>
      <c r="BL442" s="208"/>
    </row>
    <row r="443" spans="1:64" ht="11.25" customHeight="1" x14ac:dyDescent="0.2">
      <c r="A443" s="112" t="s">
        <v>917</v>
      </c>
      <c r="B443" s="153" t="s">
        <v>918</v>
      </c>
      <c r="C443" s="154" t="s">
        <v>90</v>
      </c>
      <c r="D443" s="154" t="s">
        <v>972</v>
      </c>
      <c r="E443" s="155">
        <v>9</v>
      </c>
      <c r="F443" s="298">
        <v>549</v>
      </c>
      <c r="G443" s="298" t="s">
        <v>88</v>
      </c>
      <c r="H443" s="298" t="s">
        <v>88</v>
      </c>
      <c r="I443" s="116">
        <v>82.17</v>
      </c>
      <c r="J443" s="157">
        <f t="shared" si="108"/>
        <v>3.7726664232688325</v>
      </c>
      <c r="K443" s="209">
        <v>0.77500000000000002</v>
      </c>
      <c r="L443" s="77">
        <v>4</v>
      </c>
      <c r="M443" s="82">
        <f t="shared" si="109"/>
        <v>3.1</v>
      </c>
      <c r="N443" s="77" t="s">
        <v>108</v>
      </c>
      <c r="O443" s="210">
        <v>0.7</v>
      </c>
      <c r="P443" s="161">
        <v>44770</v>
      </c>
      <c r="Q443" s="161">
        <v>44788</v>
      </c>
      <c r="R443" s="82">
        <f t="shared" si="110"/>
        <v>10.714285714285724</v>
      </c>
      <c r="S443" s="162">
        <f>IF(INDEX([1]Historical!$D$7:$D$1229,MATCH(B443,[1]Historical!$B$7:$B$1253,0))=0,"n/a",(INDEX([1]Historical!$C$7:$C$1231,MATCH(B443,[1]Historical!$B$7:$B$1253,0))/INDEX([1]Historical!$D$7:$D$1229,MATCH(B443,[1]Historical!$B$7:$B$1253,0))-1)*100)</f>
        <v>50.000000000000021</v>
      </c>
      <c r="T443" s="162">
        <f>IF(INDEX([1]Historical!$F$7:$F$1222,MATCH(B443,[1]Historical!$B$7:$B$1253,0))=0,"n/a",((INDEX([1]Historical!$C$7:$C$1231,MATCH(B443,[1]Historical!$B$7:$B$1253,0))/INDEX([1]Historical!$F$7:$F$1222,MATCH(B443,[1]Historical!$B$7:$B$1253,0)))^(1/3)-1)*100)</f>
        <v>24.053456597035684</v>
      </c>
      <c r="U443" s="162">
        <f>IF(INDEX([1]Historical!$H$7:$H$1222,MATCH(B443,[1]Historical!$B$7:$B$1253,0))=0,"n/a",((INDEX([1]Historical!$C$7:$C$1231,MATCH(B443,[1]Historical!$B$7:$B$1253,0))/INDEX([1]Historical!$H$7:$H$1222,MATCH(B443,[1]Historical!$B$7:$B$1253,0)))^(1/5)-1)*100)</f>
        <v>24.573093961551741</v>
      </c>
      <c r="V443" s="162">
        <f>IF(INDEX([1]Historical!$N$7:$N$1222,MATCH(B443,[1]Historical!$B$7:$B$1253,0))=0,"n/a",((INDEX([1]Historical!$C$7:$C$1231,MATCH(B443,[1]Historical!$B$7:$B$1253,0))/INDEX([1]Historical!$N$7:$N$1222,MATCH(B443,[1]Historical!$B$7:$B$1253,0)))^(1/10)-1)*100)</f>
        <v>26.508273817978846</v>
      </c>
      <c r="W443" s="163">
        <f t="shared" si="111"/>
        <v>0.92699713796095629</v>
      </c>
      <c r="X443" s="164">
        <f t="shared" si="112"/>
        <v>1.0970131232835598</v>
      </c>
      <c r="Y443" s="220"/>
      <c r="Z443" s="157">
        <f t="shared" si="113"/>
        <v>44.862518089725036</v>
      </c>
      <c r="AA443" s="166">
        <f t="shared" si="114"/>
        <v>11.891461649782924</v>
      </c>
      <c r="AB443" s="298">
        <v>12</v>
      </c>
      <c r="AC443" s="116">
        <v>6.91</v>
      </c>
      <c r="AD443" s="116">
        <v>7.9</v>
      </c>
      <c r="AE443" s="116">
        <v>2.27</v>
      </c>
      <c r="AF443" s="116">
        <v>1.49</v>
      </c>
      <c r="AG443" s="116">
        <v>14.7</v>
      </c>
      <c r="AH443" s="116">
        <v>24.2</v>
      </c>
      <c r="AI443" s="116">
        <v>17.45</v>
      </c>
      <c r="AJ443" s="116">
        <v>22.400000000000002</v>
      </c>
      <c r="AK443" s="116">
        <v>1.51</v>
      </c>
      <c r="AL443" s="116">
        <v>138530</v>
      </c>
      <c r="AM443" s="116">
        <v>0.1</v>
      </c>
      <c r="AN443" s="116">
        <v>6.96</v>
      </c>
      <c r="AO443" s="170">
        <f t="shared" si="115"/>
        <v>16.454298735037646</v>
      </c>
      <c r="AP443" s="171">
        <f t="shared" si="116"/>
        <v>28.345760384820572</v>
      </c>
      <c r="AQ443" s="172">
        <f t="shared" si="117"/>
        <v>-11.259985580406962</v>
      </c>
      <c r="AR443" s="157">
        <f>INDEX([1]Historical!$C$7:$C$1231,MATCH(B443,[1]Historical!$B$7:$B$1253,0))*IF(AH443="n/a",1.03,IF(AH443&lt;0,1.01,IF(AH443&gt;10,1.1,(1+AH443/100))))</f>
        <v>2.3100000000000005</v>
      </c>
      <c r="AS443" s="166">
        <f t="shared" si="118"/>
        <v>2.5410000000000008</v>
      </c>
      <c r="AT443" s="166">
        <f t="shared" si="125"/>
        <v>2.5793691000000005</v>
      </c>
      <c r="AU443" s="166">
        <f t="shared" si="125"/>
        <v>2.6183175734100002</v>
      </c>
      <c r="AV443" s="166">
        <f t="shared" si="125"/>
        <v>2.6578541687684907</v>
      </c>
      <c r="AW443" s="157">
        <f t="shared" si="120"/>
        <v>12.706540842178493</v>
      </c>
      <c r="AX443" s="173">
        <f t="shared" si="121"/>
        <v>15.463722577800281</v>
      </c>
      <c r="AY443" s="225">
        <v>1.31</v>
      </c>
      <c r="AZ443" s="175">
        <v>14.05</v>
      </c>
      <c r="BA443" s="175">
        <v>-25.119999999999997</v>
      </c>
      <c r="BB443" s="175">
        <v>-1.38</v>
      </c>
      <c r="BC443" s="175">
        <v>-4.54</v>
      </c>
      <c r="BE443" s="77">
        <v>2014</v>
      </c>
      <c r="BF443" s="77">
        <f t="shared" si="122"/>
        <v>1</v>
      </c>
      <c r="BG443" s="175">
        <v>1.2</v>
      </c>
      <c r="BH443" t="s">
        <v>939</v>
      </c>
      <c r="BI443" t="s">
        <v>940</v>
      </c>
      <c r="BJ443" s="112"/>
      <c r="BK443" s="112"/>
      <c r="BL443" s="112"/>
    </row>
    <row r="444" spans="1:64" ht="11.25" customHeight="1" x14ac:dyDescent="0.2">
      <c r="A444" s="112" t="s">
        <v>1526</v>
      </c>
      <c r="B444" s="153" t="s">
        <v>384</v>
      </c>
      <c r="C444" s="154" t="s">
        <v>94</v>
      </c>
      <c r="D444" s="154" t="s">
        <v>943</v>
      </c>
      <c r="E444" s="155">
        <v>51</v>
      </c>
      <c r="F444" s="298">
        <v>34</v>
      </c>
      <c r="G444" s="298" t="s">
        <v>88</v>
      </c>
      <c r="H444" s="298" t="s">
        <v>88</v>
      </c>
      <c r="I444" s="167">
        <v>134.24</v>
      </c>
      <c r="J444" s="157">
        <f t="shared" si="108"/>
        <v>1.3706793802145412</v>
      </c>
      <c r="K444" s="158">
        <v>0.46</v>
      </c>
      <c r="L444" s="126">
        <v>4</v>
      </c>
      <c r="M444" s="82">
        <f t="shared" si="109"/>
        <v>1.84</v>
      </c>
      <c r="N444" s="159" t="s">
        <v>151</v>
      </c>
      <c r="O444" s="160">
        <v>0.44</v>
      </c>
      <c r="P444" s="161">
        <v>44694</v>
      </c>
      <c r="Q444" s="161">
        <v>44722</v>
      </c>
      <c r="R444" s="82">
        <f t="shared" si="110"/>
        <v>4.5454545454545494</v>
      </c>
      <c r="S444" s="162">
        <f>IF(INDEX([1]Historical!$D$7:$D$1229,MATCH(B444,[1]Historical!$B$7:$B$1253,0))=0,"n/a",(INDEX([1]Historical!$C$7:$C$1231,MATCH(B444,[1]Historical!$B$7:$B$1253,0))/INDEX([1]Historical!$D$7:$D$1229,MATCH(B444,[1]Historical!$B$7:$B$1253,0))-1)*100)</f>
        <v>2.3391812865497075</v>
      </c>
      <c r="T444" s="162">
        <f>IF(INDEX([1]Historical!$F$7:$F$1222,MATCH(B444,[1]Historical!$B$7:$B$1253,0))=0,"n/a",((INDEX([1]Historical!$C$7:$C$1231,MATCH(B444,[1]Historical!$B$7:$B$1253,0))/INDEX([1]Historical!$F$7:$F$1222,MATCH(B444,[1]Historical!$B$7:$B$1253,0)))^(1/3)-1)*100)</f>
        <v>5.5076443565898359</v>
      </c>
      <c r="U444" s="162">
        <f>IF(INDEX([1]Historical!$H$7:$H$1222,MATCH(B444,[1]Historical!$B$7:$B$1253,0))=0,"n/a",((INDEX([1]Historical!$C$7:$C$1231,MATCH(B444,[1]Historical!$B$7:$B$1253,0))/INDEX([1]Historical!$H$7:$H$1222,MATCH(B444,[1]Historical!$B$7:$B$1253,0)))^(1/5)-1)*100)</f>
        <v>5.9627816696841807</v>
      </c>
      <c r="V444" s="162">
        <f>IF(INDEX([1]Historical!$N$7:$N$1222,MATCH(B444,[1]Historical!$B$7:$B$1253,0))=0,"n/a",((INDEX([1]Historical!$C$7:$C$1231,MATCH(B444,[1]Historical!$B$7:$B$1253,0))/INDEX([1]Historical!$N$7:$N$1222,MATCH(B444,[1]Historical!$B$7:$B$1253,0)))^(1/10)-1)*100)</f>
        <v>5.4435653876973911</v>
      </c>
      <c r="W444" s="163">
        <f t="shared" si="111"/>
        <v>1.0953816561403364</v>
      </c>
      <c r="X444" s="164" t="str">
        <f t="shared" si="112"/>
        <v>n/a</v>
      </c>
      <c r="Y444" s="212"/>
      <c r="Z444" s="157">
        <f t="shared" si="113"/>
        <v>105.14285714285714</v>
      </c>
      <c r="AA444" s="166">
        <f t="shared" si="114"/>
        <v>76.708571428571432</v>
      </c>
      <c r="AB444" s="126">
        <v>12</v>
      </c>
      <c r="AC444" s="167">
        <v>1.75</v>
      </c>
      <c r="AD444" s="167">
        <v>4.2</v>
      </c>
      <c r="AE444" s="167">
        <v>3.44</v>
      </c>
      <c r="AF444" s="167">
        <v>6.17</v>
      </c>
      <c r="AG444" s="167">
        <v>8.2000000000000011</v>
      </c>
      <c r="AH444" s="167">
        <v>-82.899999999999991</v>
      </c>
      <c r="AI444" s="167">
        <v>9.56</v>
      </c>
      <c r="AJ444" s="167">
        <v>-25.900000000000002</v>
      </c>
      <c r="AK444" s="167">
        <v>18</v>
      </c>
      <c r="AL444" s="168">
        <v>5140</v>
      </c>
      <c r="AM444" s="169">
        <v>2.8000000000000003</v>
      </c>
      <c r="AN444" s="167">
        <v>0.72</v>
      </c>
      <c r="AO444" s="170">
        <f t="shared" si="115"/>
        <v>-69.375110378672716</v>
      </c>
      <c r="AP444" s="171">
        <f t="shared" si="116"/>
        <v>7.3334610498987214</v>
      </c>
      <c r="AQ444" s="172">
        <f t="shared" si="117"/>
        <v>358.64141680222173</v>
      </c>
      <c r="AR444" s="157">
        <f>INDEX([1]Historical!$C$7:$C$1231,MATCH(B444,[1]Historical!$B$7:$B$1253,0))*IF(AH444="n/a",1.03,IF(AH444&lt;0,1.01,IF(AH444&gt;10,1.1,(1+AH444/100))))</f>
        <v>1.7675000000000001</v>
      </c>
      <c r="AS444" s="166">
        <f t="shared" si="118"/>
        <v>1.9364729999999999</v>
      </c>
      <c r="AT444" s="166">
        <f t="shared" si="125"/>
        <v>2.1301203000000002</v>
      </c>
      <c r="AU444" s="166">
        <f t="shared" si="125"/>
        <v>2.3431323300000004</v>
      </c>
      <c r="AV444" s="166">
        <f t="shared" si="125"/>
        <v>2.5774455630000008</v>
      </c>
      <c r="AW444" s="157">
        <f t="shared" si="120"/>
        <v>10.754671193000002</v>
      </c>
      <c r="AX444" s="173">
        <f t="shared" si="121"/>
        <v>8.0115250245828378</v>
      </c>
      <c r="AY444" s="174">
        <v>0.96</v>
      </c>
      <c r="AZ444" s="169">
        <v>23.44</v>
      </c>
      <c r="BA444" s="169">
        <v>-14.649999999999999</v>
      </c>
      <c r="BB444" s="169">
        <v>13.309999999999999</v>
      </c>
      <c r="BC444" s="169">
        <v>6</v>
      </c>
      <c r="BE444" s="77">
        <v>1972</v>
      </c>
      <c r="BF444" s="77">
        <f t="shared" si="122"/>
        <v>6</v>
      </c>
      <c r="BG444" s="175">
        <v>2.9000000000000004</v>
      </c>
      <c r="BH444" t="s">
        <v>939</v>
      </c>
      <c r="BI444" t="s">
        <v>940</v>
      </c>
    </row>
    <row r="445" spans="1:64" ht="11.25" customHeight="1" x14ac:dyDescent="0.2">
      <c r="A445" s="205" t="s">
        <v>1143</v>
      </c>
      <c r="B445" s="153" t="s">
        <v>1144</v>
      </c>
      <c r="C445" s="154" t="s">
        <v>90</v>
      </c>
      <c r="D445" s="154" t="s">
        <v>969</v>
      </c>
      <c r="E445" s="155">
        <v>7</v>
      </c>
      <c r="F445" s="298">
        <v>618</v>
      </c>
      <c r="G445" s="298" t="s">
        <v>88</v>
      </c>
      <c r="H445" s="298" t="s">
        <v>88</v>
      </c>
      <c r="I445" s="156">
        <v>28.04</v>
      </c>
      <c r="J445" s="157">
        <f t="shared" si="108"/>
        <v>4.1369472182596292</v>
      </c>
      <c r="K445" s="158">
        <v>0.28999999999999998</v>
      </c>
      <c r="L445" s="126">
        <v>4</v>
      </c>
      <c r="M445" s="82">
        <f t="shared" si="109"/>
        <v>1.1599999999999999</v>
      </c>
      <c r="N445" s="159" t="s">
        <v>199</v>
      </c>
      <c r="O445" s="160">
        <v>0.28000000000000003</v>
      </c>
      <c r="P445" s="161">
        <v>44602</v>
      </c>
      <c r="Q445" s="161">
        <v>44610</v>
      </c>
      <c r="R445" s="82">
        <f t="shared" si="110"/>
        <v>3.5714285714285547</v>
      </c>
      <c r="S445" s="162">
        <f>IF(INDEX([1]Historical!$D$7:$D$1229,MATCH(B445,[1]Historical!$B$7:$B$1253,0))=0,"n/a",(INDEX([1]Historical!$C$7:$C$1231,MATCH(B445,[1]Historical!$B$7:$B$1253,0))/INDEX([1]Historical!$D$7:$D$1229,MATCH(B445,[1]Historical!$B$7:$B$1253,0))-1)*100)</f>
        <v>4.6728971962616939</v>
      </c>
      <c r="T445" s="162">
        <f>IF(INDEX([1]Historical!$F$7:$F$1222,MATCH(B445,[1]Historical!$B$7:$B$1253,0))=0,"n/a",((INDEX([1]Historical!$C$7:$C$1231,MATCH(B445,[1]Historical!$B$7:$B$1253,0))/INDEX([1]Historical!$F$7:$F$1222,MATCH(B445,[1]Historical!$B$7:$B$1253,0)))^(1/3)-1)*100)</f>
        <v>8.3706762661827092</v>
      </c>
      <c r="U445" s="162">
        <f>IF(INDEX([1]Historical!$H$7:$H$1222,MATCH(B445,[1]Historical!$B$7:$B$1253,0))=0,"n/a",((INDEX([1]Historical!$C$7:$C$1231,MATCH(B445,[1]Historical!$B$7:$B$1253,0))/INDEX([1]Historical!$H$7:$H$1222,MATCH(B445,[1]Historical!$B$7:$B$1253,0)))^(1/5)-1)*100)</f>
        <v>25.48248317757842</v>
      </c>
      <c r="V445" s="162" t="str">
        <f>IF(INDEX([1]Historical!$N$7:$N$1222,MATCH(B445,[1]Historical!$B$7:$B$1253,0))=0,"n/a",((INDEX([1]Historical!$C$7:$C$1231,MATCH(B445,[1]Historical!$B$7:$B$1253,0))/INDEX([1]Historical!$N$7:$N$1222,MATCH(B445,[1]Historical!$B$7:$B$1253,0)))^(1/10)-1)*100)</f>
        <v>n/a</v>
      </c>
      <c r="W445" s="163" t="str">
        <f t="shared" si="111"/>
        <v>n/a</v>
      </c>
      <c r="X445" s="164">
        <f t="shared" si="112"/>
        <v>2.4502387670748478</v>
      </c>
      <c r="Y445" s="178"/>
      <c r="Z445" s="157">
        <f t="shared" si="113"/>
        <v>31.521739130434778</v>
      </c>
      <c r="AA445" s="166">
        <f t="shared" si="114"/>
        <v>7.6195652173913038</v>
      </c>
      <c r="AB445" s="126">
        <v>12</v>
      </c>
      <c r="AC445" s="167">
        <v>3.68</v>
      </c>
      <c r="AD445" s="167">
        <v>1.1000000000000001</v>
      </c>
      <c r="AE445" s="167">
        <v>2.5499999999999998</v>
      </c>
      <c r="AF445" s="167">
        <v>1</v>
      </c>
      <c r="AG445" s="167">
        <v>12.7</v>
      </c>
      <c r="AH445" s="167">
        <v>274.10000000000002</v>
      </c>
      <c r="AI445" s="167">
        <v>-5.58</v>
      </c>
      <c r="AJ445" s="167">
        <v>10.4</v>
      </c>
      <c r="AK445" s="167">
        <v>7.0000000000000009</v>
      </c>
      <c r="AL445" s="168">
        <v>611.25</v>
      </c>
      <c r="AM445" s="169">
        <v>2.2999999999999998</v>
      </c>
      <c r="AN445" s="167">
        <v>0.3</v>
      </c>
      <c r="AO445" s="170">
        <f t="shared" si="115"/>
        <v>21.999865178446743</v>
      </c>
      <c r="AP445" s="171">
        <f t="shared" si="116"/>
        <v>29.619430395838048</v>
      </c>
      <c r="AQ445" s="172">
        <f t="shared" si="117"/>
        <v>-41.806586025979797</v>
      </c>
      <c r="AR445" s="157">
        <f>INDEX([1]Historical!$C$7:$C$1231,MATCH(B445,[1]Historical!$B$7:$B$1253,0))*IF(AH445="n/a",1.03,IF(AH445&lt;0,1.01,IF(AH445&gt;10,1.1,(1+AH445/100))))</f>
        <v>1.2320000000000002</v>
      </c>
      <c r="AS445" s="166">
        <f t="shared" si="118"/>
        <v>1.2443200000000003</v>
      </c>
      <c r="AT445" s="166">
        <f t="shared" si="125"/>
        <v>1.3314224000000003</v>
      </c>
      <c r="AU445" s="166">
        <f t="shared" si="125"/>
        <v>1.4246219680000005</v>
      </c>
      <c r="AV445" s="166">
        <f t="shared" si="125"/>
        <v>1.5243455057600006</v>
      </c>
      <c r="AW445" s="157">
        <f t="shared" si="120"/>
        <v>6.7567098737600011</v>
      </c>
      <c r="AX445" s="173">
        <f t="shared" si="121"/>
        <v>24.096682859343797</v>
      </c>
      <c r="AY445" s="174">
        <v>0.92</v>
      </c>
      <c r="AZ445" s="169">
        <v>19.420000000000002</v>
      </c>
      <c r="BA445" s="169">
        <v>-8.3699999999999992</v>
      </c>
      <c r="BB445" s="169">
        <v>9.51</v>
      </c>
      <c r="BC445" s="169">
        <v>4.8599999999999994</v>
      </c>
      <c r="BE445" s="77">
        <v>2016</v>
      </c>
      <c r="BF445" s="77">
        <f t="shared" si="122"/>
        <v>1</v>
      </c>
      <c r="BG445" s="175">
        <v>1.0999999999999999</v>
      </c>
      <c r="BH445" t="s">
        <v>939</v>
      </c>
      <c r="BI445" t="s">
        <v>940</v>
      </c>
      <c r="BJ445" s="112"/>
      <c r="BK445" s="112"/>
      <c r="BL445" s="112"/>
    </row>
    <row r="446" spans="1:64" ht="11.25" customHeight="1" x14ac:dyDescent="0.2">
      <c r="A446" s="204" t="s">
        <v>1145</v>
      </c>
      <c r="B446" s="153" t="s">
        <v>1146</v>
      </c>
      <c r="C446" s="154" t="s">
        <v>90</v>
      </c>
      <c r="D446" s="154" t="s">
        <v>972</v>
      </c>
      <c r="E446" s="155">
        <v>9</v>
      </c>
      <c r="F446" s="298">
        <v>553</v>
      </c>
      <c r="G446" s="298" t="s">
        <v>88</v>
      </c>
      <c r="H446" s="298" t="s">
        <v>88</v>
      </c>
      <c r="I446" s="156">
        <v>468.86</v>
      </c>
      <c r="J446" s="157">
        <f t="shared" si="108"/>
        <v>1.0664164142814485</v>
      </c>
      <c r="K446" s="158">
        <v>1.25</v>
      </c>
      <c r="L446" s="126">
        <v>4</v>
      </c>
      <c r="M446" s="82">
        <f t="shared" si="109"/>
        <v>5</v>
      </c>
      <c r="N446" s="159" t="s">
        <v>677</v>
      </c>
      <c r="O446" s="160">
        <v>1.04</v>
      </c>
      <c r="P446" s="161">
        <v>44784</v>
      </c>
      <c r="Q446" s="161">
        <v>44804</v>
      </c>
      <c r="R446" s="82">
        <f t="shared" si="110"/>
        <v>20.192307692307686</v>
      </c>
      <c r="S446" s="162">
        <f>IF(INDEX([1]Historical!$D$7:$D$1229,MATCH(B446,[1]Historical!$B$7:$B$1253,0))=0,"n/a",(INDEX([1]Historical!$C$7:$C$1231,MATCH(B446,[1]Historical!$B$7:$B$1253,0))/INDEX([1]Historical!$D$7:$D$1229,MATCH(B446,[1]Historical!$B$7:$B$1253,0))-1)*100)</f>
        <v>24.657534246575352</v>
      </c>
      <c r="T446" s="162">
        <f>IF(INDEX([1]Historical!$F$7:$F$1222,MATCH(B446,[1]Historical!$B$7:$B$1253,0))=0,"n/a",((INDEX([1]Historical!$C$7:$C$1231,MATCH(B446,[1]Historical!$B$7:$B$1253,0))/INDEX([1]Historical!$F$7:$F$1222,MATCH(B446,[1]Historical!$B$7:$B$1253,0)))^(1/3)-1)*100)</f>
        <v>23.765628517394767</v>
      </c>
      <c r="U446" s="162">
        <f>IF(INDEX([1]Historical!$H$7:$H$1222,MATCH(B446,[1]Historical!$B$7:$B$1253,0))=0,"n/a",((INDEX([1]Historical!$C$7:$C$1231,MATCH(B446,[1]Historical!$B$7:$B$1253,0))/INDEX([1]Historical!$H$7:$H$1222,MATCH(B446,[1]Historical!$B$7:$B$1253,0)))^(1/5)-1)*100)</f>
        <v>29.485243173431886</v>
      </c>
      <c r="V446" s="162" t="str">
        <f>IF(INDEX([1]Historical!$N$7:$N$1222,MATCH(B446,[1]Historical!$B$7:$B$1253,0))=0,"n/a",((INDEX([1]Historical!$C$7:$C$1231,MATCH(B446,[1]Historical!$B$7:$B$1253,0))/INDEX([1]Historical!$N$7:$N$1222,MATCH(B446,[1]Historical!$B$7:$B$1253,0)))^(1/10)-1)*100)</f>
        <v>n/a</v>
      </c>
      <c r="W446" s="163" t="str">
        <f t="shared" si="111"/>
        <v>n/a</v>
      </c>
      <c r="X446" s="164">
        <f t="shared" si="112"/>
        <v>1.1211119077350526</v>
      </c>
      <c r="Y446" s="165"/>
      <c r="Z446" s="157">
        <f t="shared" si="113"/>
        <v>48.262548262548265</v>
      </c>
      <c r="AA446" s="166">
        <f t="shared" si="114"/>
        <v>45.256756756756758</v>
      </c>
      <c r="AB446" s="126">
        <v>12</v>
      </c>
      <c r="AC446" s="167">
        <v>10.36</v>
      </c>
      <c r="AD446" s="167">
        <v>3.5</v>
      </c>
      <c r="AE446" s="167">
        <v>16.38</v>
      </c>
      <c r="AF446" s="167" t="s">
        <v>95</v>
      </c>
      <c r="AG446" s="167">
        <v>-108</v>
      </c>
      <c r="AH446" s="167">
        <v>23.400000000000002</v>
      </c>
      <c r="AI446" s="167">
        <v>11.469999999999999</v>
      </c>
      <c r="AJ446" s="167">
        <v>26.3</v>
      </c>
      <c r="AK446" s="167">
        <v>13.089999999999998</v>
      </c>
      <c r="AL446" s="168">
        <v>36400</v>
      </c>
      <c r="AM446" s="169">
        <v>0.1</v>
      </c>
      <c r="AN446" s="167" t="s">
        <v>95</v>
      </c>
      <c r="AO446" s="170">
        <f t="shared" si="115"/>
        <v>-14.705097169043423</v>
      </c>
      <c r="AP446" s="171">
        <f t="shared" si="116"/>
        <v>30.551659587713335</v>
      </c>
      <c r="AQ446" s="172" t="str">
        <f t="shared" si="117"/>
        <v>n/a</v>
      </c>
      <c r="AR446" s="157">
        <f>INDEX([1]Historical!$C$7:$C$1231,MATCH(B446,[1]Historical!$B$7:$B$1253,0))*IF(AH446="n/a",1.03,IF(AH446&lt;0,1.01,IF(AH446&gt;10,1.1,(1+AH446/100))))</f>
        <v>4.0040000000000004</v>
      </c>
      <c r="AS446" s="166">
        <f t="shared" si="118"/>
        <v>4.4044000000000008</v>
      </c>
      <c r="AT446" s="166">
        <f t="shared" si="125"/>
        <v>4.8448400000000014</v>
      </c>
      <c r="AU446" s="166">
        <f t="shared" si="125"/>
        <v>5.3293240000000015</v>
      </c>
      <c r="AV446" s="166">
        <f t="shared" si="125"/>
        <v>5.8622564000000024</v>
      </c>
      <c r="AW446" s="157">
        <f t="shared" si="120"/>
        <v>24.444820400000008</v>
      </c>
      <c r="AX446" s="173">
        <f t="shared" si="121"/>
        <v>5.213671543744403</v>
      </c>
      <c r="AY446" s="174">
        <v>1.0900000000000001</v>
      </c>
      <c r="AZ446" s="169">
        <v>24.560000000000002</v>
      </c>
      <c r="BA446" s="169">
        <v>-31.03</v>
      </c>
      <c r="BB446" s="169">
        <v>6.18</v>
      </c>
      <c r="BC446" s="169">
        <v>1.53</v>
      </c>
      <c r="BE446" s="77">
        <v>2014</v>
      </c>
      <c r="BF446" s="77">
        <f t="shared" si="122"/>
        <v>1</v>
      </c>
      <c r="BG446" s="175">
        <v>17.2</v>
      </c>
      <c r="BH446" t="s">
        <v>939</v>
      </c>
      <c r="BI446" t="s">
        <v>940</v>
      </c>
      <c r="BJ446" s="112"/>
      <c r="BK446" s="112"/>
      <c r="BL446" s="112"/>
    </row>
    <row r="447" spans="1:64" ht="11.25" customHeight="1" x14ac:dyDescent="0.2">
      <c r="A447" s="112" t="s">
        <v>1527</v>
      </c>
      <c r="B447" s="153" t="s">
        <v>380</v>
      </c>
      <c r="C447" s="154" t="s">
        <v>117</v>
      </c>
      <c r="D447" s="154" t="s">
        <v>978</v>
      </c>
      <c r="E447" s="155">
        <v>50</v>
      </c>
      <c r="F447" s="298">
        <v>43</v>
      </c>
      <c r="G447" s="298" t="s">
        <v>30</v>
      </c>
      <c r="H447" s="298" t="s">
        <v>30</v>
      </c>
      <c r="I447" s="167">
        <v>89.47</v>
      </c>
      <c r="J447" s="157">
        <f t="shared" si="108"/>
        <v>1.397116351849782</v>
      </c>
      <c r="K447" s="158">
        <v>0.3125</v>
      </c>
      <c r="L447" s="126">
        <v>4</v>
      </c>
      <c r="M447" s="82">
        <f t="shared" si="109"/>
        <v>1.25</v>
      </c>
      <c r="N447" s="159" t="s">
        <v>116</v>
      </c>
      <c r="O447" s="160">
        <v>0.28999999999999998</v>
      </c>
      <c r="P447" s="161">
        <v>44880</v>
      </c>
      <c r="Q447" s="161">
        <v>44896</v>
      </c>
      <c r="R447" s="82">
        <f t="shared" si="110"/>
        <v>7.7586206896551797</v>
      </c>
      <c r="S447" s="162">
        <f>IF(INDEX([1]Historical!$D$7:$D$1229,MATCH(B447,[1]Historical!$B$7:$B$1253,0))=0,"n/a",(INDEX([1]Historical!$C$7:$C$1231,MATCH(B447,[1]Historical!$B$7:$B$1253,0))/INDEX([1]Historical!$D$7:$D$1229,MATCH(B447,[1]Historical!$B$7:$B$1253,0))-1)*100)</f>
        <v>6.362545018007193</v>
      </c>
      <c r="T447" s="162">
        <f>IF(INDEX([1]Historical!$F$7:$F$1222,MATCH(B447,[1]Historical!$B$7:$B$1253,0))=0,"n/a",((INDEX([1]Historical!$C$7:$C$1231,MATCH(B447,[1]Historical!$B$7:$B$1253,0))/INDEX([1]Historical!$F$7:$F$1222,MATCH(B447,[1]Historical!$B$7:$B$1253,0)))^(1/3)-1)*100)</f>
        <v>6.7174398199995933</v>
      </c>
      <c r="U447" s="162">
        <f>IF(INDEX([1]Historical!$H$7:$H$1222,MATCH(B447,[1]Historical!$B$7:$B$1253,0))=0,"n/a",((INDEX([1]Historical!$C$7:$C$1231,MATCH(B447,[1]Historical!$B$7:$B$1253,0))/INDEX([1]Historical!$H$7:$H$1222,MATCH(B447,[1]Historical!$B$7:$B$1253,0)))^(1/5)-1)*100)</f>
        <v>6.5222278259150057</v>
      </c>
      <c r="V447" s="162">
        <f>IF(INDEX([1]Historical!$N$7:$N$1222,MATCH(B447,[1]Historical!$B$7:$B$1253,0))=0,"n/a",((INDEX([1]Historical!$C$7:$C$1231,MATCH(B447,[1]Historical!$B$7:$B$1253,0))/INDEX([1]Historical!$N$7:$N$1222,MATCH(B447,[1]Historical!$B$7:$B$1253,0)))^(1/10)-1)*100)</f>
        <v>4.2206099607813741</v>
      </c>
      <c r="W447" s="163">
        <f t="shared" si="111"/>
        <v>1.5453282550438578</v>
      </c>
      <c r="X447" s="164">
        <f t="shared" si="112"/>
        <v>0.76732092069588298</v>
      </c>
      <c r="Y447" s="153"/>
      <c r="Z447" s="157">
        <f t="shared" si="113"/>
        <v>55.555555555555557</v>
      </c>
      <c r="AA447" s="166">
        <f t="shared" si="114"/>
        <v>39.764444444444443</v>
      </c>
      <c r="AB447" s="126">
        <v>12</v>
      </c>
      <c r="AC447" s="167">
        <v>2.25</v>
      </c>
      <c r="AD447" s="167">
        <v>14.83</v>
      </c>
      <c r="AE447" s="167">
        <v>10.28</v>
      </c>
      <c r="AF447" s="167">
        <v>4.0999999999999996</v>
      </c>
      <c r="AG447" s="167">
        <v>11.1</v>
      </c>
      <c r="AH447" s="167">
        <v>-5.0999999999999996</v>
      </c>
      <c r="AI447" s="167">
        <v>3.58</v>
      </c>
      <c r="AJ447" s="167">
        <v>8.5</v>
      </c>
      <c r="AK447" s="167">
        <v>2.7</v>
      </c>
      <c r="AL447" s="175">
        <v>1540</v>
      </c>
      <c r="AM447" s="169">
        <v>0.1</v>
      </c>
      <c r="AN447" s="167">
        <v>0.88</v>
      </c>
      <c r="AO447" s="170">
        <f t="shared" si="115"/>
        <v>-31.845100266679655</v>
      </c>
      <c r="AP447" s="171">
        <f t="shared" si="116"/>
        <v>7.9193441777647875</v>
      </c>
      <c r="AQ447" s="172">
        <f t="shared" si="117"/>
        <v>169.18330988563838</v>
      </c>
      <c r="AR447" s="157">
        <f>INDEX([1]Historical!$C$7:$C$1231,MATCH(B447,[1]Historical!$B$7:$B$1253,0))*IF(AH447="n/a",1.03,IF(AH447&lt;0,1.01,IF(AH447&gt;10,1.1,(1+AH447/100))))</f>
        <v>1.1185749999999999</v>
      </c>
      <c r="AS447" s="166">
        <f t="shared" si="118"/>
        <v>1.1586199849999999</v>
      </c>
      <c r="AT447" s="166">
        <f t="shared" si="125"/>
        <v>1.1899027245949998</v>
      </c>
      <c r="AU447" s="166">
        <f t="shared" si="125"/>
        <v>1.2220300981590646</v>
      </c>
      <c r="AV447" s="166">
        <f t="shared" si="125"/>
        <v>1.2550249108093592</v>
      </c>
      <c r="AW447" s="157">
        <f t="shared" si="120"/>
        <v>5.9441527185634229</v>
      </c>
      <c r="AX447" s="173">
        <f t="shared" si="121"/>
        <v>6.643738368797834</v>
      </c>
      <c r="AY447" s="174">
        <v>0.65</v>
      </c>
      <c r="AZ447" s="169">
        <v>20.580000000000002</v>
      </c>
      <c r="BA447" s="169">
        <v>-26.32</v>
      </c>
      <c r="BB447" s="169">
        <v>5.09</v>
      </c>
      <c r="BC447" s="169">
        <v>-2.37</v>
      </c>
      <c r="BE447" s="77">
        <v>1974</v>
      </c>
      <c r="BF447" s="77">
        <f t="shared" si="122"/>
        <v>5</v>
      </c>
      <c r="BG447" s="175">
        <v>4.1000000000000005</v>
      </c>
      <c r="BH447" t="s">
        <v>939</v>
      </c>
      <c r="BI447" t="s">
        <v>940</v>
      </c>
    </row>
    <row r="448" spans="1:64" ht="11.25" customHeight="1" x14ac:dyDescent="0.2">
      <c r="A448" s="176" t="s">
        <v>1528</v>
      </c>
      <c r="B448" s="153" t="s">
        <v>379</v>
      </c>
      <c r="C448" s="154" t="s">
        <v>922</v>
      </c>
      <c r="D448" s="154" t="s">
        <v>1113</v>
      </c>
      <c r="E448" s="155">
        <v>21</v>
      </c>
      <c r="F448" s="298">
        <v>170</v>
      </c>
      <c r="G448" s="298" t="s">
        <v>30</v>
      </c>
      <c r="H448" s="298" t="s">
        <v>104</v>
      </c>
      <c r="I448" s="156">
        <v>232.13</v>
      </c>
      <c r="J448" s="157">
        <f t="shared" si="108"/>
        <v>1.1717572050144316</v>
      </c>
      <c r="K448" s="158">
        <v>0.68</v>
      </c>
      <c r="L448" s="126">
        <v>4</v>
      </c>
      <c r="M448" s="82">
        <f t="shared" si="109"/>
        <v>2.72</v>
      </c>
      <c r="N448" s="159" t="s">
        <v>161</v>
      </c>
      <c r="O448" s="160">
        <v>0.62</v>
      </c>
      <c r="P448" s="161">
        <v>44881</v>
      </c>
      <c r="Q448" s="161">
        <v>44903</v>
      </c>
      <c r="R448" s="82">
        <f t="shared" si="110"/>
        <v>9.6774193548387171</v>
      </c>
      <c r="S448" s="162">
        <f>IF(INDEX([1]Historical!$D$7:$D$1229,MATCH(B448,[1]Historical!$B$7:$B$1253,0))=0,"n/a",(INDEX([1]Historical!$C$7:$C$1231,MATCH(B448,[1]Historical!$B$7:$B$1253,0))/INDEX([1]Historical!$D$7:$D$1229,MATCH(B448,[1]Historical!$B$7:$B$1253,0))-1)*100)</f>
        <v>10.047846889952151</v>
      </c>
      <c r="T448" s="162">
        <f>IF(INDEX([1]Historical!$F$7:$F$1222,MATCH(B448,[1]Historical!$B$7:$B$1253,0))=0,"n/a",((INDEX([1]Historical!$C$7:$C$1231,MATCH(B448,[1]Historical!$B$7:$B$1253,0))/INDEX([1]Historical!$F$7:$F$1222,MATCH(B448,[1]Historical!$B$7:$B$1253,0)))^(1/3)-1)*100)</f>
        <v>10.170789848949212</v>
      </c>
      <c r="U448" s="162">
        <f>IF(INDEX([1]Historical!$H$7:$H$1222,MATCH(B448,[1]Historical!$B$7:$B$1253,0))=0,"n/a",((INDEX([1]Historical!$C$7:$C$1231,MATCH(B448,[1]Historical!$B$7:$B$1253,0))/INDEX([1]Historical!$H$7:$H$1222,MATCH(B448,[1]Historical!$B$7:$B$1253,0)))^(1/5)-1)*100)</f>
        <v>9.3659425652730768</v>
      </c>
      <c r="V448" s="162">
        <f>IF(INDEX([1]Historical!$N$7:$N$1222,MATCH(B448,[1]Historical!$B$7:$B$1253,0))=0,"n/a",((INDEX([1]Historical!$C$7:$C$1231,MATCH(B448,[1]Historical!$B$7:$B$1253,0))/INDEX([1]Historical!$N$7:$N$1222,MATCH(B448,[1]Historical!$B$7:$B$1253,0)))^(1/10)-1)*100)</f>
        <v>12.959273965247654</v>
      </c>
      <c r="W448" s="163">
        <f t="shared" si="111"/>
        <v>0.72272124120450998</v>
      </c>
      <c r="X448" s="164">
        <f t="shared" si="112"/>
        <v>0.38542973519642293</v>
      </c>
      <c r="Y448" s="153" t="s">
        <v>181</v>
      </c>
      <c r="Z448" s="157">
        <f t="shared" si="113"/>
        <v>29.31034482758621</v>
      </c>
      <c r="AA448" s="166">
        <f t="shared" si="114"/>
        <v>25.014008620689655</v>
      </c>
      <c r="AB448" s="126">
        <v>6</v>
      </c>
      <c r="AC448" s="167">
        <v>9.2799999999999994</v>
      </c>
      <c r="AD448" s="167">
        <v>1.95</v>
      </c>
      <c r="AE448" s="167">
        <v>8.32</v>
      </c>
      <c r="AF448" s="167">
        <v>10.130000000000001</v>
      </c>
      <c r="AG448" s="167">
        <v>42.1</v>
      </c>
      <c r="AH448" s="167">
        <v>19.8</v>
      </c>
      <c r="AI448" s="167">
        <v>17.27</v>
      </c>
      <c r="AJ448" s="167">
        <v>24.3</v>
      </c>
      <c r="AK448" s="167">
        <v>13.01</v>
      </c>
      <c r="AL448" s="168">
        <v>1690300</v>
      </c>
      <c r="AM448" s="169">
        <v>6.9999999999999993E-2</v>
      </c>
      <c r="AN448" s="167">
        <v>0.36</v>
      </c>
      <c r="AO448" s="170">
        <f t="shared" si="115"/>
        <v>-14.476308850402146</v>
      </c>
      <c r="AP448" s="171">
        <f t="shared" si="116"/>
        <v>10.537699770287508</v>
      </c>
      <c r="AQ448" s="172">
        <f t="shared" si="117"/>
        <v>235.58698645645842</v>
      </c>
      <c r="AR448" s="157">
        <f>INDEX([1]Historical!$C$7:$C$1231,MATCH(B448,[1]Historical!$B$7:$B$1253,0))*IF(AH448="n/a",1.03,IF(AH448&lt;0,1.01,IF(AH448&gt;10,1.1,(1+AH448/100))))</f>
        <v>2.5299999999999998</v>
      </c>
      <c r="AS448" s="166">
        <f t="shared" si="118"/>
        <v>2.7829999999999999</v>
      </c>
      <c r="AT448" s="166">
        <f t="shared" si="125"/>
        <v>3.0613000000000001</v>
      </c>
      <c r="AU448" s="166">
        <f t="shared" si="125"/>
        <v>3.3674300000000006</v>
      </c>
      <c r="AV448" s="166">
        <f t="shared" si="125"/>
        <v>3.7041730000000008</v>
      </c>
      <c r="AW448" s="157">
        <f t="shared" si="120"/>
        <v>15.445903000000001</v>
      </c>
      <c r="AX448" s="173">
        <f t="shared" si="121"/>
        <v>6.6539882824279504</v>
      </c>
      <c r="AY448" s="174">
        <v>0.93</v>
      </c>
      <c r="AZ448" s="169">
        <v>5.93</v>
      </c>
      <c r="BA448" s="169">
        <v>-33.61</v>
      </c>
      <c r="BB448" s="169">
        <v>-6.4</v>
      </c>
      <c r="BC448" s="169">
        <v>-14.92</v>
      </c>
      <c r="BE448" s="77">
        <v>2002</v>
      </c>
      <c r="BF448" s="77">
        <f t="shared" si="122"/>
        <v>2</v>
      </c>
      <c r="BG448" s="175">
        <v>19.8</v>
      </c>
      <c r="BH448" t="s">
        <v>939</v>
      </c>
      <c r="BI448" t="s">
        <v>940</v>
      </c>
    </row>
    <row r="449" spans="1:64" s="252" customFormat="1" ht="11.25" customHeight="1" x14ac:dyDescent="0.2">
      <c r="A449" s="183" t="s">
        <v>1529</v>
      </c>
      <c r="B449" s="184" t="s">
        <v>657</v>
      </c>
      <c r="C449" s="154" t="s">
        <v>922</v>
      </c>
      <c r="D449" s="154" t="s">
        <v>1032</v>
      </c>
      <c r="E449" s="185">
        <v>12</v>
      </c>
      <c r="F449" s="298">
        <v>320</v>
      </c>
      <c r="G449" s="297" t="s">
        <v>88</v>
      </c>
      <c r="H449" s="297" t="s">
        <v>88</v>
      </c>
      <c r="I449" s="186">
        <v>249.71</v>
      </c>
      <c r="J449" s="187">
        <f t="shared" si="108"/>
        <v>1.2654679428136639</v>
      </c>
      <c r="K449" s="188">
        <v>0.79</v>
      </c>
      <c r="L449" s="189">
        <v>4</v>
      </c>
      <c r="M449" s="190">
        <f t="shared" si="109"/>
        <v>3.16</v>
      </c>
      <c r="N449" s="191" t="s">
        <v>741</v>
      </c>
      <c r="O449" s="192">
        <v>0.71</v>
      </c>
      <c r="P449" s="193">
        <v>44544</v>
      </c>
      <c r="Q449" s="193">
        <v>44575</v>
      </c>
      <c r="R449" s="190">
        <f t="shared" si="110"/>
        <v>11.267605633802827</v>
      </c>
      <c r="S449" s="162">
        <f>IF(INDEX([1]Historical!$D$7:$D$1229,MATCH(B449,[1]Historical!$B$7:$B$1253,0))=0,"n/a",(INDEX([1]Historical!$C$7:$C$1231,MATCH(B449,[1]Historical!$B$7:$B$1253,0))/INDEX([1]Historical!$D$7:$D$1229,MATCH(B449,[1]Historical!$B$7:$B$1253,0))-1)*100)</f>
        <v>10.9375</v>
      </c>
      <c r="T449" s="162">
        <f>IF(INDEX([1]Historical!$F$7:$F$1222,MATCH(B449,[1]Historical!$B$7:$B$1253,0))=0,"n/a",((INDEX([1]Historical!$C$7:$C$1231,MATCH(B449,[1]Historical!$B$7:$B$1253,0))/INDEX([1]Historical!$F$7:$F$1222,MATCH(B449,[1]Historical!$B$7:$B$1253,0)))^(1/3)-1)*100)</f>
        <v>10.939192823572764</v>
      </c>
      <c r="U449" s="162">
        <f>IF(INDEX([1]Historical!$H$7:$H$1222,MATCH(B449,[1]Historical!$B$7:$B$1253,0))=0,"n/a",((INDEX([1]Historical!$C$7:$C$1231,MATCH(B449,[1]Historical!$B$7:$B$1253,0))/INDEX([1]Historical!$H$7:$H$1222,MATCH(B449,[1]Historical!$B$7:$B$1253,0)))^(1/5)-1)*100)</f>
        <v>11.607890187791693</v>
      </c>
      <c r="V449" s="162">
        <f>IF(INDEX([1]Historical!$N$7:$N$1222,MATCH(B449,[1]Historical!$B$7:$B$1253,0))=0,"n/a",((INDEX([1]Historical!$C$7:$C$1231,MATCH(B449,[1]Historical!$B$7:$B$1253,0))/INDEX([1]Historical!$N$7:$N$1222,MATCH(B449,[1]Historical!$B$7:$B$1253,0)))^(1/10)-1)*100)</f>
        <v>29.148559330296877</v>
      </c>
      <c r="W449" s="163">
        <f t="shared" si="111"/>
        <v>0.39823203803168777</v>
      </c>
      <c r="X449" s="164">
        <f t="shared" si="112"/>
        <v>0.67097631143304592</v>
      </c>
      <c r="Y449" s="206"/>
      <c r="Z449" s="187">
        <f t="shared" si="113"/>
        <v>45.533141210374637</v>
      </c>
      <c r="AA449" s="194">
        <f t="shared" si="114"/>
        <v>35.981268011527376</v>
      </c>
      <c r="AB449" s="189">
        <v>12</v>
      </c>
      <c r="AC449" s="195">
        <v>6.94</v>
      </c>
      <c r="AD449" s="195">
        <v>3.16</v>
      </c>
      <c r="AE449" s="195">
        <v>4.78</v>
      </c>
      <c r="AF449" s="195" t="s">
        <v>95</v>
      </c>
      <c r="AG449" s="291">
        <v>-453.09999999999997</v>
      </c>
      <c r="AH449" s="215">
        <v>31.6</v>
      </c>
      <c r="AI449" s="215">
        <v>10.9</v>
      </c>
      <c r="AJ449" s="195">
        <v>17.299999999999997</v>
      </c>
      <c r="AK449" s="195">
        <v>11.42</v>
      </c>
      <c r="AL449" s="196">
        <v>40420</v>
      </c>
      <c r="AM449" s="197">
        <v>0.1</v>
      </c>
      <c r="AN449" s="195" t="s">
        <v>95</v>
      </c>
      <c r="AO449" s="198">
        <f t="shared" si="115"/>
        <v>-23.107909880922019</v>
      </c>
      <c r="AP449" s="199">
        <f t="shared" si="116"/>
        <v>12.873358130605357</v>
      </c>
      <c r="AQ449" s="172" t="str">
        <f t="shared" si="117"/>
        <v>n/a</v>
      </c>
      <c r="AR449" s="157">
        <f>INDEX([1]Historical!$C$7:$C$1231,MATCH(B449,[1]Historical!$B$7:$B$1253,0))*IF(AH449="n/a",1.03,IF(AH449&lt;0,1.01,IF(AH449&gt;10,1.1,(1+AH449/100))))</f>
        <v>3.1240000000000001</v>
      </c>
      <c r="AS449" s="194">
        <f t="shared" si="118"/>
        <v>3.4364000000000003</v>
      </c>
      <c r="AT449" s="194">
        <f t="shared" si="125"/>
        <v>3.7800400000000005</v>
      </c>
      <c r="AU449" s="194">
        <f t="shared" si="125"/>
        <v>4.1580440000000012</v>
      </c>
      <c r="AV449" s="194">
        <f t="shared" si="125"/>
        <v>4.5738484000000019</v>
      </c>
      <c r="AW449" s="187">
        <f t="shared" si="120"/>
        <v>19.072332400000004</v>
      </c>
      <c r="AX449" s="200">
        <f t="shared" si="121"/>
        <v>7.6377927996475927</v>
      </c>
      <c r="AY449" s="201">
        <v>0.92</v>
      </c>
      <c r="AZ449" s="197">
        <v>27.939999999999998</v>
      </c>
      <c r="BA449" s="197">
        <v>-8.75</v>
      </c>
      <c r="BB449" s="197">
        <v>5.38</v>
      </c>
      <c r="BC449" s="197">
        <v>9.6100000000000012</v>
      </c>
      <c r="BD449" s="202"/>
      <c r="BE449" s="77">
        <v>2011</v>
      </c>
      <c r="BF449" s="77">
        <f t="shared" si="122"/>
        <v>1</v>
      </c>
      <c r="BG449" s="203">
        <v>10.299999999999999</v>
      </c>
      <c r="BH449" t="s">
        <v>939</v>
      </c>
      <c r="BI449" t="s">
        <v>940</v>
      </c>
    </row>
    <row r="450" spans="1:64" ht="11.25" customHeight="1" x14ac:dyDescent="0.2">
      <c r="A450" s="205" t="s">
        <v>1736</v>
      </c>
      <c r="B450" s="153" t="s">
        <v>1737</v>
      </c>
      <c r="C450" s="154" t="s">
        <v>90</v>
      </c>
      <c r="D450" s="154" t="s">
        <v>969</v>
      </c>
      <c r="E450" s="155">
        <v>5</v>
      </c>
      <c r="F450" s="298">
        <v>692</v>
      </c>
      <c r="G450" s="298" t="s">
        <v>88</v>
      </c>
      <c r="H450" s="298" t="s">
        <v>88</v>
      </c>
      <c r="I450" s="156">
        <v>168.37</v>
      </c>
      <c r="J450" s="157">
        <f t="shared" si="108"/>
        <v>2.8508641682009856</v>
      </c>
      <c r="K450" s="158">
        <v>1.2</v>
      </c>
      <c r="L450" s="126">
        <v>4</v>
      </c>
      <c r="M450" s="82">
        <f t="shared" si="109"/>
        <v>4.8</v>
      </c>
      <c r="N450" s="159" t="s">
        <v>119</v>
      </c>
      <c r="O450" s="160">
        <v>1.1000000000000001</v>
      </c>
      <c r="P450" s="224">
        <v>44529</v>
      </c>
      <c r="Q450" s="224">
        <v>44561</v>
      </c>
      <c r="R450" s="82">
        <f t="shared" si="110"/>
        <v>9.0909090909090793</v>
      </c>
      <c r="S450" s="162">
        <f>IF(INDEX([1]Historical!$D$7:$D$1229,MATCH(B450,[1]Historical!$B$7:$B$1253,0))=0,"n/a",(INDEX([1]Historical!$C$7:$C$1231,MATCH(B450,[1]Historical!$B$7:$B$1253,0))/INDEX([1]Historical!$D$7:$D$1229,MATCH(B450,[1]Historical!$B$7:$B$1253,0))-1)*100)</f>
        <v>2.2727272727272707</v>
      </c>
      <c r="T450" s="162">
        <f>IF(INDEX([1]Historical!$F$7:$F$1222,MATCH(B450,[1]Historical!$B$7:$B$1253,0))=0,"n/a",((INDEX([1]Historical!$C$7:$C$1231,MATCH(B450,[1]Historical!$B$7:$B$1253,0))/INDEX([1]Historical!$F$7:$F$1222,MATCH(B450,[1]Historical!$B$7:$B$1253,0)))^(1/3)-1)*100)</f>
        <v>8.2251144035929258</v>
      </c>
      <c r="U450" s="162">
        <f>IF(INDEX([1]Historical!$H$7:$H$1222,MATCH(B450,[1]Historical!$B$7:$B$1253,0))=0,"n/a",((INDEX([1]Historical!$C$7:$C$1231,MATCH(B450,[1]Historical!$B$7:$B$1253,0))/INDEX([1]Historical!$H$7:$H$1222,MATCH(B450,[1]Historical!$B$7:$B$1253,0)))^(1/5)-1)*100)</f>
        <v>9.9539654079581652</v>
      </c>
      <c r="V450" s="162">
        <f>IF(INDEX([1]Historical!$N$7:$N$1222,MATCH(B450,[1]Historical!$B$7:$B$1253,0))=0,"n/a",((INDEX([1]Historical!$C$7:$C$1231,MATCH(B450,[1]Historical!$B$7:$B$1253,0))/INDEX([1]Historical!$N$7:$N$1222,MATCH(B450,[1]Historical!$B$7:$B$1253,0)))^(1/10)-1)*100)</f>
        <v>4.8589363897794779</v>
      </c>
      <c r="W450" s="163">
        <f t="shared" si="111"/>
        <v>2.0485893638977899</v>
      </c>
      <c r="X450" s="164">
        <f t="shared" si="112"/>
        <v>0.82264176925274091</v>
      </c>
      <c r="Y450" s="180"/>
      <c r="Z450" s="157">
        <f t="shared" si="113"/>
        <v>38.369304556354919</v>
      </c>
      <c r="AA450" s="166">
        <f t="shared" si="114"/>
        <v>13.458832933653078</v>
      </c>
      <c r="AB450" s="126">
        <v>12</v>
      </c>
      <c r="AC450" s="167">
        <v>12.51</v>
      </c>
      <c r="AD450" s="167">
        <v>0.77</v>
      </c>
      <c r="AE450" s="167">
        <v>7.5</v>
      </c>
      <c r="AF450" s="167">
        <v>1.25</v>
      </c>
      <c r="AG450" s="167">
        <v>9.4</v>
      </c>
      <c r="AH450" s="167">
        <v>38.800000000000004</v>
      </c>
      <c r="AI450" s="167">
        <v>58.9</v>
      </c>
      <c r="AJ450" s="167">
        <v>12.1</v>
      </c>
      <c r="AK450" s="167">
        <v>17.380000000000003</v>
      </c>
      <c r="AL450" s="168">
        <v>28890</v>
      </c>
      <c r="AM450" s="169">
        <v>0.2</v>
      </c>
      <c r="AN450" s="167">
        <v>0.13</v>
      </c>
      <c r="AO450" s="170">
        <f t="shared" si="115"/>
        <v>-0.65400335749392724</v>
      </c>
      <c r="AP450" s="171">
        <f t="shared" si="116"/>
        <v>12.80482957615915</v>
      </c>
      <c r="AQ450" s="172">
        <f t="shared" si="117"/>
        <v>-13.529603865918116</v>
      </c>
      <c r="AR450" s="157">
        <f>INDEX([1]Historical!$C$7:$C$1231,MATCH(B450,[1]Historical!$B$7:$B$1253,0))*IF(AH450="n/a",1.03,IF(AH450&lt;0,1.01,IF(AH450&gt;10,1.1,(1+AH450/100))))</f>
        <v>4.95</v>
      </c>
      <c r="AS450" s="166">
        <f t="shared" si="118"/>
        <v>5.4450000000000003</v>
      </c>
      <c r="AT450" s="166">
        <f t="shared" si="125"/>
        <v>5.9895000000000005</v>
      </c>
      <c r="AU450" s="166">
        <f t="shared" si="125"/>
        <v>6.5884500000000008</v>
      </c>
      <c r="AV450" s="166">
        <f t="shared" si="125"/>
        <v>7.2472950000000012</v>
      </c>
      <c r="AW450" s="157">
        <f t="shared" si="120"/>
        <v>30.220245000000002</v>
      </c>
      <c r="AX450" s="173">
        <f t="shared" si="121"/>
        <v>17.948711171823962</v>
      </c>
      <c r="AY450" s="174">
        <v>0.8</v>
      </c>
      <c r="AZ450" s="169">
        <v>19</v>
      </c>
      <c r="BA450" s="169">
        <v>-12.950000000000001</v>
      </c>
      <c r="BB450" s="169">
        <v>-6.660000000000001</v>
      </c>
      <c r="BC450" s="169">
        <v>-3.3099999999999996</v>
      </c>
      <c r="BE450" s="77">
        <v>2017</v>
      </c>
      <c r="BF450" s="77">
        <f t="shared" si="122"/>
        <v>1</v>
      </c>
      <c r="BG450" s="175">
        <v>1</v>
      </c>
      <c r="BH450" t="s">
        <v>939</v>
      </c>
      <c r="BI450" t="s">
        <v>940</v>
      </c>
      <c r="BJ450" s="112"/>
      <c r="BK450" s="112"/>
      <c r="BL450" s="112"/>
    </row>
    <row r="451" spans="1:64" ht="11.25" customHeight="1" x14ac:dyDescent="0.2">
      <c r="A451" s="176" t="s">
        <v>1530</v>
      </c>
      <c r="B451" s="153" t="s">
        <v>727</v>
      </c>
      <c r="C451" s="154" t="s">
        <v>96</v>
      </c>
      <c r="D451" s="154" t="s">
        <v>956</v>
      </c>
      <c r="E451" s="155">
        <v>10</v>
      </c>
      <c r="F451" s="298">
        <v>493</v>
      </c>
      <c r="G451" s="298" t="s">
        <v>88</v>
      </c>
      <c r="H451" s="298" t="s">
        <v>88</v>
      </c>
      <c r="I451" s="156">
        <v>85.71</v>
      </c>
      <c r="J451" s="157">
        <f t="shared" si="108"/>
        <v>0.58336250145840629</v>
      </c>
      <c r="K451" s="158">
        <v>0.125</v>
      </c>
      <c r="L451" s="126">
        <v>4</v>
      </c>
      <c r="M451" s="82">
        <f t="shared" si="109"/>
        <v>0.5</v>
      </c>
      <c r="N451" s="159" t="s">
        <v>115</v>
      </c>
      <c r="O451" s="160">
        <v>0.12</v>
      </c>
      <c r="P451" s="161">
        <v>44707</v>
      </c>
      <c r="Q451" s="161">
        <v>44728</v>
      </c>
      <c r="R451" s="82">
        <f t="shared" si="110"/>
        <v>4.1666666666666705</v>
      </c>
      <c r="S451" s="162">
        <f>IF(INDEX([1]Historical!$D$7:$D$1229,MATCH(B451,[1]Historical!$B$7:$B$1253,0))=0,"n/a",(INDEX([1]Historical!$C$7:$C$1231,MATCH(B451,[1]Historical!$B$7:$B$1253,0))/INDEX([1]Historical!$D$7:$D$1229,MATCH(B451,[1]Historical!$B$7:$B$1253,0))-1)*100)</f>
        <v>4.39560439560438</v>
      </c>
      <c r="T451" s="162">
        <f>IF(INDEX([1]Historical!$F$7:$F$1222,MATCH(B451,[1]Historical!$B$7:$B$1253,0))=0,"n/a",((INDEX([1]Historical!$C$7:$C$1231,MATCH(B451,[1]Historical!$B$7:$B$1253,0))/INDEX([1]Historical!$F$7:$F$1222,MATCH(B451,[1]Historical!$B$7:$B$1253,0)))^(1/3)-1)*100)</f>
        <v>4.604051127515274</v>
      </c>
      <c r="U451" s="162">
        <f>IF(INDEX([1]Historical!$H$7:$H$1222,MATCH(B451,[1]Historical!$B$7:$B$1253,0))=0,"n/a",((INDEX([1]Historical!$C$7:$C$1231,MATCH(B451,[1]Historical!$B$7:$B$1253,0))/INDEX([1]Historical!$H$7:$H$1222,MATCH(B451,[1]Historical!$B$7:$B$1253,0)))^(1/5)-1)*100)</f>
        <v>4.8413171284721557</v>
      </c>
      <c r="V451" s="162" t="str">
        <f>IF(INDEX([1]Historical!$N$7:$N$1222,MATCH(B451,[1]Historical!$B$7:$B$1253,0))=0,"n/a",((INDEX([1]Historical!$C$7:$C$1231,MATCH(B451,[1]Historical!$B$7:$B$1253,0))/INDEX([1]Historical!$N$7:$N$1222,MATCH(B451,[1]Historical!$B$7:$B$1253,0)))^(1/10)-1)*100)</f>
        <v>n/a</v>
      </c>
      <c r="W451" s="163" t="str">
        <f t="shared" si="111"/>
        <v>n/a</v>
      </c>
      <c r="X451" s="164">
        <f t="shared" si="112"/>
        <v>0.21613022894964978</v>
      </c>
      <c r="Y451" s="178"/>
      <c r="Z451" s="157">
        <f t="shared" si="113"/>
        <v>13.812154696132598</v>
      </c>
      <c r="AA451" s="166">
        <f t="shared" si="114"/>
        <v>23.676795580110493</v>
      </c>
      <c r="AB451" s="126">
        <v>12</v>
      </c>
      <c r="AC451" s="167">
        <v>3.62</v>
      </c>
      <c r="AD451" s="167">
        <v>1.97</v>
      </c>
      <c r="AE451" s="167">
        <v>1.02</v>
      </c>
      <c r="AF451" s="167">
        <v>2.35</v>
      </c>
      <c r="AG451" s="167">
        <v>10.4</v>
      </c>
      <c r="AH451" s="167">
        <v>366.8</v>
      </c>
      <c r="AI451" s="167">
        <v>11.84</v>
      </c>
      <c r="AJ451" s="167">
        <v>22.400000000000002</v>
      </c>
      <c r="AK451" s="167">
        <v>12</v>
      </c>
      <c r="AL451" s="168">
        <v>1710</v>
      </c>
      <c r="AM451" s="169">
        <v>0.8</v>
      </c>
      <c r="AN451" s="167">
        <v>0.68</v>
      </c>
      <c r="AO451" s="170">
        <f t="shared" si="115"/>
        <v>-18.252115950179931</v>
      </c>
      <c r="AP451" s="171">
        <f t="shared" si="116"/>
        <v>5.4246796299305622</v>
      </c>
      <c r="AQ451" s="172">
        <f t="shared" si="117"/>
        <v>57.254881024066108</v>
      </c>
      <c r="AR451" s="157">
        <f>INDEX([1]Historical!$C$7:$C$1231,MATCH(B451,[1]Historical!$B$7:$B$1253,0))*IF(AH451="n/a",1.03,IF(AH451&lt;0,1.01,IF(AH451&gt;10,1.1,(1+AH451/100))))</f>
        <v>0.52249999999999996</v>
      </c>
      <c r="AS451" s="166">
        <f t="shared" si="118"/>
        <v>0.57474999999999998</v>
      </c>
      <c r="AT451" s="166">
        <f t="shared" si="125"/>
        <v>0.63222500000000004</v>
      </c>
      <c r="AU451" s="166">
        <f t="shared" si="125"/>
        <v>0.69544750000000011</v>
      </c>
      <c r="AV451" s="166">
        <f t="shared" si="125"/>
        <v>0.76499225000000015</v>
      </c>
      <c r="AW451" s="157">
        <f t="shared" si="120"/>
        <v>3.1899147500000002</v>
      </c>
      <c r="AX451" s="173">
        <f t="shared" si="121"/>
        <v>3.7217532959981336</v>
      </c>
      <c r="AY451" s="174">
        <v>1.2</v>
      </c>
      <c r="AZ451" s="169">
        <v>24.67</v>
      </c>
      <c r="BA451" s="169">
        <v>-12.44</v>
      </c>
      <c r="BB451" s="169">
        <v>3.18</v>
      </c>
      <c r="BC451" s="169">
        <v>4.09</v>
      </c>
      <c r="BE451" s="77">
        <v>2013</v>
      </c>
      <c r="BF451" s="77">
        <f t="shared" si="122"/>
        <v>1</v>
      </c>
      <c r="BG451" s="175">
        <v>4.9000000000000004</v>
      </c>
      <c r="BH451" t="s">
        <v>939</v>
      </c>
      <c r="BI451" t="s">
        <v>940</v>
      </c>
    </row>
    <row r="452" spans="1:64" ht="11.25" customHeight="1" x14ac:dyDescent="0.2">
      <c r="A452" s="205" t="s">
        <v>1147</v>
      </c>
      <c r="B452" s="153" t="s">
        <v>1148</v>
      </c>
      <c r="C452" s="154" t="s">
        <v>90</v>
      </c>
      <c r="D452" s="154" t="s">
        <v>969</v>
      </c>
      <c r="E452" s="155">
        <v>6</v>
      </c>
      <c r="F452" s="298">
        <v>660</v>
      </c>
      <c r="G452" s="298" t="s">
        <v>88</v>
      </c>
      <c r="H452" s="298" t="s">
        <v>88</v>
      </c>
      <c r="I452" s="156">
        <v>24.76</v>
      </c>
      <c r="J452" s="157">
        <f t="shared" si="108"/>
        <v>2.7463651050080773</v>
      </c>
      <c r="K452" s="158">
        <v>0.17</v>
      </c>
      <c r="L452" s="126">
        <v>4</v>
      </c>
      <c r="M452" s="82">
        <f t="shared" si="109"/>
        <v>0.68</v>
      </c>
      <c r="N452" s="159" t="s">
        <v>167</v>
      </c>
      <c r="O452" s="160">
        <v>0.15</v>
      </c>
      <c r="P452" s="161">
        <v>44620</v>
      </c>
      <c r="Q452" s="161">
        <v>44635</v>
      </c>
      <c r="R452" s="82">
        <f t="shared" si="110"/>
        <v>13.333333333333346</v>
      </c>
      <c r="S452" s="162">
        <f>IF(INDEX([1]Historical!$D$7:$D$1229,MATCH(B452,[1]Historical!$B$7:$B$1253,0))=0,"n/a",(INDEX([1]Historical!$C$7:$C$1231,MATCH(B452,[1]Historical!$B$7:$B$1253,0))/INDEX([1]Historical!$D$7:$D$1229,MATCH(B452,[1]Historical!$B$7:$B$1253,0))-1)*100)</f>
        <v>41.666666666666671</v>
      </c>
      <c r="T452" s="162">
        <f>IF(INDEX([1]Historical!$F$7:$F$1222,MATCH(B452,[1]Historical!$B$7:$B$1253,0))=0,"n/a",((INDEX([1]Historical!$C$7:$C$1231,MATCH(B452,[1]Historical!$B$7:$B$1253,0))/INDEX([1]Historical!$F$7:$F$1222,MATCH(B452,[1]Historical!$B$7:$B$1253,0)))^(1/3)-1)*100)</f>
        <v>66.747435599428883</v>
      </c>
      <c r="U452" s="162">
        <f>IF(INDEX([1]Historical!$H$7:$H$1222,MATCH(B452,[1]Historical!$B$7:$B$1253,0))=0,"n/a",((INDEX([1]Historical!$C$7:$C$1231,MATCH(B452,[1]Historical!$B$7:$B$1253,0))/INDEX([1]Historical!$H$7:$H$1222,MATCH(B452,[1]Historical!$B$7:$B$1253,0)))^(1/5)-1)*100)</f>
        <v>44.842508549069748</v>
      </c>
      <c r="V452" s="162">
        <f>IF(INDEX([1]Historical!$N$7:$N$1222,MATCH(B452,[1]Historical!$B$7:$B$1253,0))=0,"n/a",((INDEX([1]Historical!$C$7:$C$1231,MATCH(B452,[1]Historical!$B$7:$B$1253,0))/INDEX([1]Historical!$N$7:$N$1222,MATCH(B452,[1]Historical!$B$7:$B$1253,0)))^(1/10)-1)*100)</f>
        <v>26.142088489721417</v>
      </c>
      <c r="W452" s="163">
        <f t="shared" si="111"/>
        <v>1.7153376466727588</v>
      </c>
      <c r="X452" s="164">
        <f t="shared" si="112"/>
        <v>1.4101417782726335</v>
      </c>
      <c r="Y452" s="180"/>
      <c r="Z452" s="157">
        <f t="shared" si="113"/>
        <v>31.627906976744192</v>
      </c>
      <c r="AA452" s="166">
        <f t="shared" si="114"/>
        <v>11.516279069767442</v>
      </c>
      <c r="AB452" s="126">
        <v>12</v>
      </c>
      <c r="AC452" s="167">
        <v>2.15</v>
      </c>
      <c r="AD452" s="167" t="s">
        <v>95</v>
      </c>
      <c r="AE452" s="167">
        <v>3.29</v>
      </c>
      <c r="AF452" s="167">
        <v>1.22</v>
      </c>
      <c r="AG452" s="167">
        <v>10.5</v>
      </c>
      <c r="AH452" s="167">
        <v>1.4000000000000001</v>
      </c>
      <c r="AI452" s="167">
        <v>118.58999999999999</v>
      </c>
      <c r="AJ452" s="167">
        <v>31.8</v>
      </c>
      <c r="AK452" s="167" t="s">
        <v>95</v>
      </c>
      <c r="AL452" s="168">
        <v>312.07</v>
      </c>
      <c r="AM452" s="169">
        <v>8.9</v>
      </c>
      <c r="AN452" s="167">
        <v>0</v>
      </c>
      <c r="AO452" s="170">
        <f t="shared" si="115"/>
        <v>36.07259458431038</v>
      </c>
      <c r="AP452" s="171">
        <f t="shared" si="116"/>
        <v>47.588873654077823</v>
      </c>
      <c r="AQ452" s="172">
        <f t="shared" si="117"/>
        <v>-20.978595121697762</v>
      </c>
      <c r="AR452" s="157">
        <f>INDEX([1]Historical!$C$7:$C$1231,MATCH(B452,[1]Historical!$B$7:$B$1253,0))*IF(AH452="n/a",1.03,IF(AH452&lt;0,1.01,IF(AH452&gt;10,1.1,(1+AH452/100))))</f>
        <v>0.51714000000000004</v>
      </c>
      <c r="AS452" s="166">
        <f t="shared" si="118"/>
        <v>0.56885400000000008</v>
      </c>
      <c r="AT452" s="166">
        <f t="shared" si="125"/>
        <v>0.58591962000000009</v>
      </c>
      <c r="AU452" s="166">
        <f t="shared" si="125"/>
        <v>0.60349720860000011</v>
      </c>
      <c r="AV452" s="166">
        <f t="shared" si="125"/>
        <v>0.62160212485800015</v>
      </c>
      <c r="AW452" s="157">
        <f t="shared" si="120"/>
        <v>2.8970129534580003</v>
      </c>
      <c r="AX452" s="173">
        <f t="shared" si="121"/>
        <v>11.700375417843297</v>
      </c>
      <c r="AY452" s="174">
        <v>0.88</v>
      </c>
      <c r="AZ452" s="169">
        <v>0.61</v>
      </c>
      <c r="BA452" s="169">
        <v>-44</v>
      </c>
      <c r="BB452" s="169">
        <v>-15.870000000000001</v>
      </c>
      <c r="BC452" s="169">
        <v>-30.020000000000003</v>
      </c>
      <c r="BE452" s="77">
        <v>2017</v>
      </c>
      <c r="BF452" s="77">
        <f t="shared" si="122"/>
        <v>1</v>
      </c>
      <c r="BG452" s="175">
        <v>1</v>
      </c>
      <c r="BH452" t="s">
        <v>939</v>
      </c>
      <c r="BI452" t="s">
        <v>940</v>
      </c>
      <c r="BJ452" s="112"/>
      <c r="BK452" s="112"/>
      <c r="BL452" s="112"/>
    </row>
    <row r="453" spans="1:64" ht="11.25" customHeight="1" x14ac:dyDescent="0.2">
      <c r="A453" s="205" t="s">
        <v>1531</v>
      </c>
      <c r="B453" s="153" t="s">
        <v>1149</v>
      </c>
      <c r="C453" s="154" t="s">
        <v>94</v>
      </c>
      <c r="D453" s="154" t="s">
        <v>101</v>
      </c>
      <c r="E453" s="155">
        <v>8</v>
      </c>
      <c r="F453" s="298">
        <v>607</v>
      </c>
      <c r="G453" s="298" t="s">
        <v>88</v>
      </c>
      <c r="H453" s="298" t="s">
        <v>88</v>
      </c>
      <c r="I453" s="156">
        <v>11.7</v>
      </c>
      <c r="J453" s="157">
        <f t="shared" si="108"/>
        <v>2.0854700854700856</v>
      </c>
      <c r="K453" s="158">
        <v>6.0999999999999999E-2</v>
      </c>
      <c r="L453" s="126">
        <v>4</v>
      </c>
      <c r="M453" s="82">
        <f t="shared" si="109"/>
        <v>0.24399999999999999</v>
      </c>
      <c r="N453" s="159" t="s">
        <v>214</v>
      </c>
      <c r="O453" s="160">
        <v>5.8000000000000003E-2</v>
      </c>
      <c r="P453" s="161">
        <v>44874</v>
      </c>
      <c r="Q453" s="161">
        <v>44886</v>
      </c>
      <c r="R453" s="82">
        <f t="shared" si="110"/>
        <v>5.1724137931034404</v>
      </c>
      <c r="S453" s="162">
        <f>IF(INDEX([1]Historical!$D$7:$D$1229,MATCH(B453,[1]Historical!$B$7:$B$1253,0))=0,"n/a",(INDEX([1]Historical!$C$7:$C$1231,MATCH(B453,[1]Historical!$B$7:$B$1253,0))/INDEX([1]Historical!$D$7:$D$1229,MATCH(B453,[1]Historical!$B$7:$B$1253,0))-1)*100)</f>
        <v>4.9411764705882488</v>
      </c>
      <c r="T453" s="162">
        <f>IF(INDEX([1]Historical!$F$7:$F$1222,MATCH(B453,[1]Historical!$B$7:$B$1253,0))=0,"n/a",((INDEX([1]Historical!$C$7:$C$1231,MATCH(B453,[1]Historical!$B$7:$B$1253,0))/INDEX([1]Historical!$F$7:$F$1222,MATCH(B453,[1]Historical!$B$7:$B$1253,0)))^(1/3)-1)*100)</f>
        <v>3.6951129819975836</v>
      </c>
      <c r="U453" s="162">
        <f>IF(INDEX([1]Historical!$H$7:$H$1222,MATCH(B453,[1]Historical!$B$7:$B$1253,0))=0,"n/a",((INDEX([1]Historical!$C$7:$C$1231,MATCH(B453,[1]Historical!$B$7:$B$1253,0))/INDEX([1]Historical!$H$7:$H$1222,MATCH(B453,[1]Historical!$B$7:$B$1253,0)))^(1/5)-1)*100)</f>
        <v>15.181421910841664</v>
      </c>
      <c r="V453" s="162">
        <f>IF(INDEX([1]Historical!$N$7:$N$1222,MATCH(B453,[1]Historical!$B$7:$B$1253,0))=0,"n/a",((INDEX([1]Historical!$C$7:$C$1231,MATCH(B453,[1]Historical!$B$7:$B$1253,0))/INDEX([1]Historical!$N$7:$N$1222,MATCH(B453,[1]Historical!$B$7:$B$1253,0)))^(1/10)-1)*100)</f>
        <v>12.284725676701424</v>
      </c>
      <c r="W453" s="163">
        <f t="shared" si="111"/>
        <v>1.2357965745734123</v>
      </c>
      <c r="X453" s="164">
        <f t="shared" si="112"/>
        <v>1.5334769606910772</v>
      </c>
      <c r="Y453" s="178"/>
      <c r="Z453" s="157">
        <f t="shared" si="113"/>
        <v>43.571428571428569</v>
      </c>
      <c r="AA453" s="166">
        <f t="shared" si="114"/>
        <v>20.892857142857139</v>
      </c>
      <c r="AB453" s="126">
        <v>9</v>
      </c>
      <c r="AC453" s="167">
        <v>0.56000000000000005</v>
      </c>
      <c r="AD453" s="167">
        <v>2.09</v>
      </c>
      <c r="AE453" s="167">
        <v>1.46</v>
      </c>
      <c r="AF453" s="167">
        <v>2.59</v>
      </c>
      <c r="AG453" s="167">
        <v>12.6</v>
      </c>
      <c r="AH453" s="167">
        <v>-2.6</v>
      </c>
      <c r="AI453" s="167">
        <v>9.1399999999999988</v>
      </c>
      <c r="AJ453" s="167">
        <v>9.9</v>
      </c>
      <c r="AK453" s="167">
        <v>10</v>
      </c>
      <c r="AL453" s="168">
        <v>1770</v>
      </c>
      <c r="AM453" s="169">
        <v>0.1</v>
      </c>
      <c r="AN453" s="167">
        <v>0.64</v>
      </c>
      <c r="AO453" s="170">
        <f t="shared" si="115"/>
        <v>-3.6259651465453899</v>
      </c>
      <c r="AP453" s="171">
        <f t="shared" si="116"/>
        <v>17.266891996311749</v>
      </c>
      <c r="AQ453" s="172">
        <f t="shared" si="117"/>
        <v>55.080624192708207</v>
      </c>
      <c r="AR453" s="157">
        <f>INDEX([1]Historical!$C$7:$C$1231,MATCH(B453,[1]Historical!$B$7:$B$1253,0))*IF(AH453="n/a",1.03,IF(AH453&lt;0,1.01,IF(AH453&gt;10,1.1,(1+AH453/100))))</f>
        <v>0.22523000000000001</v>
      </c>
      <c r="AS453" s="166">
        <f t="shared" si="118"/>
        <v>0.245816022</v>
      </c>
      <c r="AT453" s="166">
        <f t="shared" si="125"/>
        <v>0.27039762420000002</v>
      </c>
      <c r="AU453" s="166">
        <f t="shared" si="125"/>
        <v>0.29743738662000002</v>
      </c>
      <c r="AV453" s="166">
        <f t="shared" si="125"/>
        <v>0.32718112528200005</v>
      </c>
      <c r="AW453" s="157">
        <f t="shared" si="120"/>
        <v>1.366062158102</v>
      </c>
      <c r="AX453" s="173">
        <f t="shared" si="121"/>
        <v>11.675744941042735</v>
      </c>
      <c r="AY453" s="174">
        <v>1.28</v>
      </c>
      <c r="AZ453" s="169">
        <v>18.240000000000002</v>
      </c>
      <c r="BA453" s="169">
        <v>-32.64</v>
      </c>
      <c r="BB453" s="169">
        <v>6.9599999999999991</v>
      </c>
      <c r="BC453" s="169">
        <v>-2.36</v>
      </c>
      <c r="BE453" s="77">
        <v>2015</v>
      </c>
      <c r="BF453" s="77">
        <f t="shared" si="122"/>
        <v>1</v>
      </c>
      <c r="BG453" s="175">
        <v>5.8000000000000007</v>
      </c>
      <c r="BH453" t="s">
        <v>939</v>
      </c>
      <c r="BI453" t="s">
        <v>940</v>
      </c>
      <c r="BJ453" s="112"/>
      <c r="BK453" s="112"/>
      <c r="BL453" s="112"/>
    </row>
    <row r="454" spans="1:64" ht="11.25" customHeight="1" x14ac:dyDescent="0.2">
      <c r="A454" s="112" t="s">
        <v>1532</v>
      </c>
      <c r="B454" s="153" t="s">
        <v>385</v>
      </c>
      <c r="C454" s="154" t="s">
        <v>90</v>
      </c>
      <c r="D454" s="154" t="s">
        <v>969</v>
      </c>
      <c r="E454" s="155">
        <v>21</v>
      </c>
      <c r="F454" s="298">
        <v>169</v>
      </c>
      <c r="G454" s="298" t="s">
        <v>30</v>
      </c>
      <c r="H454" s="298" t="s">
        <v>88</v>
      </c>
      <c r="I454" s="156">
        <v>37.9</v>
      </c>
      <c r="J454" s="157">
        <f t="shared" si="108"/>
        <v>4.1160949868073882</v>
      </c>
      <c r="K454" s="209">
        <v>0.39</v>
      </c>
      <c r="L454" s="126">
        <v>4</v>
      </c>
      <c r="M454" s="82">
        <f t="shared" si="109"/>
        <v>1.56</v>
      </c>
      <c r="N454" s="159" t="s">
        <v>167</v>
      </c>
      <c r="O454" s="210">
        <v>0.38</v>
      </c>
      <c r="P454" s="161">
        <v>44805</v>
      </c>
      <c r="Q454" s="161">
        <v>44819</v>
      </c>
      <c r="R454" s="82">
        <f t="shared" si="110"/>
        <v>2.6315789473684235</v>
      </c>
      <c r="S454" s="162">
        <f>IF(INDEX([1]Historical!$D$7:$D$1229,MATCH(B454,[1]Historical!$B$7:$B$1253,0))=0,"n/a",(INDEX([1]Historical!$C$7:$C$1231,MATCH(B454,[1]Historical!$B$7:$B$1253,0))/INDEX([1]Historical!$D$7:$D$1229,MATCH(B454,[1]Historical!$B$7:$B$1253,0))-1)*100)</f>
        <v>7.4468085106383253</v>
      </c>
      <c r="T454" s="162">
        <f>IF(INDEX([1]Historical!$F$7:$F$1222,MATCH(B454,[1]Historical!$B$7:$B$1253,0))=0,"n/a",((INDEX([1]Historical!$C$7:$C$1231,MATCH(B454,[1]Historical!$B$7:$B$1253,0))/INDEX([1]Historical!$F$7:$F$1222,MATCH(B454,[1]Historical!$B$7:$B$1253,0)))^(1/3)-1)*100)</f>
        <v>5.2340844133448305</v>
      </c>
      <c r="U454" s="162">
        <f>IF(INDEX([1]Historical!$H$7:$H$1222,MATCH(B454,[1]Historical!$B$7:$B$1253,0))=0,"n/a",((INDEX([1]Historical!$C$7:$C$1231,MATCH(B454,[1]Historical!$B$7:$B$1253,0))/INDEX([1]Historical!$H$7:$H$1222,MATCH(B454,[1]Historical!$B$7:$B$1253,0)))^(1/5)-1)*100)</f>
        <v>7.0034487823398939</v>
      </c>
      <c r="V454" s="162">
        <f>IF(INDEX([1]Historical!$N$7:$N$1222,MATCH(B454,[1]Historical!$B$7:$B$1253,0))=0,"n/a",((INDEX([1]Historical!$C$7:$C$1231,MATCH(B454,[1]Historical!$B$7:$B$1253,0))/INDEX([1]Historical!$N$7:$N$1222,MATCH(B454,[1]Historical!$B$7:$B$1253,0)))^(1/10)-1)*100)</f>
        <v>8.5010105263371827</v>
      </c>
      <c r="W454" s="163">
        <f t="shared" si="111"/>
        <v>0.82383720860506437</v>
      </c>
      <c r="X454" s="164" t="str">
        <f t="shared" si="112"/>
        <v>n/a</v>
      </c>
      <c r="Y454" s="178"/>
      <c r="Z454" s="157" t="str">
        <f t="shared" si="113"/>
        <v>n/a</v>
      </c>
      <c r="AA454" s="166" t="str">
        <f t="shared" si="114"/>
        <v>n/a</v>
      </c>
      <c r="AB454" s="126">
        <v>12</v>
      </c>
      <c r="AC454" s="167" t="s">
        <v>95</v>
      </c>
      <c r="AD454" s="167" t="s">
        <v>95</v>
      </c>
      <c r="AE454" s="167" t="s">
        <v>95</v>
      </c>
      <c r="AF454" s="167" t="s">
        <v>95</v>
      </c>
      <c r="AG454" s="167" t="s">
        <v>95</v>
      </c>
      <c r="AH454" s="167" t="s">
        <v>95</v>
      </c>
      <c r="AI454" s="167" t="s">
        <v>95</v>
      </c>
      <c r="AJ454" s="167" t="s">
        <v>95</v>
      </c>
      <c r="AK454" s="167" t="s">
        <v>95</v>
      </c>
      <c r="AL454" s="168" t="s">
        <v>95</v>
      </c>
      <c r="AM454" s="169" t="s">
        <v>95</v>
      </c>
      <c r="AN454" s="167" t="s">
        <v>95</v>
      </c>
      <c r="AO454" s="170" t="str">
        <f t="shared" si="115"/>
        <v>n/a</v>
      </c>
      <c r="AP454" s="171">
        <f t="shared" si="116"/>
        <v>11.119543769147281</v>
      </c>
      <c r="AQ454" s="172" t="str">
        <f t="shared" si="117"/>
        <v>n/a</v>
      </c>
      <c r="AR454" s="157">
        <f>INDEX([1]Historical!$C$7:$C$1231,MATCH(B454,[1]Historical!$B$7:$B$1253,0))*IF(AH454="n/a",1.03,IF(AH454&lt;0,1.01,IF(AH454&gt;10,1.1,(1+AH454/100))))</f>
        <v>1.4861428571428574</v>
      </c>
      <c r="AS454" s="166">
        <f t="shared" si="118"/>
        <v>1.5307271428571432</v>
      </c>
      <c r="AT454" s="166">
        <f t="shared" si="125"/>
        <v>1.5766489571428575</v>
      </c>
      <c r="AU454" s="166">
        <f t="shared" si="125"/>
        <v>1.6239484258571433</v>
      </c>
      <c r="AV454" s="166">
        <f t="shared" si="125"/>
        <v>1.6726668786328576</v>
      </c>
      <c r="AW454" s="157">
        <f t="shared" si="120"/>
        <v>7.89013426163286</v>
      </c>
      <c r="AX454" s="173">
        <f t="shared" si="121"/>
        <v>20.818296204836042</v>
      </c>
      <c r="AY454" s="174" t="s">
        <v>95</v>
      </c>
      <c r="AZ454" s="169" t="s">
        <v>95</v>
      </c>
      <c r="BA454" s="169" t="s">
        <v>95</v>
      </c>
      <c r="BB454" s="169" t="s">
        <v>95</v>
      </c>
      <c r="BC454" s="169" t="s">
        <v>95</v>
      </c>
      <c r="BD454" s="100" t="s">
        <v>932</v>
      </c>
      <c r="BE454" s="77">
        <v>2002</v>
      </c>
      <c r="BF454" s="77">
        <f t="shared" si="122"/>
        <v>2</v>
      </c>
      <c r="BG454" s="175" t="s">
        <v>95</v>
      </c>
      <c r="BH454" t="s">
        <v>939</v>
      </c>
      <c r="BI454" t="s">
        <v>940</v>
      </c>
    </row>
    <row r="455" spans="1:64" ht="11.25" customHeight="1" x14ac:dyDescent="0.2">
      <c r="A455" s="176" t="s">
        <v>1533</v>
      </c>
      <c r="B455" s="153" t="s">
        <v>858</v>
      </c>
      <c r="C455" s="154" t="s">
        <v>922</v>
      </c>
      <c r="D455" s="154" t="s">
        <v>974</v>
      </c>
      <c r="E455" s="155">
        <v>9</v>
      </c>
      <c r="F455" s="298">
        <v>519</v>
      </c>
      <c r="G455" s="298" t="s">
        <v>88</v>
      </c>
      <c r="H455" s="298" t="s">
        <v>88</v>
      </c>
      <c r="I455" s="156">
        <v>38.18</v>
      </c>
      <c r="J455" s="157">
        <f t="shared" ref="J455:J518" si="126">(M455/I455)*100</f>
        <v>2.9334730225248822</v>
      </c>
      <c r="K455" s="158">
        <v>0.28000000000000003</v>
      </c>
      <c r="L455" s="126">
        <v>4</v>
      </c>
      <c r="M455" s="82">
        <f t="shared" ref="M455:M518" si="127">K455*L455</f>
        <v>1.1200000000000001</v>
      </c>
      <c r="N455" s="159" t="s">
        <v>266</v>
      </c>
      <c r="O455" s="160">
        <v>0.27</v>
      </c>
      <c r="P455" s="161">
        <v>44596</v>
      </c>
      <c r="Q455" s="161">
        <v>44620</v>
      </c>
      <c r="R455" s="82">
        <f t="shared" ref="R455:R518" si="128">(K455-O455)/O455*100</f>
        <v>3.7037037037037068</v>
      </c>
      <c r="S455" s="162">
        <f>IF(INDEX([1]Historical!$D$7:$D$1229,MATCH(B455,[1]Historical!$B$7:$B$1253,0))=0,"n/a",(INDEX([1]Historical!$C$7:$C$1231,MATCH(B455,[1]Historical!$B$7:$B$1253,0))/INDEX([1]Historical!$D$7:$D$1229,MATCH(B455,[1]Historical!$B$7:$B$1253,0))-1)*100)</f>
        <v>3.8461538461538547</v>
      </c>
      <c r="T455" s="162">
        <f>IF(INDEX([1]Historical!$F$7:$F$1222,MATCH(B455,[1]Historical!$B$7:$B$1253,0))=0,"n/a",((INDEX([1]Historical!$C$7:$C$1231,MATCH(B455,[1]Historical!$B$7:$B$1253,0))/INDEX([1]Historical!$F$7:$F$1222,MATCH(B455,[1]Historical!$B$7:$B$1253,0)))^(1/3)-1)*100)</f>
        <v>5.4901660750877879</v>
      </c>
      <c r="U455" s="162">
        <f>IF(INDEX([1]Historical!$H$7:$H$1222,MATCH(B455,[1]Historical!$B$7:$B$1253,0))=0,"n/a",((INDEX([1]Historical!$C$7:$C$1231,MATCH(B455,[1]Historical!$B$7:$B$1253,0))/INDEX([1]Historical!$H$7:$H$1222,MATCH(B455,[1]Historical!$B$7:$B$1253,0)))^(1/5)-1)*100)</f>
        <v>6.1858758794934632</v>
      </c>
      <c r="V455" s="162">
        <f>IF(INDEX([1]Historical!$N$7:$N$1222,MATCH(B455,[1]Historical!$B$7:$B$1253,0))=0,"n/a",((INDEX([1]Historical!$C$7:$C$1231,MATCH(B455,[1]Historical!$B$7:$B$1253,0))/INDEX([1]Historical!$N$7:$N$1222,MATCH(B455,[1]Historical!$B$7:$B$1253,0)))^(1/10)-1)*100)</f>
        <v>10.442537523679473</v>
      </c>
      <c r="W455" s="163">
        <f t="shared" ref="W455:W518" si="129">IF(OR(U455&lt;=0,U455="n/a",V455&lt;=0,V455="n/a"),"n/a",U455/V455)</f>
        <v>0.59237286583518478</v>
      </c>
      <c r="X455" s="164">
        <f t="shared" ref="X455:X518" si="130">IF(OR(AJ455&lt;=0,AJ455="n/a",U455&lt;=0,U455="n/a"),"n/a",U455/AJ455)</f>
        <v>7.7323448493668288</v>
      </c>
      <c r="Y455" s="178"/>
      <c r="Z455" s="157">
        <f t="shared" ref="Z455:Z518" si="131">IF(OR(AC455&lt;0.01,AC455="n/a"),"n/a",M455/AC455*100)</f>
        <v>106.66666666666667</v>
      </c>
      <c r="AA455" s="166">
        <f t="shared" ref="AA455:AA518" si="132">IF(OR(AC455&lt;0.01,AC455="n/a"),"n/a",I455/AC455)</f>
        <v>36.361904761904761</v>
      </c>
      <c r="AB455" s="126">
        <v>12</v>
      </c>
      <c r="AC455" s="167">
        <v>1.05</v>
      </c>
      <c r="AD455" s="167">
        <v>6.34</v>
      </c>
      <c r="AE455" s="167">
        <v>3.24</v>
      </c>
      <c r="AF455" s="167">
        <v>4.38</v>
      </c>
      <c r="AG455" s="167">
        <v>9.1</v>
      </c>
      <c r="AH455" s="167">
        <v>-38.6</v>
      </c>
      <c r="AI455" s="167">
        <v>22.7</v>
      </c>
      <c r="AJ455" s="167">
        <v>0.8</v>
      </c>
      <c r="AK455" s="167">
        <v>5.79</v>
      </c>
      <c r="AL455" s="168">
        <v>5280</v>
      </c>
      <c r="AM455" s="169">
        <v>0.5</v>
      </c>
      <c r="AN455" s="167">
        <v>0</v>
      </c>
      <c r="AO455" s="170">
        <f t="shared" ref="AO455:AO518" si="133">IF(U455="n/a","n/a",IF(AA455&lt;0,"n/a",IF(AA455="n/a","n/a",J455+U455-AA455)))</f>
        <v>-27.242555859886416</v>
      </c>
      <c r="AP455" s="171">
        <f t="shared" ref="AP455:AP518" si="134">IF(U455="n/a","n/a",J455+U455)</f>
        <v>9.1193489020183449</v>
      </c>
      <c r="AQ455" s="172">
        <f t="shared" ref="AQ455:AQ518" si="135">IF(OR(AC455&lt;0.01,AC455="n/a",AF455="n/a"),"n/a",(I455/SQRT(22.5*AC455*(I455/AF455))-1)*100)</f>
        <v>166.05358095035655</v>
      </c>
      <c r="AR455" s="157">
        <f>INDEX([1]Historical!$C$7:$C$1231,MATCH(B455,[1]Historical!$B$7:$B$1253,0))*IF(AH455="n/a",1.03,IF(AH455&lt;0,1.01,IF(AH455&gt;10,1.1,(1+AH455/100))))</f>
        <v>1.0908</v>
      </c>
      <c r="AS455" s="166">
        <f t="shared" ref="AS455:AS518" si="136">IF($AI455="n/a",1.03*AR455,IF($AI455&lt;0,1.01*AR455,IF($AI455&gt;10,1.1*AR455,(1+$AI455/100)*AR455)))</f>
        <v>1.1998800000000001</v>
      </c>
      <c r="AT455" s="166">
        <f t="shared" ref="AT455:AV470" si="137">IF($AK455="n/a",1.03*AS455,IF($AK455&lt;0,1.01*AS455,IF($AK455&gt;10,1.1*AS455,(1+$AK455/100)*AS455)))</f>
        <v>1.269353052</v>
      </c>
      <c r="AU455" s="166">
        <f t="shared" si="137"/>
        <v>1.3428485937108001</v>
      </c>
      <c r="AV455" s="166">
        <f t="shared" si="137"/>
        <v>1.4205995272866556</v>
      </c>
      <c r="AW455" s="157">
        <f t="shared" ref="AW455:AW518" si="138">SUM(AR455:AV455)</f>
        <v>6.3234811729974556</v>
      </c>
      <c r="AX455" s="173">
        <f t="shared" ref="AX455:AX518" si="139">AW455/I455*100</f>
        <v>16.562286990564314</v>
      </c>
      <c r="AY455" s="174">
        <v>1.0900000000000001</v>
      </c>
      <c r="AZ455" s="169">
        <v>28.08</v>
      </c>
      <c r="BA455" s="169">
        <v>-16.96</v>
      </c>
      <c r="BB455" s="169">
        <v>-3.46</v>
      </c>
      <c r="BC455" s="169">
        <v>0.91999999999999993</v>
      </c>
      <c r="BE455" s="77">
        <v>2014</v>
      </c>
      <c r="BF455" s="77">
        <f t="shared" ref="BF455:BF518" si="140">IF(BE455&gt;2020,0,IF(BE455&gt;2008,1,IF(BE455&gt;2001,2,IF(BE455&gt;1990,3,IF(BE455&gt;1980,4,IF(BE455&gt;1973,5,IF(BE455&gt;1970,6,IF(BE455&gt;1960,7,IF(BE455&gt;1958,8,IF(BE455&gt;1953,9,10))))))))))</f>
        <v>1</v>
      </c>
      <c r="BG455" s="175">
        <v>5.4</v>
      </c>
      <c r="BH455" t="s">
        <v>939</v>
      </c>
      <c r="BI455" t="s">
        <v>940</v>
      </c>
      <c r="BJ455" s="112"/>
      <c r="BK455" s="112"/>
      <c r="BL455" s="112"/>
    </row>
    <row r="456" spans="1:64" ht="11.25" customHeight="1" x14ac:dyDescent="0.2">
      <c r="A456" s="205" t="s">
        <v>1150</v>
      </c>
      <c r="B456" s="153" t="s">
        <v>1151</v>
      </c>
      <c r="C456" s="154" t="s">
        <v>90</v>
      </c>
      <c r="D456" s="154" t="s">
        <v>969</v>
      </c>
      <c r="E456" s="155">
        <v>7</v>
      </c>
      <c r="F456" s="298">
        <v>620</v>
      </c>
      <c r="G456" s="298" t="s">
        <v>88</v>
      </c>
      <c r="H456" s="298" t="s">
        <v>88</v>
      </c>
      <c r="I456" s="156">
        <v>43.82</v>
      </c>
      <c r="J456" s="157">
        <f t="shared" si="126"/>
        <v>2.0994979461433134</v>
      </c>
      <c r="K456" s="158">
        <v>0.23</v>
      </c>
      <c r="L456" s="126">
        <v>4</v>
      </c>
      <c r="M456" s="82">
        <f t="shared" si="127"/>
        <v>0.92</v>
      </c>
      <c r="N456" s="159" t="s">
        <v>164</v>
      </c>
      <c r="O456" s="160">
        <v>0.22</v>
      </c>
      <c r="P456" s="161">
        <v>44616</v>
      </c>
      <c r="Q456" s="161">
        <v>44635</v>
      </c>
      <c r="R456" s="82">
        <f t="shared" si="128"/>
        <v>4.5454545454545494</v>
      </c>
      <c r="S456" s="162">
        <f>IF(INDEX([1]Historical!$D$7:$D$1229,MATCH(B456,[1]Historical!$B$7:$B$1253,0))=0,"n/a",(INDEX([1]Historical!$C$7:$C$1231,MATCH(B456,[1]Historical!$B$7:$B$1253,0))/INDEX([1]Historical!$D$7:$D$1229,MATCH(B456,[1]Historical!$B$7:$B$1253,0))-1)*100)</f>
        <v>8.7499999999999911</v>
      </c>
      <c r="T456" s="162">
        <f>IF(INDEX([1]Historical!$F$7:$F$1222,MATCH(B456,[1]Historical!$B$7:$B$1253,0))=0,"n/a",((INDEX([1]Historical!$C$7:$C$1231,MATCH(B456,[1]Historical!$B$7:$B$1253,0))/INDEX([1]Historical!$F$7:$F$1222,MATCH(B456,[1]Historical!$B$7:$B$1253,0)))^(1/3)-1)*100)</f>
        <v>17.230827599961039</v>
      </c>
      <c r="U456" s="162">
        <f>IF(INDEX([1]Historical!$H$7:$H$1222,MATCH(B456,[1]Historical!$B$7:$B$1253,0))=0,"n/a",((INDEX([1]Historical!$C$7:$C$1231,MATCH(B456,[1]Historical!$B$7:$B$1253,0))/INDEX([1]Historical!$H$7:$H$1222,MATCH(B456,[1]Historical!$B$7:$B$1253,0)))^(1/5)-1)*100)</f>
        <v>31.649530419114225</v>
      </c>
      <c r="V456" s="162" t="str">
        <f>IF(INDEX([1]Historical!$N$7:$N$1222,MATCH(B456,[1]Historical!$B$7:$B$1253,0))=0,"n/a",((INDEX([1]Historical!$C$7:$C$1231,MATCH(B456,[1]Historical!$B$7:$B$1253,0))/INDEX([1]Historical!$N$7:$N$1222,MATCH(B456,[1]Historical!$B$7:$B$1253,0)))^(1/10)-1)*100)</f>
        <v>n/a</v>
      </c>
      <c r="W456" s="163" t="str">
        <f t="shared" si="129"/>
        <v>n/a</v>
      </c>
      <c r="X456" s="164">
        <f t="shared" si="130"/>
        <v>1.0342983797096152</v>
      </c>
      <c r="Y456" s="180"/>
      <c r="Z456" s="157">
        <f t="shared" si="131"/>
        <v>34.848484848484851</v>
      </c>
      <c r="AA456" s="166">
        <f t="shared" si="132"/>
        <v>16.598484848484848</v>
      </c>
      <c r="AB456" s="126">
        <v>12</v>
      </c>
      <c r="AC456" s="167">
        <v>2.64</v>
      </c>
      <c r="AD456" s="167">
        <v>1.59</v>
      </c>
      <c r="AE456" s="167">
        <v>7.18</v>
      </c>
      <c r="AF456" s="167">
        <v>1.55</v>
      </c>
      <c r="AG456" s="167">
        <v>10.199999999999999</v>
      </c>
      <c r="AH456" s="167">
        <v>5.7</v>
      </c>
      <c r="AI456" s="167">
        <v>38.06</v>
      </c>
      <c r="AJ456" s="167">
        <v>30.599999999999998</v>
      </c>
      <c r="AK456" s="167">
        <v>10</v>
      </c>
      <c r="AL456" s="168">
        <v>1520</v>
      </c>
      <c r="AM456" s="169">
        <v>1.7000000000000002</v>
      </c>
      <c r="AN456" s="167">
        <v>0.05</v>
      </c>
      <c r="AO456" s="170">
        <f t="shared" si="133"/>
        <v>17.150543516772689</v>
      </c>
      <c r="AP456" s="171">
        <f t="shared" si="134"/>
        <v>33.749028365257537</v>
      </c>
      <c r="AQ456" s="172">
        <f t="shared" si="135"/>
        <v>6.9322766264320324</v>
      </c>
      <c r="AR456" s="157">
        <f>INDEX([1]Historical!$C$7:$C$1231,MATCH(B456,[1]Historical!$B$7:$B$1253,0))*IF(AH456="n/a",1.03,IF(AH456&lt;0,1.01,IF(AH456&gt;10,1.1,(1+AH456/100))))</f>
        <v>0.91958999999999991</v>
      </c>
      <c r="AS456" s="166">
        <f t="shared" si="136"/>
        <v>1.011549</v>
      </c>
      <c r="AT456" s="166">
        <f t="shared" si="137"/>
        <v>1.1127039000000001</v>
      </c>
      <c r="AU456" s="166">
        <f t="shared" si="137"/>
        <v>1.2239742900000001</v>
      </c>
      <c r="AV456" s="166">
        <f t="shared" si="137"/>
        <v>1.3463717190000002</v>
      </c>
      <c r="AW456" s="157">
        <f t="shared" si="138"/>
        <v>5.614188909000001</v>
      </c>
      <c r="AX456" s="173">
        <f t="shared" si="139"/>
        <v>12.811932699680515</v>
      </c>
      <c r="AY456" s="174">
        <v>0.89</v>
      </c>
      <c r="AZ456" s="169">
        <v>21.59</v>
      </c>
      <c r="BA456" s="169">
        <v>-9.15</v>
      </c>
      <c r="BB456" s="169">
        <v>11.32</v>
      </c>
      <c r="BC456" s="169">
        <v>7.5</v>
      </c>
      <c r="BE456" s="77">
        <v>2016</v>
      </c>
      <c r="BF456" s="77">
        <f t="shared" si="140"/>
        <v>1</v>
      </c>
      <c r="BG456" s="175">
        <v>1.2</v>
      </c>
      <c r="BH456" t="s">
        <v>939</v>
      </c>
      <c r="BI456" t="s">
        <v>940</v>
      </c>
      <c r="BJ456" s="112"/>
      <c r="BK456" s="112"/>
      <c r="BL456" s="112"/>
    </row>
    <row r="457" spans="1:64" ht="11.25" customHeight="1" x14ac:dyDescent="0.2">
      <c r="A457" s="204" t="s">
        <v>859</v>
      </c>
      <c r="B457" s="153" t="s">
        <v>860</v>
      </c>
      <c r="C457" s="154" t="s">
        <v>90</v>
      </c>
      <c r="D457" s="154" t="s">
        <v>969</v>
      </c>
      <c r="E457" s="155">
        <v>10</v>
      </c>
      <c r="F457" s="298">
        <v>500</v>
      </c>
      <c r="G457" s="298" t="s">
        <v>88</v>
      </c>
      <c r="H457" s="298" t="s">
        <v>88</v>
      </c>
      <c r="I457" s="156">
        <v>47.39</v>
      </c>
      <c r="J457" s="157">
        <f t="shared" si="126"/>
        <v>2.5321797847647183</v>
      </c>
      <c r="K457" s="158">
        <v>0.3</v>
      </c>
      <c r="L457" s="126">
        <v>4</v>
      </c>
      <c r="M457" s="82">
        <f t="shared" si="127"/>
        <v>1.2</v>
      </c>
      <c r="N457" s="159" t="s">
        <v>167</v>
      </c>
      <c r="O457" s="160">
        <v>0.28000000000000003</v>
      </c>
      <c r="P457" s="161">
        <v>44804</v>
      </c>
      <c r="Q457" s="161">
        <v>44819</v>
      </c>
      <c r="R457" s="82">
        <f t="shared" si="128"/>
        <v>7.1428571428571281</v>
      </c>
      <c r="S457" s="162">
        <f>IF(INDEX([1]Historical!$D$7:$D$1229,MATCH(B457,[1]Historical!$B$7:$B$1253,0))=0,"n/a",(INDEX([1]Historical!$C$7:$C$1231,MATCH(B457,[1]Historical!$B$7:$B$1253,0))/INDEX([1]Historical!$D$7:$D$1229,MATCH(B457,[1]Historical!$B$7:$B$1253,0))-1)*100)</f>
        <v>1.8518518518518601</v>
      </c>
      <c r="T457" s="162">
        <f>IF(INDEX([1]Historical!$F$7:$F$1222,MATCH(B457,[1]Historical!$B$7:$B$1253,0))=0,"n/a",((INDEX([1]Historical!$C$7:$C$1231,MATCH(B457,[1]Historical!$B$7:$B$1253,0))/INDEX([1]Historical!$F$7:$F$1222,MATCH(B457,[1]Historical!$B$7:$B$1253,0)))^(1/3)-1)*100)</f>
        <v>3.5744168651286268</v>
      </c>
      <c r="U457" s="162">
        <f>IF(INDEX([1]Historical!$H$7:$H$1222,MATCH(B457,[1]Historical!$B$7:$B$1253,0))=0,"n/a",((INDEX([1]Historical!$C$7:$C$1231,MATCH(B457,[1]Historical!$B$7:$B$1253,0))/INDEX([1]Historical!$H$7:$H$1222,MATCH(B457,[1]Historical!$B$7:$B$1253,0)))^(1/5)-1)*100)</f>
        <v>4.0950396969256841</v>
      </c>
      <c r="V457" s="162">
        <f>IF(INDEX([1]Historical!$N$7:$N$1222,MATCH(B457,[1]Historical!$B$7:$B$1253,0))=0,"n/a",((INDEX([1]Historical!$C$7:$C$1231,MATCH(B457,[1]Historical!$B$7:$B$1253,0))/INDEX([1]Historical!$N$7:$N$1222,MATCH(B457,[1]Historical!$B$7:$B$1253,0)))^(1/10)-1)*100)</f>
        <v>3.2357862679155636</v>
      </c>
      <c r="W457" s="163">
        <f t="shared" si="129"/>
        <v>1.2655470287175785</v>
      </c>
      <c r="X457" s="164">
        <f t="shared" si="130"/>
        <v>0.28241653082246099</v>
      </c>
      <c r="Y457" s="180"/>
      <c r="Z457" s="157">
        <f t="shared" si="131"/>
        <v>33.898305084745758</v>
      </c>
      <c r="AA457" s="166">
        <f t="shared" si="132"/>
        <v>13.387005649717514</v>
      </c>
      <c r="AB457" s="126">
        <v>12</v>
      </c>
      <c r="AC457" s="167">
        <v>3.54</v>
      </c>
      <c r="AD457" s="167">
        <v>2.63</v>
      </c>
      <c r="AE457" s="167">
        <v>5.29</v>
      </c>
      <c r="AF457" s="167">
        <v>1.68</v>
      </c>
      <c r="AG457" s="167">
        <v>12.6</v>
      </c>
      <c r="AH457" s="167">
        <v>49.3</v>
      </c>
      <c r="AI457" s="167">
        <v>2.8899999999999997</v>
      </c>
      <c r="AJ457" s="167">
        <v>14.499999999999998</v>
      </c>
      <c r="AK457" s="167">
        <v>5</v>
      </c>
      <c r="AL457" s="168">
        <v>1930</v>
      </c>
      <c r="AM457" s="169">
        <v>1</v>
      </c>
      <c r="AN457" s="167">
        <v>0.17</v>
      </c>
      <c r="AO457" s="170">
        <f t="shared" si="133"/>
        <v>-6.7597861680271114</v>
      </c>
      <c r="AP457" s="171">
        <f t="shared" si="134"/>
        <v>6.6272194816904024</v>
      </c>
      <c r="AQ457" s="172">
        <f t="shared" si="135"/>
        <v>-2.1847961054966003E-2</v>
      </c>
      <c r="AR457" s="157">
        <f>INDEX([1]Historical!$C$7:$C$1231,MATCH(B457,[1]Historical!$B$7:$B$1253,0))*IF(AH457="n/a",1.03,IF(AH457&lt;0,1.01,IF(AH457&gt;10,1.1,(1+AH457/100))))</f>
        <v>1.2100000000000002</v>
      </c>
      <c r="AS457" s="166">
        <f t="shared" si="136"/>
        <v>1.244969</v>
      </c>
      <c r="AT457" s="166">
        <f t="shared" si="137"/>
        <v>1.30721745</v>
      </c>
      <c r="AU457" s="166">
        <f t="shared" si="137"/>
        <v>1.3725783225000001</v>
      </c>
      <c r="AV457" s="166">
        <f t="shared" si="137"/>
        <v>1.4412072386250001</v>
      </c>
      <c r="AW457" s="157">
        <f t="shared" si="138"/>
        <v>6.5759720111250006</v>
      </c>
      <c r="AX457" s="173">
        <f t="shared" si="139"/>
        <v>13.876286159791096</v>
      </c>
      <c r="AY457" s="174">
        <v>0.57999999999999996</v>
      </c>
      <c r="AZ457" s="169">
        <v>37.04</v>
      </c>
      <c r="BA457" s="169">
        <v>1.5599999999999998</v>
      </c>
      <c r="BB457" s="169">
        <v>17.66</v>
      </c>
      <c r="BC457" s="169">
        <v>23.13</v>
      </c>
      <c r="BE457" s="77">
        <v>2013</v>
      </c>
      <c r="BF457" s="77">
        <f t="shared" si="140"/>
        <v>1</v>
      </c>
      <c r="BG457" s="175">
        <v>1.3</v>
      </c>
      <c r="BH457" t="s">
        <v>939</v>
      </c>
      <c r="BI457" t="s">
        <v>940</v>
      </c>
    </row>
    <row r="458" spans="1:64" ht="11.25" customHeight="1" x14ac:dyDescent="0.2">
      <c r="A458" s="176" t="s">
        <v>1534</v>
      </c>
      <c r="B458" s="153" t="s">
        <v>386</v>
      </c>
      <c r="C458" s="154" t="s">
        <v>109</v>
      </c>
      <c r="D458" s="154" t="s">
        <v>1028</v>
      </c>
      <c r="E458" s="155">
        <v>37</v>
      </c>
      <c r="F458" s="298">
        <v>74</v>
      </c>
      <c r="G458" s="298" t="s">
        <v>88</v>
      </c>
      <c r="H458" s="298" t="s">
        <v>88</v>
      </c>
      <c r="I458" s="167">
        <v>56.56</v>
      </c>
      <c r="J458" s="157">
        <f t="shared" si="126"/>
        <v>1.4674681753889673</v>
      </c>
      <c r="K458" s="158">
        <v>0.20749999999999999</v>
      </c>
      <c r="L458" s="126">
        <v>4</v>
      </c>
      <c r="M458" s="82">
        <f t="shared" si="127"/>
        <v>0.83</v>
      </c>
      <c r="N458" s="159" t="s">
        <v>167</v>
      </c>
      <c r="O458" s="246">
        <v>0.19750000000000001</v>
      </c>
      <c r="P458" s="161">
        <v>44708</v>
      </c>
      <c r="Q458" s="161">
        <v>44727</v>
      </c>
      <c r="R458" s="82">
        <f t="shared" si="128"/>
        <v>5.0632911392404969</v>
      </c>
      <c r="S458" s="162">
        <f>IF(INDEX([1]Historical!$D$7:$D$1229,MATCH(B458,[1]Historical!$B$7:$B$1253,0))=0,"n/a",(INDEX([1]Historical!$C$7:$C$1231,MATCH(B458,[1]Historical!$B$7:$B$1253,0))/INDEX([1]Historical!$D$7:$D$1229,MATCH(B458,[1]Historical!$B$7:$B$1253,0))-1)*100)</f>
        <v>2.2801302931596101</v>
      </c>
      <c r="T458" s="162">
        <f>IF(INDEX([1]Historical!$F$7:$F$1222,MATCH(B458,[1]Historical!$B$7:$B$1253,0))=0,"n/a",((INDEX([1]Historical!$C$7:$C$1231,MATCH(B458,[1]Historical!$B$7:$B$1253,0))/INDEX([1]Historical!$F$7:$F$1222,MATCH(B458,[1]Historical!$B$7:$B$1253,0)))^(1/3)-1)*100)</f>
        <v>5.9518571991103331</v>
      </c>
      <c r="U458" s="162">
        <f>IF(INDEX([1]Historical!$H$7:$H$1222,MATCH(B458,[1]Historical!$B$7:$B$1253,0))=0,"n/a",((INDEX([1]Historical!$C$7:$C$1231,MATCH(B458,[1]Historical!$B$7:$B$1253,0))/INDEX([1]Historical!$H$7:$H$1222,MATCH(B458,[1]Historical!$B$7:$B$1253,0)))^(1/5)-1)*100)</f>
        <v>18.507091923802864</v>
      </c>
      <c r="V458" s="162">
        <f>IF(INDEX([1]Historical!$N$7:$N$1222,MATCH(B458,[1]Historical!$B$7:$B$1253,0))=0,"n/a",((INDEX([1]Historical!$C$7:$C$1231,MATCH(B458,[1]Historical!$B$7:$B$1253,0))/INDEX([1]Historical!$N$7:$N$1222,MATCH(B458,[1]Historical!$B$7:$B$1253,0)))^(1/10)-1)*100)</f>
        <v>13.934456111221971</v>
      </c>
      <c r="W458" s="163">
        <f t="shared" si="129"/>
        <v>1.3281531604881491</v>
      </c>
      <c r="X458" s="164">
        <f t="shared" si="130"/>
        <v>0.25317499211768624</v>
      </c>
      <c r="Y458" s="180"/>
      <c r="Z458" s="157">
        <f t="shared" si="131"/>
        <v>7.3256840247131496</v>
      </c>
      <c r="AA458" s="166">
        <f t="shared" si="132"/>
        <v>4.9920564872021185</v>
      </c>
      <c r="AB458" s="126">
        <v>12</v>
      </c>
      <c r="AC458" s="167">
        <v>11.33</v>
      </c>
      <c r="AD458" s="167" t="s">
        <v>95</v>
      </c>
      <c r="AE458" s="167">
        <v>1.85</v>
      </c>
      <c r="AF458" s="167">
        <v>1.01</v>
      </c>
      <c r="AG458" s="167">
        <v>22.6</v>
      </c>
      <c r="AH458" s="167">
        <v>219.3</v>
      </c>
      <c r="AI458" s="167" t="s">
        <v>95</v>
      </c>
      <c r="AJ458" s="167">
        <v>73.099999999999994</v>
      </c>
      <c r="AK458" s="167" t="s">
        <v>95</v>
      </c>
      <c r="AL458" s="168">
        <v>401.94</v>
      </c>
      <c r="AM458" s="169">
        <v>3.5000000000000004</v>
      </c>
      <c r="AN458" s="167">
        <v>0.05</v>
      </c>
      <c r="AO458" s="170">
        <f t="shared" si="133"/>
        <v>14.982503611989712</v>
      </c>
      <c r="AP458" s="171">
        <f t="shared" si="134"/>
        <v>19.97456009919183</v>
      </c>
      <c r="AQ458" s="172">
        <f t="shared" si="135"/>
        <v>-52.662079789974634</v>
      </c>
      <c r="AR458" s="157">
        <f>INDEX([1]Historical!$C$7:$C$1231,MATCH(B458,[1]Historical!$B$7:$B$1253,0))*IF(AH458="n/a",1.03,IF(AH458&lt;0,1.01,IF(AH458&gt;10,1.1,(1+AH458/100))))</f>
        <v>0.86350000000000016</v>
      </c>
      <c r="AS458" s="166">
        <f t="shared" si="136"/>
        <v>0.88940500000000022</v>
      </c>
      <c r="AT458" s="166">
        <f t="shared" si="137"/>
        <v>0.91608715000000029</v>
      </c>
      <c r="AU458" s="166">
        <f t="shared" si="137"/>
        <v>0.9435697645000003</v>
      </c>
      <c r="AV458" s="166">
        <f t="shared" si="137"/>
        <v>0.9718768574350003</v>
      </c>
      <c r="AW458" s="157">
        <f t="shared" si="138"/>
        <v>4.5844387719350017</v>
      </c>
      <c r="AX458" s="173">
        <f t="shared" si="139"/>
        <v>8.1054433732938502</v>
      </c>
      <c r="AY458" s="174">
        <v>0.86</v>
      </c>
      <c r="AZ458" s="169">
        <v>99.72</v>
      </c>
      <c r="BA458" s="169">
        <v>-10.489999999999998</v>
      </c>
      <c r="BB458" s="169">
        <v>14.84</v>
      </c>
      <c r="BC458" s="169">
        <v>32.269999999999996</v>
      </c>
      <c r="BE458" s="77">
        <v>1987</v>
      </c>
      <c r="BF458" s="77">
        <f t="shared" si="140"/>
        <v>4</v>
      </c>
      <c r="BG458" s="175">
        <v>16</v>
      </c>
      <c r="BH458" t="s">
        <v>939</v>
      </c>
      <c r="BI458" t="s">
        <v>940</v>
      </c>
    </row>
    <row r="459" spans="1:64" ht="11.25" customHeight="1" x14ac:dyDescent="0.2">
      <c r="A459" s="176" t="s">
        <v>1535</v>
      </c>
      <c r="B459" s="153" t="s">
        <v>699</v>
      </c>
      <c r="C459" s="154" t="s">
        <v>90</v>
      </c>
      <c r="D459" s="154" t="s">
        <v>972</v>
      </c>
      <c r="E459" s="155">
        <v>11</v>
      </c>
      <c r="F459" s="298">
        <v>428</v>
      </c>
      <c r="G459" s="298" t="s">
        <v>88</v>
      </c>
      <c r="H459" s="298" t="s">
        <v>88</v>
      </c>
      <c r="I459" s="156">
        <v>62.24</v>
      </c>
      <c r="J459" s="157">
        <f t="shared" si="126"/>
        <v>1.2853470437017995</v>
      </c>
      <c r="K459" s="158">
        <v>0.2</v>
      </c>
      <c r="L459" s="126">
        <v>4</v>
      </c>
      <c r="M459" s="82">
        <f t="shared" si="127"/>
        <v>0.8</v>
      </c>
      <c r="N459" s="159" t="s">
        <v>628</v>
      </c>
      <c r="O459" s="160">
        <v>0.18</v>
      </c>
      <c r="P459" s="161">
        <v>44721</v>
      </c>
      <c r="Q459" s="161">
        <v>44736</v>
      </c>
      <c r="R459" s="82">
        <f t="shared" si="128"/>
        <v>11.111111111111121</v>
      </c>
      <c r="S459" s="162">
        <f>IF(INDEX([1]Historical!$D$7:$D$1229,MATCH(B459,[1]Historical!$B$7:$B$1253,0))=0,"n/a",(INDEX([1]Historical!$C$7:$C$1231,MATCH(B459,[1]Historical!$B$7:$B$1253,0))/INDEX([1]Historical!$D$7:$D$1229,MATCH(B459,[1]Historical!$B$7:$B$1253,0))-1)*100)</f>
        <v>8.7628865979381345</v>
      </c>
      <c r="T459" s="162">
        <f>IF(INDEX([1]Historical!$F$7:$F$1222,MATCH(B459,[1]Historical!$B$7:$B$1253,0))=0,"n/a",((INDEX([1]Historical!$C$7:$C$1231,MATCH(B459,[1]Historical!$B$7:$B$1253,0))/INDEX([1]Historical!$F$7:$F$1222,MATCH(B459,[1]Historical!$B$7:$B$1253,0)))^(1/3)-1)*100)</f>
        <v>7.4676728637580903</v>
      </c>
      <c r="U459" s="162">
        <f>IF(INDEX([1]Historical!$H$7:$H$1222,MATCH(B459,[1]Historical!$B$7:$B$1253,0))=0,"n/a",((INDEX([1]Historical!$C$7:$C$1231,MATCH(B459,[1]Historical!$B$7:$B$1253,0))/INDEX([1]Historical!$H$7:$H$1222,MATCH(B459,[1]Historical!$B$7:$B$1253,0)))^(1/5)-1)*100)</f>
        <v>11.763351577894699</v>
      </c>
      <c r="V459" s="162" t="str">
        <f>IF(INDEX([1]Historical!$N$7:$N$1222,MATCH(B459,[1]Historical!$B$7:$B$1253,0))=0,"n/a",((INDEX([1]Historical!$C$7:$C$1231,MATCH(B459,[1]Historical!$B$7:$B$1253,0))/INDEX([1]Historical!$N$7:$N$1222,MATCH(B459,[1]Historical!$B$7:$B$1253,0)))^(1/10)-1)*100)</f>
        <v>n/a</v>
      </c>
      <c r="W459" s="163" t="str">
        <f t="shared" si="129"/>
        <v>n/a</v>
      </c>
      <c r="X459" s="164">
        <f t="shared" si="130"/>
        <v>0.1909634996411477</v>
      </c>
      <c r="Y459" s="212"/>
      <c r="Z459" s="157">
        <f t="shared" si="131"/>
        <v>34.93449781659389</v>
      </c>
      <c r="AA459" s="166">
        <f t="shared" si="132"/>
        <v>27.179039301310045</v>
      </c>
      <c r="AB459" s="126">
        <v>12</v>
      </c>
      <c r="AC459" s="167">
        <v>2.29</v>
      </c>
      <c r="AD459" s="167">
        <v>3.84</v>
      </c>
      <c r="AE459" s="167">
        <v>4.88</v>
      </c>
      <c r="AF459" s="167">
        <v>5.25</v>
      </c>
      <c r="AG459" s="167">
        <v>19.100000000000001</v>
      </c>
      <c r="AH459" s="167">
        <v>26.1</v>
      </c>
      <c r="AI459" s="167">
        <v>4.9000000000000004</v>
      </c>
      <c r="AJ459" s="167">
        <v>61.6</v>
      </c>
      <c r="AK459" s="167">
        <v>7.1</v>
      </c>
      <c r="AL459" s="168">
        <v>29790</v>
      </c>
      <c r="AM459" s="169">
        <v>0.3</v>
      </c>
      <c r="AN459" s="167">
        <v>0.98</v>
      </c>
      <c r="AO459" s="170">
        <f t="shared" si="133"/>
        <v>-14.130340679713546</v>
      </c>
      <c r="AP459" s="171">
        <f t="shared" si="134"/>
        <v>13.048698621596499</v>
      </c>
      <c r="AQ459" s="172">
        <f t="shared" si="135"/>
        <v>151.82882751925649</v>
      </c>
      <c r="AR459" s="157">
        <f>INDEX([1]Historical!$C$7:$C$1231,MATCH(B459,[1]Historical!$B$7:$B$1253,0))*IF(AH459="n/a",1.03,IF(AH459&lt;0,1.01,IF(AH459&gt;10,1.1,(1+AH459/100))))</f>
        <v>0.77366666666666661</v>
      </c>
      <c r="AS459" s="166">
        <f t="shared" si="136"/>
        <v>0.81157633333333323</v>
      </c>
      <c r="AT459" s="166">
        <f t="shared" si="137"/>
        <v>0.86919825299999987</v>
      </c>
      <c r="AU459" s="166">
        <f t="shared" si="137"/>
        <v>0.93091132896299977</v>
      </c>
      <c r="AV459" s="166">
        <f t="shared" si="137"/>
        <v>0.99700603331937276</v>
      </c>
      <c r="AW459" s="157">
        <f t="shared" si="138"/>
        <v>4.3823586152823726</v>
      </c>
      <c r="AX459" s="173">
        <f t="shared" si="139"/>
        <v>7.0410646132428862</v>
      </c>
      <c r="AY459" s="174">
        <v>0.94</v>
      </c>
      <c r="AZ459" s="169">
        <v>33.08</v>
      </c>
      <c r="BA459" s="169">
        <v>-13.139999999999999</v>
      </c>
      <c r="BB459" s="169">
        <v>4.5699999999999994</v>
      </c>
      <c r="BC459" s="169">
        <v>9.5500000000000007</v>
      </c>
      <c r="BE459" s="77">
        <v>2012</v>
      </c>
      <c r="BF459" s="77">
        <f t="shared" si="140"/>
        <v>1</v>
      </c>
      <c r="BG459" s="175">
        <v>5.7</v>
      </c>
      <c r="BH459" t="s">
        <v>939</v>
      </c>
      <c r="BI459" t="s">
        <v>940</v>
      </c>
    </row>
    <row r="460" spans="1:64" ht="11.25" customHeight="1" x14ac:dyDescent="0.2">
      <c r="A460" s="112" t="s">
        <v>1536</v>
      </c>
      <c r="B460" s="153" t="s">
        <v>394</v>
      </c>
      <c r="C460" s="154" t="s">
        <v>94</v>
      </c>
      <c r="D460" s="154" t="s">
        <v>101</v>
      </c>
      <c r="E460" s="155">
        <v>59</v>
      </c>
      <c r="F460" s="298">
        <v>16</v>
      </c>
      <c r="G460" s="298" t="s">
        <v>30</v>
      </c>
      <c r="H460" s="298" t="s">
        <v>30</v>
      </c>
      <c r="I460" s="167">
        <v>225</v>
      </c>
      <c r="J460" s="157">
        <f t="shared" si="126"/>
        <v>1.1555555555555557</v>
      </c>
      <c r="K460" s="158">
        <v>0.65</v>
      </c>
      <c r="L460" s="126">
        <v>4</v>
      </c>
      <c r="M460" s="82">
        <f t="shared" si="127"/>
        <v>2.6</v>
      </c>
      <c r="N460" s="159" t="s">
        <v>266</v>
      </c>
      <c r="O460" s="160">
        <v>0.51</v>
      </c>
      <c r="P460" s="161">
        <v>44795</v>
      </c>
      <c r="Q460" s="161">
        <v>44810</v>
      </c>
      <c r="R460" s="82">
        <f t="shared" si="128"/>
        <v>27.450980392156865</v>
      </c>
      <c r="S460" s="162">
        <f>IF(INDEX([1]Historical!$D$7:$D$1229,MATCH(B460,[1]Historical!$B$7:$B$1253,0))=0,"n/a",(INDEX([1]Historical!$C$7:$C$1231,MATCH(B460,[1]Historical!$B$7:$B$1253,0))/INDEX([1]Historical!$D$7:$D$1229,MATCH(B460,[1]Historical!$B$7:$B$1253,0))-1)*100)</f>
        <v>9.8039215686274375</v>
      </c>
      <c r="T460" s="162">
        <f>IF(INDEX([1]Historical!$F$7:$F$1222,MATCH(B460,[1]Historical!$B$7:$B$1253,0))=0,"n/a",((INDEX([1]Historical!$C$7:$C$1231,MATCH(B460,[1]Historical!$B$7:$B$1253,0))/INDEX([1]Historical!$F$7:$F$1222,MATCH(B460,[1]Historical!$B$7:$B$1253,0)))^(1/3)-1)*100)</f>
        <v>10.356967055244827</v>
      </c>
      <c r="U460" s="162">
        <f>IF(INDEX([1]Historical!$H$7:$H$1222,MATCH(B460,[1]Historical!$B$7:$B$1253,0))=0,"n/a",((INDEX([1]Historical!$C$7:$C$1231,MATCH(B460,[1]Historical!$B$7:$B$1253,0))/INDEX([1]Historical!$H$7:$H$1222,MATCH(B460,[1]Historical!$B$7:$B$1253,0)))^(1/5)-1)*100)</f>
        <v>10.494795379650302</v>
      </c>
      <c r="V460" s="162">
        <f>IF(INDEX([1]Historical!$N$7:$N$1222,MATCH(B460,[1]Historical!$B$7:$B$1253,0))=0,"n/a",((INDEX([1]Historical!$C$7:$C$1231,MATCH(B460,[1]Historical!$B$7:$B$1253,0))/INDEX([1]Historical!$N$7:$N$1222,MATCH(B460,[1]Historical!$B$7:$B$1253,0)))^(1/10)-1)*100)</f>
        <v>14.336701876053493</v>
      </c>
      <c r="W460" s="163">
        <f t="shared" si="129"/>
        <v>0.7320229903908162</v>
      </c>
      <c r="X460" s="164">
        <f t="shared" si="130"/>
        <v>1.0091149403509905</v>
      </c>
      <c r="Y460" s="212"/>
      <c r="Z460" s="157">
        <f t="shared" si="131"/>
        <v>31.515151515151519</v>
      </c>
      <c r="AA460" s="166">
        <f t="shared" si="132"/>
        <v>27.272727272727273</v>
      </c>
      <c r="AB460" s="126">
        <v>10</v>
      </c>
      <c r="AC460" s="167">
        <v>8.25</v>
      </c>
      <c r="AD460" s="167">
        <v>2.11</v>
      </c>
      <c r="AE460" s="167">
        <v>5.05</v>
      </c>
      <c r="AF460" s="167">
        <v>5.9</v>
      </c>
      <c r="AG460" s="167">
        <v>22</v>
      </c>
      <c r="AH460" s="167">
        <v>81.3</v>
      </c>
      <c r="AI460" s="167">
        <v>5.67</v>
      </c>
      <c r="AJ460" s="167">
        <v>10.4</v>
      </c>
      <c r="AK460" s="167">
        <v>13</v>
      </c>
      <c r="AL460" s="168">
        <v>12650</v>
      </c>
      <c r="AM460" s="169">
        <v>0.1</v>
      </c>
      <c r="AN460" s="167">
        <v>0.37</v>
      </c>
      <c r="AO460" s="170">
        <f t="shared" si="133"/>
        <v>-15.622376337521416</v>
      </c>
      <c r="AP460" s="171">
        <f t="shared" si="134"/>
        <v>11.650350935205857</v>
      </c>
      <c r="AQ460" s="172">
        <f t="shared" si="135"/>
        <v>167.42316936860863</v>
      </c>
      <c r="AR460" s="157">
        <f>INDEX([1]Historical!$C$7:$C$1231,MATCH(B460,[1]Historical!$B$7:$B$1253,0))*IF(AH460="n/a",1.03,IF(AH460&lt;0,1.01,IF(AH460&gt;10,1.1,(1+AH460/100))))</f>
        <v>1.8480000000000001</v>
      </c>
      <c r="AS460" s="166">
        <f t="shared" si="136"/>
        <v>1.9527816</v>
      </c>
      <c r="AT460" s="166">
        <f t="shared" si="137"/>
        <v>2.1480597600000002</v>
      </c>
      <c r="AU460" s="166">
        <f t="shared" si="137"/>
        <v>2.3628657360000003</v>
      </c>
      <c r="AV460" s="166">
        <f t="shared" si="137"/>
        <v>2.5991523096000004</v>
      </c>
      <c r="AW460" s="157">
        <f t="shared" si="138"/>
        <v>10.910859405600002</v>
      </c>
      <c r="AX460" s="173">
        <f t="shared" si="139"/>
        <v>4.8492708469333339</v>
      </c>
      <c r="AY460" s="174">
        <v>0.93</v>
      </c>
      <c r="AZ460" s="169">
        <v>15.45</v>
      </c>
      <c r="BA460" s="169">
        <v>-17.36</v>
      </c>
      <c r="BB460" s="169">
        <v>0.98</v>
      </c>
      <c r="BC460" s="169">
        <v>1.7399999999999998</v>
      </c>
      <c r="BE460" s="77">
        <v>1964</v>
      </c>
      <c r="BF460" s="77">
        <f t="shared" si="140"/>
        <v>7</v>
      </c>
      <c r="BG460" s="175">
        <v>12.7</v>
      </c>
      <c r="BH460" t="s">
        <v>939</v>
      </c>
      <c r="BI460" t="s">
        <v>940</v>
      </c>
    </row>
    <row r="461" spans="1:64" ht="11.25" customHeight="1" x14ac:dyDescent="0.2">
      <c r="A461" s="176" t="s">
        <v>1537</v>
      </c>
      <c r="B461" s="153" t="s">
        <v>391</v>
      </c>
      <c r="C461" s="154" t="s">
        <v>117</v>
      </c>
      <c r="D461" s="154" t="s">
        <v>957</v>
      </c>
      <c r="E461" s="155">
        <v>28</v>
      </c>
      <c r="F461" s="298">
        <v>122</v>
      </c>
      <c r="G461" s="298" t="s">
        <v>30</v>
      </c>
      <c r="H461" s="298" t="s">
        <v>30</v>
      </c>
      <c r="I461" s="167">
        <v>77.5</v>
      </c>
      <c r="J461" s="157">
        <f t="shared" si="126"/>
        <v>2.193548387096774</v>
      </c>
      <c r="K461" s="209">
        <v>0.42499999999999999</v>
      </c>
      <c r="L461" s="126">
        <v>4</v>
      </c>
      <c r="M461" s="82">
        <f t="shared" si="127"/>
        <v>1.7</v>
      </c>
      <c r="N461" s="159" t="s">
        <v>167</v>
      </c>
      <c r="O461" s="210">
        <v>0.38500000000000001</v>
      </c>
      <c r="P461" s="161">
        <v>44620</v>
      </c>
      <c r="Q461" s="161">
        <v>44635</v>
      </c>
      <c r="R461" s="82">
        <f t="shared" si="128"/>
        <v>10.389610389610384</v>
      </c>
      <c r="S461" s="162">
        <f>IF(INDEX([1]Historical!$D$7:$D$1229,MATCH(B461,[1]Historical!$B$7:$B$1253,0))=0,"n/a",(INDEX([1]Historical!$C$7:$C$1231,MATCH(B461,[1]Historical!$B$7:$B$1253,0))/INDEX([1]Historical!$D$7:$D$1229,MATCH(B461,[1]Historical!$B$7:$B$1253,0))-1)*100)</f>
        <v>10.000000000000009</v>
      </c>
      <c r="T461" s="162">
        <f>IF(INDEX([1]Historical!$F$7:$F$1222,MATCH(B461,[1]Historical!$B$7:$B$1253,0))=0,"n/a",((INDEX([1]Historical!$C$7:$C$1231,MATCH(B461,[1]Historical!$B$7:$B$1253,0))/INDEX([1]Historical!$F$7:$F$1222,MATCH(B461,[1]Historical!$B$7:$B$1253,0)))^(1/3)-1)*100)</f>
        <v>11.531937666417269</v>
      </c>
      <c r="U461" s="162">
        <f>IF(INDEX([1]Historical!$H$7:$H$1222,MATCH(B461,[1]Historical!$B$7:$B$1253,0))=0,"n/a",((INDEX([1]Historical!$C$7:$C$1231,MATCH(B461,[1]Historical!$B$7:$B$1253,0))/INDEX([1]Historical!$H$7:$H$1222,MATCH(B461,[1]Historical!$B$7:$B$1253,0)))^(1/5)-1)*100)</f>
        <v>12.098627081793545</v>
      </c>
      <c r="V461" s="162">
        <f>IF(INDEX([1]Historical!$N$7:$N$1222,MATCH(B461,[1]Historical!$B$7:$B$1253,0))=0,"n/a",((INDEX([1]Historical!$C$7:$C$1231,MATCH(B461,[1]Historical!$B$7:$B$1253,0))/INDEX([1]Historical!$N$7:$N$1222,MATCH(B461,[1]Historical!$B$7:$B$1253,0)))^(1/10)-1)*100)</f>
        <v>10.8449222600272</v>
      </c>
      <c r="W461" s="163">
        <f t="shared" si="129"/>
        <v>1.1156029330322927</v>
      </c>
      <c r="X461" s="164">
        <f t="shared" si="130"/>
        <v>4.0328756939311816</v>
      </c>
      <c r="Y461" s="153"/>
      <c r="Z461" s="157">
        <f t="shared" si="131"/>
        <v>129.7709923664122</v>
      </c>
      <c r="AA461" s="166">
        <f t="shared" si="132"/>
        <v>59.160305343511446</v>
      </c>
      <c r="AB461" s="126">
        <v>12</v>
      </c>
      <c r="AC461" s="167">
        <v>1.31</v>
      </c>
      <c r="AD461" s="167">
        <v>6.47</v>
      </c>
      <c r="AE461" s="167">
        <v>8.48</v>
      </c>
      <c r="AF461" s="167">
        <v>4.26</v>
      </c>
      <c r="AG461" s="167">
        <v>7.1</v>
      </c>
      <c r="AH461" s="167">
        <v>18.7</v>
      </c>
      <c r="AI461" s="167">
        <v>7.55</v>
      </c>
      <c r="AJ461" s="167">
        <v>3</v>
      </c>
      <c r="AK461" s="167">
        <v>9.36</v>
      </c>
      <c r="AL461" s="168">
        <v>148280</v>
      </c>
      <c r="AM461" s="169">
        <v>0.27999999999999997</v>
      </c>
      <c r="AN461" s="167">
        <v>1.74</v>
      </c>
      <c r="AO461" s="170">
        <f t="shared" si="133"/>
        <v>-44.868129874621125</v>
      </c>
      <c r="AP461" s="171">
        <f t="shared" si="134"/>
        <v>14.292175468890319</v>
      </c>
      <c r="AQ461" s="172">
        <f t="shared" si="135"/>
        <v>234.67921673902657</v>
      </c>
      <c r="AR461" s="157">
        <f>INDEX([1]Historical!$C$7:$C$1231,MATCH(B461,[1]Historical!$B$7:$B$1253,0))*IF(AH461="n/a",1.03,IF(AH461&lt;0,1.01,IF(AH461&gt;10,1.1,(1+AH461/100))))</f>
        <v>1.6940000000000002</v>
      </c>
      <c r="AS461" s="166">
        <f t="shared" si="136"/>
        <v>1.8218970000000001</v>
      </c>
      <c r="AT461" s="166">
        <f t="shared" si="137"/>
        <v>1.9924265591999999</v>
      </c>
      <c r="AU461" s="166">
        <f t="shared" si="137"/>
        <v>2.1789176851411196</v>
      </c>
      <c r="AV461" s="166">
        <f t="shared" si="137"/>
        <v>2.3828643804703282</v>
      </c>
      <c r="AW461" s="157">
        <f t="shared" si="138"/>
        <v>10.070105624811449</v>
      </c>
      <c r="AX461" s="173">
        <f t="shared" si="139"/>
        <v>12.993684677176063</v>
      </c>
      <c r="AY461" s="174">
        <v>0.47</v>
      </c>
      <c r="AZ461" s="169">
        <v>15.290000000000001</v>
      </c>
      <c r="BA461" s="169">
        <v>-17.32</v>
      </c>
      <c r="BB461" s="169">
        <v>-5.4899999999999993</v>
      </c>
      <c r="BC461" s="169">
        <v>-2.73</v>
      </c>
      <c r="BE461" s="77">
        <v>1995</v>
      </c>
      <c r="BF461" s="77">
        <f t="shared" si="140"/>
        <v>3</v>
      </c>
      <c r="BG461" s="175">
        <v>1.7999999999999998</v>
      </c>
      <c r="BH461" t="s">
        <v>939</v>
      </c>
      <c r="BI461" t="s">
        <v>940</v>
      </c>
    </row>
    <row r="462" spans="1:64" ht="11.25" customHeight="1" x14ac:dyDescent="0.2">
      <c r="A462" s="176" t="s">
        <v>1538</v>
      </c>
      <c r="B462" s="153" t="s">
        <v>861</v>
      </c>
      <c r="C462" s="154" t="s">
        <v>117</v>
      </c>
      <c r="D462" s="154" t="s">
        <v>958</v>
      </c>
      <c r="E462" s="155">
        <v>9</v>
      </c>
      <c r="F462" s="298">
        <v>551</v>
      </c>
      <c r="G462" s="298" t="s">
        <v>88</v>
      </c>
      <c r="H462" s="298" t="s">
        <v>88</v>
      </c>
      <c r="I462" s="156">
        <v>74.069999999999993</v>
      </c>
      <c r="J462" s="157">
        <f t="shared" si="126"/>
        <v>4.2527339003645208</v>
      </c>
      <c r="K462" s="158">
        <v>0.78749999999999998</v>
      </c>
      <c r="L462" s="126">
        <v>4</v>
      </c>
      <c r="M462" s="82">
        <f t="shared" si="127"/>
        <v>3.15</v>
      </c>
      <c r="N462" s="159" t="s">
        <v>89</v>
      </c>
      <c r="O462" s="160">
        <v>0.76249999999999996</v>
      </c>
      <c r="P462" s="161">
        <v>44868</v>
      </c>
      <c r="Q462" s="161">
        <v>44879</v>
      </c>
      <c r="R462" s="82">
        <f t="shared" si="128"/>
        <v>3.2786885245901667</v>
      </c>
      <c r="S462" s="162">
        <f>IF(INDEX([1]Historical!$D$7:$D$1229,MATCH(B462,[1]Historical!$B$7:$B$1253,0))=0,"n/a",(INDEX([1]Historical!$C$7:$C$1231,MATCH(B462,[1]Historical!$B$7:$B$1253,0))/INDEX([1]Historical!$D$7:$D$1229,MATCH(B462,[1]Historical!$B$7:$B$1253,0))-1)*100)</f>
        <v>14.917127071823199</v>
      </c>
      <c r="T462" s="162">
        <f>IF(INDEX([1]Historical!$F$7:$F$1222,MATCH(B462,[1]Historical!$B$7:$B$1253,0))=0,"n/a",((INDEX([1]Historical!$C$7:$C$1231,MATCH(B462,[1]Historical!$B$7:$B$1253,0))/INDEX([1]Historical!$F$7:$F$1222,MATCH(B462,[1]Historical!$B$7:$B$1253,0)))^(1/3)-1)*100)</f>
        <v>14.933753280317564</v>
      </c>
      <c r="U462" s="162">
        <f>IF(INDEX([1]Historical!$H$7:$H$1222,MATCH(B462,[1]Historical!$B$7:$B$1253,0))=0,"n/a",((INDEX([1]Historical!$C$7:$C$1231,MATCH(B462,[1]Historical!$B$7:$B$1253,0))/INDEX([1]Historical!$H$7:$H$1222,MATCH(B462,[1]Historical!$B$7:$B$1253,0)))^(1/5)-1)*100)</f>
        <v>14.914067255405051</v>
      </c>
      <c r="V462" s="162" t="str">
        <f>IF(INDEX([1]Historical!$N$7:$N$1222,MATCH(B462,[1]Historical!$B$7:$B$1253,0))=0,"n/a",((INDEX([1]Historical!$C$7:$C$1231,MATCH(B462,[1]Historical!$B$7:$B$1253,0))/INDEX([1]Historical!$N$7:$N$1222,MATCH(B462,[1]Historical!$B$7:$B$1253,0)))^(1/10)-1)*100)</f>
        <v>n/a</v>
      </c>
      <c r="W462" s="163" t="str">
        <f t="shared" si="129"/>
        <v>n/a</v>
      </c>
      <c r="X462" s="164" t="str">
        <f t="shared" si="130"/>
        <v>n/a</v>
      </c>
      <c r="Y462" s="178"/>
      <c r="Z462" s="157">
        <f t="shared" si="131"/>
        <v>70.786516853932582</v>
      </c>
      <c r="AA462" s="166">
        <f t="shared" si="132"/>
        <v>16.644943820224718</v>
      </c>
      <c r="AB462" s="126">
        <v>12</v>
      </c>
      <c r="AC462" s="167">
        <v>4.45</v>
      </c>
      <c r="AD462" s="167">
        <v>1.68</v>
      </c>
      <c r="AE462" s="167">
        <v>5.53</v>
      </c>
      <c r="AF462" s="167">
        <v>1.95</v>
      </c>
      <c r="AG462" s="167">
        <v>12.8</v>
      </c>
      <c r="AH462" s="179">
        <v>320.10000000000002</v>
      </c>
      <c r="AI462" s="179">
        <v>-38.53</v>
      </c>
      <c r="AJ462" s="167">
        <v>-1.0999999999999999</v>
      </c>
      <c r="AK462" s="167">
        <v>10</v>
      </c>
      <c r="AL462" s="168">
        <v>6230</v>
      </c>
      <c r="AM462" s="169">
        <v>1.1400000000000001</v>
      </c>
      <c r="AN462" s="167">
        <v>1.64</v>
      </c>
      <c r="AO462" s="170">
        <f t="shared" si="133"/>
        <v>2.5218573355448548</v>
      </c>
      <c r="AP462" s="171">
        <f t="shared" si="134"/>
        <v>19.166801155769573</v>
      </c>
      <c r="AQ462" s="172">
        <f t="shared" si="135"/>
        <v>20.106694141201341</v>
      </c>
      <c r="AR462" s="157">
        <f>INDEX([1]Historical!$C$7:$C$1231,MATCH(B462,[1]Historical!$B$7:$B$1253,0))*IF(AH462="n/a",1.03,IF(AH462&lt;0,1.01,IF(AH462&gt;10,1.1,(1+AH462/100))))</f>
        <v>2.8600000000000003</v>
      </c>
      <c r="AS462" s="166">
        <f t="shared" si="136"/>
        <v>2.8886000000000003</v>
      </c>
      <c r="AT462" s="166">
        <f t="shared" si="137"/>
        <v>3.1774600000000004</v>
      </c>
      <c r="AU462" s="166">
        <f t="shared" si="137"/>
        <v>3.4952060000000009</v>
      </c>
      <c r="AV462" s="166">
        <f t="shared" si="137"/>
        <v>3.8447266000000013</v>
      </c>
      <c r="AW462" s="157">
        <f t="shared" si="138"/>
        <v>16.265992600000004</v>
      </c>
      <c r="AX462" s="173">
        <f t="shared" si="139"/>
        <v>21.960297826380458</v>
      </c>
      <c r="AY462" s="174">
        <v>0.88</v>
      </c>
      <c r="AZ462" s="169">
        <v>20.810000000000002</v>
      </c>
      <c r="BA462" s="169">
        <v>-16.59</v>
      </c>
      <c r="BB462" s="169">
        <v>-4.68</v>
      </c>
      <c r="BC462" s="169">
        <v>-2.23</v>
      </c>
      <c r="BE462" s="77">
        <v>2014</v>
      </c>
      <c r="BF462" s="77">
        <f t="shared" si="140"/>
        <v>1</v>
      </c>
      <c r="BG462" s="175">
        <v>2.1</v>
      </c>
      <c r="BH462" t="s">
        <v>939</v>
      </c>
      <c r="BI462" t="s">
        <v>940</v>
      </c>
      <c r="BJ462" s="112"/>
      <c r="BK462" s="112"/>
      <c r="BL462" s="112"/>
    </row>
    <row r="463" spans="1:64" ht="11.25" customHeight="1" x14ac:dyDescent="0.2">
      <c r="A463" s="176" t="s">
        <v>1539</v>
      </c>
      <c r="B463" s="153" t="s">
        <v>390</v>
      </c>
      <c r="C463" s="154" t="s">
        <v>96</v>
      </c>
      <c r="D463" s="154" t="s">
        <v>911</v>
      </c>
      <c r="E463" s="155">
        <v>16</v>
      </c>
      <c r="F463" s="298">
        <v>239</v>
      </c>
      <c r="G463" s="298" t="s">
        <v>88</v>
      </c>
      <c r="H463" s="298" t="s">
        <v>88</v>
      </c>
      <c r="I463" s="156">
        <v>304.33999999999997</v>
      </c>
      <c r="J463" s="157">
        <f t="shared" si="126"/>
        <v>2.7600709732535984</v>
      </c>
      <c r="K463" s="158">
        <v>2.1</v>
      </c>
      <c r="L463" s="126">
        <v>4</v>
      </c>
      <c r="M463" s="82">
        <f t="shared" si="127"/>
        <v>8.4</v>
      </c>
      <c r="N463" s="159" t="s">
        <v>99</v>
      </c>
      <c r="O463" s="160">
        <v>1.9</v>
      </c>
      <c r="P463" s="182">
        <v>44453</v>
      </c>
      <c r="Q463" s="182">
        <v>44470</v>
      </c>
      <c r="R463" s="82">
        <f t="shared" si="128"/>
        <v>10.526315789473696</v>
      </c>
      <c r="S463" s="162">
        <f>IF(INDEX([1]Historical!$D$7:$D$1229,MATCH(B463,[1]Historical!$B$7:$B$1253,0))=0,"n/a",(INDEX([1]Historical!$C$7:$C$1231,MATCH(B463,[1]Historical!$B$7:$B$1253,0))/INDEX([1]Historical!$D$7:$D$1229,MATCH(B463,[1]Historical!$B$7:$B$1253,0))-1)*100)</f>
        <v>2.6315789473684292</v>
      </c>
      <c r="T463" s="162">
        <f>IF(INDEX([1]Historical!$F$7:$F$1222,MATCH(B463,[1]Historical!$B$7:$B$1253,0))=0,"n/a",((INDEX([1]Historical!$C$7:$C$1231,MATCH(B463,[1]Historical!$B$7:$B$1253,0))/INDEX([1]Historical!$F$7:$F$1222,MATCH(B463,[1]Historical!$B$7:$B$1253,0)))^(1/3)-1)*100)</f>
        <v>3.6729653706913057</v>
      </c>
      <c r="U463" s="162">
        <f>IF(INDEX([1]Historical!$H$7:$H$1222,MATCH(B463,[1]Historical!$B$7:$B$1253,0))=0,"n/a",((INDEX([1]Historical!$C$7:$C$1231,MATCH(B463,[1]Historical!$B$7:$B$1253,0))/INDEX([1]Historical!$H$7:$H$1222,MATCH(B463,[1]Historical!$B$7:$B$1253,0)))^(1/5)-1)*100)</f>
        <v>4.0358274630921898</v>
      </c>
      <c r="V463" s="162">
        <f>IF(INDEX([1]Historical!$N$7:$N$1222,MATCH(B463,[1]Historical!$B$7:$B$1253,0))=0,"n/a",((INDEX([1]Historical!$C$7:$C$1231,MATCH(B463,[1]Historical!$B$7:$B$1253,0))/INDEX([1]Historical!$N$7:$N$1222,MATCH(B463,[1]Historical!$B$7:$B$1253,0)))^(1/10)-1)*100)</f>
        <v>14.130869721941398</v>
      </c>
      <c r="W463" s="163">
        <f t="shared" si="129"/>
        <v>0.2856036141091618</v>
      </c>
      <c r="X463" s="164" t="str">
        <f t="shared" si="130"/>
        <v>n/a</v>
      </c>
      <c r="Y463" s="180"/>
      <c r="Z463" s="157">
        <f t="shared" si="131"/>
        <v>41.461006910167818</v>
      </c>
      <c r="AA463" s="166">
        <f t="shared" si="132"/>
        <v>15.021717670286275</v>
      </c>
      <c r="AB463" s="126">
        <v>12</v>
      </c>
      <c r="AC463" s="167">
        <v>20.260000000000002</v>
      </c>
      <c r="AD463" s="167">
        <v>1.94</v>
      </c>
      <c r="AE463" s="167">
        <v>1.1000000000000001</v>
      </c>
      <c r="AF463" s="167">
        <v>4.53</v>
      </c>
      <c r="AG463" s="167">
        <v>28.299999999999997</v>
      </c>
      <c r="AH463" s="167">
        <v>-28.199999999999996</v>
      </c>
      <c r="AI463" s="167" t="s">
        <v>95</v>
      </c>
      <c r="AJ463" s="167">
        <v>-2.9000000000000004</v>
      </c>
      <c r="AK463" s="167">
        <v>7.7</v>
      </c>
      <c r="AL463" s="168">
        <v>2930</v>
      </c>
      <c r="AM463" s="169">
        <v>0.1</v>
      </c>
      <c r="AN463" s="167">
        <v>1.51</v>
      </c>
      <c r="AO463" s="170">
        <f t="shared" si="133"/>
        <v>-8.2258192339404879</v>
      </c>
      <c r="AP463" s="171">
        <f t="shared" si="134"/>
        <v>6.7958984363457882</v>
      </c>
      <c r="AQ463" s="172">
        <f t="shared" si="135"/>
        <v>73.907230756831126</v>
      </c>
      <c r="AR463" s="157">
        <f>INDEX([1]Historical!$C$7:$C$1231,MATCH(B463,[1]Historical!$B$7:$B$1253,0))*IF(AH463="n/a",1.03,IF(AH463&lt;0,1.01,IF(AH463&gt;10,1.1,(1+AH463/100))))</f>
        <v>7.8780000000000001</v>
      </c>
      <c r="AS463" s="166">
        <f t="shared" si="136"/>
        <v>8.1143400000000003</v>
      </c>
      <c r="AT463" s="166">
        <f t="shared" si="137"/>
        <v>8.7391441800000003</v>
      </c>
      <c r="AU463" s="166">
        <f t="shared" si="137"/>
        <v>9.4120582818600003</v>
      </c>
      <c r="AV463" s="166">
        <f t="shared" si="137"/>
        <v>10.136786769563219</v>
      </c>
      <c r="AW463" s="157">
        <f t="shared" si="138"/>
        <v>44.280329231423224</v>
      </c>
      <c r="AX463" s="173">
        <f t="shared" si="139"/>
        <v>14.549625166400482</v>
      </c>
      <c r="AY463" s="174">
        <v>0.32</v>
      </c>
      <c r="AZ463" s="169">
        <v>8.58</v>
      </c>
      <c r="BA463" s="169">
        <v>-15.64</v>
      </c>
      <c r="BB463" s="169">
        <v>1.72</v>
      </c>
      <c r="BC463" s="169">
        <v>-3.18</v>
      </c>
      <c r="BE463" s="77">
        <v>2006</v>
      </c>
      <c r="BF463" s="77">
        <f t="shared" si="140"/>
        <v>2</v>
      </c>
      <c r="BG463" s="175">
        <v>8.6</v>
      </c>
      <c r="BH463" t="s">
        <v>939</v>
      </c>
      <c r="BI463" t="s">
        <v>940</v>
      </c>
    </row>
    <row r="464" spans="1:64" ht="11.25" customHeight="1" x14ac:dyDescent="0.2">
      <c r="A464" s="176" t="s">
        <v>1540</v>
      </c>
      <c r="B464" s="153" t="s">
        <v>823</v>
      </c>
      <c r="C464" s="154" t="s">
        <v>90</v>
      </c>
      <c r="D464" s="154" t="s">
        <v>959</v>
      </c>
      <c r="E464" s="155">
        <v>9</v>
      </c>
      <c r="F464" s="298">
        <v>509</v>
      </c>
      <c r="G464" s="298" t="s">
        <v>88</v>
      </c>
      <c r="H464" s="298" t="s">
        <v>88</v>
      </c>
      <c r="I464" s="156">
        <v>16.04</v>
      </c>
      <c r="J464" s="157">
        <f t="shared" si="126"/>
        <v>3.2418952618453867</v>
      </c>
      <c r="K464" s="158">
        <v>0.13</v>
      </c>
      <c r="L464" s="126">
        <v>4</v>
      </c>
      <c r="M464" s="82">
        <f t="shared" si="127"/>
        <v>0.52</v>
      </c>
      <c r="N464" s="159" t="s">
        <v>334</v>
      </c>
      <c r="O464" s="160">
        <v>0.11</v>
      </c>
      <c r="P464" s="182">
        <v>44327</v>
      </c>
      <c r="Q464" s="182">
        <v>44342</v>
      </c>
      <c r="R464" s="82">
        <f t="shared" si="128"/>
        <v>18.181818181818183</v>
      </c>
      <c r="S464" s="162">
        <f>IF(INDEX([1]Historical!$D$7:$D$1229,MATCH(B464,[1]Historical!$B$7:$B$1253,0))=0,"n/a",(INDEX([1]Historical!$C$7:$C$1231,MATCH(B464,[1]Historical!$B$7:$B$1253,0))/INDEX([1]Historical!$D$7:$D$1229,MATCH(B464,[1]Historical!$B$7:$B$1253,0))-1)*100)</f>
        <v>13.636363636363647</v>
      </c>
      <c r="T464" s="162">
        <f>IF(INDEX([1]Historical!$F$7:$F$1222,MATCH(B464,[1]Historical!$B$7:$B$1253,0))=0,"n/a",((INDEX([1]Historical!$C$7:$C$1231,MATCH(B464,[1]Historical!$B$7:$B$1253,0))/INDEX([1]Historical!$F$7:$F$1222,MATCH(B464,[1]Historical!$B$7:$B$1253,0)))^(1/3)-1)*100)</f>
        <v>7.7217345015941907</v>
      </c>
      <c r="U464" s="162">
        <f>IF(INDEX([1]Historical!$H$7:$H$1222,MATCH(B464,[1]Historical!$B$7:$B$1253,0))=0,"n/a",((INDEX([1]Historical!$C$7:$C$1231,MATCH(B464,[1]Historical!$B$7:$B$1253,0))/INDEX([1]Historical!$H$7:$H$1222,MATCH(B464,[1]Historical!$B$7:$B$1253,0)))^(1/5)-1)*100)</f>
        <v>10.032672693604683</v>
      </c>
      <c r="V464" s="162">
        <f>IF(INDEX([1]Historical!$N$7:$N$1222,MATCH(B464,[1]Historical!$B$7:$B$1253,0))=0,"n/a",((INDEX([1]Historical!$C$7:$C$1231,MATCH(B464,[1]Historical!$B$7:$B$1253,0))/INDEX([1]Historical!$N$7:$N$1222,MATCH(B464,[1]Historical!$B$7:$B$1253,0)))^(1/10)-1)*100)</f>
        <v>11.792486434633975</v>
      </c>
      <c r="W464" s="163">
        <f t="shared" si="129"/>
        <v>0.85076822002009667</v>
      </c>
      <c r="X464" s="164">
        <f t="shared" si="130"/>
        <v>0.48939866798071624</v>
      </c>
      <c r="Y464" s="180"/>
      <c r="Z464" s="157">
        <f t="shared" si="131"/>
        <v>39.694656488549619</v>
      </c>
      <c r="AA464" s="166">
        <f t="shared" si="132"/>
        <v>12.244274809160304</v>
      </c>
      <c r="AB464" s="126">
        <v>12</v>
      </c>
      <c r="AC464" s="167">
        <v>1.31</v>
      </c>
      <c r="AD464" s="167">
        <v>1.52</v>
      </c>
      <c r="AE464" s="167">
        <v>4.49</v>
      </c>
      <c r="AF464" s="167">
        <v>1.04</v>
      </c>
      <c r="AG464" s="167">
        <v>8.5</v>
      </c>
      <c r="AH464" s="167">
        <v>91.100000000000009</v>
      </c>
      <c r="AI464" s="167">
        <v>0.53</v>
      </c>
      <c r="AJ464" s="167">
        <v>20.5</v>
      </c>
      <c r="AK464" s="167">
        <v>8</v>
      </c>
      <c r="AL464" s="168">
        <v>753.19</v>
      </c>
      <c r="AM464" s="169">
        <v>0.4</v>
      </c>
      <c r="AN464" s="167">
        <v>0.54</v>
      </c>
      <c r="AO464" s="170">
        <f t="shared" si="133"/>
        <v>1.0302931462897664</v>
      </c>
      <c r="AP464" s="171">
        <f t="shared" si="134"/>
        <v>13.27456795545007</v>
      </c>
      <c r="AQ464" s="172">
        <f t="shared" si="135"/>
        <v>-24.769847057249361</v>
      </c>
      <c r="AR464" s="157">
        <f>INDEX([1]Historical!$C$7:$C$1231,MATCH(B464,[1]Historical!$B$7:$B$1253,0))*IF(AH464="n/a",1.03,IF(AH464&lt;0,1.01,IF(AH464&gt;10,1.1,(1+AH464/100))))</f>
        <v>0.55000000000000004</v>
      </c>
      <c r="AS464" s="166">
        <f t="shared" si="136"/>
        <v>0.55291500000000005</v>
      </c>
      <c r="AT464" s="166">
        <f t="shared" si="137"/>
        <v>0.59714820000000013</v>
      </c>
      <c r="AU464" s="166">
        <f t="shared" si="137"/>
        <v>0.64492005600000013</v>
      </c>
      <c r="AV464" s="166">
        <f t="shared" si="137"/>
        <v>0.69651366048000019</v>
      </c>
      <c r="AW464" s="157">
        <f t="shared" si="138"/>
        <v>3.0414969164800008</v>
      </c>
      <c r="AX464" s="173">
        <f t="shared" si="139"/>
        <v>18.961950850872825</v>
      </c>
      <c r="AY464" s="174">
        <v>0.67</v>
      </c>
      <c r="AZ464" s="169">
        <v>35.130000000000003</v>
      </c>
      <c r="BA464" s="169">
        <v>-12.870000000000001</v>
      </c>
      <c r="BB464" s="169">
        <v>7.7700000000000005</v>
      </c>
      <c r="BC464" s="169">
        <v>11.48</v>
      </c>
      <c r="BE464" s="77">
        <v>2014</v>
      </c>
      <c r="BF464" s="77">
        <f t="shared" si="140"/>
        <v>1</v>
      </c>
      <c r="BG464" s="175">
        <v>1.0999999999999999</v>
      </c>
      <c r="BH464" t="s">
        <v>939</v>
      </c>
      <c r="BI464" t="s">
        <v>940</v>
      </c>
      <c r="BJ464" s="112"/>
      <c r="BK464" s="112"/>
      <c r="BL464" s="112"/>
    </row>
    <row r="465" spans="1:64" ht="11.25" customHeight="1" x14ac:dyDescent="0.2">
      <c r="A465" s="112" t="s">
        <v>1541</v>
      </c>
      <c r="B465" s="153" t="s">
        <v>387</v>
      </c>
      <c r="C465" s="154" t="s">
        <v>117</v>
      </c>
      <c r="D465" s="154" t="s">
        <v>979</v>
      </c>
      <c r="E465" s="155">
        <v>52</v>
      </c>
      <c r="F465" s="298">
        <v>29</v>
      </c>
      <c r="G465" s="298" t="s">
        <v>30</v>
      </c>
      <c r="H465" s="298" t="s">
        <v>30</v>
      </c>
      <c r="I465" s="167">
        <v>67.489999999999995</v>
      </c>
      <c r="J465" s="157">
        <f t="shared" si="126"/>
        <v>2.815231886205364</v>
      </c>
      <c r="K465" s="158">
        <v>0.47499999999999998</v>
      </c>
      <c r="L465" s="126">
        <v>4</v>
      </c>
      <c r="M465" s="82">
        <f t="shared" si="127"/>
        <v>1.9</v>
      </c>
      <c r="N465" s="159" t="s">
        <v>138</v>
      </c>
      <c r="O465" s="160">
        <v>0.45500000000000002</v>
      </c>
      <c r="P465" s="161">
        <v>44741</v>
      </c>
      <c r="Q465" s="161">
        <v>44757</v>
      </c>
      <c r="R465" s="82">
        <f t="shared" si="128"/>
        <v>4.3956043956043871</v>
      </c>
      <c r="S465" s="162">
        <f>IF(INDEX([1]Historical!$D$7:$D$1229,MATCH(B465,[1]Historical!$B$7:$B$1253,0))=0,"n/a",(INDEX([1]Historical!$C$7:$C$1231,MATCH(B465,[1]Historical!$B$7:$B$1253,0))/INDEX([1]Historical!$D$7:$D$1229,MATCH(B465,[1]Historical!$B$7:$B$1253,0))-1)*100)</f>
        <v>2.2727272727272707</v>
      </c>
      <c r="T465" s="162">
        <f>IF(INDEX([1]Historical!$F$7:$F$1222,MATCH(B465,[1]Historical!$B$7:$B$1253,0))=0,"n/a",((INDEX([1]Historical!$C$7:$C$1231,MATCH(B465,[1]Historical!$B$7:$B$1253,0))/INDEX([1]Historical!$F$7:$F$1222,MATCH(B465,[1]Historical!$B$7:$B$1253,0)))^(1/3)-1)*100)</f>
        <v>2.3264108093813185</v>
      </c>
      <c r="U465" s="162">
        <f>IF(INDEX([1]Historical!$H$7:$H$1222,MATCH(B465,[1]Historical!$B$7:$B$1253,0))=0,"n/a",((INDEX([1]Historical!$C$7:$C$1231,MATCH(B465,[1]Historical!$B$7:$B$1253,0))/INDEX([1]Historical!$H$7:$H$1222,MATCH(B465,[1]Historical!$B$7:$B$1253,0)))^(1/5)-1)*100)</f>
        <v>2.3836255539609663</v>
      </c>
      <c r="V465" s="162">
        <f>IF(INDEX([1]Historical!$N$7:$N$1222,MATCH(B465,[1]Historical!$B$7:$B$1253,0))=0,"n/a",((INDEX([1]Historical!$C$7:$C$1231,MATCH(B465,[1]Historical!$B$7:$B$1253,0))/INDEX([1]Historical!$N$7:$N$1222,MATCH(B465,[1]Historical!$B$7:$B$1253,0)))^(1/10)-1)*100)</f>
        <v>2.5449899701238676</v>
      </c>
      <c r="W465" s="163">
        <f t="shared" si="129"/>
        <v>0.93659526439899976</v>
      </c>
      <c r="X465" s="164">
        <f t="shared" si="130"/>
        <v>9.2388587362828151E-2</v>
      </c>
      <c r="Y465" s="153"/>
      <c r="Z465" s="157">
        <f t="shared" si="131"/>
        <v>35.315985130111521</v>
      </c>
      <c r="AA465" s="166">
        <f t="shared" si="132"/>
        <v>12.544609665427508</v>
      </c>
      <c r="AB465" s="126">
        <v>9</v>
      </c>
      <c r="AC465" s="167">
        <v>5.38</v>
      </c>
      <c r="AD465" s="167">
        <v>0.92</v>
      </c>
      <c r="AE465" s="167">
        <v>2.87</v>
      </c>
      <c r="AF465" s="167">
        <v>3.06</v>
      </c>
      <c r="AG465" s="167">
        <v>25.5</v>
      </c>
      <c r="AH465" s="167">
        <v>381.9</v>
      </c>
      <c r="AI465" s="167">
        <v>24.54</v>
      </c>
      <c r="AJ465" s="167">
        <v>25.8</v>
      </c>
      <c r="AK465" s="167">
        <v>13.600000000000001</v>
      </c>
      <c r="AL465" s="168">
        <v>6040</v>
      </c>
      <c r="AM465" s="169">
        <v>0.70000000000000007</v>
      </c>
      <c r="AN465" s="167">
        <v>1.51</v>
      </c>
      <c r="AO465" s="170">
        <f t="shared" si="133"/>
        <v>-7.3457522252611778</v>
      </c>
      <c r="AP465" s="171">
        <f t="shared" si="134"/>
        <v>5.1988574401663303</v>
      </c>
      <c r="AQ465" s="172">
        <f t="shared" si="135"/>
        <v>30.616496450415532</v>
      </c>
      <c r="AR465" s="157">
        <f>INDEX([1]Historical!$C$7:$C$1231,MATCH(B465,[1]Historical!$B$7:$B$1253,0))*IF(AH465="n/a",1.03,IF(AH465&lt;0,1.01,IF(AH465&gt;10,1.1,(1+AH465/100))))</f>
        <v>1.9800000000000002</v>
      </c>
      <c r="AS465" s="166">
        <f t="shared" si="136"/>
        <v>2.1780000000000004</v>
      </c>
      <c r="AT465" s="166">
        <f t="shared" si="137"/>
        <v>2.3958000000000008</v>
      </c>
      <c r="AU465" s="166">
        <f t="shared" si="137"/>
        <v>2.6353800000000009</v>
      </c>
      <c r="AV465" s="166">
        <f t="shared" si="137"/>
        <v>2.8989180000000014</v>
      </c>
      <c r="AW465" s="157">
        <f t="shared" si="138"/>
        <v>12.088098000000004</v>
      </c>
      <c r="AX465" s="173">
        <f t="shared" si="139"/>
        <v>17.910946806934369</v>
      </c>
      <c r="AY465" s="174">
        <v>0.75</v>
      </c>
      <c r="AZ465" s="169">
        <v>18.09</v>
      </c>
      <c r="BA465" s="169">
        <v>-11.16</v>
      </c>
      <c r="BB465" s="169">
        <v>0.13999999999999999</v>
      </c>
      <c r="BC465" s="169">
        <v>0.27999999999999997</v>
      </c>
      <c r="BE465" s="77">
        <v>1971</v>
      </c>
      <c r="BF465" s="77">
        <f t="shared" si="140"/>
        <v>6</v>
      </c>
      <c r="BG465" s="175">
        <v>6.4</v>
      </c>
      <c r="BH465" t="s">
        <v>939</v>
      </c>
      <c r="BI465" t="s">
        <v>940</v>
      </c>
    </row>
    <row r="466" spans="1:64" ht="11.25" customHeight="1" x14ac:dyDescent="0.2">
      <c r="A466" s="176" t="s">
        <v>728</v>
      </c>
      <c r="B466" s="153" t="s">
        <v>729</v>
      </c>
      <c r="C466" s="154" t="s">
        <v>117</v>
      </c>
      <c r="D466" s="154" t="s">
        <v>953</v>
      </c>
      <c r="E466" s="155">
        <v>11</v>
      </c>
      <c r="F466" s="298">
        <v>407</v>
      </c>
      <c r="G466" s="298" t="s">
        <v>30</v>
      </c>
      <c r="H466" s="298" t="s">
        <v>30</v>
      </c>
      <c r="I466" s="156">
        <v>25.69</v>
      </c>
      <c r="J466" s="157">
        <f t="shared" si="126"/>
        <v>3.6590112884390811</v>
      </c>
      <c r="K466" s="158">
        <v>0.23499999999999999</v>
      </c>
      <c r="L466" s="126">
        <v>4</v>
      </c>
      <c r="M466" s="82">
        <f t="shared" si="127"/>
        <v>0.94</v>
      </c>
      <c r="N466" s="159" t="s">
        <v>214</v>
      </c>
      <c r="O466" s="160">
        <v>0.22</v>
      </c>
      <c r="P466" s="161">
        <v>44599</v>
      </c>
      <c r="Q466" s="161">
        <v>44610</v>
      </c>
      <c r="R466" s="82">
        <f t="shared" si="128"/>
        <v>6.8181818181818121</v>
      </c>
      <c r="S466" s="162">
        <f>IF(INDEX([1]Historical!$D$7:$D$1229,MATCH(B466,[1]Historical!$B$7:$B$1253,0))=0,"n/a",(INDEX([1]Historical!$C$7:$C$1231,MATCH(B466,[1]Historical!$B$7:$B$1253,0))/INDEX([1]Historical!$D$7:$D$1229,MATCH(B466,[1]Historical!$B$7:$B$1253,0))-1)*100)</f>
        <v>4.7619047619047672</v>
      </c>
      <c r="T466" s="162">
        <f>IF(INDEX([1]Historical!$F$7:$F$1222,MATCH(B466,[1]Historical!$B$7:$B$1253,0))=0,"n/a",((INDEX([1]Historical!$C$7:$C$1231,MATCH(B466,[1]Historical!$B$7:$B$1253,0))/INDEX([1]Historical!$F$7:$F$1222,MATCH(B466,[1]Historical!$B$7:$B$1253,0)))^(1/3)-1)*100)</f>
        <v>4.102866914963843</v>
      </c>
      <c r="U466" s="162">
        <f>IF(INDEX([1]Historical!$H$7:$H$1222,MATCH(B466,[1]Historical!$B$7:$B$1253,0))=0,"n/a",((INDEX([1]Historical!$C$7:$C$1231,MATCH(B466,[1]Historical!$B$7:$B$1253,0))/INDEX([1]Historical!$H$7:$H$1222,MATCH(B466,[1]Historical!$B$7:$B$1253,0)))^(1/5)-1)*100)</f>
        <v>6.5762756635474151</v>
      </c>
      <c r="V466" s="162">
        <f>IF(INDEX([1]Historical!$N$7:$N$1222,MATCH(B466,[1]Historical!$B$7:$B$1253,0))=0,"n/a",((INDEX([1]Historical!$C$7:$C$1231,MATCH(B466,[1]Historical!$B$7:$B$1253,0))/INDEX([1]Historical!$N$7:$N$1222,MATCH(B466,[1]Historical!$B$7:$B$1253,0)))^(1/10)-1)*100)</f>
        <v>9.3049525006028588</v>
      </c>
      <c r="W466" s="163">
        <f t="shared" si="129"/>
        <v>0.70675005198805096</v>
      </c>
      <c r="X466" s="164">
        <f t="shared" si="130"/>
        <v>1.4946081053516855</v>
      </c>
      <c r="Y466" s="211"/>
      <c r="Z466" s="157">
        <f t="shared" si="131"/>
        <v>61.038961038961034</v>
      </c>
      <c r="AA466" s="166">
        <f t="shared" si="132"/>
        <v>16.681818181818183</v>
      </c>
      <c r="AB466" s="126">
        <v>12</v>
      </c>
      <c r="AC466" s="167">
        <v>1.54</v>
      </c>
      <c r="AD466" s="167">
        <v>2.31</v>
      </c>
      <c r="AE466" s="167">
        <v>1.9</v>
      </c>
      <c r="AF466" s="167">
        <v>1.85</v>
      </c>
      <c r="AG466" s="167">
        <v>12.4</v>
      </c>
      <c r="AH466" s="167">
        <v>773.1</v>
      </c>
      <c r="AI466" s="167">
        <v>6.25</v>
      </c>
      <c r="AJ466" s="167">
        <v>4.3999999999999995</v>
      </c>
      <c r="AK466" s="167">
        <v>7.3</v>
      </c>
      <c r="AL466" s="168">
        <v>10300</v>
      </c>
      <c r="AM466" s="169">
        <v>0.1</v>
      </c>
      <c r="AN466" s="167">
        <v>1.78</v>
      </c>
      <c r="AO466" s="170">
        <f t="shared" si="133"/>
        <v>-6.4465312298316881</v>
      </c>
      <c r="AP466" s="171">
        <f t="shared" si="134"/>
        <v>10.235286951986495</v>
      </c>
      <c r="AQ466" s="172">
        <f t="shared" si="135"/>
        <v>17.11601776085805</v>
      </c>
      <c r="AR466" s="157">
        <f>INDEX([1]Historical!$C$7:$C$1231,MATCH(B466,[1]Historical!$B$7:$B$1253,0))*IF(AH466="n/a",1.03,IF(AH466&lt;0,1.01,IF(AH466&gt;10,1.1,(1+AH466/100))))</f>
        <v>0.96800000000000008</v>
      </c>
      <c r="AS466" s="166">
        <f t="shared" si="136"/>
        <v>1.0285000000000002</v>
      </c>
      <c r="AT466" s="166">
        <f t="shared" si="137"/>
        <v>1.1035805000000001</v>
      </c>
      <c r="AU466" s="166">
        <f t="shared" si="137"/>
        <v>1.1841418765</v>
      </c>
      <c r="AV466" s="166">
        <f t="shared" si="137"/>
        <v>1.2705842334844999</v>
      </c>
      <c r="AW466" s="157">
        <f t="shared" si="138"/>
        <v>5.5548066099845004</v>
      </c>
      <c r="AX466" s="173">
        <f t="shared" si="139"/>
        <v>21.62244690535033</v>
      </c>
      <c r="AY466" s="174">
        <v>0.44</v>
      </c>
      <c r="AZ466" s="169">
        <v>8.0299999999999994</v>
      </c>
      <c r="BA466" s="169">
        <v>-21.16</v>
      </c>
      <c r="BB466" s="169">
        <v>-6.9599999999999991</v>
      </c>
      <c r="BC466" s="169">
        <v>-12.06</v>
      </c>
      <c r="BE466" s="77">
        <v>2012</v>
      </c>
      <c r="BF466" s="77">
        <f t="shared" si="140"/>
        <v>1</v>
      </c>
      <c r="BG466" s="175">
        <v>2.8000000000000003</v>
      </c>
      <c r="BH466" t="s">
        <v>939</v>
      </c>
      <c r="BI466" t="s">
        <v>940</v>
      </c>
    </row>
    <row r="467" spans="1:64" ht="11.25" customHeight="1" x14ac:dyDescent="0.2">
      <c r="A467" s="112" t="s">
        <v>1542</v>
      </c>
      <c r="B467" s="153" t="s">
        <v>395</v>
      </c>
      <c r="C467" s="154" t="s">
        <v>90</v>
      </c>
      <c r="D467" s="154" t="s">
        <v>959</v>
      </c>
      <c r="E467" s="155">
        <v>28</v>
      </c>
      <c r="F467" s="298">
        <v>127</v>
      </c>
      <c r="G467" s="298" t="s">
        <v>88</v>
      </c>
      <c r="H467" s="298" t="s">
        <v>88</v>
      </c>
      <c r="I467" s="167">
        <v>41.5</v>
      </c>
      <c r="J467" s="157">
        <f t="shared" si="126"/>
        <v>3.0843373493975905</v>
      </c>
      <c r="K467" s="209">
        <v>0.32</v>
      </c>
      <c r="L467" s="126">
        <v>4</v>
      </c>
      <c r="M467" s="82">
        <f t="shared" si="127"/>
        <v>1.28</v>
      </c>
      <c r="N467" s="159" t="s">
        <v>145</v>
      </c>
      <c r="O467" s="210">
        <v>0.3</v>
      </c>
      <c r="P467" s="161">
        <v>44874</v>
      </c>
      <c r="Q467" s="161">
        <v>44890</v>
      </c>
      <c r="R467" s="82">
        <f t="shared" si="128"/>
        <v>6.6666666666666732</v>
      </c>
      <c r="S467" s="162">
        <f>IF(INDEX([1]Historical!$D$7:$D$1229,MATCH(B467,[1]Historical!$B$7:$B$1253,0))=0,"n/a",(INDEX([1]Historical!$C$7:$C$1231,MATCH(B467,[1]Historical!$B$7:$B$1253,0))/INDEX([1]Historical!$D$7:$D$1229,MATCH(B467,[1]Historical!$B$7:$B$1253,0))-1)*100)</f>
        <v>4.5871559633027248</v>
      </c>
      <c r="T467" s="162">
        <f>IF(INDEX([1]Historical!$F$7:$F$1222,MATCH(B467,[1]Historical!$B$7:$B$1253,0))=0,"n/a",((INDEX([1]Historical!$C$7:$C$1231,MATCH(B467,[1]Historical!$B$7:$B$1253,0))/INDEX([1]Historical!$F$7:$F$1222,MATCH(B467,[1]Historical!$B$7:$B$1253,0)))^(1/3)-1)*100)</f>
        <v>5.5304295011634697</v>
      </c>
      <c r="U467" s="162">
        <f>IF(INDEX([1]Historical!$H$7:$H$1222,MATCH(B467,[1]Historical!$B$7:$B$1253,0))=0,"n/a",((INDEX([1]Historical!$C$7:$C$1231,MATCH(B467,[1]Historical!$B$7:$B$1253,0))/INDEX([1]Historical!$H$7:$H$1222,MATCH(B467,[1]Historical!$B$7:$B$1253,0)))^(1/5)-1)*100)</f>
        <v>6.0467064942837823</v>
      </c>
      <c r="V467" s="162">
        <f>IF(INDEX([1]Historical!$N$7:$N$1222,MATCH(B467,[1]Historical!$B$7:$B$1253,0))=0,"n/a",((INDEX([1]Historical!$C$7:$C$1231,MATCH(B467,[1]Historical!$B$7:$B$1253,0))/INDEX([1]Historical!$N$7:$N$1222,MATCH(B467,[1]Historical!$B$7:$B$1253,0)))^(1/10)-1)*100)</f>
        <v>4.9232111096895403</v>
      </c>
      <c r="W467" s="163">
        <f t="shared" si="129"/>
        <v>1.2282037799238494</v>
      </c>
      <c r="X467" s="164" t="str">
        <f t="shared" si="130"/>
        <v>n/a</v>
      </c>
      <c r="Y467" s="214"/>
      <c r="Z467" s="157" t="str">
        <f t="shared" si="131"/>
        <v>n/a</v>
      </c>
      <c r="AA467" s="166" t="str">
        <f t="shared" si="132"/>
        <v>n/a</v>
      </c>
      <c r="AB467" s="126">
        <v>12</v>
      </c>
      <c r="AC467" s="167" t="s">
        <v>95</v>
      </c>
      <c r="AD467" s="167" t="s">
        <v>95</v>
      </c>
      <c r="AE467" s="167" t="s">
        <v>95</v>
      </c>
      <c r="AF467" s="167" t="s">
        <v>95</v>
      </c>
      <c r="AG467" s="167" t="s">
        <v>95</v>
      </c>
      <c r="AH467" s="167" t="s">
        <v>95</v>
      </c>
      <c r="AI467" s="167" t="s">
        <v>95</v>
      </c>
      <c r="AJ467" s="167" t="s">
        <v>95</v>
      </c>
      <c r="AK467" s="167" t="s">
        <v>95</v>
      </c>
      <c r="AL467" s="168" t="s">
        <v>95</v>
      </c>
      <c r="AM467" s="169" t="s">
        <v>95</v>
      </c>
      <c r="AN467" s="167" t="s">
        <v>95</v>
      </c>
      <c r="AO467" s="170" t="str">
        <f t="shared" si="133"/>
        <v>n/a</v>
      </c>
      <c r="AP467" s="171">
        <f t="shared" si="134"/>
        <v>9.1310438436813719</v>
      </c>
      <c r="AQ467" s="172" t="str">
        <f t="shared" si="135"/>
        <v>n/a</v>
      </c>
      <c r="AR467" s="157">
        <f>INDEX([1]Historical!$C$7:$C$1231,MATCH(B467,[1]Historical!$B$7:$B$1253,0))*IF(AH467="n/a",1.03,IF(AH467&lt;0,1.01,IF(AH467&gt;10,1.1,(1+AH467/100))))</f>
        <v>1.1741999999999999</v>
      </c>
      <c r="AS467" s="166">
        <f t="shared" si="136"/>
        <v>1.2094259999999999</v>
      </c>
      <c r="AT467" s="166">
        <f t="shared" si="137"/>
        <v>1.24570878</v>
      </c>
      <c r="AU467" s="166">
        <f t="shared" si="137"/>
        <v>1.2830800434</v>
      </c>
      <c r="AV467" s="166">
        <f t="shared" si="137"/>
        <v>1.3215724447020001</v>
      </c>
      <c r="AW467" s="157">
        <f t="shared" si="138"/>
        <v>6.2339872681020001</v>
      </c>
      <c r="AX467" s="173">
        <f t="shared" si="139"/>
        <v>15.021656067715664</v>
      </c>
      <c r="AY467" s="174" t="s">
        <v>95</v>
      </c>
      <c r="AZ467" s="169" t="s">
        <v>95</v>
      </c>
      <c r="BA467" s="169" t="s">
        <v>95</v>
      </c>
      <c r="BB467" s="169" t="s">
        <v>95</v>
      </c>
      <c r="BC467" s="169" t="s">
        <v>95</v>
      </c>
      <c r="BD467" s="100" t="s">
        <v>932</v>
      </c>
      <c r="BE467" s="77">
        <v>1996</v>
      </c>
      <c r="BF467" s="77">
        <f t="shared" si="140"/>
        <v>3</v>
      </c>
      <c r="BG467" s="175" t="s">
        <v>95</v>
      </c>
      <c r="BH467" t="s">
        <v>939</v>
      </c>
      <c r="BI467" t="s">
        <v>940</v>
      </c>
    </row>
    <row r="468" spans="1:64" ht="11.25" customHeight="1" x14ac:dyDescent="0.2">
      <c r="A468" s="112" t="s">
        <v>1543</v>
      </c>
      <c r="B468" s="153" t="s">
        <v>389</v>
      </c>
      <c r="C468" s="154" t="s">
        <v>117</v>
      </c>
      <c r="D468" s="154" t="s">
        <v>979</v>
      </c>
      <c r="E468" s="155">
        <v>27</v>
      </c>
      <c r="F468" s="298">
        <v>133</v>
      </c>
      <c r="G468" s="298" t="s">
        <v>30</v>
      </c>
      <c r="H468" s="298" t="s">
        <v>30</v>
      </c>
      <c r="I468" s="167">
        <v>44.64</v>
      </c>
      <c r="J468" s="157">
        <f t="shared" si="126"/>
        <v>3.4946236559139789</v>
      </c>
      <c r="K468" s="209">
        <v>0.39</v>
      </c>
      <c r="L468" s="126">
        <v>4</v>
      </c>
      <c r="M468" s="82">
        <f t="shared" si="127"/>
        <v>1.56</v>
      </c>
      <c r="N468" s="159" t="s">
        <v>183</v>
      </c>
      <c r="O468" s="210">
        <v>0.36249999999999999</v>
      </c>
      <c r="P468" s="161">
        <v>44827</v>
      </c>
      <c r="Q468" s="161">
        <v>44837</v>
      </c>
      <c r="R468" s="82">
        <f t="shared" si="128"/>
        <v>7.5862068965517313</v>
      </c>
      <c r="S468" s="162">
        <f>IF(INDEX([1]Historical!$D$7:$D$1229,MATCH(B468,[1]Historical!$B$7:$B$1253,0))=0,"n/a",(INDEX([1]Historical!$C$7:$C$1231,MATCH(B468,[1]Historical!$B$7:$B$1253,0))/INDEX([1]Historical!$D$7:$D$1229,MATCH(B468,[1]Historical!$B$7:$B$1253,0))-1)*100)</f>
        <v>7.0866141732283561</v>
      </c>
      <c r="T468" s="162">
        <f>IF(INDEX([1]Historical!$F$7:$F$1222,MATCH(B468,[1]Historical!$B$7:$B$1253,0))=0,"n/a",((INDEX([1]Historical!$C$7:$C$1231,MATCH(B468,[1]Historical!$B$7:$B$1253,0))/INDEX([1]Historical!$F$7:$F$1222,MATCH(B468,[1]Historical!$B$7:$B$1253,0)))^(1/3)-1)*100)</f>
        <v>7.005305155927255</v>
      </c>
      <c r="U468" s="162">
        <f>IF(INDEX([1]Historical!$H$7:$H$1222,MATCH(B468,[1]Historical!$B$7:$B$1253,0))=0,"n/a",((INDEX([1]Historical!$C$7:$C$1231,MATCH(B468,[1]Historical!$B$7:$B$1253,0))/INDEX([1]Historical!$H$7:$H$1222,MATCH(B468,[1]Historical!$B$7:$B$1253,0)))^(1/5)-1)*100)</f>
        <v>6.8825627722391092</v>
      </c>
      <c r="V468" s="162">
        <f>IF(INDEX([1]Historical!$N$7:$N$1222,MATCH(B468,[1]Historical!$B$7:$B$1253,0))=0,"n/a",((INDEX([1]Historical!$C$7:$C$1231,MATCH(B468,[1]Historical!$B$7:$B$1253,0))/INDEX([1]Historical!$N$7:$N$1222,MATCH(B468,[1]Historical!$B$7:$B$1253,0)))^(1/10)-1)*100)</f>
        <v>6.5664849986184715</v>
      </c>
      <c r="W468" s="163">
        <f t="shared" si="129"/>
        <v>1.0481350027734988</v>
      </c>
      <c r="X468" s="164" t="str">
        <f t="shared" si="130"/>
        <v>n/a</v>
      </c>
      <c r="Y468" s="212"/>
      <c r="Z468" s="157">
        <f t="shared" si="131"/>
        <v>68.722466960352421</v>
      </c>
      <c r="AA468" s="166">
        <f t="shared" si="132"/>
        <v>19.665198237885463</v>
      </c>
      <c r="AB468" s="126">
        <v>9</v>
      </c>
      <c r="AC468" s="167">
        <v>2.27</v>
      </c>
      <c r="AD468" s="167">
        <v>3.32</v>
      </c>
      <c r="AE468" s="167">
        <v>1.6</v>
      </c>
      <c r="AF468" s="167">
        <v>2.46</v>
      </c>
      <c r="AG468" s="167">
        <v>12.7</v>
      </c>
      <c r="AH468" s="167">
        <v>-28.799999999999997</v>
      </c>
      <c r="AI468" s="167">
        <v>0.94000000000000006</v>
      </c>
      <c r="AJ468" s="167">
        <v>-4.3</v>
      </c>
      <c r="AK468" s="167">
        <v>6</v>
      </c>
      <c r="AL468" s="168">
        <v>4280</v>
      </c>
      <c r="AM468" s="169">
        <v>0.3</v>
      </c>
      <c r="AN468" s="167">
        <v>1.65</v>
      </c>
      <c r="AO468" s="170">
        <f t="shared" si="133"/>
        <v>-9.2880118097323745</v>
      </c>
      <c r="AP468" s="171">
        <f t="shared" si="134"/>
        <v>10.377186428153088</v>
      </c>
      <c r="AQ468" s="172">
        <f t="shared" si="135"/>
        <v>46.630886037315157</v>
      </c>
      <c r="AR468" s="157">
        <f>INDEX([1]Historical!$C$7:$C$1231,MATCH(B468,[1]Historical!$B$7:$B$1253,0))*IF(AH468="n/a",1.03,IF(AH468&lt;0,1.01,IF(AH468&gt;10,1.1,(1+AH468/100))))</f>
        <v>1.3736000000000002</v>
      </c>
      <c r="AS468" s="166">
        <f t="shared" si="136"/>
        <v>1.3865118400000003</v>
      </c>
      <c r="AT468" s="166">
        <f t="shared" si="137"/>
        <v>1.4697025504000003</v>
      </c>
      <c r="AU468" s="166">
        <f t="shared" si="137"/>
        <v>1.5578847034240004</v>
      </c>
      <c r="AV468" s="166">
        <f t="shared" si="137"/>
        <v>1.6513577856294406</v>
      </c>
      <c r="AW468" s="157">
        <f t="shared" si="138"/>
        <v>7.4390568794534415</v>
      </c>
      <c r="AX468" s="173">
        <f t="shared" si="139"/>
        <v>16.664553941427958</v>
      </c>
      <c r="AY468" s="174">
        <v>0.63</v>
      </c>
      <c r="AZ468" s="169">
        <v>21.4</v>
      </c>
      <c r="BA468" s="169">
        <v>-6.02</v>
      </c>
      <c r="BB468" s="169">
        <v>3.7900000000000005</v>
      </c>
      <c r="BC468" s="169">
        <v>2.33</v>
      </c>
      <c r="BE468" s="77">
        <v>1996</v>
      </c>
      <c r="BF468" s="77">
        <f t="shared" si="140"/>
        <v>3</v>
      </c>
      <c r="BG468" s="175">
        <v>3.6999999999999997</v>
      </c>
      <c r="BH468" t="s">
        <v>939</v>
      </c>
      <c r="BI468" t="s">
        <v>940</v>
      </c>
    </row>
    <row r="469" spans="1:64" ht="11.25" customHeight="1" x14ac:dyDescent="0.2">
      <c r="A469" s="176" t="s">
        <v>1544</v>
      </c>
      <c r="B469" s="153" t="s">
        <v>392</v>
      </c>
      <c r="C469" s="154" t="s">
        <v>100</v>
      </c>
      <c r="D469" s="154" t="s">
        <v>1037</v>
      </c>
      <c r="E469" s="155">
        <v>19</v>
      </c>
      <c r="F469" s="298">
        <v>186</v>
      </c>
      <c r="G469" s="298" t="s">
        <v>104</v>
      </c>
      <c r="H469" s="298" t="s">
        <v>104</v>
      </c>
      <c r="I469" s="156">
        <v>92.68</v>
      </c>
      <c r="J469" s="157">
        <f t="shared" si="126"/>
        <v>1.316357358653431</v>
      </c>
      <c r="K469" s="158">
        <v>0.30499999999999999</v>
      </c>
      <c r="L469" s="126">
        <v>4</v>
      </c>
      <c r="M469" s="82">
        <f t="shared" si="127"/>
        <v>1.22</v>
      </c>
      <c r="N469" s="159" t="s">
        <v>183</v>
      </c>
      <c r="O469" s="160">
        <v>0.27500000000000002</v>
      </c>
      <c r="P469" s="161">
        <v>44533</v>
      </c>
      <c r="Q469" s="161">
        <v>44558</v>
      </c>
      <c r="R469" s="82">
        <f t="shared" si="128"/>
        <v>10.909090909090898</v>
      </c>
      <c r="S469" s="162">
        <f>IF(INDEX([1]Historical!$D$7:$D$1229,MATCH(B469,[1]Historical!$B$7:$B$1253,0))=0,"n/a",(INDEX([1]Historical!$C$7:$C$1231,MATCH(B469,[1]Historical!$B$7:$B$1253,0))/INDEX([1]Historical!$D$7:$D$1229,MATCH(B469,[1]Historical!$B$7:$B$1253,0))-1)*100)</f>
        <v>15.306122448979576</v>
      </c>
      <c r="T469" s="162">
        <f>IF(INDEX([1]Historical!$F$7:$F$1222,MATCH(B469,[1]Historical!$B$7:$B$1253,0))=0,"n/a",((INDEX([1]Historical!$C$7:$C$1231,MATCH(B469,[1]Historical!$B$7:$B$1253,0))/INDEX([1]Historical!$F$7:$F$1222,MATCH(B469,[1]Historical!$B$7:$B$1253,0)))^(1/3)-1)*100)</f>
        <v>12.200851329591501</v>
      </c>
      <c r="U469" s="162">
        <f>IF(INDEX([1]Historical!$H$7:$H$1222,MATCH(B469,[1]Historical!$B$7:$B$1253,0))=0,"n/a",((INDEX([1]Historical!$C$7:$C$1231,MATCH(B469,[1]Historical!$B$7:$B$1253,0))/INDEX([1]Historical!$H$7:$H$1222,MATCH(B469,[1]Historical!$B$7:$B$1253,0)))^(1/5)-1)*100)</f>
        <v>12.041701078892441</v>
      </c>
      <c r="V469" s="162">
        <f>IF(INDEX([1]Historical!$N$7:$N$1222,MATCH(B469,[1]Historical!$B$7:$B$1253,0))=0,"n/a",((INDEX([1]Historical!$C$7:$C$1231,MATCH(B469,[1]Historical!$B$7:$B$1253,0))/INDEX([1]Historical!$N$7:$N$1222,MATCH(B469,[1]Historical!$B$7:$B$1253,0)))^(1/10)-1)*100)</f>
        <v>13.807707447767715</v>
      </c>
      <c r="W469" s="163">
        <f t="shared" si="129"/>
        <v>0.87209995753778924</v>
      </c>
      <c r="X469" s="164">
        <f t="shared" si="130"/>
        <v>1.4335358427252904</v>
      </c>
      <c r="Y469" s="165"/>
      <c r="Z469" s="157">
        <f t="shared" si="131"/>
        <v>34.659090909090907</v>
      </c>
      <c r="AA469" s="166">
        <f t="shared" si="132"/>
        <v>26.329545454545457</v>
      </c>
      <c r="AB469" s="126">
        <v>5</v>
      </c>
      <c r="AC469" s="167">
        <v>3.52</v>
      </c>
      <c r="AD469" s="167">
        <v>4.0999999999999996</v>
      </c>
      <c r="AE469" s="167">
        <v>3</v>
      </c>
      <c r="AF469" s="167">
        <v>9.2899999999999991</v>
      </c>
      <c r="AG469" s="167">
        <v>37.1</v>
      </c>
      <c r="AH469" s="167">
        <v>5.5</v>
      </c>
      <c r="AI469" s="167">
        <v>26.790000000000003</v>
      </c>
      <c r="AJ469" s="167">
        <v>8.4</v>
      </c>
      <c r="AK469" s="167">
        <v>6.5</v>
      </c>
      <c r="AL469" s="168">
        <v>141660</v>
      </c>
      <c r="AM469" s="169">
        <v>0.2</v>
      </c>
      <c r="AN469" s="167">
        <v>0.6</v>
      </c>
      <c r="AO469" s="170">
        <f t="shared" si="133"/>
        <v>-12.971487016999586</v>
      </c>
      <c r="AP469" s="171">
        <f t="shared" si="134"/>
        <v>13.358058437545871</v>
      </c>
      <c r="AQ469" s="172">
        <f t="shared" si="135"/>
        <v>229.71467616223529</v>
      </c>
      <c r="AR469" s="157">
        <f>INDEX([1]Historical!$C$7:$C$1231,MATCH(B469,[1]Historical!$B$7:$B$1253,0))*IF(AH469="n/a",1.03,IF(AH469&lt;0,1.01,IF(AH469&gt;10,1.1,(1+AH469/100))))</f>
        <v>1.1921499999999998</v>
      </c>
      <c r="AS469" s="166">
        <f t="shared" si="136"/>
        <v>1.3113649999999999</v>
      </c>
      <c r="AT469" s="166">
        <f t="shared" si="137"/>
        <v>1.3966037249999999</v>
      </c>
      <c r="AU469" s="166">
        <f t="shared" si="137"/>
        <v>1.4873829671249998</v>
      </c>
      <c r="AV469" s="166">
        <f t="shared" si="137"/>
        <v>1.5840628599881248</v>
      </c>
      <c r="AW469" s="157">
        <f t="shared" si="138"/>
        <v>6.971564552113124</v>
      </c>
      <c r="AX469" s="173">
        <f t="shared" si="139"/>
        <v>7.522188770083214</v>
      </c>
      <c r="AY469" s="174">
        <v>1.1200000000000001</v>
      </c>
      <c r="AZ469" s="169">
        <v>12.72</v>
      </c>
      <c r="BA469" s="169">
        <v>-48.25</v>
      </c>
      <c r="BB469" s="169">
        <v>-5.94</v>
      </c>
      <c r="BC469" s="169">
        <v>-20.97</v>
      </c>
      <c r="BE469" s="77">
        <v>2003</v>
      </c>
      <c r="BF469" s="77">
        <f t="shared" si="140"/>
        <v>2</v>
      </c>
      <c r="BG469" s="175">
        <v>14.2</v>
      </c>
      <c r="BH469" t="s">
        <v>939</v>
      </c>
      <c r="BI469" t="s">
        <v>940</v>
      </c>
    </row>
    <row r="470" spans="1:64" ht="11.25" customHeight="1" x14ac:dyDescent="0.2">
      <c r="A470" s="205" t="s">
        <v>1152</v>
      </c>
      <c r="B470" s="153" t="s">
        <v>1153</v>
      </c>
      <c r="C470" s="154" t="s">
        <v>90</v>
      </c>
      <c r="D470" s="154" t="s">
        <v>966</v>
      </c>
      <c r="E470" s="155">
        <v>7</v>
      </c>
      <c r="F470" s="298">
        <v>612</v>
      </c>
      <c r="G470" s="298" t="s">
        <v>88</v>
      </c>
      <c r="H470" s="298" t="s">
        <v>88</v>
      </c>
      <c r="I470" s="156">
        <v>89.09</v>
      </c>
      <c r="J470" s="157">
        <f t="shared" si="126"/>
        <v>1.0775620159389381</v>
      </c>
      <c r="K470" s="158">
        <v>0.24</v>
      </c>
      <c r="L470" s="126">
        <v>4</v>
      </c>
      <c r="M470" s="82">
        <f t="shared" si="127"/>
        <v>0.96</v>
      </c>
      <c r="N470" s="159" t="s">
        <v>677</v>
      </c>
      <c r="O470" s="160">
        <v>0.22</v>
      </c>
      <c r="P470" s="224">
        <v>44530</v>
      </c>
      <c r="Q470" s="224">
        <v>44545</v>
      </c>
      <c r="R470" s="82">
        <f t="shared" si="128"/>
        <v>9.0909090909090864</v>
      </c>
      <c r="S470" s="162">
        <f>IF(INDEX([1]Historical!$D$7:$D$1229,MATCH(B470,[1]Historical!$B$7:$B$1253,0))=0,"n/a",(INDEX([1]Historical!$C$7:$C$1231,MATCH(B470,[1]Historical!$B$7:$B$1253,0))/INDEX([1]Historical!$D$7:$D$1229,MATCH(B470,[1]Historical!$B$7:$B$1253,0))-1)*100)</f>
        <v>9.7560975609756184</v>
      </c>
      <c r="T470" s="162">
        <f>IF(INDEX([1]Historical!$F$7:$F$1222,MATCH(B470,[1]Historical!$B$7:$B$1253,0))=0,"n/a",((INDEX([1]Historical!$C$7:$C$1231,MATCH(B470,[1]Historical!$B$7:$B$1253,0))/INDEX([1]Historical!$F$7:$F$1222,MATCH(B470,[1]Historical!$B$7:$B$1253,0)))^(1/3)-1)*100)</f>
        <v>10.891823393038823</v>
      </c>
      <c r="U470" s="162">
        <f>IF(INDEX([1]Historical!$H$7:$H$1222,MATCH(B470,[1]Historical!$B$7:$B$1253,0))=0,"n/a",((INDEX([1]Historical!$C$7:$C$1231,MATCH(B470,[1]Historical!$B$7:$B$1253,0))/INDEX([1]Historical!$H$7:$H$1222,MATCH(B470,[1]Historical!$B$7:$B$1253,0)))^(1/5)-1)*100)</f>
        <v>12.474611314209483</v>
      </c>
      <c r="V470" s="162">
        <f>IF(INDEX([1]Historical!$N$7:$N$1222,MATCH(B470,[1]Historical!$B$7:$B$1253,0))=0,"n/a",((INDEX([1]Historical!$C$7:$C$1231,MATCH(B470,[1]Historical!$B$7:$B$1253,0))/INDEX([1]Historical!$N$7:$N$1222,MATCH(B470,[1]Historical!$B$7:$B$1253,0)))^(1/10)-1)*100)</f>
        <v>9.2959523215105033</v>
      </c>
      <c r="W470" s="163">
        <f t="shared" si="129"/>
        <v>1.3419401135851003</v>
      </c>
      <c r="X470" s="164">
        <f t="shared" si="130"/>
        <v>1.1340555740190439</v>
      </c>
      <c r="Y470" s="178"/>
      <c r="Z470" s="157">
        <f t="shared" si="131"/>
        <v>8.1218274111675122</v>
      </c>
      <c r="AA470" s="166">
        <f t="shared" si="132"/>
        <v>7.5372250423011842</v>
      </c>
      <c r="AB470" s="126">
        <v>12</v>
      </c>
      <c r="AC470" s="167">
        <v>11.82</v>
      </c>
      <c r="AD470" s="167" t="s">
        <v>95</v>
      </c>
      <c r="AE470" s="167">
        <v>1.96</v>
      </c>
      <c r="AF470" s="167">
        <v>1.0900000000000001</v>
      </c>
      <c r="AG470" s="167">
        <v>15</v>
      </c>
      <c r="AH470" s="167">
        <v>12.7</v>
      </c>
      <c r="AI470" s="167">
        <v>-3.2300000000000004</v>
      </c>
      <c r="AJ470" s="167">
        <v>11</v>
      </c>
      <c r="AK470" s="167">
        <v>-6.9099999999999993</v>
      </c>
      <c r="AL470" s="168">
        <v>3260</v>
      </c>
      <c r="AM470" s="169">
        <v>0.4</v>
      </c>
      <c r="AN470" s="167">
        <v>5.39</v>
      </c>
      <c r="AO470" s="170">
        <f t="shared" si="133"/>
        <v>6.0149482878472362</v>
      </c>
      <c r="AP470" s="171">
        <f t="shared" si="134"/>
        <v>13.55217333014842</v>
      </c>
      <c r="AQ470" s="172">
        <f t="shared" si="135"/>
        <v>-39.573459487818162</v>
      </c>
      <c r="AR470" s="157">
        <f>INDEX([1]Historical!$C$7:$C$1231,MATCH(B470,[1]Historical!$B$7:$B$1253,0))*IF(AH470="n/a",1.03,IF(AH470&lt;0,1.01,IF(AH470&gt;10,1.1,(1+AH470/100))))</f>
        <v>0.9900000000000001</v>
      </c>
      <c r="AS470" s="166">
        <f t="shared" si="136"/>
        <v>0.99990000000000012</v>
      </c>
      <c r="AT470" s="166">
        <f t="shared" si="137"/>
        <v>1.0098990000000001</v>
      </c>
      <c r="AU470" s="166">
        <f t="shared" si="137"/>
        <v>1.01999799</v>
      </c>
      <c r="AV470" s="166">
        <f t="shared" si="137"/>
        <v>1.0301979699000001</v>
      </c>
      <c r="AW470" s="157">
        <f t="shared" si="138"/>
        <v>5.0499949599000011</v>
      </c>
      <c r="AX470" s="173">
        <f t="shared" si="139"/>
        <v>5.6684195306992935</v>
      </c>
      <c r="AY470" s="174">
        <v>0.74</v>
      </c>
      <c r="AZ470" s="169">
        <v>22.14</v>
      </c>
      <c r="BA470" s="169">
        <v>-10.72</v>
      </c>
      <c r="BB470" s="169">
        <v>7.37</v>
      </c>
      <c r="BC470" s="169">
        <v>5.0299999999999994</v>
      </c>
      <c r="BE470" s="77">
        <v>2015</v>
      </c>
      <c r="BF470" s="77">
        <f t="shared" si="140"/>
        <v>1</v>
      </c>
      <c r="BG470" s="175">
        <v>2.1</v>
      </c>
      <c r="BH470" t="s">
        <v>939</v>
      </c>
      <c r="BI470" t="s">
        <v>940</v>
      </c>
      <c r="BJ470" s="112"/>
      <c r="BK470" s="112"/>
      <c r="BL470" s="112"/>
    </row>
    <row r="471" spans="1:64" s="252" customFormat="1" ht="11.25" customHeight="1" x14ac:dyDescent="0.2">
      <c r="A471" s="183" t="s">
        <v>1545</v>
      </c>
      <c r="B471" s="184" t="s">
        <v>388</v>
      </c>
      <c r="C471" s="154" t="s">
        <v>947</v>
      </c>
      <c r="D471" s="154" t="s">
        <v>948</v>
      </c>
      <c r="E471" s="185">
        <v>33</v>
      </c>
      <c r="F471" s="298">
        <v>86</v>
      </c>
      <c r="G471" s="297" t="s">
        <v>30</v>
      </c>
      <c r="H471" s="297" t="s">
        <v>30</v>
      </c>
      <c r="I471" s="195">
        <v>42.03</v>
      </c>
      <c r="J471" s="187">
        <f t="shared" si="126"/>
        <v>5.2343564120866048</v>
      </c>
      <c r="K471" s="231">
        <v>0.55000000000000004</v>
      </c>
      <c r="L471" s="189">
        <v>4</v>
      </c>
      <c r="M471" s="190">
        <f t="shared" si="127"/>
        <v>2.2000000000000002</v>
      </c>
      <c r="N471" s="191" t="s">
        <v>89</v>
      </c>
      <c r="O471" s="232">
        <v>0.53</v>
      </c>
      <c r="P471" s="193">
        <v>44770</v>
      </c>
      <c r="Q471" s="193">
        <v>44788</v>
      </c>
      <c r="R471" s="190">
        <f t="shared" si="128"/>
        <v>3.7735849056603805</v>
      </c>
      <c r="S471" s="162">
        <f>IF(INDEX([1]Historical!$D$7:$D$1229,MATCH(B471,[1]Historical!$B$7:$B$1253,0))=0,"n/a",(INDEX([1]Historical!$C$7:$C$1231,MATCH(B471,[1]Historical!$B$7:$B$1253,0))/INDEX([1]Historical!$D$7:$D$1229,MATCH(B471,[1]Historical!$B$7:$B$1253,0))-1)*100)</f>
        <v>1.449275362318847</v>
      </c>
      <c r="T471" s="162">
        <f>IF(INDEX([1]Historical!$F$7:$F$1222,MATCH(B471,[1]Historical!$B$7:$B$1253,0))=0,"n/a",((INDEX([1]Historical!$C$7:$C$1231,MATCH(B471,[1]Historical!$B$7:$B$1253,0))/INDEX([1]Historical!$F$7:$F$1222,MATCH(B471,[1]Historical!$B$7:$B$1253,0)))^(1/3)-1)*100)</f>
        <v>2.501029596576787</v>
      </c>
      <c r="U471" s="162">
        <f>IF(INDEX([1]Historical!$H$7:$H$1222,MATCH(B471,[1]Historical!$B$7:$B$1253,0))=0,"n/a",((INDEX([1]Historical!$C$7:$C$1231,MATCH(B471,[1]Historical!$B$7:$B$1253,0))/INDEX([1]Historical!$H$7:$H$1222,MATCH(B471,[1]Historical!$B$7:$B$1253,0)))^(1/5)-1)*100)</f>
        <v>3.3617511439721914</v>
      </c>
      <c r="V471" s="162">
        <f>IF(INDEX([1]Historical!$N$7:$N$1222,MATCH(B471,[1]Historical!$B$7:$B$1253,0))=0,"n/a",((INDEX([1]Historical!$C$7:$C$1231,MATCH(B471,[1]Historical!$B$7:$B$1253,0))/INDEX([1]Historical!$N$7:$N$1222,MATCH(B471,[1]Historical!$B$7:$B$1253,0)))^(1/10)-1)*100)</f>
        <v>3.2173693892471489</v>
      </c>
      <c r="W471" s="163">
        <f t="shared" si="129"/>
        <v>1.0448757159210826</v>
      </c>
      <c r="X471" s="164">
        <f t="shared" si="130"/>
        <v>1.9775006729248183</v>
      </c>
      <c r="Y471" s="184"/>
      <c r="Z471" s="187">
        <f t="shared" si="131"/>
        <v>128.65497076023394</v>
      </c>
      <c r="AA471" s="194">
        <f t="shared" si="132"/>
        <v>24.578947368421055</v>
      </c>
      <c r="AB471" s="189">
        <v>12</v>
      </c>
      <c r="AC471" s="195">
        <v>1.71</v>
      </c>
      <c r="AD471" s="195">
        <v>2.34</v>
      </c>
      <c r="AE471" s="195">
        <v>9.86</v>
      </c>
      <c r="AF471" s="195">
        <v>1.87</v>
      </c>
      <c r="AG471" s="195">
        <v>7.6</v>
      </c>
      <c r="AH471" s="195">
        <v>23.5</v>
      </c>
      <c r="AI471" s="195">
        <v>4.1500000000000004</v>
      </c>
      <c r="AJ471" s="195">
        <v>1.7000000000000002</v>
      </c>
      <c r="AK471" s="195">
        <v>10.459999999999999</v>
      </c>
      <c r="AL471" s="196">
        <v>7380</v>
      </c>
      <c r="AM471" s="197">
        <v>0.4</v>
      </c>
      <c r="AN471" s="195">
        <v>0.97</v>
      </c>
      <c r="AO471" s="198">
        <f t="shared" si="133"/>
        <v>-15.982839812362258</v>
      </c>
      <c r="AP471" s="199">
        <f t="shared" si="134"/>
        <v>8.5961075560587972</v>
      </c>
      <c r="AQ471" s="172">
        <f t="shared" si="135"/>
        <v>42.925981743383311</v>
      </c>
      <c r="AR471" s="157">
        <f>INDEX([1]Historical!$C$7:$C$1231,MATCH(B471,[1]Historical!$B$7:$B$1253,0))*IF(AH471="n/a",1.03,IF(AH471&lt;0,1.01,IF(AH471&gt;10,1.1,(1+AH471/100))))</f>
        <v>2.3100000000000005</v>
      </c>
      <c r="AS471" s="194">
        <f t="shared" si="136"/>
        <v>2.4058650000000008</v>
      </c>
      <c r="AT471" s="194">
        <f t="shared" ref="AT471:AV486" si="141">IF($AK471="n/a",1.03*AS471,IF($AK471&lt;0,1.01*AS471,IF($AK471&gt;10,1.1*AS471,(1+$AK471/100)*AS471)))</f>
        <v>2.6464515000000013</v>
      </c>
      <c r="AU471" s="194">
        <f t="shared" si="141"/>
        <v>2.9110966500000015</v>
      </c>
      <c r="AV471" s="194">
        <f t="shared" si="141"/>
        <v>3.202206315000002</v>
      </c>
      <c r="AW471" s="187">
        <f t="shared" si="138"/>
        <v>13.475619465000005</v>
      </c>
      <c r="AX471" s="200">
        <f t="shared" si="139"/>
        <v>32.061906887937198</v>
      </c>
      <c r="AY471" s="201">
        <v>0.85</v>
      </c>
      <c r="AZ471" s="197">
        <v>10.459999999999999</v>
      </c>
      <c r="BA471" s="197">
        <v>-14.05</v>
      </c>
      <c r="BB471" s="197">
        <v>-0.8</v>
      </c>
      <c r="BC471" s="197">
        <v>-4.05</v>
      </c>
      <c r="BD471" s="296"/>
      <c r="BE471" s="77">
        <v>1990</v>
      </c>
      <c r="BF471" s="77">
        <f t="shared" si="140"/>
        <v>4</v>
      </c>
      <c r="BG471" s="203">
        <v>3.8</v>
      </c>
      <c r="BH471" t="s">
        <v>939</v>
      </c>
      <c r="BI471" t="s">
        <v>945</v>
      </c>
    </row>
    <row r="472" spans="1:64" ht="11.25" customHeight="1" x14ac:dyDescent="0.2">
      <c r="A472" s="176" t="s">
        <v>1546</v>
      </c>
      <c r="B472" s="153" t="s">
        <v>397</v>
      </c>
      <c r="C472" s="154" t="s">
        <v>94</v>
      </c>
      <c r="D472" s="154" t="s">
        <v>1003</v>
      </c>
      <c r="E472" s="155">
        <v>19</v>
      </c>
      <c r="F472" s="298">
        <v>202</v>
      </c>
      <c r="G472" s="298" t="s">
        <v>30</v>
      </c>
      <c r="H472" s="298" t="s">
        <v>30</v>
      </c>
      <c r="I472" s="156">
        <v>549.01</v>
      </c>
      <c r="J472" s="157">
        <f t="shared" si="126"/>
        <v>1.2604506293145845</v>
      </c>
      <c r="K472" s="158">
        <v>1.73</v>
      </c>
      <c r="L472" s="126">
        <v>4</v>
      </c>
      <c r="M472" s="82">
        <f t="shared" si="127"/>
        <v>6.92</v>
      </c>
      <c r="N472" s="159" t="s">
        <v>668</v>
      </c>
      <c r="O472" s="160">
        <v>1.57</v>
      </c>
      <c r="P472" s="161">
        <v>44708</v>
      </c>
      <c r="Q472" s="161">
        <v>44727</v>
      </c>
      <c r="R472" s="82">
        <f t="shared" si="128"/>
        <v>10.191082802547765</v>
      </c>
      <c r="S472" s="162">
        <f>IF(INDEX([1]Historical!$D$7:$D$1229,MATCH(B472,[1]Historical!$B$7:$B$1253,0))=0,"n/a",(INDEX([1]Historical!$C$7:$C$1231,MATCH(B472,[1]Historical!$B$7:$B$1253,0))/INDEX([1]Historical!$D$7:$D$1229,MATCH(B472,[1]Historical!$B$7:$B$1253,0))-1)*100)</f>
        <v>8.6419753086419693</v>
      </c>
      <c r="T472" s="162">
        <f>IF(INDEX([1]Historical!$F$7:$F$1222,MATCH(B472,[1]Historical!$B$7:$B$1253,0))=0,"n/a",((INDEX([1]Historical!$C$7:$C$1231,MATCH(B472,[1]Historical!$B$7:$B$1253,0))/INDEX([1]Historical!$F$7:$F$1222,MATCH(B472,[1]Historical!$B$7:$B$1253,0)))^(1/3)-1)*100)</f>
        <v>9.4361866358755542</v>
      </c>
      <c r="U472" s="162">
        <f>IF(INDEX([1]Historical!$H$7:$H$1222,MATCH(B472,[1]Historical!$B$7:$B$1253,0))=0,"n/a",((INDEX([1]Historical!$C$7:$C$1231,MATCH(B472,[1]Historical!$B$7:$B$1253,0))/INDEX([1]Historical!$H$7:$H$1222,MATCH(B472,[1]Historical!$B$7:$B$1253,0)))^(1/5)-1)*100)</f>
        <v>11.970220528043152</v>
      </c>
      <c r="V472" s="162">
        <f>IF(INDEX([1]Historical!$N$7:$N$1222,MATCH(B472,[1]Historical!$B$7:$B$1253,0))=0,"n/a",((INDEX([1]Historical!$C$7:$C$1231,MATCH(B472,[1]Historical!$B$7:$B$1253,0))/INDEX([1]Historical!$N$7:$N$1222,MATCH(B472,[1]Historical!$B$7:$B$1253,0)))^(1/10)-1)*100)</f>
        <v>12.337048094475222</v>
      </c>
      <c r="W472" s="163">
        <f t="shared" si="129"/>
        <v>0.97026618007622567</v>
      </c>
      <c r="X472" s="164">
        <f t="shared" si="130"/>
        <v>0.3873857776065745</v>
      </c>
      <c r="Y472" s="153"/>
      <c r="Z472" s="157">
        <f t="shared" si="131"/>
        <v>19.670267197271176</v>
      </c>
      <c r="AA472" s="166">
        <f t="shared" si="132"/>
        <v>15.605741898806139</v>
      </c>
      <c r="AB472" s="126">
        <v>12</v>
      </c>
      <c r="AC472" s="167">
        <v>35.18</v>
      </c>
      <c r="AD472" s="167">
        <v>5.19</v>
      </c>
      <c r="AE472" s="167">
        <v>2.35</v>
      </c>
      <c r="AF472" s="167">
        <v>6.08</v>
      </c>
      <c r="AG472" s="167">
        <v>41.099999999999994</v>
      </c>
      <c r="AH472" s="167">
        <v>128.80000000000001</v>
      </c>
      <c r="AI472" s="167">
        <v>0</v>
      </c>
      <c r="AJ472" s="167">
        <v>30.9</v>
      </c>
      <c r="AK472" s="167">
        <v>3</v>
      </c>
      <c r="AL472" s="168">
        <v>82850</v>
      </c>
      <c r="AM472" s="169">
        <v>0.2</v>
      </c>
      <c r="AN472" s="167">
        <v>0.92</v>
      </c>
      <c r="AO472" s="170">
        <f t="shared" si="133"/>
        <v>-2.3750707414484022</v>
      </c>
      <c r="AP472" s="171">
        <f t="shared" si="134"/>
        <v>13.230671157357737</v>
      </c>
      <c r="AQ472" s="172">
        <f t="shared" si="135"/>
        <v>105.35379848743575</v>
      </c>
      <c r="AR472" s="157">
        <f>INDEX([1]Historical!$C$7:$C$1231,MATCH(B472,[1]Historical!$B$7:$B$1253,0))*IF(AH472="n/a",1.03,IF(AH472&lt;0,1.01,IF(AH472&gt;10,1.1,(1+AH472/100))))</f>
        <v>6.7760000000000007</v>
      </c>
      <c r="AS472" s="166">
        <f t="shared" si="136"/>
        <v>6.7760000000000007</v>
      </c>
      <c r="AT472" s="166">
        <f t="shared" si="141"/>
        <v>6.979280000000001</v>
      </c>
      <c r="AU472" s="166">
        <f t="shared" si="141"/>
        <v>7.1886584000000013</v>
      </c>
      <c r="AV472" s="166">
        <f t="shared" si="141"/>
        <v>7.4043181520000019</v>
      </c>
      <c r="AW472" s="157">
        <f t="shared" si="138"/>
        <v>35.124256552000006</v>
      </c>
      <c r="AX472" s="173">
        <f t="shared" si="139"/>
        <v>6.397744403927069</v>
      </c>
      <c r="AY472" s="174">
        <v>0.62</v>
      </c>
      <c r="AZ472" s="169">
        <v>58.720000000000006</v>
      </c>
      <c r="BA472" s="169">
        <v>-1.31</v>
      </c>
      <c r="BB472" s="169">
        <v>11.53</v>
      </c>
      <c r="BC472" s="169">
        <v>20.010000000000002</v>
      </c>
      <c r="BE472" s="77">
        <v>2004</v>
      </c>
      <c r="BF472" s="77">
        <f t="shared" si="140"/>
        <v>2</v>
      </c>
      <c r="BG472" s="175">
        <v>13.100000000000001</v>
      </c>
      <c r="BH472" t="s">
        <v>939</v>
      </c>
      <c r="BI472" t="s">
        <v>940</v>
      </c>
    </row>
    <row r="473" spans="1:64" ht="11.25" customHeight="1" x14ac:dyDescent="0.2">
      <c r="A473" s="205" t="s">
        <v>1547</v>
      </c>
      <c r="B473" s="153" t="s">
        <v>1155</v>
      </c>
      <c r="C473" s="154" t="s">
        <v>94</v>
      </c>
      <c r="D473" s="154" t="s">
        <v>101</v>
      </c>
      <c r="E473" s="155">
        <v>8</v>
      </c>
      <c r="F473" s="298">
        <v>581</v>
      </c>
      <c r="G473" s="298" t="s">
        <v>88</v>
      </c>
      <c r="H473" s="298" t="s">
        <v>88</v>
      </c>
      <c r="I473" s="156">
        <v>106.5</v>
      </c>
      <c r="J473" s="157">
        <f t="shared" si="126"/>
        <v>1.051643192488263</v>
      </c>
      <c r="K473" s="158">
        <v>0.28000000000000003</v>
      </c>
      <c r="L473" s="126">
        <v>4</v>
      </c>
      <c r="M473" s="82">
        <f t="shared" si="127"/>
        <v>1.1200000000000001</v>
      </c>
      <c r="N473" s="159" t="s">
        <v>231</v>
      </c>
      <c r="O473" s="160">
        <v>0.27</v>
      </c>
      <c r="P473" s="161">
        <v>44621</v>
      </c>
      <c r="Q473" s="161">
        <v>44636</v>
      </c>
      <c r="R473" s="82">
        <f t="shared" si="128"/>
        <v>3.7037037037037068</v>
      </c>
      <c r="S473" s="162">
        <f>IF(INDEX([1]Historical!$D$7:$D$1229,MATCH(B473,[1]Historical!$B$7:$B$1253,0))=0,"n/a",(INDEX([1]Historical!$C$7:$C$1231,MATCH(B473,[1]Historical!$B$7:$B$1253,0))/INDEX([1]Historical!$D$7:$D$1229,MATCH(B473,[1]Historical!$B$7:$B$1253,0))-1)*100)</f>
        <v>3.8461538461538547</v>
      </c>
      <c r="T473" s="162">
        <f>IF(INDEX([1]Historical!$F$7:$F$1222,MATCH(B473,[1]Historical!$B$7:$B$1253,0))=0,"n/a",((INDEX([1]Historical!$C$7:$C$1231,MATCH(B473,[1]Historical!$B$7:$B$1253,0))/INDEX([1]Historical!$F$7:$F$1222,MATCH(B473,[1]Historical!$B$7:$B$1253,0)))^(1/3)-1)*100)</f>
        <v>4.0041911525952045</v>
      </c>
      <c r="U473" s="162">
        <f>IF(INDEX([1]Historical!$H$7:$H$1222,MATCH(B473,[1]Historical!$B$7:$B$1253,0))=0,"n/a",((INDEX([1]Historical!$C$7:$C$1231,MATCH(B473,[1]Historical!$B$7:$B$1253,0))/INDEX([1]Historical!$H$7:$H$1222,MATCH(B473,[1]Historical!$B$7:$B$1253,0)))^(1/5)-1)*100)</f>
        <v>5.1547496797280434</v>
      </c>
      <c r="V473" s="162" t="str">
        <f>IF(INDEX([1]Historical!$N$7:$N$1222,MATCH(B473,[1]Historical!$B$7:$B$1253,0))=0,"n/a",((INDEX([1]Historical!$C$7:$C$1231,MATCH(B473,[1]Historical!$B$7:$B$1253,0))/INDEX([1]Historical!$N$7:$N$1222,MATCH(B473,[1]Historical!$B$7:$B$1253,0)))^(1/10)-1)*100)</f>
        <v>n/a</v>
      </c>
      <c r="W473" s="163" t="str">
        <f t="shared" si="129"/>
        <v>n/a</v>
      </c>
      <c r="X473" s="164">
        <f t="shared" si="130"/>
        <v>0.11254911964471709</v>
      </c>
      <c r="Y473" s="178"/>
      <c r="Z473" s="157">
        <f t="shared" si="131"/>
        <v>12.993039443155455</v>
      </c>
      <c r="AA473" s="166">
        <f t="shared" si="132"/>
        <v>12.354988399071926</v>
      </c>
      <c r="AB473" s="126">
        <v>12</v>
      </c>
      <c r="AC473" s="167">
        <v>8.6199999999999992</v>
      </c>
      <c r="AD473" s="167">
        <v>2.44</v>
      </c>
      <c r="AE473" s="167">
        <v>1.76</v>
      </c>
      <c r="AF473" s="167">
        <v>1.75</v>
      </c>
      <c r="AG473" s="167">
        <v>14.499999999999998</v>
      </c>
      <c r="AH473" s="167">
        <v>710.6</v>
      </c>
      <c r="AI473" s="167">
        <v>5.21</v>
      </c>
      <c r="AJ473" s="167">
        <v>45.800000000000004</v>
      </c>
      <c r="AK473" s="167">
        <v>5.0999999999999996</v>
      </c>
      <c r="AL473" s="168">
        <v>2150</v>
      </c>
      <c r="AM473" s="169">
        <v>0.1</v>
      </c>
      <c r="AN473" s="167">
        <v>0.78</v>
      </c>
      <c r="AO473" s="170">
        <f t="shared" si="133"/>
        <v>-6.1485955268556198</v>
      </c>
      <c r="AP473" s="171">
        <f t="shared" si="134"/>
        <v>6.2063928722163064</v>
      </c>
      <c r="AQ473" s="172">
        <f t="shared" si="135"/>
        <v>-1.9722721802632681</v>
      </c>
      <c r="AR473" s="157">
        <f>INDEX([1]Historical!$C$7:$C$1231,MATCH(B473,[1]Historical!$B$7:$B$1253,0))*IF(AH473="n/a",1.03,IF(AH473&lt;0,1.01,IF(AH473&gt;10,1.1,(1+AH473/100))))</f>
        <v>1.1880000000000002</v>
      </c>
      <c r="AS473" s="166">
        <f t="shared" si="136"/>
        <v>1.2498948000000003</v>
      </c>
      <c r="AT473" s="166">
        <f t="shared" si="141"/>
        <v>1.3136394348000002</v>
      </c>
      <c r="AU473" s="166">
        <f t="shared" si="141"/>
        <v>1.3806350459748002</v>
      </c>
      <c r="AV473" s="166">
        <f t="shared" si="141"/>
        <v>1.4510474333195149</v>
      </c>
      <c r="AW473" s="157">
        <f t="shared" si="138"/>
        <v>6.5832167140943163</v>
      </c>
      <c r="AX473" s="173">
        <f t="shared" si="139"/>
        <v>6.1814241446894993</v>
      </c>
      <c r="AY473" s="174">
        <v>1.38</v>
      </c>
      <c r="AZ473" s="169">
        <v>39.869999999999997</v>
      </c>
      <c r="BA473" s="169">
        <v>-9.4600000000000009</v>
      </c>
      <c r="BB473" s="169">
        <v>15.370000000000001</v>
      </c>
      <c r="BC473" s="169">
        <v>11.12</v>
      </c>
      <c r="BE473" s="77">
        <v>2015</v>
      </c>
      <c r="BF473" s="77">
        <f t="shared" si="140"/>
        <v>1</v>
      </c>
      <c r="BG473" s="175">
        <v>6.6000000000000005</v>
      </c>
      <c r="BH473" t="s">
        <v>939</v>
      </c>
      <c r="BI473" t="s">
        <v>940</v>
      </c>
      <c r="BJ473" s="112"/>
      <c r="BK473" s="112"/>
      <c r="BL473" s="112"/>
    </row>
    <row r="474" spans="1:64" ht="11.25" customHeight="1" x14ac:dyDescent="0.2">
      <c r="A474" s="176" t="s">
        <v>1548</v>
      </c>
      <c r="B474" s="153" t="s">
        <v>396</v>
      </c>
      <c r="C474" s="154" t="s">
        <v>90</v>
      </c>
      <c r="D474" s="154" t="s">
        <v>969</v>
      </c>
      <c r="E474" s="155">
        <v>13</v>
      </c>
      <c r="F474" s="298">
        <v>301</v>
      </c>
      <c r="G474" s="298" t="s">
        <v>88</v>
      </c>
      <c r="H474" s="298" t="s">
        <v>88</v>
      </c>
      <c r="I474" s="156">
        <v>48.73</v>
      </c>
      <c r="J474" s="157">
        <f t="shared" si="126"/>
        <v>4.1042478965729527</v>
      </c>
      <c r="K474" s="158">
        <v>0.5</v>
      </c>
      <c r="L474" s="126">
        <v>4</v>
      </c>
      <c r="M474" s="82">
        <f t="shared" si="127"/>
        <v>2</v>
      </c>
      <c r="N474" s="159" t="s">
        <v>186</v>
      </c>
      <c r="O474" s="160">
        <v>0.41</v>
      </c>
      <c r="P474" s="161">
        <v>44811</v>
      </c>
      <c r="Q474" s="161">
        <v>44820</v>
      </c>
      <c r="R474" s="82">
        <f t="shared" si="128"/>
        <v>21.951219512195131</v>
      </c>
      <c r="S474" s="162">
        <f>IF(INDEX([1]Historical!$D$7:$D$1229,MATCH(B474,[1]Historical!$B$7:$B$1253,0))=0,"n/a",(INDEX([1]Historical!$C$7:$C$1231,MATCH(B474,[1]Historical!$B$7:$B$1253,0))/INDEX([1]Historical!$D$7:$D$1229,MATCH(B474,[1]Historical!$B$7:$B$1253,0))-1)*100)</f>
        <v>8.6956521739130608</v>
      </c>
      <c r="T474" s="162">
        <f>IF(INDEX([1]Historical!$F$7:$F$1222,MATCH(B474,[1]Historical!$B$7:$B$1253,0))=0,"n/a",((INDEX([1]Historical!$C$7:$C$1231,MATCH(B474,[1]Historical!$B$7:$B$1253,0))/INDEX([1]Historical!$F$7:$F$1222,MATCH(B474,[1]Historical!$B$7:$B$1253,0)))^(1/3)-1)*100)</f>
        <v>13.718300976297648</v>
      </c>
      <c r="U474" s="162">
        <f>IF(INDEX([1]Historical!$H$7:$H$1222,MATCH(B474,[1]Historical!$B$7:$B$1253,0))=0,"n/a",((INDEX([1]Historical!$C$7:$C$1231,MATCH(B474,[1]Historical!$B$7:$B$1253,0))/INDEX([1]Historical!$H$7:$H$1222,MATCH(B474,[1]Historical!$B$7:$B$1253,0)))^(1/5)-1)*100)</f>
        <v>13.972304907201583</v>
      </c>
      <c r="V474" s="162">
        <f>IF(INDEX([1]Historical!$N$7:$N$1222,MATCH(B474,[1]Historical!$B$7:$B$1253,0))=0,"n/a",((INDEX([1]Historical!$C$7:$C$1231,MATCH(B474,[1]Historical!$B$7:$B$1253,0))/INDEX([1]Historical!$N$7:$N$1222,MATCH(B474,[1]Historical!$B$7:$B$1253,0)))^(1/10)-1)*100)</f>
        <v>11.612317403390438</v>
      </c>
      <c r="W474" s="163">
        <f t="shared" si="129"/>
        <v>1.2032313983358827</v>
      </c>
      <c r="X474" s="164">
        <f t="shared" si="130"/>
        <v>0.58707163475636903</v>
      </c>
      <c r="Y474" s="153"/>
      <c r="Z474" s="157">
        <f t="shared" si="131"/>
        <v>39.138943248532286</v>
      </c>
      <c r="AA474" s="166">
        <f t="shared" si="132"/>
        <v>9.5362035225048913</v>
      </c>
      <c r="AB474" s="126">
        <v>12</v>
      </c>
      <c r="AC474" s="167">
        <v>5.1100000000000003</v>
      </c>
      <c r="AD474" s="167" t="s">
        <v>95</v>
      </c>
      <c r="AE474" s="167">
        <v>2.86</v>
      </c>
      <c r="AF474" s="167">
        <v>1.29</v>
      </c>
      <c r="AG474" s="167">
        <v>14.099999999999998</v>
      </c>
      <c r="AH474" s="167">
        <v>17.399999999999999</v>
      </c>
      <c r="AI474" s="167">
        <v>29.959999999999997</v>
      </c>
      <c r="AJ474" s="167">
        <v>23.799999999999997</v>
      </c>
      <c r="AK474" s="167" t="s">
        <v>95</v>
      </c>
      <c r="AL474" s="168">
        <v>266.20999999999998</v>
      </c>
      <c r="AM474" s="169">
        <v>0.89999999999999991</v>
      </c>
      <c r="AN474" s="167">
        <v>0.05</v>
      </c>
      <c r="AO474" s="170">
        <f t="shared" si="133"/>
        <v>8.5403492812696449</v>
      </c>
      <c r="AP474" s="171">
        <f t="shared" si="134"/>
        <v>18.076552803774536</v>
      </c>
      <c r="AQ474" s="172">
        <f t="shared" si="135"/>
        <v>-26.057973026817795</v>
      </c>
      <c r="AR474" s="157">
        <f>INDEX([1]Historical!$C$7:$C$1231,MATCH(B474,[1]Historical!$B$7:$B$1253,0))*IF(AH474="n/a",1.03,IF(AH474&lt;0,1.01,IF(AH474&gt;10,1.1,(1+AH474/100))))</f>
        <v>1.6500000000000001</v>
      </c>
      <c r="AS474" s="166">
        <f t="shared" si="136"/>
        <v>1.8150000000000004</v>
      </c>
      <c r="AT474" s="166">
        <f t="shared" si="141"/>
        <v>1.8694500000000005</v>
      </c>
      <c r="AU474" s="166">
        <f t="shared" si="141"/>
        <v>1.9255335000000007</v>
      </c>
      <c r="AV474" s="166">
        <f t="shared" si="141"/>
        <v>1.9832995050000009</v>
      </c>
      <c r="AW474" s="157">
        <f t="shared" si="138"/>
        <v>9.2432830050000039</v>
      </c>
      <c r="AX474" s="173">
        <f t="shared" si="139"/>
        <v>18.968362415349898</v>
      </c>
      <c r="AY474" s="174">
        <v>0.65</v>
      </c>
      <c r="AZ474" s="169">
        <v>26.83</v>
      </c>
      <c r="BA474" s="169">
        <v>0.64</v>
      </c>
      <c r="BB474" s="169">
        <v>15.409999999999998</v>
      </c>
      <c r="BC474" s="169">
        <v>15.76</v>
      </c>
      <c r="BE474" s="77">
        <v>2010</v>
      </c>
      <c r="BF474" s="77">
        <f t="shared" si="140"/>
        <v>1</v>
      </c>
      <c r="BG474" s="175">
        <v>1.2</v>
      </c>
      <c r="BH474" t="s">
        <v>939</v>
      </c>
      <c r="BI474" t="s">
        <v>940</v>
      </c>
    </row>
    <row r="475" spans="1:64" ht="11.25" customHeight="1" x14ac:dyDescent="0.2">
      <c r="A475" s="205" t="s">
        <v>1156</v>
      </c>
      <c r="B475" s="153" t="s">
        <v>1157</v>
      </c>
      <c r="C475" s="154" t="s">
        <v>947</v>
      </c>
      <c r="D475" s="154" t="s">
        <v>948</v>
      </c>
      <c r="E475" s="155">
        <v>8</v>
      </c>
      <c r="F475" s="298">
        <v>594</v>
      </c>
      <c r="G475" s="298" t="s">
        <v>88</v>
      </c>
      <c r="H475" s="298" t="s">
        <v>88</v>
      </c>
      <c r="I475" s="156">
        <v>42.66</v>
      </c>
      <c r="J475" s="157">
        <f t="shared" si="126"/>
        <v>5.1570557899671829</v>
      </c>
      <c r="K475" s="158">
        <v>0.55000000000000004</v>
      </c>
      <c r="L475" s="126">
        <v>4</v>
      </c>
      <c r="M475" s="82">
        <f t="shared" si="127"/>
        <v>2.2000000000000002</v>
      </c>
      <c r="N475" s="159" t="s">
        <v>119</v>
      </c>
      <c r="O475" s="160">
        <v>0.5</v>
      </c>
      <c r="P475" s="161">
        <v>44726</v>
      </c>
      <c r="Q475" s="161">
        <v>44742</v>
      </c>
      <c r="R475" s="82">
        <f t="shared" si="128"/>
        <v>10.000000000000009</v>
      </c>
      <c r="S475" s="162">
        <f>IF(INDEX([1]Historical!$D$7:$D$1229,MATCH(B475,[1]Historical!$B$7:$B$1253,0))=0,"n/a",(INDEX([1]Historical!$C$7:$C$1231,MATCH(B475,[1]Historical!$B$7:$B$1253,0))/INDEX([1]Historical!$D$7:$D$1229,MATCH(B475,[1]Historical!$B$7:$B$1253,0))-1)*100)</f>
        <v>17.777777777777782</v>
      </c>
      <c r="T475" s="162">
        <f>IF(INDEX([1]Historical!$F$7:$F$1222,MATCH(B475,[1]Historical!$B$7:$B$1253,0))=0,"n/a",((INDEX([1]Historical!$C$7:$C$1231,MATCH(B475,[1]Historical!$B$7:$B$1253,0))/INDEX([1]Historical!$F$7:$F$1222,MATCH(B475,[1]Historical!$B$7:$B$1253,0)))^(1/3)-1)*100)</f>
        <v>11.082687493230781</v>
      </c>
      <c r="U475" s="162">
        <f>IF(INDEX([1]Historical!$H$7:$H$1222,MATCH(B475,[1]Historical!$B$7:$B$1253,0))=0,"n/a",((INDEX([1]Historical!$C$7:$C$1231,MATCH(B475,[1]Historical!$B$7:$B$1253,0))/INDEX([1]Historical!$H$7:$H$1222,MATCH(B475,[1]Historical!$B$7:$B$1253,0)))^(1/5)-1)*100)</f>
        <v>12.559690542635039</v>
      </c>
      <c r="V475" s="162" t="str">
        <f>IF(INDEX([1]Historical!$N$7:$N$1222,MATCH(B475,[1]Historical!$B$7:$B$1253,0))=0,"n/a",((INDEX([1]Historical!$C$7:$C$1231,MATCH(B475,[1]Historical!$B$7:$B$1253,0))/INDEX([1]Historical!$N$7:$N$1222,MATCH(B475,[1]Historical!$B$7:$B$1253,0)))^(1/10)-1)*100)</f>
        <v>n/a</v>
      </c>
      <c r="W475" s="163" t="str">
        <f t="shared" si="129"/>
        <v>n/a</v>
      </c>
      <c r="X475" s="164">
        <f t="shared" si="130"/>
        <v>0.49061291182168121</v>
      </c>
      <c r="Y475" s="178"/>
      <c r="Z475" s="157">
        <f t="shared" si="131"/>
        <v>217.82178217821783</v>
      </c>
      <c r="AA475" s="166">
        <f t="shared" si="132"/>
        <v>42.237623762376231</v>
      </c>
      <c r="AB475" s="126">
        <v>12</v>
      </c>
      <c r="AC475" s="167">
        <v>1.01</v>
      </c>
      <c r="AD475" s="167">
        <v>3.84</v>
      </c>
      <c r="AE475" s="167">
        <v>5.34</v>
      </c>
      <c r="AF475" s="167">
        <v>2.57</v>
      </c>
      <c r="AG475" s="167">
        <v>6.2</v>
      </c>
      <c r="AH475" s="167">
        <v>84.7</v>
      </c>
      <c r="AI475" s="167">
        <v>49.32</v>
      </c>
      <c r="AJ475" s="167">
        <v>25.6</v>
      </c>
      <c r="AK475" s="167">
        <v>11</v>
      </c>
      <c r="AL475" s="168">
        <v>3800</v>
      </c>
      <c r="AM475" s="169">
        <v>7.5</v>
      </c>
      <c r="AN475" s="167">
        <v>2.06</v>
      </c>
      <c r="AO475" s="170">
        <f t="shared" si="133"/>
        <v>-24.520877429774011</v>
      </c>
      <c r="AP475" s="171">
        <f t="shared" si="134"/>
        <v>17.71674633260222</v>
      </c>
      <c r="AQ475" s="172">
        <f t="shared" si="135"/>
        <v>119.64688132374542</v>
      </c>
      <c r="AR475" s="157">
        <f>INDEX([1]Historical!$C$7:$C$1231,MATCH(B475,[1]Historical!$B$7:$B$1253,0))*IF(AH475="n/a",1.03,IF(AH475&lt;0,1.01,IF(AH475&gt;10,1.1,(1+AH475/100))))</f>
        <v>1.7490000000000003</v>
      </c>
      <c r="AS475" s="166">
        <f t="shared" si="136"/>
        <v>1.9239000000000006</v>
      </c>
      <c r="AT475" s="166">
        <f t="shared" si="141"/>
        <v>2.1162900000000007</v>
      </c>
      <c r="AU475" s="166">
        <f t="shared" si="141"/>
        <v>2.327919000000001</v>
      </c>
      <c r="AV475" s="166">
        <f t="shared" si="141"/>
        <v>2.5607109000000015</v>
      </c>
      <c r="AW475" s="157">
        <f t="shared" si="138"/>
        <v>10.677819900000005</v>
      </c>
      <c r="AX475" s="173">
        <f t="shared" si="139"/>
        <v>25.030051336146286</v>
      </c>
      <c r="AY475" s="174">
        <v>0.71</v>
      </c>
      <c r="AZ475" s="169">
        <v>10.780000000000001</v>
      </c>
      <c r="BA475" s="169">
        <v>-39.090000000000003</v>
      </c>
      <c r="BB475" s="169">
        <v>-6.23</v>
      </c>
      <c r="BC475" s="169">
        <v>-20.560000000000002</v>
      </c>
      <c r="BE475" s="77">
        <v>2015</v>
      </c>
      <c r="BF475" s="77">
        <f t="shared" si="140"/>
        <v>1</v>
      </c>
      <c r="BG475" s="175">
        <v>1.7000000000000002</v>
      </c>
      <c r="BH475" t="s">
        <v>939</v>
      </c>
      <c r="BI475" t="s">
        <v>945</v>
      </c>
      <c r="BJ475" s="112"/>
      <c r="BK475" s="112"/>
      <c r="BL475" s="112"/>
    </row>
    <row r="476" spans="1:64" ht="11.25" customHeight="1" x14ac:dyDescent="0.2">
      <c r="A476" s="205" t="s">
        <v>1158</v>
      </c>
      <c r="B476" s="153" t="s">
        <v>1159</v>
      </c>
      <c r="C476" s="154" t="s">
        <v>94</v>
      </c>
      <c r="D476" s="154" t="s">
        <v>1022</v>
      </c>
      <c r="E476" s="155">
        <v>6</v>
      </c>
      <c r="F476" s="298">
        <v>657</v>
      </c>
      <c r="G476" s="298" t="s">
        <v>88</v>
      </c>
      <c r="H476" s="298" t="s">
        <v>88</v>
      </c>
      <c r="I476" s="156">
        <v>228.07</v>
      </c>
      <c r="J476" s="157">
        <f t="shared" si="126"/>
        <v>2.1747709036699261</v>
      </c>
      <c r="K476" s="158">
        <v>1.24</v>
      </c>
      <c r="L476" s="126">
        <v>4</v>
      </c>
      <c r="M476" s="82">
        <f t="shared" si="127"/>
        <v>4.96</v>
      </c>
      <c r="N476" s="159" t="s">
        <v>151</v>
      </c>
      <c r="O476" s="160">
        <v>1.0900000000000001</v>
      </c>
      <c r="P476" s="161">
        <v>44595</v>
      </c>
      <c r="Q476" s="161">
        <v>44613</v>
      </c>
      <c r="R476" s="82">
        <f t="shared" si="128"/>
        <v>13.761467889908246</v>
      </c>
      <c r="S476" s="162">
        <f>IF(INDEX([1]Historical!$D$7:$D$1229,MATCH(B476,[1]Historical!$B$7:$B$1253,0))=0,"n/a",(INDEX([1]Historical!$C$7:$C$1231,MATCH(B476,[1]Historical!$B$7:$B$1253,0))/INDEX([1]Historical!$D$7:$D$1229,MATCH(B476,[1]Historical!$B$7:$B$1253,0))-1)*100)</f>
        <v>10.638297872340431</v>
      </c>
      <c r="T476" s="162">
        <f>IF(INDEX([1]Historical!$F$7:$F$1222,MATCH(B476,[1]Historical!$B$7:$B$1253,0))=0,"n/a",((INDEX([1]Historical!$C$7:$C$1231,MATCH(B476,[1]Historical!$B$7:$B$1253,0))/INDEX([1]Historical!$F$7:$F$1222,MATCH(B476,[1]Historical!$B$7:$B$1253,0)))^(1/3)-1)*100)</f>
        <v>11.021370033491195</v>
      </c>
      <c r="U476" s="162">
        <f>IF(INDEX([1]Historical!$H$7:$H$1222,MATCH(B476,[1]Historical!$B$7:$B$1253,0))=0,"n/a",((INDEX([1]Historical!$C$7:$C$1231,MATCH(B476,[1]Historical!$B$7:$B$1253,0))/INDEX([1]Historical!$H$7:$H$1222,MATCH(B476,[1]Historical!$B$7:$B$1253,0)))^(1/5)-1)*100)</f>
        <v>12.004704741706673</v>
      </c>
      <c r="V476" s="162">
        <f>IF(INDEX([1]Historical!$N$7:$N$1222,MATCH(B476,[1]Historical!$B$7:$B$1253,0))=0,"n/a",((INDEX([1]Historical!$C$7:$C$1231,MATCH(B476,[1]Historical!$B$7:$B$1253,0))/INDEX([1]Historical!$N$7:$N$1222,MATCH(B476,[1]Historical!$B$7:$B$1253,0)))^(1/10)-1)*100)</f>
        <v>9.6222026782419654</v>
      </c>
      <c r="W476" s="163">
        <f t="shared" si="129"/>
        <v>1.2476046434619485</v>
      </c>
      <c r="X476" s="164">
        <f t="shared" si="130"/>
        <v>0.72317498444016093</v>
      </c>
      <c r="Y476" s="180"/>
      <c r="Z476" s="157">
        <f t="shared" si="131"/>
        <v>36.49742457689478</v>
      </c>
      <c r="AA476" s="166">
        <f t="shared" si="132"/>
        <v>16.782192788815305</v>
      </c>
      <c r="AB476" s="126">
        <v>12</v>
      </c>
      <c r="AC476" s="167">
        <v>13.59</v>
      </c>
      <c r="AD476" s="167">
        <v>1.75</v>
      </c>
      <c r="AE476" s="167">
        <v>4.1900000000000004</v>
      </c>
      <c r="AF476" s="167">
        <v>4.0999999999999996</v>
      </c>
      <c r="AG476" s="167">
        <v>24.3</v>
      </c>
      <c r="AH476" s="167">
        <v>54.500000000000007</v>
      </c>
      <c r="AI476" s="167">
        <v>2.68</v>
      </c>
      <c r="AJ476" s="167">
        <v>16.600000000000001</v>
      </c>
      <c r="AK476" s="167">
        <v>9.65</v>
      </c>
      <c r="AL476" s="168">
        <v>51770</v>
      </c>
      <c r="AM476" s="169">
        <v>0.1</v>
      </c>
      <c r="AN476" s="167">
        <v>1.1599999999999999</v>
      </c>
      <c r="AO476" s="170">
        <f t="shared" si="133"/>
        <v>-2.6027171434387064</v>
      </c>
      <c r="AP476" s="171">
        <f t="shared" si="134"/>
        <v>14.179475645376598</v>
      </c>
      <c r="AQ476" s="172">
        <f t="shared" si="135"/>
        <v>74.873910682516566</v>
      </c>
      <c r="AR476" s="157">
        <f>INDEX([1]Historical!$C$7:$C$1231,MATCH(B476,[1]Historical!$B$7:$B$1253,0))*IF(AH476="n/a",1.03,IF(AH476&lt;0,1.01,IF(AH476&gt;10,1.1,(1+AH476/100))))</f>
        <v>4.5760000000000005</v>
      </c>
      <c r="AS476" s="166">
        <f t="shared" si="136"/>
        <v>4.6986368000000001</v>
      </c>
      <c r="AT476" s="166">
        <f t="shared" si="141"/>
        <v>5.1520552512000002</v>
      </c>
      <c r="AU476" s="166">
        <f t="shared" si="141"/>
        <v>5.6492285829408004</v>
      </c>
      <c r="AV476" s="166">
        <f t="shared" si="141"/>
        <v>6.1943791411945881</v>
      </c>
      <c r="AW476" s="157">
        <f t="shared" si="138"/>
        <v>26.270299775335388</v>
      </c>
      <c r="AX476" s="173">
        <f t="shared" si="139"/>
        <v>11.518524915743145</v>
      </c>
      <c r="AY476" s="174">
        <v>1.32</v>
      </c>
      <c r="AZ476" s="169">
        <v>11.99</v>
      </c>
      <c r="BA476" s="169">
        <v>-23.77</v>
      </c>
      <c r="BB476" s="169">
        <v>-0.77</v>
      </c>
      <c r="BC476" s="169">
        <v>-8.2199999999999989</v>
      </c>
      <c r="BE476" s="77">
        <v>2017</v>
      </c>
      <c r="BF476" s="77">
        <f t="shared" si="140"/>
        <v>1</v>
      </c>
      <c r="BG476" s="175">
        <v>8.3000000000000007</v>
      </c>
      <c r="BH476" t="s">
        <v>939</v>
      </c>
      <c r="BI476" t="s">
        <v>940</v>
      </c>
      <c r="BJ476" s="112"/>
      <c r="BK476" s="112"/>
      <c r="BL476" s="112"/>
    </row>
    <row r="477" spans="1:64" ht="11.25" customHeight="1" x14ac:dyDescent="0.2">
      <c r="A477" s="112" t="s">
        <v>1549</v>
      </c>
      <c r="B477" s="153" t="s">
        <v>627</v>
      </c>
      <c r="C477" s="154" t="s">
        <v>94</v>
      </c>
      <c r="D477" s="154" t="s">
        <v>1031</v>
      </c>
      <c r="E477" s="155">
        <v>12</v>
      </c>
      <c r="F477" s="298">
        <v>369</v>
      </c>
      <c r="G477" s="298" t="s">
        <v>88</v>
      </c>
      <c r="H477" s="298" t="s">
        <v>88</v>
      </c>
      <c r="I477" s="156">
        <v>118.02</v>
      </c>
      <c r="J477" s="157">
        <f t="shared" si="126"/>
        <v>1.7624131503135063</v>
      </c>
      <c r="K477" s="158">
        <v>0.52</v>
      </c>
      <c r="L477" s="126">
        <v>4</v>
      </c>
      <c r="M477" s="82">
        <f t="shared" si="127"/>
        <v>2.08</v>
      </c>
      <c r="N477" s="159" t="s">
        <v>549</v>
      </c>
      <c r="O477" s="160">
        <v>0.45</v>
      </c>
      <c r="P477" s="161">
        <v>44720</v>
      </c>
      <c r="Q477" s="161">
        <v>44735</v>
      </c>
      <c r="R477" s="82">
        <f t="shared" si="128"/>
        <v>15.555555555555555</v>
      </c>
      <c r="S477" s="162">
        <f>IF(INDEX([1]Historical!$D$7:$D$1229,MATCH(B477,[1]Historical!$B$7:$B$1253,0))=0,"n/a",(INDEX([1]Historical!$C$7:$C$1231,MATCH(B477,[1]Historical!$B$7:$B$1253,0))/INDEX([1]Historical!$D$7:$D$1229,MATCH(B477,[1]Historical!$B$7:$B$1253,0))-1)*100)</f>
        <v>9.375</v>
      </c>
      <c r="T477" s="162">
        <f>IF(INDEX([1]Historical!$F$7:$F$1222,MATCH(B477,[1]Historical!$B$7:$B$1253,0))=0,"n/a",((INDEX([1]Historical!$C$7:$C$1231,MATCH(B477,[1]Historical!$B$7:$B$1253,0))/INDEX([1]Historical!$F$7:$F$1222,MATCH(B477,[1]Historical!$B$7:$B$1253,0)))^(1/3)-1)*100)</f>
        <v>29.812352546277587</v>
      </c>
      <c r="U477" s="162">
        <f>IF(INDEX([1]Historical!$H$7:$H$1222,MATCH(B477,[1]Historical!$B$7:$B$1253,0))=0,"n/a",((INDEX([1]Historical!$C$7:$C$1231,MATCH(B477,[1]Historical!$B$7:$B$1253,0))/INDEX([1]Historical!$H$7:$H$1222,MATCH(B477,[1]Historical!$B$7:$B$1253,0)))^(1/5)-1)*100)</f>
        <v>29.258544715010217</v>
      </c>
      <c r="V477" s="162">
        <f>IF(INDEX([1]Historical!$N$7:$N$1222,MATCH(B477,[1]Historical!$B$7:$B$1253,0))=0,"n/a",((INDEX([1]Historical!$C$7:$C$1231,MATCH(B477,[1]Historical!$B$7:$B$1253,0))/INDEX([1]Historical!$N$7:$N$1222,MATCH(B477,[1]Historical!$B$7:$B$1253,0)))^(1/10)-1)*100)</f>
        <v>19.286605283985047</v>
      </c>
      <c r="W477" s="163">
        <f t="shared" si="129"/>
        <v>1.5170396388682013</v>
      </c>
      <c r="X477" s="164">
        <f t="shared" si="130"/>
        <v>1.8755477381416805</v>
      </c>
      <c r="Y477" s="165"/>
      <c r="Z477" s="157">
        <f t="shared" si="131"/>
        <v>57.300275482093667</v>
      </c>
      <c r="AA477" s="166">
        <f t="shared" si="132"/>
        <v>32.512396694214878</v>
      </c>
      <c r="AB477" s="126">
        <v>12</v>
      </c>
      <c r="AC477" s="167">
        <v>3.63</v>
      </c>
      <c r="AD477" s="167">
        <v>1.97</v>
      </c>
      <c r="AE477" s="167">
        <v>0.74</v>
      </c>
      <c r="AF477" s="167">
        <v>116.46</v>
      </c>
      <c r="AG477" s="179">
        <v>341.8</v>
      </c>
      <c r="AH477" s="167">
        <v>-10.100000000000001</v>
      </c>
      <c r="AI477" s="167">
        <v>7.89</v>
      </c>
      <c r="AJ477" s="167">
        <v>15.6</v>
      </c>
      <c r="AK477" s="167">
        <v>15</v>
      </c>
      <c r="AL477" s="168">
        <v>4070.0000000000005</v>
      </c>
      <c r="AM477" s="169">
        <v>2.2999999999999998</v>
      </c>
      <c r="AN477" s="167">
        <v>10.52</v>
      </c>
      <c r="AO477" s="170">
        <f t="shared" si="133"/>
        <v>-1.4914388288911553</v>
      </c>
      <c r="AP477" s="171">
        <f t="shared" si="134"/>
        <v>31.020957865323723</v>
      </c>
      <c r="AQ477" s="172">
        <f t="shared" si="135"/>
        <v>1197.2438679340758</v>
      </c>
      <c r="AR477" s="157">
        <f>INDEX([1]Historical!$C$7:$C$1231,MATCH(B477,[1]Historical!$B$7:$B$1253,0))*IF(AH477="n/a",1.03,IF(AH477&lt;0,1.01,IF(AH477&gt;10,1.1,(1+AH477/100))))</f>
        <v>1.7675000000000001</v>
      </c>
      <c r="AS477" s="166">
        <f t="shared" si="136"/>
        <v>1.9069557500000001</v>
      </c>
      <c r="AT477" s="166">
        <f t="shared" si="141"/>
        <v>2.0976513250000002</v>
      </c>
      <c r="AU477" s="166">
        <f t="shared" si="141"/>
        <v>2.3074164575000005</v>
      </c>
      <c r="AV477" s="166">
        <f t="shared" si="141"/>
        <v>2.5381581032500007</v>
      </c>
      <c r="AW477" s="157">
        <f t="shared" si="138"/>
        <v>10.617681635750003</v>
      </c>
      <c r="AX477" s="173">
        <f t="shared" si="139"/>
        <v>8.9965104522538581</v>
      </c>
      <c r="AY477" s="174">
        <v>1.29</v>
      </c>
      <c r="AZ477" s="169">
        <v>40.6</v>
      </c>
      <c r="BA477" s="169">
        <v>-7.1499999999999995</v>
      </c>
      <c r="BB477" s="169">
        <v>9.19</v>
      </c>
      <c r="BC477" s="169">
        <v>15.459999999999999</v>
      </c>
      <c r="BE477" s="77">
        <v>2011</v>
      </c>
      <c r="BF477" s="77">
        <f t="shared" si="140"/>
        <v>1</v>
      </c>
      <c r="BG477" s="175">
        <v>7.7</v>
      </c>
      <c r="BH477" t="s">
        <v>939</v>
      </c>
      <c r="BI477" t="s">
        <v>940</v>
      </c>
    </row>
    <row r="478" spans="1:64" ht="11.25" customHeight="1" x14ac:dyDescent="0.2">
      <c r="A478" s="176" t="s">
        <v>1550</v>
      </c>
      <c r="B478" s="153" t="s">
        <v>822</v>
      </c>
      <c r="C478" s="154" t="s">
        <v>922</v>
      </c>
      <c r="D478" s="154" t="s">
        <v>941</v>
      </c>
      <c r="E478" s="155">
        <v>9</v>
      </c>
      <c r="F478" s="298">
        <v>510</v>
      </c>
      <c r="G478" s="298" t="s">
        <v>88</v>
      </c>
      <c r="H478" s="298" t="s">
        <v>88</v>
      </c>
      <c r="I478" s="156">
        <v>69.27</v>
      </c>
      <c r="J478" s="157">
        <f t="shared" si="126"/>
        <v>2.8872527789808</v>
      </c>
      <c r="K478" s="158">
        <v>0.5</v>
      </c>
      <c r="L478" s="126">
        <v>4</v>
      </c>
      <c r="M478" s="82">
        <f t="shared" si="127"/>
        <v>2</v>
      </c>
      <c r="N478" s="159" t="s">
        <v>534</v>
      </c>
      <c r="O478" s="160">
        <v>0.48</v>
      </c>
      <c r="P478" s="182">
        <v>44385</v>
      </c>
      <c r="Q478" s="182">
        <v>44405</v>
      </c>
      <c r="R478" s="82">
        <f t="shared" si="128"/>
        <v>4.1666666666666705</v>
      </c>
      <c r="S478" s="162">
        <f>IF(INDEX([1]Historical!$D$7:$D$1229,MATCH(B478,[1]Historical!$B$7:$B$1253,0))=0,"n/a",(INDEX([1]Historical!$C$7:$C$1231,MATCH(B478,[1]Historical!$B$7:$B$1253,0))/INDEX([1]Historical!$D$7:$D$1229,MATCH(B478,[1]Historical!$B$7:$B$1253,0))-1)*100)</f>
        <v>2.0833333333333259</v>
      </c>
      <c r="T478" s="162">
        <f>IF(INDEX([1]Historical!$F$7:$F$1222,MATCH(B478,[1]Historical!$B$7:$B$1253,0))=0,"n/a",((INDEX([1]Historical!$C$7:$C$1231,MATCH(B478,[1]Historical!$B$7:$B$1253,0))/INDEX([1]Historical!$F$7:$F$1222,MATCH(B478,[1]Historical!$B$7:$B$1253,0)))^(1/3)-1)*100)</f>
        <v>17.767360601798199</v>
      </c>
      <c r="U478" s="162">
        <f>IF(INDEX([1]Historical!$H$7:$H$1222,MATCH(B478,[1]Historical!$B$7:$B$1253,0))=0,"n/a",((INDEX([1]Historical!$C$7:$C$1231,MATCH(B478,[1]Historical!$B$7:$B$1253,0))/INDEX([1]Historical!$H$7:$H$1222,MATCH(B478,[1]Historical!$B$7:$B$1253,0)))^(1/5)-1)*100)</f>
        <v>21.507999387472655</v>
      </c>
      <c r="V478" s="162" t="str">
        <f>IF(INDEX([1]Historical!$N$7:$N$1222,MATCH(B478,[1]Historical!$B$7:$B$1253,0))=0,"n/a",((INDEX([1]Historical!$C$7:$C$1231,MATCH(B478,[1]Historical!$B$7:$B$1253,0))/INDEX([1]Historical!$N$7:$N$1222,MATCH(B478,[1]Historical!$B$7:$B$1253,0)))^(1/10)-1)*100)</f>
        <v>n/a</v>
      </c>
      <c r="W478" s="163" t="str">
        <f t="shared" si="129"/>
        <v>n/a</v>
      </c>
      <c r="X478" s="164">
        <f t="shared" si="130"/>
        <v>1.1319999677617187</v>
      </c>
      <c r="Y478" s="180"/>
      <c r="Z478" s="157">
        <f t="shared" si="131"/>
        <v>47.961630695443645</v>
      </c>
      <c r="AA478" s="166">
        <f t="shared" si="132"/>
        <v>16.611510791366907</v>
      </c>
      <c r="AB478" s="126">
        <v>4</v>
      </c>
      <c r="AC478" s="167">
        <v>4.17</v>
      </c>
      <c r="AD478" s="167">
        <v>1.66</v>
      </c>
      <c r="AE478" s="167">
        <v>2.27</v>
      </c>
      <c r="AF478" s="167">
        <v>23.21</v>
      </c>
      <c r="AG478" s="167">
        <v>121</v>
      </c>
      <c r="AH478" s="167">
        <v>26.700000000000003</v>
      </c>
      <c r="AI478" s="167">
        <v>8.6999999999999993</v>
      </c>
      <c r="AJ478" s="167">
        <v>19</v>
      </c>
      <c r="AK478" s="167">
        <v>10.02</v>
      </c>
      <c r="AL478" s="168">
        <v>14670</v>
      </c>
      <c r="AM478" s="169">
        <v>0.2</v>
      </c>
      <c r="AN478" s="167">
        <v>4.01</v>
      </c>
      <c r="AO478" s="170">
        <f t="shared" si="133"/>
        <v>7.7837413750865458</v>
      </c>
      <c r="AP478" s="171">
        <f t="shared" si="134"/>
        <v>24.395252166453453</v>
      </c>
      <c r="AQ478" s="172">
        <f t="shared" si="135"/>
        <v>313.95285049152147</v>
      </c>
      <c r="AR478" s="157">
        <f>INDEX([1]Historical!$C$7:$C$1231,MATCH(B478,[1]Historical!$B$7:$B$1253,0))*IF(AH478="n/a",1.03,IF(AH478&lt;0,1.01,IF(AH478&gt;10,1.1,(1+AH478/100))))</f>
        <v>2.1560000000000001</v>
      </c>
      <c r="AS478" s="166">
        <f t="shared" si="136"/>
        <v>2.343572</v>
      </c>
      <c r="AT478" s="166">
        <f t="shared" si="141"/>
        <v>2.5779292000000003</v>
      </c>
      <c r="AU478" s="166">
        <f t="shared" si="141"/>
        <v>2.8357221200000007</v>
      </c>
      <c r="AV478" s="166">
        <f t="shared" si="141"/>
        <v>3.1192943320000008</v>
      </c>
      <c r="AW478" s="157">
        <f t="shared" si="138"/>
        <v>13.032517652000001</v>
      </c>
      <c r="AX478" s="173">
        <f t="shared" si="139"/>
        <v>18.814086403926666</v>
      </c>
      <c r="AY478" s="174">
        <v>1.2</v>
      </c>
      <c r="AZ478" s="169">
        <v>14.38</v>
      </c>
      <c r="BA478" s="169">
        <v>-28.449999999999996</v>
      </c>
      <c r="BB478" s="169">
        <v>2.25</v>
      </c>
      <c r="BC478" s="169">
        <v>-6.74</v>
      </c>
      <c r="BE478" s="77">
        <v>2013</v>
      </c>
      <c r="BF478" s="77">
        <f t="shared" si="140"/>
        <v>1</v>
      </c>
      <c r="BG478" s="175">
        <v>9.9</v>
      </c>
      <c r="BH478" t="s">
        <v>939</v>
      </c>
      <c r="BI478" t="s">
        <v>940</v>
      </c>
      <c r="BJ478" s="112"/>
      <c r="BK478" s="112"/>
      <c r="BL478" s="112"/>
    </row>
    <row r="479" spans="1:64" ht="11.25" customHeight="1" x14ac:dyDescent="0.2">
      <c r="A479" s="112" t="s">
        <v>1551</v>
      </c>
      <c r="B479" s="153" t="s">
        <v>402</v>
      </c>
      <c r="C479" s="154" t="s">
        <v>96</v>
      </c>
      <c r="D479" s="154" t="s">
        <v>956</v>
      </c>
      <c r="E479" s="155">
        <v>49</v>
      </c>
      <c r="F479" s="298">
        <v>45</v>
      </c>
      <c r="G479" s="298" t="s">
        <v>30</v>
      </c>
      <c r="H479" s="298" t="s">
        <v>30</v>
      </c>
      <c r="I479" s="167">
        <v>131.38</v>
      </c>
      <c r="J479" s="157">
        <f t="shared" si="126"/>
        <v>1.5223017202009439</v>
      </c>
      <c r="K479" s="158">
        <v>0.5</v>
      </c>
      <c r="L479" s="126">
        <v>4</v>
      </c>
      <c r="M479" s="82">
        <f t="shared" si="127"/>
        <v>2</v>
      </c>
      <c r="N479" s="159" t="s">
        <v>311</v>
      </c>
      <c r="O479" s="160">
        <v>0.40500000000000003</v>
      </c>
      <c r="P479" s="161">
        <v>44560</v>
      </c>
      <c r="Q479" s="161">
        <v>44603</v>
      </c>
      <c r="R479" s="82">
        <f t="shared" si="128"/>
        <v>23.456790123456784</v>
      </c>
      <c r="S479" s="162">
        <f>IF(INDEX([1]Historical!$D$7:$D$1229,MATCH(B479,[1]Historical!$B$7:$B$1253,0))=0,"n/a",(INDEX([1]Historical!$C$7:$C$1231,MATCH(B479,[1]Historical!$B$7:$B$1253,0))/INDEX([1]Historical!$D$7:$D$1229,MATCH(B479,[1]Historical!$B$7:$B$1253,0))-1)*100)</f>
        <v>0.62111801242235032</v>
      </c>
      <c r="T479" s="162">
        <f>IF(INDEX([1]Historical!$F$7:$F$1222,MATCH(B479,[1]Historical!$B$7:$B$1253,0))=0,"n/a",((INDEX([1]Historical!$C$7:$C$1231,MATCH(B479,[1]Historical!$B$7:$B$1253,0))/INDEX([1]Historical!$F$7:$F$1222,MATCH(B479,[1]Historical!$B$7:$B$1253,0)))^(1/3)-1)*100)</f>
        <v>2.146574918873223</v>
      </c>
      <c r="U479" s="162">
        <f>IF(INDEX([1]Historical!$H$7:$H$1222,MATCH(B479,[1]Historical!$B$7:$B$1253,0))=0,"n/a",((INDEX([1]Historical!$C$7:$C$1231,MATCH(B479,[1]Historical!$B$7:$B$1253,0))/INDEX([1]Historical!$H$7:$H$1222,MATCH(B479,[1]Historical!$B$7:$B$1253,0)))^(1/5)-1)*100)</f>
        <v>1.5511278397481565</v>
      </c>
      <c r="V479" s="162">
        <f>IF(INDEX([1]Historical!$N$7:$N$1222,MATCH(B479,[1]Historical!$B$7:$B$1253,0))=0,"n/a",((INDEX([1]Historical!$C$7:$C$1231,MATCH(B479,[1]Historical!$B$7:$B$1253,0))/INDEX([1]Historical!$N$7:$N$1222,MATCH(B479,[1]Historical!$B$7:$B$1253,0)))^(1/10)-1)*100)</f>
        <v>1.1147939577457411</v>
      </c>
      <c r="W479" s="163">
        <f t="shared" si="129"/>
        <v>1.39140316376018</v>
      </c>
      <c r="X479" s="164">
        <f t="shared" si="130"/>
        <v>2.7551116158937062E-2</v>
      </c>
      <c r="Y479" s="248"/>
      <c r="Z479" s="157">
        <f t="shared" si="131"/>
        <v>6.3151247237132928</v>
      </c>
      <c r="AA479" s="166">
        <f t="shared" si="132"/>
        <v>4.1484054310072622</v>
      </c>
      <c r="AB479" s="126">
        <v>12</v>
      </c>
      <c r="AC479" s="167">
        <v>31.67</v>
      </c>
      <c r="AD479" s="167">
        <v>0.1</v>
      </c>
      <c r="AE479" s="167">
        <v>0.82</v>
      </c>
      <c r="AF479" s="167">
        <v>2.1</v>
      </c>
      <c r="AG479" s="167" t="s">
        <v>95</v>
      </c>
      <c r="AH479" s="167">
        <v>879.5</v>
      </c>
      <c r="AI479" s="167">
        <v>-54.86</v>
      </c>
      <c r="AJ479" s="167">
        <v>56.3</v>
      </c>
      <c r="AK479" s="167">
        <v>40.369999999999997</v>
      </c>
      <c r="AL479" s="168">
        <v>35470</v>
      </c>
      <c r="AM479" s="169">
        <v>0.6</v>
      </c>
      <c r="AN479" s="167">
        <v>0.44</v>
      </c>
      <c r="AO479" s="170">
        <f t="shared" si="133"/>
        <v>-1.0749758710581618</v>
      </c>
      <c r="AP479" s="171">
        <f t="shared" si="134"/>
        <v>3.0734295599491004</v>
      </c>
      <c r="AQ479" s="172">
        <f t="shared" si="135"/>
        <v>-37.775848186253981</v>
      </c>
      <c r="AR479" s="157">
        <f>INDEX([1]Historical!$C$7:$C$1231,MATCH(B479,[1]Historical!$B$7:$B$1253,0))*IF(AH479="n/a",1.03,IF(AH479&lt;0,1.01,IF(AH479&gt;10,1.1,(1+AH479/100))))</f>
        <v>1.7820000000000003</v>
      </c>
      <c r="AS479" s="166">
        <f t="shared" si="136"/>
        <v>1.7998200000000002</v>
      </c>
      <c r="AT479" s="166">
        <f t="shared" si="141"/>
        <v>1.9798020000000003</v>
      </c>
      <c r="AU479" s="166">
        <f t="shared" si="141"/>
        <v>2.1777822000000007</v>
      </c>
      <c r="AV479" s="166">
        <f t="shared" si="141"/>
        <v>2.3955604200000011</v>
      </c>
      <c r="AW479" s="157">
        <f t="shared" si="138"/>
        <v>10.134964620000002</v>
      </c>
      <c r="AX479" s="173">
        <f t="shared" si="139"/>
        <v>7.7142370376008547</v>
      </c>
      <c r="AY479" s="174">
        <v>1.51</v>
      </c>
      <c r="AZ479" s="169">
        <v>48.449999999999996</v>
      </c>
      <c r="BA479" s="169">
        <v>-30.080000000000002</v>
      </c>
      <c r="BB479" s="169">
        <v>4.87</v>
      </c>
      <c r="BC479" s="169">
        <v>2.65</v>
      </c>
      <c r="BE479" s="77">
        <v>1974</v>
      </c>
      <c r="BF479" s="77">
        <f t="shared" si="140"/>
        <v>5</v>
      </c>
      <c r="BG479" s="175" t="s">
        <v>95</v>
      </c>
      <c r="BH479" t="s">
        <v>939</v>
      </c>
      <c r="BI479" t="s">
        <v>940</v>
      </c>
    </row>
    <row r="480" spans="1:64" ht="11.25" customHeight="1" x14ac:dyDescent="0.2">
      <c r="A480" s="176" t="s">
        <v>1552</v>
      </c>
      <c r="B480" s="153" t="s">
        <v>401</v>
      </c>
      <c r="C480" s="154" t="s">
        <v>127</v>
      </c>
      <c r="D480" s="154" t="s">
        <v>235</v>
      </c>
      <c r="E480" s="155">
        <v>22</v>
      </c>
      <c r="F480" s="298">
        <v>158</v>
      </c>
      <c r="G480" s="298" t="s">
        <v>88</v>
      </c>
      <c r="H480" s="298" t="s">
        <v>88</v>
      </c>
      <c r="I480" s="156">
        <v>38.19</v>
      </c>
      <c r="J480" s="157">
        <f t="shared" si="126"/>
        <v>4.032469232783451</v>
      </c>
      <c r="K480" s="158">
        <v>0.38500000000000001</v>
      </c>
      <c r="L480" s="126">
        <v>4</v>
      </c>
      <c r="M480" s="82">
        <f t="shared" si="127"/>
        <v>1.54</v>
      </c>
      <c r="N480" s="159" t="s">
        <v>161</v>
      </c>
      <c r="O480" s="160">
        <v>0.38</v>
      </c>
      <c r="P480" s="161">
        <v>44617</v>
      </c>
      <c r="Q480" s="161">
        <v>44629</v>
      </c>
      <c r="R480" s="82">
        <f t="shared" si="128"/>
        <v>1.3157894736842117</v>
      </c>
      <c r="S480" s="162">
        <f>IF(INDEX([1]Historical!$D$7:$D$1229,MATCH(B480,[1]Historical!$B$7:$B$1253,0))=0,"n/a",(INDEX([1]Historical!$C$7:$C$1231,MATCH(B480,[1]Historical!$B$7:$B$1253,0))/INDEX([1]Historical!$D$7:$D$1229,MATCH(B480,[1]Historical!$B$7:$B$1253,0))-1)*100)</f>
        <v>1.3333333333333419</v>
      </c>
      <c r="T480" s="162">
        <f>IF(INDEX([1]Historical!$F$7:$F$1222,MATCH(B480,[1]Historical!$B$7:$B$1253,0))=0,"n/a",((INDEX([1]Historical!$C$7:$C$1231,MATCH(B480,[1]Historical!$B$7:$B$1253,0))/INDEX([1]Historical!$F$7:$F$1222,MATCH(B480,[1]Historical!$B$7:$B$1253,0)))^(1/3)-1)*100)</f>
        <v>1.3515148022100965</v>
      </c>
      <c r="U480" s="162">
        <f>IF(INDEX([1]Historical!$H$7:$H$1222,MATCH(B480,[1]Historical!$B$7:$B$1253,0))=0,"n/a",((INDEX([1]Historical!$C$7:$C$1231,MATCH(B480,[1]Historical!$B$7:$B$1253,0))/INDEX([1]Historical!$H$7:$H$1222,MATCH(B480,[1]Historical!$B$7:$B$1253,0)))^(1/5)-1)*100)</f>
        <v>1.3703739792310987</v>
      </c>
      <c r="V480" s="162">
        <f>IF(INDEX([1]Historical!$N$7:$N$1222,MATCH(B480,[1]Historical!$B$7:$B$1253,0))=0,"n/a",((INDEX([1]Historical!$C$7:$C$1231,MATCH(B480,[1]Historical!$B$7:$B$1253,0))/INDEX([1]Historical!$N$7:$N$1222,MATCH(B480,[1]Historical!$B$7:$B$1253,0)))^(1/10)-1)*100)</f>
        <v>9.9256791863821192</v>
      </c>
      <c r="W480" s="163">
        <f t="shared" si="129"/>
        <v>0.13806349706640034</v>
      </c>
      <c r="X480" s="164">
        <f t="shared" si="130"/>
        <v>0.59581477357873858</v>
      </c>
      <c r="Y480" s="212"/>
      <c r="Z480" s="157">
        <f t="shared" si="131"/>
        <v>69.683257918552044</v>
      </c>
      <c r="AA480" s="166">
        <f t="shared" si="132"/>
        <v>17.280542986425338</v>
      </c>
      <c r="AB480" s="126">
        <v>12</v>
      </c>
      <c r="AC480" s="167">
        <v>2.21</v>
      </c>
      <c r="AD480" s="167">
        <v>2.66</v>
      </c>
      <c r="AE480" s="167">
        <v>0.79</v>
      </c>
      <c r="AF480" s="167">
        <v>2.15</v>
      </c>
      <c r="AG480" s="167">
        <v>12.2</v>
      </c>
      <c r="AH480" s="167">
        <v>-21</v>
      </c>
      <c r="AI480" s="167">
        <v>9.120000000000001</v>
      </c>
      <c r="AJ480" s="167">
        <v>2.2999999999999998</v>
      </c>
      <c r="AK480" s="167">
        <v>6.81</v>
      </c>
      <c r="AL480" s="168">
        <v>1970</v>
      </c>
      <c r="AM480" s="169">
        <v>0.89999999999999991</v>
      </c>
      <c r="AN480" s="167">
        <v>0.45</v>
      </c>
      <c r="AO480" s="170">
        <f t="shared" si="133"/>
        <v>-11.87769977441079</v>
      </c>
      <c r="AP480" s="171">
        <f t="shared" si="134"/>
        <v>5.4028432120145498</v>
      </c>
      <c r="AQ480" s="172">
        <f t="shared" si="135"/>
        <v>28.501046119069873</v>
      </c>
      <c r="AR480" s="157">
        <f>INDEX([1]Historical!$C$7:$C$1231,MATCH(B480,[1]Historical!$B$7:$B$1253,0))*IF(AH480="n/a",1.03,IF(AH480&lt;0,1.01,IF(AH480&gt;10,1.1,(1+AH480/100))))</f>
        <v>1.5352000000000001</v>
      </c>
      <c r="AS480" s="166">
        <f t="shared" si="136"/>
        <v>1.67521024</v>
      </c>
      <c r="AT480" s="166">
        <f t="shared" si="141"/>
        <v>1.7892920573440001</v>
      </c>
      <c r="AU480" s="166">
        <f t="shared" si="141"/>
        <v>1.9111428464491267</v>
      </c>
      <c r="AV480" s="166">
        <f t="shared" si="141"/>
        <v>2.0412916742923124</v>
      </c>
      <c r="AW480" s="157">
        <f t="shared" si="138"/>
        <v>8.9521368180854388</v>
      </c>
      <c r="AX480" s="173">
        <f t="shared" si="139"/>
        <v>23.44104953675161</v>
      </c>
      <c r="AY480" s="174">
        <v>1.23</v>
      </c>
      <c r="AZ480" s="169">
        <v>14.719999999999999</v>
      </c>
      <c r="BA480" s="169">
        <v>-32.72</v>
      </c>
      <c r="BB480" s="169">
        <v>0.26</v>
      </c>
      <c r="BC480" s="169">
        <v>-14.05</v>
      </c>
      <c r="BE480" s="77">
        <v>2001</v>
      </c>
      <c r="BF480" s="77">
        <f t="shared" si="140"/>
        <v>3</v>
      </c>
      <c r="BG480" s="175">
        <v>5.8999999999999995</v>
      </c>
      <c r="BH480" t="s">
        <v>939</v>
      </c>
      <c r="BI480" t="s">
        <v>940</v>
      </c>
    </row>
    <row r="481" spans="1:64" ht="11.25" customHeight="1" x14ac:dyDescent="0.2">
      <c r="A481" s="112" t="s">
        <v>1553</v>
      </c>
      <c r="B481" s="153" t="s">
        <v>545</v>
      </c>
      <c r="C481" s="154" t="s">
        <v>90</v>
      </c>
      <c r="D481" s="154" t="s">
        <v>959</v>
      </c>
      <c r="E481" s="155">
        <v>12</v>
      </c>
      <c r="F481" s="298">
        <v>309</v>
      </c>
      <c r="G481" s="298" t="s">
        <v>30</v>
      </c>
      <c r="H481" s="298" t="s">
        <v>30</v>
      </c>
      <c r="I481" s="156">
        <v>15.06</v>
      </c>
      <c r="J481" s="157">
        <f t="shared" si="126"/>
        <v>5.3120849933598935</v>
      </c>
      <c r="K481" s="158">
        <v>0.2</v>
      </c>
      <c r="L481" s="126">
        <v>4</v>
      </c>
      <c r="M481" s="82">
        <f t="shared" si="127"/>
        <v>0.8</v>
      </c>
      <c r="N481" s="159" t="s">
        <v>89</v>
      </c>
      <c r="O481" s="160">
        <v>0.19</v>
      </c>
      <c r="P481" s="182">
        <v>44321</v>
      </c>
      <c r="Q481" s="182">
        <v>44333</v>
      </c>
      <c r="R481" s="82">
        <f t="shared" si="128"/>
        <v>5.2631578947368469</v>
      </c>
      <c r="S481" s="162">
        <f>IF(INDEX([1]Historical!$D$7:$D$1229,MATCH(B481,[1]Historical!$B$7:$B$1253,0))=0,"n/a",(INDEX([1]Historical!$C$7:$C$1231,MATCH(B481,[1]Historical!$B$7:$B$1253,0))/INDEX([1]Historical!$D$7:$D$1229,MATCH(B481,[1]Historical!$B$7:$B$1253,0))-1)*100)</f>
        <v>3.9473684210526327</v>
      </c>
      <c r="T481" s="162">
        <f>IF(INDEX([1]Historical!$F$7:$F$1222,MATCH(B481,[1]Historical!$B$7:$B$1253,0))=0,"n/a",((INDEX([1]Historical!$C$7:$C$1231,MATCH(B481,[1]Historical!$B$7:$B$1253,0))/INDEX([1]Historical!$F$7:$F$1222,MATCH(B481,[1]Historical!$B$7:$B$1253,0)))^(1/3)-1)*100)</f>
        <v>5.1250122777545482</v>
      </c>
      <c r="U481" s="162">
        <f>IF(INDEX([1]Historical!$H$7:$H$1222,MATCH(B481,[1]Historical!$B$7:$B$1253,0))=0,"n/a",((INDEX([1]Historical!$C$7:$C$1231,MATCH(B481,[1]Historical!$B$7:$B$1253,0))/INDEX([1]Historical!$H$7:$H$1222,MATCH(B481,[1]Historical!$B$7:$B$1253,0)))^(1/5)-1)*100)</f>
        <v>5.6562440968709549</v>
      </c>
      <c r="V481" s="162">
        <f>IF(INDEX([1]Historical!$N$7:$N$1222,MATCH(B481,[1]Historical!$B$7:$B$1253,0))=0,"n/a",((INDEX([1]Historical!$C$7:$C$1231,MATCH(B481,[1]Historical!$B$7:$B$1253,0))/INDEX([1]Historical!$N$7:$N$1222,MATCH(B481,[1]Historical!$B$7:$B$1253,0)))^(1/10)-1)*100)</f>
        <v>6.271268263592078</v>
      </c>
      <c r="W481" s="163">
        <f t="shared" si="129"/>
        <v>0.90192985838420381</v>
      </c>
      <c r="X481" s="164">
        <f t="shared" si="130"/>
        <v>0.28566889378136134</v>
      </c>
      <c r="Y481" s="165"/>
      <c r="Z481" s="157">
        <f t="shared" si="131"/>
        <v>79.207920792079207</v>
      </c>
      <c r="AA481" s="166">
        <f t="shared" si="132"/>
        <v>14.910891089108912</v>
      </c>
      <c r="AB481" s="126">
        <v>12</v>
      </c>
      <c r="AC481" s="167">
        <v>1.01</v>
      </c>
      <c r="AD481" s="167">
        <v>2.1</v>
      </c>
      <c r="AE481" s="167">
        <v>4.33</v>
      </c>
      <c r="AF481" s="167">
        <v>1.26</v>
      </c>
      <c r="AG481" s="167">
        <v>9.1999999999999993</v>
      </c>
      <c r="AH481" s="167">
        <v>95.199999999999989</v>
      </c>
      <c r="AI481" s="167">
        <v>6.2399999999999993</v>
      </c>
      <c r="AJ481" s="167">
        <v>19.8</v>
      </c>
      <c r="AK481" s="167">
        <v>7.0000000000000009</v>
      </c>
      <c r="AL481" s="168">
        <v>1840</v>
      </c>
      <c r="AM481" s="169">
        <v>0.8</v>
      </c>
      <c r="AN481" s="167">
        <v>0.25</v>
      </c>
      <c r="AO481" s="170">
        <f t="shared" si="133"/>
        <v>-3.9425619988780625</v>
      </c>
      <c r="AP481" s="171">
        <f t="shared" si="134"/>
        <v>10.968329090230849</v>
      </c>
      <c r="AQ481" s="172">
        <f t="shared" si="135"/>
        <v>-8.6211238310462068</v>
      </c>
      <c r="AR481" s="157">
        <f>INDEX([1]Historical!$C$7:$C$1231,MATCH(B481,[1]Historical!$B$7:$B$1253,0))*IF(AH481="n/a",1.03,IF(AH481&lt;0,1.01,IF(AH481&gt;10,1.1,(1+AH481/100))))</f>
        <v>0.86900000000000011</v>
      </c>
      <c r="AS481" s="166">
        <f t="shared" si="136"/>
        <v>0.92322560000000009</v>
      </c>
      <c r="AT481" s="166">
        <f t="shared" si="141"/>
        <v>0.98785139200000016</v>
      </c>
      <c r="AU481" s="166">
        <f t="shared" si="141"/>
        <v>1.0570009894400003</v>
      </c>
      <c r="AV481" s="166">
        <f t="shared" si="141"/>
        <v>1.1309910587008003</v>
      </c>
      <c r="AW481" s="157">
        <f t="shared" si="138"/>
        <v>4.9680690401408008</v>
      </c>
      <c r="AX481" s="173">
        <f t="shared" si="139"/>
        <v>32.988506242634799</v>
      </c>
      <c r="AY481" s="174">
        <v>0.55000000000000004</v>
      </c>
      <c r="AZ481" s="169">
        <v>25.080000000000002</v>
      </c>
      <c r="BA481" s="169">
        <v>-1.05</v>
      </c>
      <c r="BB481" s="169">
        <v>6.78</v>
      </c>
      <c r="BC481" s="169">
        <v>10.73</v>
      </c>
      <c r="BE481" s="77">
        <v>2010</v>
      </c>
      <c r="BF481" s="77">
        <f t="shared" si="140"/>
        <v>1</v>
      </c>
      <c r="BG481" s="175">
        <v>1</v>
      </c>
      <c r="BH481" t="s">
        <v>939</v>
      </c>
      <c r="BI481" t="s">
        <v>940</v>
      </c>
    </row>
    <row r="482" spans="1:64" ht="11.25" customHeight="1" x14ac:dyDescent="0.2">
      <c r="A482" s="176" t="s">
        <v>1554</v>
      </c>
      <c r="B482" s="153" t="s">
        <v>399</v>
      </c>
      <c r="C482" s="154" t="s">
        <v>117</v>
      </c>
      <c r="D482" s="154" t="s">
        <v>953</v>
      </c>
      <c r="E482" s="155">
        <v>18</v>
      </c>
      <c r="F482" s="298">
        <v>213</v>
      </c>
      <c r="G482" s="298" t="s">
        <v>30</v>
      </c>
      <c r="H482" s="298" t="s">
        <v>30</v>
      </c>
      <c r="I482" s="156">
        <v>52.83</v>
      </c>
      <c r="J482" s="157">
        <f t="shared" si="126"/>
        <v>4.7700170357751279</v>
      </c>
      <c r="K482" s="158">
        <v>0.63</v>
      </c>
      <c r="L482" s="126">
        <v>4</v>
      </c>
      <c r="M482" s="82">
        <f t="shared" si="127"/>
        <v>2.52</v>
      </c>
      <c r="N482" s="159" t="s">
        <v>119</v>
      </c>
      <c r="O482" s="160">
        <v>0.62</v>
      </c>
      <c r="P482" s="161">
        <v>44634</v>
      </c>
      <c r="Q482" s="161">
        <v>44651</v>
      </c>
      <c r="R482" s="82">
        <f t="shared" si="128"/>
        <v>1.6129032258064528</v>
      </c>
      <c r="S482" s="162">
        <f>IF(INDEX([1]Historical!$D$7:$D$1229,MATCH(B482,[1]Historical!$B$7:$B$1253,0))=0,"n/a",(INDEX([1]Historical!$C$7:$C$1231,MATCH(B482,[1]Historical!$B$7:$B$1253,0))/INDEX([1]Historical!$D$7:$D$1229,MATCH(B482,[1]Historical!$B$7:$B$1253,0))-1)*100)</f>
        <v>3.3333333333333437</v>
      </c>
      <c r="T482" s="162">
        <f>IF(INDEX([1]Historical!$F$7:$F$1222,MATCH(B482,[1]Historical!$B$7:$B$1253,0))=0,"n/a",((INDEX([1]Historical!$C$7:$C$1231,MATCH(B482,[1]Historical!$B$7:$B$1253,0))/INDEX([1]Historical!$F$7:$F$1222,MATCH(B482,[1]Historical!$B$7:$B$1253,0)))^(1/3)-1)*100)</f>
        <v>4.0741805351937943</v>
      </c>
      <c r="U482" s="162">
        <f>IF(INDEX([1]Historical!$H$7:$H$1222,MATCH(B482,[1]Historical!$B$7:$B$1253,0))=0,"n/a",((INDEX([1]Historical!$C$7:$C$1231,MATCH(B482,[1]Historical!$B$7:$B$1253,0))/INDEX([1]Historical!$H$7:$H$1222,MATCH(B482,[1]Historical!$B$7:$B$1253,0)))^(1/5)-1)*100)</f>
        <v>4.3961149790192833</v>
      </c>
      <c r="V482" s="162">
        <f>IF(INDEX([1]Historical!$N$7:$N$1222,MATCH(B482,[1]Historical!$B$7:$B$1253,0))=0,"n/a",((INDEX([1]Historical!$C$7:$C$1231,MATCH(B482,[1]Historical!$B$7:$B$1253,0))/INDEX([1]Historical!$N$7:$N$1222,MATCH(B482,[1]Historical!$B$7:$B$1253,0)))^(1/10)-1)*100)</f>
        <v>5.5866275967445089</v>
      </c>
      <c r="W482" s="163">
        <f t="shared" si="129"/>
        <v>0.7868995924448281</v>
      </c>
      <c r="X482" s="164">
        <f t="shared" si="130"/>
        <v>3.6634291491827362</v>
      </c>
      <c r="Y482" s="212"/>
      <c r="Z482" s="157">
        <f t="shared" si="131"/>
        <v>82.35294117647058</v>
      </c>
      <c r="AA482" s="166">
        <f t="shared" si="132"/>
        <v>17.264705882352942</v>
      </c>
      <c r="AB482" s="126">
        <v>12</v>
      </c>
      <c r="AC482" s="167">
        <v>3.06</v>
      </c>
      <c r="AD482" s="167">
        <v>3.88</v>
      </c>
      <c r="AE482" s="167">
        <v>2.2000000000000002</v>
      </c>
      <c r="AF482" s="167">
        <v>1.19</v>
      </c>
      <c r="AG482" s="167">
        <v>6.9</v>
      </c>
      <c r="AH482" s="167">
        <v>17.7</v>
      </c>
      <c r="AI482" s="167">
        <v>6.12</v>
      </c>
      <c r="AJ482" s="167">
        <v>1.2</v>
      </c>
      <c r="AK482" s="167">
        <v>4.5</v>
      </c>
      <c r="AL482" s="168">
        <v>3070</v>
      </c>
      <c r="AM482" s="169">
        <v>0.3</v>
      </c>
      <c r="AN482" s="167">
        <v>1.01</v>
      </c>
      <c r="AO482" s="170">
        <f t="shared" si="133"/>
        <v>-8.0985738675585317</v>
      </c>
      <c r="AP482" s="171">
        <f t="shared" si="134"/>
        <v>9.1661320147944103</v>
      </c>
      <c r="AQ482" s="172">
        <f t="shared" si="135"/>
        <v>-4.4431524635146324</v>
      </c>
      <c r="AR482" s="157">
        <f>INDEX([1]Historical!$C$7:$C$1231,MATCH(B482,[1]Historical!$B$7:$B$1253,0))*IF(AH482="n/a",1.03,IF(AH482&lt;0,1.01,IF(AH482&gt;10,1.1,(1+AH482/100))))</f>
        <v>2.7280000000000002</v>
      </c>
      <c r="AS482" s="166">
        <f t="shared" si="136"/>
        <v>2.8949536</v>
      </c>
      <c r="AT482" s="166">
        <f t="shared" si="141"/>
        <v>3.0252265119999997</v>
      </c>
      <c r="AU482" s="166">
        <f t="shared" si="141"/>
        <v>3.1613617050399996</v>
      </c>
      <c r="AV482" s="166">
        <f t="shared" si="141"/>
        <v>3.3036229817667992</v>
      </c>
      <c r="AW482" s="157">
        <f t="shared" si="138"/>
        <v>15.1131647988068</v>
      </c>
      <c r="AX482" s="173">
        <f t="shared" si="139"/>
        <v>28.607164109041832</v>
      </c>
      <c r="AY482" s="174">
        <v>0.46</v>
      </c>
      <c r="AZ482" s="169">
        <v>8.5299999999999994</v>
      </c>
      <c r="BA482" s="169">
        <v>-16.220000000000002</v>
      </c>
      <c r="BB482" s="169">
        <v>0.32</v>
      </c>
      <c r="BC482" s="169">
        <v>-7.33</v>
      </c>
      <c r="BE482" s="77">
        <v>2005</v>
      </c>
      <c r="BF482" s="77">
        <f t="shared" si="140"/>
        <v>2</v>
      </c>
      <c r="BG482" s="175">
        <v>2.4</v>
      </c>
      <c r="BH482" t="s">
        <v>939</v>
      </c>
      <c r="BI482" t="s">
        <v>940</v>
      </c>
    </row>
    <row r="483" spans="1:64" ht="11.25" customHeight="1" x14ac:dyDescent="0.2">
      <c r="A483" s="112" t="s">
        <v>1555</v>
      </c>
      <c r="B483" s="153" t="s">
        <v>400</v>
      </c>
      <c r="C483" s="154" t="s">
        <v>90</v>
      </c>
      <c r="D483" s="154" t="s">
        <v>969</v>
      </c>
      <c r="E483" s="155">
        <v>24</v>
      </c>
      <c r="F483" s="298">
        <v>147</v>
      </c>
      <c r="G483" s="298" t="s">
        <v>30</v>
      </c>
      <c r="H483" s="298" t="s">
        <v>30</v>
      </c>
      <c r="I483" s="156">
        <v>28.4</v>
      </c>
      <c r="J483" s="157">
        <f t="shared" si="126"/>
        <v>3.943661971830986</v>
      </c>
      <c r="K483" s="209">
        <v>0.28000000000000003</v>
      </c>
      <c r="L483" s="126">
        <v>4</v>
      </c>
      <c r="M483" s="82">
        <f t="shared" si="127"/>
        <v>1.1200000000000001</v>
      </c>
      <c r="N483" s="159" t="s">
        <v>201</v>
      </c>
      <c r="O483" s="210">
        <v>0.26</v>
      </c>
      <c r="P483" s="161">
        <v>44574</v>
      </c>
      <c r="Q483" s="161">
        <v>44593</v>
      </c>
      <c r="R483" s="82">
        <f t="shared" si="128"/>
        <v>7.6923076923076987</v>
      </c>
      <c r="S483" s="162">
        <f>IF(INDEX([1]Historical!$D$7:$D$1229,MATCH(B483,[1]Historical!$B$7:$B$1253,0))=0,"n/a",(INDEX([1]Historical!$C$7:$C$1231,MATCH(B483,[1]Historical!$B$7:$B$1253,0))/INDEX([1]Historical!$D$7:$D$1229,MATCH(B483,[1]Historical!$B$7:$B$1253,0))-1)*100)</f>
        <v>4.0000000000000036</v>
      </c>
      <c r="T483" s="162">
        <f>IF(INDEX([1]Historical!$F$7:$F$1222,MATCH(B483,[1]Historical!$B$7:$B$1253,0))=0,"n/a",((INDEX([1]Historical!$C$7:$C$1231,MATCH(B483,[1]Historical!$B$7:$B$1253,0))/INDEX([1]Historical!$F$7:$F$1222,MATCH(B483,[1]Historical!$B$7:$B$1253,0)))^(1/3)-1)*100)</f>
        <v>5.7264270346431223</v>
      </c>
      <c r="U483" s="162">
        <f>IF(INDEX([1]Historical!$H$7:$H$1222,MATCH(B483,[1]Historical!$B$7:$B$1253,0))=0,"n/a",((INDEX([1]Historical!$C$7:$C$1231,MATCH(B483,[1]Historical!$B$7:$B$1253,0))/INDEX([1]Historical!$H$7:$H$1222,MATCH(B483,[1]Historical!$B$7:$B$1253,0)))^(1/5)-1)*100)</f>
        <v>4.6985296496448781</v>
      </c>
      <c r="V483" s="162">
        <f>IF(INDEX([1]Historical!$N$7:$N$1222,MATCH(B483,[1]Historical!$B$7:$B$1253,0))=0,"n/a",((INDEX([1]Historical!$C$7:$C$1231,MATCH(B483,[1]Historical!$B$7:$B$1253,0))/INDEX([1]Historical!$N$7:$N$1222,MATCH(B483,[1]Historical!$B$7:$B$1253,0)))^(1/10)-1)*100)</f>
        <v>3.9934363970410613</v>
      </c>
      <c r="W483" s="163">
        <f t="shared" si="129"/>
        <v>1.1765630355666252</v>
      </c>
      <c r="X483" s="164">
        <f t="shared" si="130"/>
        <v>0.21955746026377937</v>
      </c>
      <c r="Y483" s="223"/>
      <c r="Z483" s="157">
        <f t="shared" si="131"/>
        <v>31.818181818181824</v>
      </c>
      <c r="AA483" s="166">
        <f t="shared" si="132"/>
        <v>8.0681818181818183</v>
      </c>
      <c r="AB483" s="126">
        <v>12</v>
      </c>
      <c r="AC483" s="167">
        <v>3.52</v>
      </c>
      <c r="AD483" s="167" t="s">
        <v>95</v>
      </c>
      <c r="AE483" s="167">
        <v>3.1</v>
      </c>
      <c r="AF483" s="167">
        <v>1.32</v>
      </c>
      <c r="AG483" s="167">
        <v>13.8</v>
      </c>
      <c r="AH483" s="167">
        <v>45.7</v>
      </c>
      <c r="AI483" s="167" t="s">
        <v>95</v>
      </c>
      <c r="AJ483" s="167">
        <v>21.4</v>
      </c>
      <c r="AK483" s="167" t="s">
        <v>95</v>
      </c>
      <c r="AL483" s="168">
        <v>226.4</v>
      </c>
      <c r="AM483" s="169">
        <v>1</v>
      </c>
      <c r="AN483" s="167">
        <v>0</v>
      </c>
      <c r="AO483" s="170">
        <f t="shared" si="133"/>
        <v>0.57400980329404483</v>
      </c>
      <c r="AP483" s="171">
        <f t="shared" si="134"/>
        <v>8.6421916214758632</v>
      </c>
      <c r="AQ483" s="172">
        <f t="shared" si="135"/>
        <v>-31.200775198165687</v>
      </c>
      <c r="AR483" s="157">
        <f>INDEX([1]Historical!$C$7:$C$1231,MATCH(B483,[1]Historical!$B$7:$B$1253,0))*IF(AH483="n/a",1.03,IF(AH483&lt;0,1.01,IF(AH483&gt;10,1.1,(1+AH483/100))))</f>
        <v>1.1440000000000001</v>
      </c>
      <c r="AS483" s="166">
        <f t="shared" si="136"/>
        <v>1.1783200000000003</v>
      </c>
      <c r="AT483" s="166">
        <f t="shared" si="141"/>
        <v>1.2136696000000002</v>
      </c>
      <c r="AU483" s="166">
        <f t="shared" si="141"/>
        <v>1.2500796880000002</v>
      </c>
      <c r="AV483" s="166">
        <f t="shared" si="141"/>
        <v>1.2875820786400003</v>
      </c>
      <c r="AW483" s="157">
        <f t="shared" si="138"/>
        <v>6.0736513666400018</v>
      </c>
      <c r="AX483" s="173">
        <f t="shared" si="139"/>
        <v>21.386096361408459</v>
      </c>
      <c r="AY483" s="174">
        <v>0.43</v>
      </c>
      <c r="AZ483" s="169">
        <v>23.48</v>
      </c>
      <c r="BA483" s="169">
        <v>-2.0699999999999998</v>
      </c>
      <c r="BB483" s="169">
        <v>6.22</v>
      </c>
      <c r="BC483" s="169">
        <v>6.2700000000000005</v>
      </c>
      <c r="BE483" s="77">
        <v>2000</v>
      </c>
      <c r="BF483" s="77">
        <f t="shared" si="140"/>
        <v>3</v>
      </c>
      <c r="BG483" s="175">
        <v>1.3</v>
      </c>
      <c r="BH483" t="s">
        <v>939</v>
      </c>
      <c r="BI483" t="s">
        <v>940</v>
      </c>
    </row>
    <row r="484" spans="1:64" ht="11.25" customHeight="1" x14ac:dyDescent="0.2">
      <c r="A484" s="112" t="s">
        <v>1556</v>
      </c>
      <c r="B484" s="153" t="s">
        <v>398</v>
      </c>
      <c r="C484" s="154" t="s">
        <v>117</v>
      </c>
      <c r="D484" s="154" t="s">
        <v>979</v>
      </c>
      <c r="E484" s="155">
        <v>67</v>
      </c>
      <c r="F484" s="298">
        <v>3</v>
      </c>
      <c r="G484" s="298" t="s">
        <v>30</v>
      </c>
      <c r="H484" s="298" t="s">
        <v>30</v>
      </c>
      <c r="I484" s="167">
        <v>48.09</v>
      </c>
      <c r="J484" s="157">
        <f t="shared" si="126"/>
        <v>4.0341027240590552</v>
      </c>
      <c r="K484" s="158">
        <v>0.48499999999999999</v>
      </c>
      <c r="L484" s="126">
        <v>4</v>
      </c>
      <c r="M484" s="82">
        <f t="shared" si="127"/>
        <v>1.94</v>
      </c>
      <c r="N484" s="159" t="s">
        <v>89</v>
      </c>
      <c r="O484" s="160">
        <v>0.48249999999999998</v>
      </c>
      <c r="P484" s="161">
        <v>44862</v>
      </c>
      <c r="Q484" s="161">
        <v>44880</v>
      </c>
      <c r="R484" s="82">
        <f t="shared" si="128"/>
        <v>0.51813471502590724</v>
      </c>
      <c r="S484" s="162">
        <f>IF(INDEX([1]Historical!$D$7:$D$1229,MATCH(B484,[1]Historical!$B$7:$B$1253,0))=0,"n/a",(INDEX([1]Historical!$C$7:$C$1231,MATCH(B484,[1]Historical!$B$7:$B$1253,0))/INDEX([1]Historical!$D$7:$D$1229,MATCH(B484,[1]Historical!$B$7:$B$1253,0))-1)*100)</f>
        <v>0.52287581699346219</v>
      </c>
      <c r="T484" s="162">
        <f>IF(INDEX([1]Historical!$F$7:$F$1222,MATCH(B484,[1]Historical!$B$7:$B$1253,0))=0,"n/a",((INDEX([1]Historical!$C$7:$C$1231,MATCH(B484,[1]Historical!$B$7:$B$1253,0))/INDEX([1]Historical!$F$7:$F$1222,MATCH(B484,[1]Historical!$B$7:$B$1253,0)))^(1/3)-1)*100)</f>
        <v>0.52563383499120153</v>
      </c>
      <c r="U484" s="162">
        <f>IF(INDEX([1]Historical!$H$7:$H$1222,MATCH(B484,[1]Historical!$B$7:$B$1253,0))=0,"n/a",((INDEX([1]Historical!$C$7:$C$1231,MATCH(B484,[1]Historical!$B$7:$B$1253,0))/INDEX([1]Historical!$H$7:$H$1222,MATCH(B484,[1]Historical!$B$7:$B$1253,0)))^(1/5)-1)*100)</f>
        <v>0.52843101725581487</v>
      </c>
      <c r="V484" s="162">
        <f>IF(INDEX([1]Historical!$N$7:$N$1222,MATCH(B484,[1]Historical!$B$7:$B$1253,0))=0,"n/a",((INDEX([1]Historical!$C$7:$C$1231,MATCH(B484,[1]Historical!$B$7:$B$1253,0))/INDEX([1]Historical!$N$7:$N$1222,MATCH(B484,[1]Historical!$B$7:$B$1253,0)))^(1/10)-1)*100)</f>
        <v>0.94453922469110996</v>
      </c>
      <c r="W484" s="163">
        <f t="shared" si="129"/>
        <v>0.55945904991783291</v>
      </c>
      <c r="X484" s="164">
        <f t="shared" si="130"/>
        <v>0.20324269894454416</v>
      </c>
      <c r="Y484" s="153"/>
      <c r="Z484" s="157">
        <f t="shared" si="131"/>
        <v>77.91164658634537</v>
      </c>
      <c r="AA484" s="166">
        <f t="shared" si="132"/>
        <v>19.313253012048193</v>
      </c>
      <c r="AB484" s="126">
        <v>12</v>
      </c>
      <c r="AC484" s="167">
        <v>2.4900000000000002</v>
      </c>
      <c r="AD484" s="167">
        <v>4.49</v>
      </c>
      <c r="AE484" s="167">
        <v>1.76</v>
      </c>
      <c r="AF484" s="167">
        <v>1.45</v>
      </c>
      <c r="AG484" s="167">
        <v>7.9</v>
      </c>
      <c r="AH484" s="179">
        <v>11.4</v>
      </c>
      <c r="AI484" s="179">
        <v>6.75</v>
      </c>
      <c r="AJ484" s="167">
        <v>2.6</v>
      </c>
      <c r="AK484" s="167">
        <v>4.3</v>
      </c>
      <c r="AL484" s="168">
        <v>1650</v>
      </c>
      <c r="AM484" s="169">
        <v>0.4</v>
      </c>
      <c r="AN484" s="167">
        <v>1.1100000000000001</v>
      </c>
      <c r="AO484" s="170">
        <f t="shared" si="133"/>
        <v>-14.750719270733324</v>
      </c>
      <c r="AP484" s="171">
        <f t="shared" si="134"/>
        <v>4.5625337413148701</v>
      </c>
      <c r="AQ484" s="172">
        <f t="shared" si="135"/>
        <v>11.563070089364192</v>
      </c>
      <c r="AR484" s="157">
        <f>INDEX([1]Historical!$C$7:$C$1231,MATCH(B484,[1]Historical!$B$7:$B$1253,0))*IF(AH484="n/a",1.03,IF(AH484&lt;0,1.01,IF(AH484&gt;10,1.1,(1+AH484/100))))</f>
        <v>2.1147500000000004</v>
      </c>
      <c r="AS484" s="166">
        <f t="shared" si="136"/>
        <v>2.2574956250000002</v>
      </c>
      <c r="AT484" s="166">
        <f t="shared" si="141"/>
        <v>2.3545679368750001</v>
      </c>
      <c r="AU484" s="166">
        <f t="shared" si="141"/>
        <v>2.4558143581606249</v>
      </c>
      <c r="AV484" s="166">
        <f t="shared" si="141"/>
        <v>2.5614143755615317</v>
      </c>
      <c r="AW484" s="157">
        <f t="shared" si="138"/>
        <v>11.744042295597156</v>
      </c>
      <c r="AX484" s="173">
        <f t="shared" si="139"/>
        <v>24.420965472233636</v>
      </c>
      <c r="AY484" s="174">
        <v>0.52</v>
      </c>
      <c r="AZ484" s="169">
        <v>13.5</v>
      </c>
      <c r="BA484" s="169">
        <v>-16.55</v>
      </c>
      <c r="BB484" s="169">
        <v>2.23</v>
      </c>
      <c r="BC484" s="169">
        <v>-4.46</v>
      </c>
      <c r="BE484" s="77">
        <v>1957</v>
      </c>
      <c r="BF484" s="77">
        <f t="shared" si="140"/>
        <v>9</v>
      </c>
      <c r="BG484" s="175">
        <v>1.9</v>
      </c>
      <c r="BH484" t="s">
        <v>939</v>
      </c>
      <c r="BI484" t="s">
        <v>940</v>
      </c>
    </row>
    <row r="485" spans="1:64" ht="11.25" customHeight="1" x14ac:dyDescent="0.2">
      <c r="A485" s="205" t="s">
        <v>1776</v>
      </c>
      <c r="B485" s="153" t="s">
        <v>1777</v>
      </c>
      <c r="C485" s="154" t="s">
        <v>922</v>
      </c>
      <c r="D485" s="154" t="s">
        <v>950</v>
      </c>
      <c r="E485" s="155">
        <v>5</v>
      </c>
      <c r="F485" s="298">
        <v>703</v>
      </c>
      <c r="G485" s="298" t="s">
        <v>88</v>
      </c>
      <c r="H485" s="298" t="s">
        <v>88</v>
      </c>
      <c r="I485" s="156">
        <v>146.08000000000001</v>
      </c>
      <c r="J485" s="157">
        <f t="shared" si="126"/>
        <v>2.3138006571741507</v>
      </c>
      <c r="K485" s="158">
        <v>0.84499999999999997</v>
      </c>
      <c r="L485" s="126">
        <v>4</v>
      </c>
      <c r="M485" s="82">
        <f t="shared" si="127"/>
        <v>3.38</v>
      </c>
      <c r="N485" s="159" t="s">
        <v>1100</v>
      </c>
      <c r="O485" s="160">
        <v>0.5625</v>
      </c>
      <c r="P485" s="161">
        <v>44634</v>
      </c>
      <c r="Q485" s="161">
        <v>44657</v>
      </c>
      <c r="R485" s="82">
        <f t="shared" si="128"/>
        <v>50.222222222222214</v>
      </c>
      <c r="S485" s="162">
        <f>IF(INDEX([1]Historical!$D$7:$D$1229,MATCH(B485,[1]Historical!$B$7:$B$1253,0))=0,"n/a",(INDEX([1]Historical!$C$7:$C$1231,MATCH(B485,[1]Historical!$B$7:$B$1253,0))/INDEX([1]Historical!$D$7:$D$1229,MATCH(B485,[1]Historical!$B$7:$B$1253,0))-1)*100)</f>
        <v>37.5</v>
      </c>
      <c r="T485" s="162">
        <f>IF(INDEX([1]Historical!$F$7:$F$1222,MATCH(B485,[1]Historical!$B$7:$B$1253,0))=0,"n/a",((INDEX([1]Historical!$C$7:$C$1231,MATCH(B485,[1]Historical!$B$7:$B$1253,0))/INDEX([1]Historical!$F$7:$F$1222,MATCH(B485,[1]Historical!$B$7:$B$1253,0)))^(1/3)-1)*100)</f>
        <v>102.06200103110947</v>
      </c>
      <c r="U485" s="162" t="str">
        <f>IF(INDEX([1]Historical!$H$7:$H$1222,MATCH(B485,[1]Historical!$B$7:$B$1253,0))=0,"n/a",((INDEX([1]Historical!$C$7:$C$1231,MATCH(B485,[1]Historical!$B$7:$B$1253,0))/INDEX([1]Historical!$H$7:$H$1222,MATCH(B485,[1]Historical!$B$7:$B$1253,0)))^(1/5)-1)*100)</f>
        <v>n/a</v>
      </c>
      <c r="V485" s="162" t="str">
        <f>IF(INDEX([1]Historical!$N$7:$N$1222,MATCH(B485,[1]Historical!$B$7:$B$1253,0))=0,"n/a",((INDEX([1]Historical!$C$7:$C$1231,MATCH(B485,[1]Historical!$B$7:$B$1253,0))/INDEX([1]Historical!$N$7:$N$1222,MATCH(B485,[1]Historical!$B$7:$B$1253,0)))^(1/10)-1)*100)</f>
        <v>n/a</v>
      </c>
      <c r="W485" s="163" t="str">
        <f t="shared" si="129"/>
        <v>n/a</v>
      </c>
      <c r="X485" s="164" t="str">
        <f t="shared" si="130"/>
        <v>n/a</v>
      </c>
      <c r="Y485" s="178" t="s">
        <v>1778</v>
      </c>
      <c r="Z485" s="157">
        <f t="shared" si="131"/>
        <v>36.89956331877729</v>
      </c>
      <c r="AA485" s="166">
        <f t="shared" si="132"/>
        <v>15.94759825327511</v>
      </c>
      <c r="AB485" s="126">
        <v>12</v>
      </c>
      <c r="AC485" s="167">
        <v>9.16</v>
      </c>
      <c r="AD485" s="167">
        <v>1.69</v>
      </c>
      <c r="AE485" s="167">
        <v>3.09</v>
      </c>
      <c r="AF485" s="167">
        <v>5.72</v>
      </c>
      <c r="AG485" s="167">
        <v>36.6</v>
      </c>
      <c r="AH485" s="167">
        <v>30.099999999999998</v>
      </c>
      <c r="AI485" s="167">
        <v>-5.63</v>
      </c>
      <c r="AJ485" s="167">
        <v>63.800000000000004</v>
      </c>
      <c r="AK485" s="167">
        <v>9.8000000000000007</v>
      </c>
      <c r="AL485" s="168">
        <v>38110</v>
      </c>
      <c r="AM485" s="169">
        <v>0.1</v>
      </c>
      <c r="AN485" s="167">
        <v>0</v>
      </c>
      <c r="AO485" s="170" t="str">
        <f t="shared" si="133"/>
        <v>n/a</v>
      </c>
      <c r="AP485" s="171" t="str">
        <f t="shared" si="134"/>
        <v>n/a</v>
      </c>
      <c r="AQ485" s="172">
        <f t="shared" si="135"/>
        <v>101.35128177031376</v>
      </c>
      <c r="AR485" s="157">
        <f>INDEX([1]Historical!$C$7:$C$1231,MATCH(B485,[1]Historical!$B$7:$B$1253,0))*IF(AH485="n/a",1.03,IF(AH485&lt;0,1.01,IF(AH485&gt;10,1.1,(1+AH485/100))))</f>
        <v>2.2687500000000003</v>
      </c>
      <c r="AS485" s="166">
        <f t="shared" si="136"/>
        <v>2.2914375000000002</v>
      </c>
      <c r="AT485" s="166">
        <f t="shared" si="141"/>
        <v>2.5159983750000006</v>
      </c>
      <c r="AU485" s="166">
        <f t="shared" si="141"/>
        <v>2.7625662157500011</v>
      </c>
      <c r="AV485" s="166">
        <f t="shared" si="141"/>
        <v>3.0332977048935015</v>
      </c>
      <c r="AW485" s="157">
        <f t="shared" si="138"/>
        <v>12.872049795643504</v>
      </c>
      <c r="AX485" s="173">
        <f t="shared" si="139"/>
        <v>8.8116441645971406</v>
      </c>
      <c r="AY485" s="174">
        <v>1.44</v>
      </c>
      <c r="AZ485" s="169">
        <v>10.6</v>
      </c>
      <c r="BA485" s="169">
        <v>-39.11</v>
      </c>
      <c r="BB485" s="169">
        <v>-6.660000000000001</v>
      </c>
      <c r="BC485" s="169">
        <v>-16.16</v>
      </c>
      <c r="BE485" s="77">
        <v>2018</v>
      </c>
      <c r="BF485" s="77">
        <f t="shared" si="140"/>
        <v>1</v>
      </c>
      <c r="BG485" s="175">
        <v>11.600000000000001</v>
      </c>
      <c r="BH485" t="s">
        <v>939</v>
      </c>
      <c r="BI485" t="s">
        <v>940</v>
      </c>
      <c r="BJ485" s="112"/>
      <c r="BK485" s="112"/>
      <c r="BL485" s="112"/>
    </row>
    <row r="486" spans="1:64" s="252" customFormat="1" ht="11.25" customHeight="1" x14ac:dyDescent="0.2">
      <c r="A486" s="236" t="s">
        <v>1557</v>
      </c>
      <c r="B486" s="184" t="s">
        <v>1160</v>
      </c>
      <c r="C486" s="154" t="s">
        <v>947</v>
      </c>
      <c r="D486" s="154" t="s">
        <v>948</v>
      </c>
      <c r="E486" s="185">
        <v>8</v>
      </c>
      <c r="F486" s="298">
        <v>614</v>
      </c>
      <c r="G486" s="297" t="s">
        <v>88</v>
      </c>
      <c r="H486" s="297" t="s">
        <v>88</v>
      </c>
      <c r="I486" s="186">
        <v>45.6</v>
      </c>
      <c r="J486" s="187">
        <f t="shared" si="126"/>
        <v>3.6842105263157889</v>
      </c>
      <c r="K486" s="188">
        <v>0.42</v>
      </c>
      <c r="L486" s="189">
        <v>4</v>
      </c>
      <c r="M486" s="190">
        <f t="shared" si="127"/>
        <v>1.68</v>
      </c>
      <c r="N486" s="191" t="s">
        <v>119</v>
      </c>
      <c r="O486" s="192">
        <v>0.38</v>
      </c>
      <c r="P486" s="193">
        <v>44909</v>
      </c>
      <c r="Q486" s="193">
        <v>44925</v>
      </c>
      <c r="R486" s="190">
        <f t="shared" si="128"/>
        <v>10.52631578947368</v>
      </c>
      <c r="S486" s="162">
        <f>IF(INDEX([1]Historical!$D$7:$D$1229,MATCH(B486,[1]Historical!$B$7:$B$1253,0))=0,"n/a",(INDEX([1]Historical!$C$7:$C$1231,MATCH(B486,[1]Historical!$B$7:$B$1253,0))/INDEX([1]Historical!$D$7:$D$1229,MATCH(B486,[1]Historical!$B$7:$B$1253,0))-1)*100)</f>
        <v>9.7751710654936375</v>
      </c>
      <c r="T486" s="162">
        <f>IF(INDEX([1]Historical!$F$7:$F$1222,MATCH(B486,[1]Historical!$B$7:$B$1253,0))=0,"n/a",((INDEX([1]Historical!$C$7:$C$1231,MATCH(B486,[1]Historical!$B$7:$B$1253,0))/INDEX([1]Historical!$F$7:$F$1222,MATCH(B486,[1]Historical!$B$7:$B$1253,0)))^(1/3)-1)*100)</f>
        <v>11.050870688092051</v>
      </c>
      <c r="U486" s="162">
        <f>IF(INDEX([1]Historical!$H$7:$H$1222,MATCH(B486,[1]Historical!$B$7:$B$1253,0))=0,"n/a",((INDEX([1]Historical!$C$7:$C$1231,MATCH(B486,[1]Historical!$B$7:$B$1253,0))/INDEX([1]Historical!$H$7:$H$1222,MATCH(B486,[1]Historical!$B$7:$B$1253,0)))^(1/5)-1)*100)</f>
        <v>10.868749761309848</v>
      </c>
      <c r="V486" s="162" t="str">
        <f>IF(INDEX([1]Historical!$N$7:$N$1222,MATCH(B486,[1]Historical!$B$7:$B$1253,0))=0,"n/a",((INDEX([1]Historical!$C$7:$C$1231,MATCH(B486,[1]Historical!$B$7:$B$1253,0))/INDEX([1]Historical!$N$7:$N$1222,MATCH(B486,[1]Historical!$B$7:$B$1253,0)))^(1/10)-1)*100)</f>
        <v>n/a</v>
      </c>
      <c r="W486" s="163" t="str">
        <f t="shared" si="129"/>
        <v>n/a</v>
      </c>
      <c r="X486" s="164" t="str">
        <f t="shared" si="130"/>
        <v>n/a</v>
      </c>
      <c r="Y486" s="221"/>
      <c r="Z486" s="187">
        <f t="shared" si="131"/>
        <v>188.76404494382021</v>
      </c>
      <c r="AA486" s="194">
        <f t="shared" si="132"/>
        <v>51.235955056179776</v>
      </c>
      <c r="AB486" s="189">
        <v>12</v>
      </c>
      <c r="AC486" s="195">
        <v>0.89</v>
      </c>
      <c r="AD486" s="195">
        <v>10.35</v>
      </c>
      <c r="AE486" s="195">
        <v>4.6500000000000004</v>
      </c>
      <c r="AF486" s="195">
        <v>2.2200000000000002</v>
      </c>
      <c r="AG486" s="195">
        <v>5.0999999999999996</v>
      </c>
      <c r="AH486" s="195">
        <v>-48.699999999999996</v>
      </c>
      <c r="AI486" s="195">
        <v>-171.9</v>
      </c>
      <c r="AJ486" s="195">
        <v>-2.7</v>
      </c>
      <c r="AK486" s="195">
        <v>5</v>
      </c>
      <c r="AL486" s="196">
        <v>1180</v>
      </c>
      <c r="AM486" s="197">
        <v>1.5</v>
      </c>
      <c r="AN486" s="195">
        <v>0</v>
      </c>
      <c r="AO486" s="198">
        <f t="shared" si="133"/>
        <v>-36.682994768554138</v>
      </c>
      <c r="AP486" s="199">
        <f t="shared" si="134"/>
        <v>14.552960287625638</v>
      </c>
      <c r="AQ486" s="172">
        <f t="shared" si="135"/>
        <v>124.83951829863904</v>
      </c>
      <c r="AR486" s="157">
        <f>INDEX([1]Historical!$C$7:$C$1231,MATCH(B486,[1]Historical!$B$7:$B$1253,0))*IF(AH486="n/a",1.03,IF(AH486&lt;0,1.01,IF(AH486&gt;10,1.1,(1+AH486/100))))</f>
        <v>1.4177875</v>
      </c>
      <c r="AS486" s="194">
        <f t="shared" si="136"/>
        <v>1.4319653750000001</v>
      </c>
      <c r="AT486" s="194">
        <f t="shared" si="141"/>
        <v>1.5035636437500002</v>
      </c>
      <c r="AU486" s="194">
        <f t="shared" si="141"/>
        <v>1.5787418259375003</v>
      </c>
      <c r="AV486" s="194">
        <f t="shared" si="141"/>
        <v>1.6576789172343753</v>
      </c>
      <c r="AW486" s="187">
        <f t="shared" si="138"/>
        <v>7.5897372619218766</v>
      </c>
      <c r="AX486" s="200">
        <f t="shared" si="139"/>
        <v>16.644160662109378</v>
      </c>
      <c r="AY486" s="201">
        <v>1.08</v>
      </c>
      <c r="AZ486" s="197">
        <v>17.919999999999998</v>
      </c>
      <c r="BA486" s="197">
        <v>-52.019999999999996</v>
      </c>
      <c r="BB486" s="197">
        <v>-5.8000000000000007</v>
      </c>
      <c r="BC486" s="197">
        <v>-33.78</v>
      </c>
      <c r="BD486" s="202"/>
      <c r="BE486" s="77">
        <v>2015</v>
      </c>
      <c r="BF486" s="77">
        <f t="shared" si="140"/>
        <v>1</v>
      </c>
      <c r="BG486" s="203">
        <v>1.2</v>
      </c>
      <c r="BH486" t="s">
        <v>939</v>
      </c>
      <c r="BI486" t="s">
        <v>945</v>
      </c>
      <c r="BJ486" s="208"/>
      <c r="BK486" s="208"/>
      <c r="BL486" s="208"/>
    </row>
    <row r="487" spans="1:64" ht="11.25" customHeight="1" x14ac:dyDescent="0.2">
      <c r="A487" s="176" t="s">
        <v>1558</v>
      </c>
      <c r="B487" s="153" t="s">
        <v>770</v>
      </c>
      <c r="C487" s="154" t="s">
        <v>981</v>
      </c>
      <c r="D487" s="154" t="s">
        <v>238</v>
      </c>
      <c r="E487" s="155">
        <v>10</v>
      </c>
      <c r="F487" s="298">
        <v>467</v>
      </c>
      <c r="G487" s="298" t="s">
        <v>88</v>
      </c>
      <c r="H487" s="298" t="s">
        <v>88</v>
      </c>
      <c r="I487" s="156">
        <v>171.3</v>
      </c>
      <c r="J487" s="157">
        <f t="shared" si="126"/>
        <v>2.1015761821366024</v>
      </c>
      <c r="K487" s="158">
        <v>0.9</v>
      </c>
      <c r="L487" s="126">
        <v>4</v>
      </c>
      <c r="M487" s="82">
        <f t="shared" si="127"/>
        <v>3.6</v>
      </c>
      <c r="N487" s="159" t="s">
        <v>199</v>
      </c>
      <c r="O487" s="160">
        <v>0.7</v>
      </c>
      <c r="P487" s="161">
        <v>44602</v>
      </c>
      <c r="Q487" s="161">
        <v>44620</v>
      </c>
      <c r="R487" s="82">
        <f t="shared" si="128"/>
        <v>28.57142857142858</v>
      </c>
      <c r="S487" s="162">
        <f>IF(INDEX([1]Historical!$D$7:$D$1229,MATCH(B487,[1]Historical!$B$7:$B$1253,0))=0,"n/a",(INDEX([1]Historical!$C$7:$C$1231,MATCH(B487,[1]Historical!$B$7:$B$1253,0))/INDEX([1]Historical!$D$7:$D$1229,MATCH(B487,[1]Historical!$B$7:$B$1253,0))-1)*100)</f>
        <v>24.999999999999979</v>
      </c>
      <c r="T487" s="162">
        <f>IF(INDEX([1]Historical!$F$7:$F$1222,MATCH(B487,[1]Historical!$B$7:$B$1253,0))=0,"n/a",((INDEX([1]Historical!$C$7:$C$1231,MATCH(B487,[1]Historical!$B$7:$B$1253,0))/INDEX([1]Historical!$F$7:$F$1222,MATCH(B487,[1]Historical!$B$7:$B$1253,0)))^(1/3)-1)*100)</f>
        <v>23.127650029855552</v>
      </c>
      <c r="U487" s="162">
        <f>IF(INDEX([1]Historical!$H$7:$H$1222,MATCH(B487,[1]Historical!$B$7:$B$1253,0))=0,"n/a",((INDEX([1]Historical!$C$7:$C$1231,MATCH(B487,[1]Historical!$B$7:$B$1253,0))/INDEX([1]Historical!$H$7:$H$1222,MATCH(B487,[1]Historical!$B$7:$B$1253,0)))^(1/5)-1)*100)</f>
        <v>23.873200812705765</v>
      </c>
      <c r="V487" s="162" t="str">
        <f>IF(INDEX([1]Historical!$N$7:$N$1222,MATCH(B487,[1]Historical!$B$7:$B$1253,0))=0,"n/a",((INDEX([1]Historical!$C$7:$C$1231,MATCH(B487,[1]Historical!$B$7:$B$1253,0))/INDEX([1]Historical!$N$7:$N$1222,MATCH(B487,[1]Historical!$B$7:$B$1253,0)))^(1/10)-1)*100)</f>
        <v>n/a</v>
      </c>
      <c r="W487" s="163" t="str">
        <f t="shared" si="129"/>
        <v>n/a</v>
      </c>
      <c r="X487" s="164">
        <f t="shared" si="130"/>
        <v>0.52238951450122018</v>
      </c>
      <c r="Y487" s="212"/>
      <c r="Z487" s="157">
        <f t="shared" si="131"/>
        <v>16.635859519408502</v>
      </c>
      <c r="AA487" s="166">
        <f t="shared" si="132"/>
        <v>7.9158964879852132</v>
      </c>
      <c r="AB487" s="126">
        <v>12</v>
      </c>
      <c r="AC487" s="167">
        <v>21.64</v>
      </c>
      <c r="AD487" s="167">
        <v>0.41</v>
      </c>
      <c r="AE487" s="167">
        <v>1.43</v>
      </c>
      <c r="AF487" s="167">
        <v>2.54</v>
      </c>
      <c r="AG487" s="167">
        <v>32.4</v>
      </c>
      <c r="AH487" s="167">
        <v>9.3000000000000007</v>
      </c>
      <c r="AI487" s="167">
        <v>-21.68</v>
      </c>
      <c r="AJ487" s="167">
        <v>45.7</v>
      </c>
      <c r="AK487" s="167">
        <v>20.22</v>
      </c>
      <c r="AL487" s="168">
        <v>6920</v>
      </c>
      <c r="AM487" s="169">
        <v>0.8</v>
      </c>
      <c r="AN487" s="179">
        <v>2.52</v>
      </c>
      <c r="AO487" s="170">
        <f t="shared" si="133"/>
        <v>18.05888050685715</v>
      </c>
      <c r="AP487" s="171">
        <f t="shared" si="134"/>
        <v>25.974776994842365</v>
      </c>
      <c r="AQ487" s="172">
        <f t="shared" si="135"/>
        <v>-5.4686951804795765</v>
      </c>
      <c r="AR487" s="157">
        <f>INDEX([1]Historical!$C$7:$C$1231,MATCH(B487,[1]Historical!$B$7:$B$1253,0))*IF(AH487="n/a",1.03,IF(AH487&lt;0,1.01,IF(AH487&gt;10,1.1,(1+AH487/100))))</f>
        <v>3.0603999999999996</v>
      </c>
      <c r="AS487" s="166">
        <f t="shared" si="136"/>
        <v>3.0910039999999994</v>
      </c>
      <c r="AT487" s="166">
        <f t="shared" ref="AT487:AV502" si="142">IF($AK487="n/a",1.03*AS487,IF($AK487&lt;0,1.01*AS487,IF($AK487&gt;10,1.1*AS487,(1+$AK487/100)*AS487)))</f>
        <v>3.4001043999999996</v>
      </c>
      <c r="AU487" s="166">
        <f t="shared" si="142"/>
        <v>3.7401148399999999</v>
      </c>
      <c r="AV487" s="166">
        <f t="shared" si="142"/>
        <v>4.1141263239999999</v>
      </c>
      <c r="AW487" s="157">
        <f t="shared" si="138"/>
        <v>17.405749564000001</v>
      </c>
      <c r="AX487" s="173">
        <f t="shared" si="139"/>
        <v>10.16097464331582</v>
      </c>
      <c r="AY487" s="174">
        <v>1.46</v>
      </c>
      <c r="AZ487" s="169">
        <v>22.63</v>
      </c>
      <c r="BA487" s="169">
        <v>-16.28</v>
      </c>
      <c r="BB487" s="169">
        <v>-6.8199999999999994</v>
      </c>
      <c r="BC487" s="169">
        <v>-3.36</v>
      </c>
      <c r="BE487" s="77">
        <v>2013</v>
      </c>
      <c r="BF487" s="77">
        <f t="shared" si="140"/>
        <v>1</v>
      </c>
      <c r="BG487" s="175">
        <v>6.9</v>
      </c>
      <c r="BH487" t="s">
        <v>939</v>
      </c>
      <c r="BI487" t="s">
        <v>940</v>
      </c>
    </row>
    <row r="488" spans="1:64" ht="11.25" customHeight="1" x14ac:dyDescent="0.2">
      <c r="A488" s="112" t="s">
        <v>1559</v>
      </c>
      <c r="B488" s="153" t="s">
        <v>430</v>
      </c>
      <c r="C488" s="154" t="s">
        <v>947</v>
      </c>
      <c r="D488" s="154" t="s">
        <v>948</v>
      </c>
      <c r="E488" s="155">
        <v>29</v>
      </c>
      <c r="F488" s="298">
        <v>116</v>
      </c>
      <c r="G488" s="298" t="s">
        <v>104</v>
      </c>
      <c r="H488" s="298" t="s">
        <v>104</v>
      </c>
      <c r="I488" s="167">
        <v>62.27</v>
      </c>
      <c r="J488" s="157">
        <f t="shared" si="126"/>
        <v>4.7791874096675766</v>
      </c>
      <c r="K488" s="209">
        <v>0.248</v>
      </c>
      <c r="L488" s="126">
        <v>12</v>
      </c>
      <c r="M488" s="82">
        <f t="shared" si="127"/>
        <v>2.976</v>
      </c>
      <c r="N488" s="159" t="s">
        <v>191</v>
      </c>
      <c r="O488" s="210">
        <v>0.2475</v>
      </c>
      <c r="P488" s="161">
        <v>44834</v>
      </c>
      <c r="Q488" s="161">
        <v>44848</v>
      </c>
      <c r="R488" s="82">
        <f t="shared" si="128"/>
        <v>0.20202020202020218</v>
      </c>
      <c r="S488" s="162">
        <f>IF(INDEX([1]Historical!$D$7:$D$1229,MATCH(B488,[1]Historical!$B$7:$B$1253,0))=0,"n/a",(INDEX([1]Historical!$C$7:$C$1231,MATCH(B488,[1]Historical!$B$7:$B$1253,0))/INDEX([1]Historical!$D$7:$D$1229,MATCH(B488,[1]Historical!$B$7:$B$1253,0))-1)*100)</f>
        <v>1.3958482462419486</v>
      </c>
      <c r="T488" s="162">
        <f>IF(INDEX([1]Historical!$F$7:$F$1222,MATCH(B488,[1]Historical!$B$7:$B$1253,0))=0,"n/a",((INDEX([1]Historical!$C$7:$C$1231,MATCH(B488,[1]Historical!$B$7:$B$1253,0))/INDEX([1]Historical!$F$7:$F$1222,MATCH(B488,[1]Historical!$B$7:$B$1253,0)))^(1/3)-1)*100)</f>
        <v>2.5028851042950606</v>
      </c>
      <c r="U488" s="162">
        <f>IF(INDEX([1]Historical!$H$7:$H$1222,MATCH(B488,[1]Historical!$B$7:$B$1253,0))=0,"n/a",((INDEX([1]Historical!$C$7:$C$1231,MATCH(B488,[1]Historical!$B$7:$B$1253,0))/INDEX([1]Historical!$H$7:$H$1222,MATCH(B488,[1]Historical!$B$7:$B$1253,0)))^(1/5)-1)*100)</f>
        <v>3.4463657762223932</v>
      </c>
      <c r="V488" s="162">
        <f>IF(INDEX([1]Historical!$N$7:$N$1222,MATCH(B488,[1]Historical!$B$7:$B$1253,0))=0,"n/a",((INDEX([1]Historical!$C$7:$C$1231,MATCH(B488,[1]Historical!$B$7:$B$1253,0))/INDEX([1]Historical!$N$7:$N$1222,MATCH(B488,[1]Historical!$B$7:$B$1253,0)))^(1/10)-1)*100)</f>
        <v>5.0156567161881327</v>
      </c>
      <c r="W488" s="163">
        <f t="shared" si="129"/>
        <v>0.68712154185097607</v>
      </c>
      <c r="X488" s="164" t="str">
        <f t="shared" si="130"/>
        <v>n/a</v>
      </c>
      <c r="Y488" s="178"/>
      <c r="Z488" s="157">
        <f t="shared" si="131"/>
        <v>280.75471698113205</v>
      </c>
      <c r="AA488" s="166">
        <f t="shared" si="132"/>
        <v>58.745283018867923</v>
      </c>
      <c r="AB488" s="126">
        <v>12</v>
      </c>
      <c r="AC488" s="167">
        <v>1.06</v>
      </c>
      <c r="AD488" s="167">
        <v>4.18</v>
      </c>
      <c r="AE488" s="167">
        <v>13.53</v>
      </c>
      <c r="AF488" s="167">
        <v>1.42</v>
      </c>
      <c r="AG488" s="167">
        <v>2.5</v>
      </c>
      <c r="AH488" s="167">
        <v>-24.3</v>
      </c>
      <c r="AI488" s="167">
        <v>1.5599999999999998</v>
      </c>
      <c r="AJ488" s="167">
        <v>-5.0999999999999996</v>
      </c>
      <c r="AK488" s="167">
        <v>14.099999999999998</v>
      </c>
      <c r="AL488" s="168">
        <v>37760</v>
      </c>
      <c r="AM488" s="169">
        <v>0.1</v>
      </c>
      <c r="AN488" s="167">
        <v>0.61</v>
      </c>
      <c r="AO488" s="170">
        <f t="shared" si="133"/>
        <v>-50.519729832977951</v>
      </c>
      <c r="AP488" s="171">
        <f t="shared" si="134"/>
        <v>8.2255531858899698</v>
      </c>
      <c r="AQ488" s="172">
        <f t="shared" si="135"/>
        <v>92.548177967423072</v>
      </c>
      <c r="AR488" s="157">
        <f>INDEX([1]Historical!$C$7:$C$1231,MATCH(B488,[1]Historical!$B$7:$B$1253,0))*IF(AH488="n/a",1.03,IF(AH488&lt;0,1.01,IF(AH488&gt;10,1.1,(1+AH488/100))))</f>
        <v>2.8613300000000002</v>
      </c>
      <c r="AS488" s="166">
        <f t="shared" si="136"/>
        <v>2.9059667480000004</v>
      </c>
      <c r="AT488" s="166">
        <f t="shared" si="142"/>
        <v>3.1965634228000006</v>
      </c>
      <c r="AU488" s="166">
        <f t="shared" si="142"/>
        <v>3.5162197650800011</v>
      </c>
      <c r="AV488" s="166">
        <f t="shared" si="142"/>
        <v>3.8678417415880015</v>
      </c>
      <c r="AW488" s="157">
        <f t="shared" si="138"/>
        <v>16.347921677468001</v>
      </c>
      <c r="AX488" s="173">
        <f t="shared" si="139"/>
        <v>26.253286779296616</v>
      </c>
      <c r="AY488" s="174">
        <v>0.79</v>
      </c>
      <c r="AZ488" s="169">
        <v>12.2</v>
      </c>
      <c r="BA488" s="169">
        <v>-17.41</v>
      </c>
      <c r="BB488" s="169">
        <v>-1.1900000000000002</v>
      </c>
      <c r="BC488" s="169">
        <v>-7.6700000000000008</v>
      </c>
      <c r="BE488" s="77">
        <v>1994</v>
      </c>
      <c r="BF488" s="77">
        <f t="shared" si="140"/>
        <v>3</v>
      </c>
      <c r="BG488" s="175">
        <v>1.4000000000000001</v>
      </c>
      <c r="BH488" t="s">
        <v>939</v>
      </c>
      <c r="BI488" t="s">
        <v>945</v>
      </c>
    </row>
    <row r="489" spans="1:64" ht="11.25" customHeight="1" x14ac:dyDescent="0.2">
      <c r="A489" s="205" t="s">
        <v>1823</v>
      </c>
      <c r="B489" s="153" t="s">
        <v>1824</v>
      </c>
      <c r="C489" s="154" t="s">
        <v>90</v>
      </c>
      <c r="D489" s="154" t="s">
        <v>969</v>
      </c>
      <c r="E489" s="155">
        <v>5</v>
      </c>
      <c r="F489" s="298">
        <v>709</v>
      </c>
      <c r="G489" s="298" t="s">
        <v>88</v>
      </c>
      <c r="H489" s="298" t="s">
        <v>88</v>
      </c>
      <c r="I489" s="156">
        <v>41.33</v>
      </c>
      <c r="J489" s="157">
        <f t="shared" si="126"/>
        <v>1.4517299782240505</v>
      </c>
      <c r="K489" s="158">
        <v>0.15</v>
      </c>
      <c r="L489" s="126">
        <v>4</v>
      </c>
      <c r="M489" s="82">
        <f t="shared" si="127"/>
        <v>0.6</v>
      </c>
      <c r="N489" s="159" t="s">
        <v>677</v>
      </c>
      <c r="O489" s="160">
        <v>0.13</v>
      </c>
      <c r="P489" s="161">
        <v>44697</v>
      </c>
      <c r="Q489" s="161">
        <v>44712</v>
      </c>
      <c r="R489" s="82">
        <f t="shared" si="128"/>
        <v>15.384615384615378</v>
      </c>
      <c r="S489" s="162">
        <f>IF(INDEX([1]Historical!$D$7:$D$1229,MATCH(B489,[1]Historical!$B$7:$B$1253,0))=0,"n/a",(INDEX([1]Historical!$C$7:$C$1231,MATCH(B489,[1]Historical!$B$7:$B$1253,0))/INDEX([1]Historical!$D$7:$D$1229,MATCH(B489,[1]Historical!$B$7:$B$1253,0))-1)*100)</f>
        <v>29.801324503311232</v>
      </c>
      <c r="T489" s="162">
        <f>IF(INDEX([1]Historical!$F$7:$F$1222,MATCH(B489,[1]Historical!$B$7:$B$1253,0))=0,"n/a",((INDEX([1]Historical!$C$7:$C$1231,MATCH(B489,[1]Historical!$B$7:$B$1253,0))/INDEX([1]Historical!$F$7:$F$1222,MATCH(B489,[1]Historical!$B$7:$B$1253,0)))^(1/3)-1)*100)</f>
        <v>71.289400002754036</v>
      </c>
      <c r="U489" s="162" t="str">
        <f>IF(INDEX([1]Historical!$H$7:$H$1222,MATCH(B489,[1]Historical!$B$7:$B$1253,0))=0,"n/a",((INDEX([1]Historical!$C$7:$C$1231,MATCH(B489,[1]Historical!$B$7:$B$1253,0))/INDEX([1]Historical!$H$7:$H$1222,MATCH(B489,[1]Historical!$B$7:$B$1253,0)))^(1/5)-1)*100)</f>
        <v>n/a</v>
      </c>
      <c r="V489" s="162" t="str">
        <f>IF(INDEX([1]Historical!$N$7:$N$1222,MATCH(B489,[1]Historical!$B$7:$B$1253,0))=0,"n/a",((INDEX([1]Historical!$C$7:$C$1231,MATCH(B489,[1]Historical!$B$7:$B$1253,0))/INDEX([1]Historical!$N$7:$N$1222,MATCH(B489,[1]Historical!$B$7:$B$1253,0)))^(1/10)-1)*100)</f>
        <v>n/a</v>
      </c>
      <c r="W489" s="163" t="str">
        <f t="shared" si="129"/>
        <v>n/a</v>
      </c>
      <c r="X489" s="164" t="str">
        <f t="shared" si="130"/>
        <v>n/a</v>
      </c>
      <c r="Y489" s="180"/>
      <c r="Z489" s="157">
        <f t="shared" si="131"/>
        <v>16.949152542372879</v>
      </c>
      <c r="AA489" s="166">
        <f t="shared" si="132"/>
        <v>11.675141242937853</v>
      </c>
      <c r="AB489" s="126">
        <v>12</v>
      </c>
      <c r="AC489" s="167">
        <v>3.54</v>
      </c>
      <c r="AD489" s="167" t="s">
        <v>95</v>
      </c>
      <c r="AE489" s="167">
        <v>4.46</v>
      </c>
      <c r="AF489" s="167">
        <v>1.49</v>
      </c>
      <c r="AG489" s="167">
        <v>15</v>
      </c>
      <c r="AH489" s="167">
        <v>197.3</v>
      </c>
      <c r="AI489" s="167">
        <v>39.01</v>
      </c>
      <c r="AJ489" s="167">
        <v>65.600000000000009</v>
      </c>
      <c r="AK489" s="167" t="s">
        <v>95</v>
      </c>
      <c r="AL489" s="168">
        <v>1230</v>
      </c>
      <c r="AM489" s="169">
        <v>4.5999999999999996</v>
      </c>
      <c r="AN489" s="167">
        <v>0.24</v>
      </c>
      <c r="AO489" s="170" t="str">
        <f t="shared" si="133"/>
        <v>n/a</v>
      </c>
      <c r="AP489" s="171" t="str">
        <f t="shared" si="134"/>
        <v>n/a</v>
      </c>
      <c r="AQ489" s="172">
        <f t="shared" si="135"/>
        <v>-12.070835448887484</v>
      </c>
      <c r="AR489" s="157">
        <f>INDEX([1]Historical!$C$7:$C$1231,MATCH(B489,[1]Historical!$B$7:$B$1253,0))*IF(AH489="n/a",1.03,IF(AH489&lt;0,1.01,IF(AH489&gt;10,1.1,(1+AH489/100))))</f>
        <v>0.53900000000000003</v>
      </c>
      <c r="AS489" s="166">
        <f t="shared" si="136"/>
        <v>0.59290000000000009</v>
      </c>
      <c r="AT489" s="166">
        <f t="shared" si="142"/>
        <v>0.61068700000000009</v>
      </c>
      <c r="AU489" s="166">
        <f t="shared" si="142"/>
        <v>0.62900761000000016</v>
      </c>
      <c r="AV489" s="166">
        <f t="shared" si="142"/>
        <v>0.64787783830000023</v>
      </c>
      <c r="AW489" s="157">
        <f t="shared" si="138"/>
        <v>3.0194724483000011</v>
      </c>
      <c r="AX489" s="173">
        <f t="shared" si="139"/>
        <v>7.3057644526978009</v>
      </c>
      <c r="AY489" s="174">
        <v>0.93</v>
      </c>
      <c r="AZ489" s="169">
        <v>12.31</v>
      </c>
      <c r="BA489" s="169">
        <v>-13.139999999999999</v>
      </c>
      <c r="BB489" s="169">
        <v>1.69</v>
      </c>
      <c r="BC489" s="169">
        <v>0.09</v>
      </c>
      <c r="BE489" s="77">
        <v>2018</v>
      </c>
      <c r="BF489" s="77">
        <f t="shared" si="140"/>
        <v>1</v>
      </c>
      <c r="BG489" s="175">
        <v>1.3</v>
      </c>
      <c r="BH489" t="s">
        <v>939</v>
      </c>
      <c r="BI489" t="s">
        <v>940</v>
      </c>
      <c r="BJ489" s="112"/>
      <c r="BK489" s="112"/>
      <c r="BL489" s="112"/>
    </row>
    <row r="490" spans="1:64" ht="11.25" customHeight="1" x14ac:dyDescent="0.2">
      <c r="A490" s="112" t="s">
        <v>1560</v>
      </c>
      <c r="B490" s="153" t="s">
        <v>826</v>
      </c>
      <c r="C490" s="154" t="s">
        <v>94</v>
      </c>
      <c r="D490" s="154" t="s">
        <v>760</v>
      </c>
      <c r="E490" s="155">
        <v>9</v>
      </c>
      <c r="F490" s="298">
        <v>515</v>
      </c>
      <c r="G490" s="298" t="s">
        <v>88</v>
      </c>
      <c r="H490" s="298" t="s">
        <v>88</v>
      </c>
      <c r="I490" s="156">
        <v>85.61</v>
      </c>
      <c r="J490" s="157">
        <f t="shared" si="126"/>
        <v>1.6353229762878168</v>
      </c>
      <c r="K490" s="158">
        <v>0.35</v>
      </c>
      <c r="L490" s="126">
        <v>4</v>
      </c>
      <c r="M490" s="82">
        <f t="shared" si="127"/>
        <v>1.4</v>
      </c>
      <c r="N490" s="159" t="s">
        <v>443</v>
      </c>
      <c r="O490" s="160">
        <v>0.26</v>
      </c>
      <c r="P490" s="161">
        <v>44567</v>
      </c>
      <c r="Q490" s="161">
        <v>44582</v>
      </c>
      <c r="R490" s="82">
        <f t="shared" si="128"/>
        <v>34.615384615384606</v>
      </c>
      <c r="S490" s="162">
        <f>IF(INDEX([1]Historical!$D$7:$D$1229,MATCH(B490,[1]Historical!$B$7:$B$1253,0))=0,"n/a",(INDEX([1]Historical!$C$7:$C$1231,MATCH(B490,[1]Historical!$B$7:$B$1253,0))/INDEX([1]Historical!$D$7:$D$1229,MATCH(B490,[1]Historical!$B$7:$B$1253,0))-1)*100)</f>
        <v>8.3333333333333481</v>
      </c>
      <c r="T490" s="162">
        <f>IF(INDEX([1]Historical!$F$7:$F$1222,MATCH(B490,[1]Historical!$B$7:$B$1253,0))=0,"n/a",((INDEX([1]Historical!$C$7:$C$1231,MATCH(B490,[1]Historical!$B$7:$B$1253,0))/INDEX([1]Historical!$F$7:$F$1222,MATCH(B490,[1]Historical!$B$7:$B$1253,0)))^(1/3)-1)*100)</f>
        <v>7.3786693294802586</v>
      </c>
      <c r="U490" s="162">
        <f>IF(INDEX([1]Historical!$H$7:$H$1222,MATCH(B490,[1]Historical!$B$7:$B$1253,0))=0,"n/a",((INDEX([1]Historical!$C$7:$C$1231,MATCH(B490,[1]Historical!$B$7:$B$1253,0))/INDEX([1]Historical!$H$7:$H$1222,MATCH(B490,[1]Historical!$B$7:$B$1253,0)))^(1/5)-1)*100)</f>
        <v>7.933186310173812</v>
      </c>
      <c r="V490" s="162" t="str">
        <f>IF(INDEX([1]Historical!$N$7:$N$1222,MATCH(B490,[1]Historical!$B$7:$B$1253,0))=0,"n/a",((INDEX([1]Historical!$C$7:$C$1231,MATCH(B490,[1]Historical!$B$7:$B$1253,0))/INDEX([1]Historical!$N$7:$N$1222,MATCH(B490,[1]Historical!$B$7:$B$1253,0)))^(1/10)-1)*100)</f>
        <v>n/a</v>
      </c>
      <c r="W490" s="163" t="str">
        <f t="shared" si="129"/>
        <v>n/a</v>
      </c>
      <c r="X490" s="164">
        <f t="shared" si="130"/>
        <v>0.34642734978924938</v>
      </c>
      <c r="Y490" s="165"/>
      <c r="Z490" s="157">
        <f t="shared" si="131"/>
        <v>10.301692420897718</v>
      </c>
      <c r="AA490" s="166">
        <f t="shared" si="132"/>
        <v>6.2994849153789554</v>
      </c>
      <c r="AB490" s="126">
        <v>12</v>
      </c>
      <c r="AC490" s="167">
        <v>13.59</v>
      </c>
      <c r="AD490" s="167">
        <v>0.84</v>
      </c>
      <c r="AE490" s="167">
        <v>0.81</v>
      </c>
      <c r="AF490" s="167">
        <v>1.76</v>
      </c>
      <c r="AG490" s="167">
        <v>30.2</v>
      </c>
      <c r="AH490" s="167">
        <v>370.5</v>
      </c>
      <c r="AI490" s="167">
        <v>-14.719999999999999</v>
      </c>
      <c r="AJ490" s="167">
        <v>22.900000000000002</v>
      </c>
      <c r="AK490" s="167">
        <v>7.3999999999999995</v>
      </c>
      <c r="AL490" s="168">
        <v>7800</v>
      </c>
      <c r="AM490" s="169">
        <v>0.6</v>
      </c>
      <c r="AN490" s="167">
        <v>0.64</v>
      </c>
      <c r="AO490" s="170">
        <f t="shared" si="133"/>
        <v>3.269024371082673</v>
      </c>
      <c r="AP490" s="171">
        <f t="shared" si="134"/>
        <v>9.5685092864616283</v>
      </c>
      <c r="AQ490" s="172">
        <f t="shared" si="135"/>
        <v>-29.80315470505035</v>
      </c>
      <c r="AR490" s="157">
        <f>INDEX([1]Historical!$C$7:$C$1231,MATCH(B490,[1]Historical!$B$7:$B$1253,0))*IF(AH490="n/a",1.03,IF(AH490&lt;0,1.01,IF(AH490&gt;10,1.1,(1+AH490/100))))</f>
        <v>1.1440000000000001</v>
      </c>
      <c r="AS490" s="166">
        <f t="shared" si="136"/>
        <v>1.1554400000000002</v>
      </c>
      <c r="AT490" s="166">
        <f t="shared" si="142"/>
        <v>1.2409425600000004</v>
      </c>
      <c r="AU490" s="166">
        <f t="shared" si="142"/>
        <v>1.3327723094400006</v>
      </c>
      <c r="AV490" s="166">
        <f t="shared" si="142"/>
        <v>1.4313974603385606</v>
      </c>
      <c r="AW490" s="157">
        <f t="shared" si="138"/>
        <v>6.3045523297785628</v>
      </c>
      <c r="AX490" s="173">
        <f t="shared" si="139"/>
        <v>7.3642709143541207</v>
      </c>
      <c r="AY490" s="174">
        <v>1.45</v>
      </c>
      <c r="AZ490" s="169">
        <v>17.32</v>
      </c>
      <c r="BA490" s="169">
        <v>-15.340000000000002</v>
      </c>
      <c r="BB490" s="169">
        <v>2.48</v>
      </c>
      <c r="BC490" s="169">
        <v>-2.17</v>
      </c>
      <c r="BE490" s="77">
        <v>2014</v>
      </c>
      <c r="BF490" s="77">
        <f t="shared" si="140"/>
        <v>1</v>
      </c>
      <c r="BG490" s="175">
        <v>12.9</v>
      </c>
      <c r="BH490" t="s">
        <v>939</v>
      </c>
      <c r="BI490" t="s">
        <v>940</v>
      </c>
      <c r="BJ490" s="112"/>
      <c r="BK490" s="112"/>
      <c r="BL490" s="112"/>
    </row>
    <row r="491" spans="1:64" ht="11.25" customHeight="1" x14ac:dyDescent="0.2">
      <c r="A491" s="176" t="s">
        <v>1561</v>
      </c>
      <c r="B491" s="153" t="s">
        <v>406</v>
      </c>
      <c r="C491" s="154" t="s">
        <v>127</v>
      </c>
      <c r="D491" s="154" t="s">
        <v>1018</v>
      </c>
      <c r="E491" s="155">
        <v>20</v>
      </c>
      <c r="F491" s="298">
        <v>179</v>
      </c>
      <c r="G491" s="298" t="s">
        <v>88</v>
      </c>
      <c r="H491" s="298" t="s">
        <v>88</v>
      </c>
      <c r="I491" s="156">
        <v>29.53</v>
      </c>
      <c r="J491" s="157">
        <f t="shared" si="126"/>
        <v>3.7927531324077211</v>
      </c>
      <c r="K491" s="158">
        <v>0.28000000000000003</v>
      </c>
      <c r="L491" s="126">
        <v>4</v>
      </c>
      <c r="M491" s="82">
        <f t="shared" si="127"/>
        <v>1.1200000000000001</v>
      </c>
      <c r="N491" s="159" t="s">
        <v>116</v>
      </c>
      <c r="O491" s="160">
        <v>0.27</v>
      </c>
      <c r="P491" s="161">
        <v>44784</v>
      </c>
      <c r="Q491" s="161">
        <v>44799</v>
      </c>
      <c r="R491" s="82">
        <f t="shared" si="128"/>
        <v>3.7037037037037068</v>
      </c>
      <c r="S491" s="162">
        <f>IF(INDEX([1]Historical!$D$7:$D$1229,MATCH(B491,[1]Historical!$B$7:$B$1253,0))=0,"n/a",(INDEX([1]Historical!$C$7:$C$1231,MATCH(B491,[1]Historical!$B$7:$B$1253,0))/INDEX([1]Historical!$D$7:$D$1229,MATCH(B491,[1]Historical!$B$7:$B$1253,0))-1)*100)</f>
        <v>3.9215686274509887</v>
      </c>
      <c r="T491" s="162">
        <f>IF(INDEX([1]Historical!$F$7:$F$1222,MATCH(B491,[1]Historical!$B$7:$B$1253,0))=0,"n/a",((INDEX([1]Historical!$C$7:$C$1231,MATCH(B491,[1]Historical!$B$7:$B$1253,0))/INDEX([1]Historical!$F$7:$F$1222,MATCH(B491,[1]Historical!$B$7:$B$1253,0)))^(1/3)-1)*100)</f>
        <v>4.0860842503307904</v>
      </c>
      <c r="U491" s="162">
        <f>IF(INDEX([1]Historical!$H$7:$H$1222,MATCH(B491,[1]Historical!$B$7:$B$1253,0))=0,"n/a",((INDEX([1]Historical!$C$7:$C$1231,MATCH(B491,[1]Historical!$B$7:$B$1253,0))/INDEX([1]Historical!$H$7:$H$1222,MATCH(B491,[1]Historical!$B$7:$B$1253,0)))^(1/5)-1)*100)</f>
        <v>4.2705064154178629</v>
      </c>
      <c r="V491" s="162">
        <f>IF(INDEX([1]Historical!$N$7:$N$1222,MATCH(B491,[1]Historical!$B$7:$B$1253,0))=0,"n/a",((INDEX([1]Historical!$C$7:$C$1231,MATCH(B491,[1]Historical!$B$7:$B$1253,0))/INDEX([1]Historical!$N$7:$N$1222,MATCH(B491,[1]Historical!$B$7:$B$1253,0)))^(1/10)-1)*100)</f>
        <v>4.8518730412687949</v>
      </c>
      <c r="W491" s="163">
        <f t="shared" si="129"/>
        <v>0.88017686759196379</v>
      </c>
      <c r="X491" s="164" t="str">
        <f t="shared" si="130"/>
        <v>n/a</v>
      </c>
      <c r="Y491" s="214"/>
      <c r="Z491" s="157">
        <f t="shared" si="131"/>
        <v>138.27160493827162</v>
      </c>
      <c r="AA491" s="166">
        <f t="shared" si="132"/>
        <v>36.456790123456791</v>
      </c>
      <c r="AB491" s="126">
        <v>7</v>
      </c>
      <c r="AC491" s="167">
        <v>0.81</v>
      </c>
      <c r="AD491" s="167" t="s">
        <v>95</v>
      </c>
      <c r="AE491" s="167">
        <v>0.56999999999999995</v>
      </c>
      <c r="AF491" s="167">
        <v>1.35</v>
      </c>
      <c r="AG491" s="167">
        <v>3.6999999999999997</v>
      </c>
      <c r="AH491" s="167">
        <v>-47.8</v>
      </c>
      <c r="AI491" s="167" t="s">
        <v>95</v>
      </c>
      <c r="AJ491" s="167">
        <v>-11.4</v>
      </c>
      <c r="AK491" s="167" t="s">
        <v>95</v>
      </c>
      <c r="AL491" s="168">
        <v>197.92</v>
      </c>
      <c r="AM491" s="169">
        <v>1.9</v>
      </c>
      <c r="AN491" s="167">
        <v>0.22</v>
      </c>
      <c r="AO491" s="170">
        <f t="shared" si="133"/>
        <v>-28.393530575631207</v>
      </c>
      <c r="AP491" s="171">
        <f t="shared" si="134"/>
        <v>8.0632595478255844</v>
      </c>
      <c r="AQ491" s="172">
        <f t="shared" si="135"/>
        <v>47.898864343422453</v>
      </c>
      <c r="AR491" s="157">
        <f>INDEX([1]Historical!$C$7:$C$1231,MATCH(B491,[1]Historical!$B$7:$B$1253,0))*IF(AH491="n/a",1.03,IF(AH491&lt;0,1.01,IF(AH491&gt;10,1.1,(1+AH491/100))))</f>
        <v>1.0706</v>
      </c>
      <c r="AS491" s="166">
        <f t="shared" si="136"/>
        <v>1.1027180000000001</v>
      </c>
      <c r="AT491" s="166">
        <f t="shared" si="142"/>
        <v>1.1357995400000001</v>
      </c>
      <c r="AU491" s="166">
        <f t="shared" si="142"/>
        <v>1.1698735262000002</v>
      </c>
      <c r="AV491" s="166">
        <f t="shared" si="142"/>
        <v>1.2049697319860002</v>
      </c>
      <c r="AW491" s="157">
        <f t="shared" si="138"/>
        <v>5.6839607981859999</v>
      </c>
      <c r="AX491" s="173">
        <f t="shared" si="139"/>
        <v>19.248089394466643</v>
      </c>
      <c r="AY491" s="174">
        <v>0.43</v>
      </c>
      <c r="AZ491" s="169">
        <v>33.379999999999995</v>
      </c>
      <c r="BA491" s="169">
        <v>-20.62</v>
      </c>
      <c r="BB491" s="169">
        <v>13.239999999999998</v>
      </c>
      <c r="BC491" s="169">
        <v>5.35</v>
      </c>
      <c r="BE491" s="77">
        <v>2003</v>
      </c>
      <c r="BF491" s="77">
        <f t="shared" si="140"/>
        <v>2</v>
      </c>
      <c r="BG491" s="175">
        <v>2.4</v>
      </c>
      <c r="BH491" t="s">
        <v>939</v>
      </c>
      <c r="BI491" t="s">
        <v>940</v>
      </c>
    </row>
    <row r="492" spans="1:64" s="252" customFormat="1" ht="11.25" customHeight="1" x14ac:dyDescent="0.2">
      <c r="A492" s="236" t="s">
        <v>1161</v>
      </c>
      <c r="B492" s="184" t="s">
        <v>1162</v>
      </c>
      <c r="C492" s="154" t="s">
        <v>94</v>
      </c>
      <c r="D492" s="154" t="s">
        <v>1022</v>
      </c>
      <c r="E492" s="185">
        <v>6</v>
      </c>
      <c r="F492" s="298">
        <v>662</v>
      </c>
      <c r="G492" s="297" t="s">
        <v>88</v>
      </c>
      <c r="H492" s="297" t="s">
        <v>88</v>
      </c>
      <c r="I492" s="186">
        <v>274.60000000000002</v>
      </c>
      <c r="J492" s="187">
        <f t="shared" si="126"/>
        <v>0.43699927166788055</v>
      </c>
      <c r="K492" s="188">
        <v>0.3</v>
      </c>
      <c r="L492" s="189">
        <v>4</v>
      </c>
      <c r="M492" s="190">
        <f t="shared" si="127"/>
        <v>1.2</v>
      </c>
      <c r="N492" s="191" t="s">
        <v>231</v>
      </c>
      <c r="O492" s="192">
        <v>0.2</v>
      </c>
      <c r="P492" s="193">
        <v>44621</v>
      </c>
      <c r="Q492" s="193">
        <v>44636</v>
      </c>
      <c r="R492" s="190">
        <f t="shared" si="128"/>
        <v>49.999999999999986</v>
      </c>
      <c r="S492" s="162">
        <f>IF(INDEX([1]Historical!$D$7:$D$1229,MATCH(B492,[1]Historical!$B$7:$B$1253,0))=0,"n/a",(INDEX([1]Historical!$C$7:$C$1231,MATCH(B492,[1]Historical!$B$7:$B$1253,0))/INDEX([1]Historical!$D$7:$D$1229,MATCH(B492,[1]Historical!$B$7:$B$1253,0))-1)*100)</f>
        <v>32.60401127134098</v>
      </c>
      <c r="T492" s="162">
        <f>IF(INDEX([1]Historical!$F$7:$F$1222,MATCH(B492,[1]Historical!$B$7:$B$1253,0))=0,"n/a",((INDEX([1]Historical!$C$7:$C$1231,MATCH(B492,[1]Historical!$B$7:$B$1253,0))/INDEX([1]Historical!$F$7:$F$1222,MATCH(B492,[1]Historical!$B$7:$B$1253,0)))^(1/3)-1)*100)</f>
        <v>32.130668643241833</v>
      </c>
      <c r="U492" s="162" t="str">
        <f>IF(INDEX([1]Historical!$H$7:$H$1222,MATCH(B492,[1]Historical!$B$7:$B$1253,0))=0,"n/a",((INDEX([1]Historical!$C$7:$C$1231,MATCH(B492,[1]Historical!$B$7:$B$1253,0))/INDEX([1]Historical!$H$7:$H$1222,MATCH(B492,[1]Historical!$B$7:$B$1253,0)))^(1/5)-1)*100)</f>
        <v>n/a</v>
      </c>
      <c r="V492" s="162" t="str">
        <f>IF(INDEX([1]Historical!$N$7:$N$1222,MATCH(B492,[1]Historical!$B$7:$B$1253,0))=0,"n/a",((INDEX([1]Historical!$C$7:$C$1231,MATCH(B492,[1]Historical!$B$7:$B$1253,0))/INDEX([1]Historical!$N$7:$N$1222,MATCH(B492,[1]Historical!$B$7:$B$1253,0)))^(1/10)-1)*100)</f>
        <v>n/a</v>
      </c>
      <c r="W492" s="163" t="str">
        <f t="shared" si="129"/>
        <v>n/a</v>
      </c>
      <c r="X492" s="164" t="str">
        <f t="shared" si="130"/>
        <v>n/a</v>
      </c>
      <c r="Y492" s="227"/>
      <c r="Z492" s="187">
        <f t="shared" si="131"/>
        <v>10.273972602739725</v>
      </c>
      <c r="AA492" s="194">
        <f t="shared" si="132"/>
        <v>23.510273972602743</v>
      </c>
      <c r="AB492" s="189">
        <v>12</v>
      </c>
      <c r="AC492" s="195">
        <v>11.68</v>
      </c>
      <c r="AD492" s="195">
        <v>1.55</v>
      </c>
      <c r="AE492" s="195">
        <v>4.78</v>
      </c>
      <c r="AF492" s="195">
        <v>8.6</v>
      </c>
      <c r="AG492" s="195">
        <v>32.1</v>
      </c>
      <c r="AH492" s="195">
        <v>56.499999999999993</v>
      </c>
      <c r="AI492" s="195">
        <v>-2.48</v>
      </c>
      <c r="AJ492" s="195">
        <v>30.2</v>
      </c>
      <c r="AK492" s="195">
        <v>14.95</v>
      </c>
      <c r="AL492" s="196">
        <v>29550</v>
      </c>
      <c r="AM492" s="197">
        <v>0.1</v>
      </c>
      <c r="AN492" s="195">
        <v>0.03</v>
      </c>
      <c r="AO492" s="198" t="str">
        <f t="shared" si="133"/>
        <v>n/a</v>
      </c>
      <c r="AP492" s="199" t="str">
        <f t="shared" si="134"/>
        <v>n/a</v>
      </c>
      <c r="AQ492" s="172">
        <f t="shared" si="135"/>
        <v>199.76906382849933</v>
      </c>
      <c r="AR492" s="157">
        <f>INDEX([1]Historical!$C$7:$C$1231,MATCH(B492,[1]Historical!$B$7:$B$1253,0))*IF(AH492="n/a",1.03,IF(AH492&lt;0,1.01,IF(AH492&gt;10,1.1,(1+AH492/100))))</f>
        <v>0.88000000000000012</v>
      </c>
      <c r="AS492" s="194">
        <f t="shared" si="136"/>
        <v>0.88880000000000015</v>
      </c>
      <c r="AT492" s="194">
        <f t="shared" si="142"/>
        <v>0.97768000000000022</v>
      </c>
      <c r="AU492" s="194">
        <f t="shared" si="142"/>
        <v>1.0754480000000004</v>
      </c>
      <c r="AV492" s="194">
        <f t="shared" si="142"/>
        <v>1.1829928000000005</v>
      </c>
      <c r="AW492" s="187">
        <f t="shared" si="138"/>
        <v>5.0049208000000007</v>
      </c>
      <c r="AX492" s="200">
        <f t="shared" si="139"/>
        <v>1.8226222869628554</v>
      </c>
      <c r="AY492" s="201">
        <v>1.05</v>
      </c>
      <c r="AZ492" s="197">
        <v>18.72</v>
      </c>
      <c r="BA492" s="197">
        <v>-26.490000000000002</v>
      </c>
      <c r="BB492" s="197">
        <v>2.69</v>
      </c>
      <c r="BC492" s="197">
        <v>-1.78</v>
      </c>
      <c r="BD492" s="202"/>
      <c r="BE492" s="77">
        <v>2017</v>
      </c>
      <c r="BF492" s="77">
        <f t="shared" si="140"/>
        <v>1</v>
      </c>
      <c r="BG492" s="203">
        <v>24</v>
      </c>
      <c r="BH492" t="s">
        <v>939</v>
      </c>
      <c r="BI492" t="s">
        <v>940</v>
      </c>
      <c r="BJ492" s="208"/>
      <c r="BK492" s="208"/>
      <c r="BL492" s="208"/>
    </row>
    <row r="493" spans="1:64" ht="11.25" customHeight="1" x14ac:dyDescent="0.2">
      <c r="A493" s="176" t="s">
        <v>404</v>
      </c>
      <c r="B493" s="153" t="s">
        <v>405</v>
      </c>
      <c r="C493" s="154" t="s">
        <v>117</v>
      </c>
      <c r="D493" s="154" t="s">
        <v>957</v>
      </c>
      <c r="E493" s="155">
        <v>16</v>
      </c>
      <c r="F493" s="298">
        <v>247</v>
      </c>
      <c r="G493" s="298" t="s">
        <v>30</v>
      </c>
      <c r="H493" s="298" t="s">
        <v>30</v>
      </c>
      <c r="I493" s="156">
        <v>36.630000000000003</v>
      </c>
      <c r="J493" s="157">
        <f t="shared" si="126"/>
        <v>4.521976521976522</v>
      </c>
      <c r="K493" s="158">
        <v>0.41410000000000002</v>
      </c>
      <c r="L493" s="126">
        <v>4</v>
      </c>
      <c r="M493" s="82">
        <f t="shared" si="127"/>
        <v>1.6564000000000001</v>
      </c>
      <c r="N493" s="159" t="s">
        <v>309</v>
      </c>
      <c r="O493" s="160">
        <v>0.41</v>
      </c>
      <c r="P493" s="161">
        <v>44844</v>
      </c>
      <c r="Q493" s="161">
        <v>44862</v>
      </c>
      <c r="R493" s="82">
        <f t="shared" si="128"/>
        <v>1.0000000000000118</v>
      </c>
      <c r="S493" s="162">
        <f>IF(INDEX([1]Historical!$D$7:$D$1229,MATCH(B493,[1]Historical!$B$7:$B$1253,0))=0,"n/a",(INDEX([1]Historical!$C$7:$C$1231,MATCH(B493,[1]Historical!$B$7:$B$1253,0))/INDEX([1]Historical!$D$7:$D$1229,MATCH(B493,[1]Historical!$B$7:$B$1253,0))-1)*100)</f>
        <v>3.3546325878594185</v>
      </c>
      <c r="T493" s="162">
        <f>IF(INDEX([1]Historical!$F$7:$F$1222,MATCH(B493,[1]Historical!$B$7:$B$1253,0))=0,"n/a",((INDEX([1]Historical!$C$7:$C$1231,MATCH(B493,[1]Historical!$B$7:$B$1253,0))/INDEX([1]Historical!$F$7:$F$1222,MATCH(B493,[1]Historical!$B$7:$B$1253,0)))^(1/3)-1)*100)</f>
        <v>5.8853621010347856</v>
      </c>
      <c r="U493" s="162">
        <f>IF(INDEX([1]Historical!$H$7:$H$1222,MATCH(B493,[1]Historical!$B$7:$B$1253,0))=0,"n/a",((INDEX([1]Historical!$C$7:$C$1231,MATCH(B493,[1]Historical!$B$7:$B$1253,0))/INDEX([1]Historical!$H$7:$H$1222,MATCH(B493,[1]Historical!$B$7:$B$1253,0)))^(1/5)-1)*100)</f>
        <v>7.4844275406748206</v>
      </c>
      <c r="V493" s="162">
        <f>IF(INDEX([1]Historical!$N$7:$N$1222,MATCH(B493,[1]Historical!$B$7:$B$1253,0))=0,"n/a",((INDEX([1]Historical!$C$7:$C$1231,MATCH(B493,[1]Historical!$B$7:$B$1253,0))/INDEX([1]Historical!$N$7:$N$1222,MATCH(B493,[1]Historical!$B$7:$B$1253,0)))^(1/10)-1)*100)</f>
        <v>7.988697403091316</v>
      </c>
      <c r="W493" s="163">
        <f t="shared" si="129"/>
        <v>0.93687708559077942</v>
      </c>
      <c r="X493" s="164">
        <f t="shared" si="130"/>
        <v>0.44550163932588216</v>
      </c>
      <c r="Y493" s="178"/>
      <c r="Z493" s="157">
        <f t="shared" si="131"/>
        <v>35.930585683297181</v>
      </c>
      <c r="AA493" s="166">
        <f t="shared" si="132"/>
        <v>7.945770065075922</v>
      </c>
      <c r="AB493" s="126">
        <v>12</v>
      </c>
      <c r="AC493" s="167">
        <v>4.6100000000000003</v>
      </c>
      <c r="AD493" s="167">
        <v>4.21</v>
      </c>
      <c r="AE493" s="167">
        <v>2.54</v>
      </c>
      <c r="AF493" s="167">
        <v>1.74</v>
      </c>
      <c r="AG493" s="167">
        <v>22.6</v>
      </c>
      <c r="AH493" s="167">
        <v>524</v>
      </c>
      <c r="AI493" s="167">
        <v>-5.36</v>
      </c>
      <c r="AJ493" s="167">
        <v>16.8</v>
      </c>
      <c r="AK493" s="167">
        <v>1.9</v>
      </c>
      <c r="AL493" s="168">
        <v>7210</v>
      </c>
      <c r="AM493" s="169">
        <v>0.26</v>
      </c>
      <c r="AN493" s="167">
        <v>1.17</v>
      </c>
      <c r="AO493" s="170">
        <f t="shared" si="133"/>
        <v>4.0606339975754198</v>
      </c>
      <c r="AP493" s="171">
        <f t="shared" si="134"/>
        <v>12.006404062651342</v>
      </c>
      <c r="AQ493" s="172">
        <f t="shared" si="135"/>
        <v>-21.611679120385674</v>
      </c>
      <c r="AR493" s="157">
        <f>INDEX([1]Historical!$C$7:$C$1231,MATCH(B493,[1]Historical!$B$7:$B$1253,0))*IF(AH493="n/a",1.03,IF(AH493&lt;0,1.01,IF(AH493&gt;10,1.1,(1+AH493/100))))</f>
        <v>1.77925</v>
      </c>
      <c r="AS493" s="166">
        <f t="shared" si="136"/>
        <v>1.7970425000000001</v>
      </c>
      <c r="AT493" s="166">
        <f t="shared" si="142"/>
        <v>1.8311863074999999</v>
      </c>
      <c r="AU493" s="166">
        <f t="shared" si="142"/>
        <v>1.8659788473424996</v>
      </c>
      <c r="AV493" s="166">
        <f t="shared" si="142"/>
        <v>1.9014324454420068</v>
      </c>
      <c r="AW493" s="157">
        <f t="shared" si="138"/>
        <v>9.1748901002845074</v>
      </c>
      <c r="AX493" s="173">
        <f t="shared" si="139"/>
        <v>25.047475021251724</v>
      </c>
      <c r="AY493" s="174">
        <v>0.66</v>
      </c>
      <c r="AZ493" s="169">
        <v>10.07</v>
      </c>
      <c r="BA493" s="169">
        <v>-14.64</v>
      </c>
      <c r="BB493" s="169">
        <v>-5.19</v>
      </c>
      <c r="BC493" s="169">
        <v>-6.1400000000000006</v>
      </c>
      <c r="BE493" s="77">
        <v>2007</v>
      </c>
      <c r="BF493" s="77">
        <f t="shared" si="140"/>
        <v>2</v>
      </c>
      <c r="BG493" s="175">
        <v>7.3</v>
      </c>
      <c r="BH493" t="s">
        <v>939</v>
      </c>
      <c r="BI493" t="s">
        <v>940</v>
      </c>
    </row>
    <row r="494" spans="1:64" ht="11.25" customHeight="1" x14ac:dyDescent="0.2">
      <c r="A494" s="176" t="s">
        <v>1562</v>
      </c>
      <c r="B494" s="153" t="s">
        <v>865</v>
      </c>
      <c r="C494" s="154" t="s">
        <v>117</v>
      </c>
      <c r="D494" s="154" t="s">
        <v>979</v>
      </c>
      <c r="E494" s="155">
        <v>9</v>
      </c>
      <c r="F494" s="298">
        <v>526</v>
      </c>
      <c r="G494" s="298" t="s">
        <v>104</v>
      </c>
      <c r="H494" s="298" t="s">
        <v>104</v>
      </c>
      <c r="I494" s="156">
        <v>77.48</v>
      </c>
      <c r="J494" s="157">
        <f t="shared" si="126"/>
        <v>3.2008260196179661</v>
      </c>
      <c r="K494" s="158">
        <v>0.62</v>
      </c>
      <c r="L494" s="126">
        <v>4</v>
      </c>
      <c r="M494" s="82">
        <f t="shared" si="127"/>
        <v>2.48</v>
      </c>
      <c r="N494" s="159" t="s">
        <v>153</v>
      </c>
      <c r="O494" s="160">
        <v>0.57999999999999996</v>
      </c>
      <c r="P494" s="161">
        <v>44616</v>
      </c>
      <c r="Q494" s="161">
        <v>44631</v>
      </c>
      <c r="R494" s="82">
        <f t="shared" si="128"/>
        <v>6.8965517241379377</v>
      </c>
      <c r="S494" s="162">
        <f>IF(INDEX([1]Historical!$D$7:$D$1229,MATCH(B494,[1]Historical!$B$7:$B$1253,0))=0,"n/a",(INDEX([1]Historical!$C$7:$C$1231,MATCH(B494,[1]Historical!$B$7:$B$1253,0))/INDEX([1]Historical!$D$7:$D$1229,MATCH(B494,[1]Historical!$B$7:$B$1253,0))-1)*100)</f>
        <v>7.4074074074073959</v>
      </c>
      <c r="T494" s="162">
        <f>IF(INDEX([1]Historical!$F$7:$F$1222,MATCH(B494,[1]Historical!$B$7:$B$1253,0))=0,"n/a",((INDEX([1]Historical!$C$7:$C$1231,MATCH(B494,[1]Historical!$B$7:$B$1253,0))/INDEX([1]Historical!$F$7:$F$1222,MATCH(B494,[1]Historical!$B$7:$B$1253,0)))^(1/3)-1)*100)</f>
        <v>8.0330707256288658</v>
      </c>
      <c r="U494" s="162">
        <f>IF(INDEX([1]Historical!$H$7:$H$1222,MATCH(B494,[1]Historical!$B$7:$B$1253,0))=0,"n/a",((INDEX([1]Historical!$C$7:$C$1231,MATCH(B494,[1]Historical!$B$7:$B$1253,0))/INDEX([1]Historical!$H$7:$H$1222,MATCH(B494,[1]Historical!$B$7:$B$1253,0)))^(1/5)-1)*100)</f>
        <v>10.629764994767822</v>
      </c>
      <c r="V494" s="162" t="str">
        <f>IF(INDEX([1]Historical!$N$7:$N$1222,MATCH(B494,[1]Historical!$B$7:$B$1253,0))=0,"n/a",((INDEX([1]Historical!$C$7:$C$1231,MATCH(B494,[1]Historical!$B$7:$B$1253,0))/INDEX([1]Historical!$N$7:$N$1222,MATCH(B494,[1]Historical!$B$7:$B$1253,0)))^(1/10)-1)*100)</f>
        <v>n/a</v>
      </c>
      <c r="W494" s="163" t="str">
        <f t="shared" si="129"/>
        <v>n/a</v>
      </c>
      <c r="X494" s="164">
        <f t="shared" si="130"/>
        <v>1.3627903839445925</v>
      </c>
      <c r="Y494" s="211"/>
      <c r="Z494" s="157">
        <f t="shared" si="131"/>
        <v>63.265306122448983</v>
      </c>
      <c r="AA494" s="166">
        <f t="shared" si="132"/>
        <v>19.76530612244898</v>
      </c>
      <c r="AB494" s="126">
        <v>12</v>
      </c>
      <c r="AC494" s="167">
        <v>3.92</v>
      </c>
      <c r="AD494" s="167">
        <v>3.94</v>
      </c>
      <c r="AE494" s="167">
        <v>1.8</v>
      </c>
      <c r="AF494" s="167">
        <v>1.71</v>
      </c>
      <c r="AG494" s="167">
        <v>8.9</v>
      </c>
      <c r="AH494" s="167">
        <v>4.5</v>
      </c>
      <c r="AI494" s="167">
        <v>7.0900000000000007</v>
      </c>
      <c r="AJ494" s="167">
        <v>7.8</v>
      </c>
      <c r="AK494" s="167">
        <v>5</v>
      </c>
      <c r="AL494" s="168">
        <v>4090</v>
      </c>
      <c r="AM494" s="169">
        <v>0.1</v>
      </c>
      <c r="AN494" s="167">
        <v>1.7</v>
      </c>
      <c r="AO494" s="170">
        <f t="shared" si="133"/>
        <v>-5.934715108063191</v>
      </c>
      <c r="AP494" s="171">
        <f t="shared" si="134"/>
        <v>13.830591014385789</v>
      </c>
      <c r="AQ494" s="172">
        <f t="shared" si="135"/>
        <v>22.562770256963539</v>
      </c>
      <c r="AR494" s="157">
        <f>INDEX([1]Historical!$C$7:$C$1231,MATCH(B494,[1]Historical!$B$7:$B$1253,0))*IF(AH494="n/a",1.03,IF(AH494&lt;0,1.01,IF(AH494&gt;10,1.1,(1+AH494/100))))</f>
        <v>2.4243999999999999</v>
      </c>
      <c r="AS494" s="166">
        <f t="shared" si="136"/>
        <v>2.59628996</v>
      </c>
      <c r="AT494" s="166">
        <f t="shared" si="142"/>
        <v>2.726104458</v>
      </c>
      <c r="AU494" s="166">
        <f t="shared" si="142"/>
        <v>2.8624096808999999</v>
      </c>
      <c r="AV494" s="166">
        <f t="shared" si="142"/>
        <v>3.0055301649450001</v>
      </c>
      <c r="AW494" s="157">
        <f t="shared" si="138"/>
        <v>13.614734263845001</v>
      </c>
      <c r="AX494" s="173">
        <f t="shared" si="139"/>
        <v>17.571933742701344</v>
      </c>
      <c r="AY494" s="174">
        <v>0.59</v>
      </c>
      <c r="AZ494" s="169">
        <v>20.369999999999997</v>
      </c>
      <c r="BA494" s="169">
        <v>-16.02</v>
      </c>
      <c r="BB494" s="169">
        <v>1.0999999999999999</v>
      </c>
      <c r="BC494" s="169">
        <v>-4.8500000000000005</v>
      </c>
      <c r="BE494" s="77">
        <v>2014</v>
      </c>
      <c r="BF494" s="77">
        <f t="shared" si="140"/>
        <v>1</v>
      </c>
      <c r="BG494" s="175">
        <v>2.5</v>
      </c>
      <c r="BH494" t="s">
        <v>939</v>
      </c>
      <c r="BI494" t="s">
        <v>940</v>
      </c>
      <c r="BJ494" s="112"/>
      <c r="BK494" s="112"/>
      <c r="BL494" s="112"/>
    </row>
    <row r="495" spans="1:64" ht="11.25" customHeight="1" x14ac:dyDescent="0.2">
      <c r="A495" s="205" t="s">
        <v>1163</v>
      </c>
      <c r="B495" s="153" t="s">
        <v>1164</v>
      </c>
      <c r="C495" s="154" t="s">
        <v>922</v>
      </c>
      <c r="D495" s="154" t="s">
        <v>950</v>
      </c>
      <c r="E495" s="155">
        <v>6</v>
      </c>
      <c r="F495" s="298">
        <v>669</v>
      </c>
      <c r="G495" s="298" t="s">
        <v>88</v>
      </c>
      <c r="H495" s="298" t="s">
        <v>88</v>
      </c>
      <c r="I495" s="156">
        <v>95.22</v>
      </c>
      <c r="J495" s="157">
        <f t="shared" si="126"/>
        <v>1.260239445494644</v>
      </c>
      <c r="K495" s="158">
        <v>0.3</v>
      </c>
      <c r="L495" s="126">
        <v>4</v>
      </c>
      <c r="M495" s="82">
        <f t="shared" si="127"/>
        <v>1.2</v>
      </c>
      <c r="N495" s="159" t="s">
        <v>167</v>
      </c>
      <c r="O495" s="160">
        <v>0.2</v>
      </c>
      <c r="P495" s="161">
        <v>44636</v>
      </c>
      <c r="Q495" s="161">
        <v>44651</v>
      </c>
      <c r="R495" s="82">
        <f t="shared" si="128"/>
        <v>49.999999999999986</v>
      </c>
      <c r="S495" s="162">
        <f>IF(INDEX([1]Historical!$D$7:$D$1229,MATCH(B495,[1]Historical!$B$7:$B$1253,0))=0,"n/a",(INDEX([1]Historical!$C$7:$C$1231,MATCH(B495,[1]Historical!$B$7:$B$1253,0))/INDEX([1]Historical!$D$7:$D$1229,MATCH(B495,[1]Historical!$B$7:$B$1253,0))-1)*100)</f>
        <v>33.33333333333335</v>
      </c>
      <c r="T495" s="162">
        <f>IF(INDEX([1]Historical!$F$7:$F$1222,MATCH(B495,[1]Historical!$B$7:$B$1253,0))=0,"n/a",((INDEX([1]Historical!$C$7:$C$1231,MATCH(B495,[1]Historical!$B$7:$B$1253,0))/INDEX([1]Historical!$F$7:$F$1222,MATCH(B495,[1]Historical!$B$7:$B$1253,0)))^(1/3)-1)*100)</f>
        <v>49.380158218572156</v>
      </c>
      <c r="U495" s="162" t="str">
        <f>IF(INDEX([1]Historical!$H$7:$H$1222,MATCH(B495,[1]Historical!$B$7:$B$1253,0))=0,"n/a",((INDEX([1]Historical!$C$7:$C$1231,MATCH(B495,[1]Historical!$B$7:$B$1253,0))/INDEX([1]Historical!$H$7:$H$1222,MATCH(B495,[1]Historical!$B$7:$B$1253,0)))^(1/5)-1)*100)</f>
        <v>n/a</v>
      </c>
      <c r="V495" s="162" t="str">
        <f>IF(INDEX([1]Historical!$N$7:$N$1222,MATCH(B495,[1]Historical!$B$7:$B$1253,0))=0,"n/a",((INDEX([1]Historical!$C$7:$C$1231,MATCH(B495,[1]Historical!$B$7:$B$1253,0))/INDEX([1]Historical!$N$7:$N$1222,MATCH(B495,[1]Historical!$B$7:$B$1253,0)))^(1/10)-1)*100)</f>
        <v>n/a</v>
      </c>
      <c r="W495" s="163" t="str">
        <f t="shared" si="129"/>
        <v>n/a</v>
      </c>
      <c r="X495" s="164" t="str">
        <f t="shared" si="130"/>
        <v>n/a</v>
      </c>
      <c r="Y495" s="180"/>
      <c r="Z495" s="157">
        <f t="shared" si="131"/>
        <v>31.168831168831169</v>
      </c>
      <c r="AA495" s="166">
        <f t="shared" si="132"/>
        <v>24.732467532467531</v>
      </c>
      <c r="AB495" s="126">
        <v>12</v>
      </c>
      <c r="AC495" s="167">
        <v>3.85</v>
      </c>
      <c r="AD495" s="167">
        <v>1.22</v>
      </c>
      <c r="AE495" s="167">
        <v>7.93</v>
      </c>
      <c r="AF495" s="167">
        <v>4.03</v>
      </c>
      <c r="AG495" s="167">
        <v>16.5</v>
      </c>
      <c r="AH495" s="167">
        <v>37.9</v>
      </c>
      <c r="AI495" s="167">
        <v>14.729999999999999</v>
      </c>
      <c r="AJ495" s="167">
        <v>30.2</v>
      </c>
      <c r="AK495" s="167">
        <v>21.07</v>
      </c>
      <c r="AL495" s="168">
        <v>4580</v>
      </c>
      <c r="AM495" s="169">
        <v>1.0999999999999999</v>
      </c>
      <c r="AN495" s="167">
        <v>0</v>
      </c>
      <c r="AO495" s="170" t="str">
        <f t="shared" si="133"/>
        <v>n/a</v>
      </c>
      <c r="AP495" s="171" t="str">
        <f t="shared" si="134"/>
        <v>n/a</v>
      </c>
      <c r="AQ495" s="172">
        <f t="shared" si="135"/>
        <v>110.47231980143471</v>
      </c>
      <c r="AR495" s="157">
        <f>INDEX([1]Historical!$C$7:$C$1231,MATCH(B495,[1]Historical!$B$7:$B$1253,0))*IF(AH495="n/a",1.03,IF(AH495&lt;0,1.01,IF(AH495&gt;10,1.1,(1+AH495/100))))</f>
        <v>0.88000000000000012</v>
      </c>
      <c r="AS495" s="166">
        <f t="shared" si="136"/>
        <v>0.96800000000000019</v>
      </c>
      <c r="AT495" s="166">
        <f t="shared" si="142"/>
        <v>1.0648000000000002</v>
      </c>
      <c r="AU495" s="166">
        <f t="shared" si="142"/>
        <v>1.1712800000000003</v>
      </c>
      <c r="AV495" s="166">
        <f t="shared" si="142"/>
        <v>1.2884080000000004</v>
      </c>
      <c r="AW495" s="157">
        <f t="shared" si="138"/>
        <v>5.3724880000000015</v>
      </c>
      <c r="AX495" s="173">
        <f t="shared" si="139"/>
        <v>5.6421844150388587</v>
      </c>
      <c r="AY495" s="174">
        <v>1.44</v>
      </c>
      <c r="AZ495" s="169">
        <v>6.5</v>
      </c>
      <c r="BA495" s="169">
        <v>-49.5</v>
      </c>
      <c r="BB495" s="169">
        <v>-7.12</v>
      </c>
      <c r="BC495" s="169">
        <v>-24.759999999999998</v>
      </c>
      <c r="BE495" s="77">
        <v>2017</v>
      </c>
      <c r="BF495" s="77">
        <f t="shared" si="140"/>
        <v>1</v>
      </c>
      <c r="BG495" s="175">
        <v>12.4</v>
      </c>
      <c r="BH495" t="s">
        <v>939</v>
      </c>
      <c r="BI495" t="s">
        <v>940</v>
      </c>
      <c r="BJ495" s="112"/>
      <c r="BK495" s="112"/>
      <c r="BL495" s="112"/>
    </row>
    <row r="496" spans="1:64" ht="11.25" customHeight="1" x14ac:dyDescent="0.2">
      <c r="A496" s="112" t="s">
        <v>408</v>
      </c>
      <c r="B496" s="153" t="s">
        <v>409</v>
      </c>
      <c r="C496" s="154" t="s">
        <v>981</v>
      </c>
      <c r="D496" s="154" t="s">
        <v>238</v>
      </c>
      <c r="E496" s="155">
        <v>12</v>
      </c>
      <c r="F496" s="298">
        <v>306</v>
      </c>
      <c r="G496" s="298" t="s">
        <v>30</v>
      </c>
      <c r="H496" s="298" t="s">
        <v>30</v>
      </c>
      <c r="I496" s="156">
        <v>72.75</v>
      </c>
      <c r="J496" s="157">
        <f t="shared" si="126"/>
        <v>3.8487972508591062</v>
      </c>
      <c r="K496" s="158">
        <v>0.7</v>
      </c>
      <c r="L496" s="126">
        <v>4</v>
      </c>
      <c r="M496" s="82">
        <f t="shared" si="127"/>
        <v>2.8</v>
      </c>
      <c r="N496" s="159" t="s">
        <v>548</v>
      </c>
      <c r="O496" s="160">
        <v>0.65</v>
      </c>
      <c r="P496" s="182">
        <v>44264</v>
      </c>
      <c r="Q496" s="182">
        <v>44294</v>
      </c>
      <c r="R496" s="82">
        <f t="shared" si="128"/>
        <v>7.6923076923076819</v>
      </c>
      <c r="S496" s="162">
        <f>IF(INDEX([1]Historical!$D$7:$D$1229,MATCH(B496,[1]Historical!$B$7:$B$1253,0))=0,"n/a",(INDEX([1]Historical!$C$7:$C$1231,MATCH(B496,[1]Historical!$B$7:$B$1253,0))/INDEX([1]Historical!$D$7:$D$1229,MATCH(B496,[1]Historical!$B$7:$B$1253,0))-1)*100)</f>
        <v>5.7692307692307709</v>
      </c>
      <c r="T496" s="162">
        <f>IF(INDEX([1]Historical!$F$7:$F$1222,MATCH(B496,[1]Historical!$B$7:$B$1253,0))=0,"n/a",((INDEX([1]Historical!$C$7:$C$1231,MATCH(B496,[1]Historical!$B$7:$B$1253,0))/INDEX([1]Historical!$F$7:$F$1222,MATCH(B496,[1]Historical!$B$7:$B$1253,0)))^(1/3)-1)*100)</f>
        <v>4.6422696369909477</v>
      </c>
      <c r="U496" s="162">
        <f>IF(INDEX([1]Historical!$H$7:$H$1222,MATCH(B496,[1]Historical!$B$7:$B$1253,0))=0,"n/a",((INDEX([1]Historical!$C$7:$C$1231,MATCH(B496,[1]Historical!$B$7:$B$1253,0))/INDEX([1]Historical!$H$7:$H$1222,MATCH(B496,[1]Historical!$B$7:$B$1253,0)))^(1/5)-1)*100)</f>
        <v>5.5413584563397622</v>
      </c>
      <c r="V496" s="162">
        <f>IF(INDEX([1]Historical!$N$7:$N$1222,MATCH(B496,[1]Historical!$B$7:$B$1253,0))=0,"n/a",((INDEX([1]Historical!$C$7:$C$1231,MATCH(B496,[1]Historical!$B$7:$B$1253,0))/INDEX([1]Historical!$N$7:$N$1222,MATCH(B496,[1]Historical!$B$7:$B$1253,0)))^(1/10)-1)*100)</f>
        <v>11.214370723844013</v>
      </c>
      <c r="W496" s="163">
        <f t="shared" si="129"/>
        <v>0.49413012934891809</v>
      </c>
      <c r="X496" s="164">
        <f t="shared" si="130"/>
        <v>0.92355974272329366</v>
      </c>
      <c r="Y496" s="180"/>
      <c r="Z496" s="157">
        <f t="shared" si="131"/>
        <v>45.676998368678632</v>
      </c>
      <c r="AA496" s="166">
        <f t="shared" si="132"/>
        <v>11.867862969004895</v>
      </c>
      <c r="AB496" s="126">
        <v>12</v>
      </c>
      <c r="AC496" s="167">
        <v>6.13</v>
      </c>
      <c r="AD496" s="167">
        <v>1.1200000000000001</v>
      </c>
      <c r="AE496" s="167">
        <v>1.02</v>
      </c>
      <c r="AF496" s="167">
        <v>5.42</v>
      </c>
      <c r="AG496" s="167">
        <v>44</v>
      </c>
      <c r="AH496" s="167">
        <v>45.800000000000004</v>
      </c>
      <c r="AI496" s="167">
        <v>-3.46</v>
      </c>
      <c r="AJ496" s="167">
        <v>6</v>
      </c>
      <c r="AK496" s="167">
        <v>10.6</v>
      </c>
      <c r="AL496" s="168">
        <v>14510</v>
      </c>
      <c r="AM496" s="169">
        <v>0.70000000000000007</v>
      </c>
      <c r="AN496" s="167">
        <v>1.99</v>
      </c>
      <c r="AO496" s="170">
        <f t="shared" si="133"/>
        <v>-2.4777072618060263</v>
      </c>
      <c r="AP496" s="171">
        <f t="shared" si="134"/>
        <v>9.3901557071988684</v>
      </c>
      <c r="AQ496" s="172">
        <f t="shared" si="135"/>
        <v>69.08093695296283</v>
      </c>
      <c r="AR496" s="157">
        <f>INDEX([1]Historical!$C$7:$C$1231,MATCH(B496,[1]Historical!$B$7:$B$1253,0))*IF(AH496="n/a",1.03,IF(AH496&lt;0,1.01,IF(AH496&gt;10,1.1,(1+AH496/100))))</f>
        <v>3.0250000000000004</v>
      </c>
      <c r="AS496" s="166">
        <f t="shared" si="136"/>
        <v>3.0552500000000005</v>
      </c>
      <c r="AT496" s="166">
        <f t="shared" si="142"/>
        <v>3.3607750000000007</v>
      </c>
      <c r="AU496" s="166">
        <f t="shared" si="142"/>
        <v>3.6968525000000012</v>
      </c>
      <c r="AV496" s="166">
        <f t="shared" si="142"/>
        <v>4.0665377500000019</v>
      </c>
      <c r="AW496" s="157">
        <f t="shared" si="138"/>
        <v>17.204415250000004</v>
      </c>
      <c r="AX496" s="173">
        <f t="shared" si="139"/>
        <v>23.64868075601375</v>
      </c>
      <c r="AY496" s="174">
        <v>0.87</v>
      </c>
      <c r="AZ496" s="169">
        <v>18.66</v>
      </c>
      <c r="BA496" s="169">
        <v>-20.59</v>
      </c>
      <c r="BB496" s="169">
        <v>7.86</v>
      </c>
      <c r="BC496" s="169">
        <v>-0.72</v>
      </c>
      <c r="BE496" s="77">
        <v>2010</v>
      </c>
      <c r="BF496" s="77">
        <f t="shared" si="140"/>
        <v>1</v>
      </c>
      <c r="BG496" s="175">
        <v>5</v>
      </c>
      <c r="BH496" t="s">
        <v>939</v>
      </c>
      <c r="BI496" t="s">
        <v>940</v>
      </c>
    </row>
    <row r="497" spans="1:64" ht="11.25" customHeight="1" x14ac:dyDescent="0.2">
      <c r="A497" s="112" t="s">
        <v>1563</v>
      </c>
      <c r="B497" s="153" t="s">
        <v>410</v>
      </c>
      <c r="C497" s="154" t="s">
        <v>922</v>
      </c>
      <c r="D497" s="154" t="s">
        <v>1113</v>
      </c>
      <c r="E497" s="155">
        <v>13</v>
      </c>
      <c r="F497" s="298">
        <v>268</v>
      </c>
      <c r="G497" s="298" t="s">
        <v>88</v>
      </c>
      <c r="H497" s="298" t="s">
        <v>88</v>
      </c>
      <c r="I497" s="156">
        <v>78.069999999999993</v>
      </c>
      <c r="J497" s="157">
        <f t="shared" si="126"/>
        <v>1.6395542461893176</v>
      </c>
      <c r="K497" s="158">
        <v>0.32</v>
      </c>
      <c r="L497" s="126">
        <v>4</v>
      </c>
      <c r="M497" s="82">
        <f t="shared" si="127"/>
        <v>1.28</v>
      </c>
      <c r="N497" s="159" t="s">
        <v>534</v>
      </c>
      <c r="O497" s="160">
        <v>0.24</v>
      </c>
      <c r="P497" s="182">
        <v>44293</v>
      </c>
      <c r="Q497" s="182">
        <v>44308</v>
      </c>
      <c r="R497" s="82">
        <f t="shared" si="128"/>
        <v>33.333333333333343</v>
      </c>
      <c r="S497" s="162">
        <f>IF(INDEX([1]Historical!$D$7:$D$1229,MATCH(B497,[1]Historical!$B$7:$B$1253,0))=0,"n/a",(INDEX([1]Historical!$C$7:$C$1231,MATCH(B497,[1]Historical!$B$7:$B$1253,0))/INDEX([1]Historical!$D$7:$D$1229,MATCH(B497,[1]Historical!$B$7:$B$1253,0))-1)*100)</f>
        <v>25</v>
      </c>
      <c r="T497" s="162">
        <f>IF(INDEX([1]Historical!$F$7:$F$1222,MATCH(B497,[1]Historical!$B$7:$B$1253,0))=0,"n/a",((INDEX([1]Historical!$C$7:$C$1231,MATCH(B497,[1]Historical!$B$7:$B$1253,0))/INDEX([1]Historical!$F$7:$F$1222,MATCH(B497,[1]Historical!$B$7:$B$1253,0)))^(1/3)-1)*100)</f>
        <v>16.445457431121579</v>
      </c>
      <c r="U497" s="162">
        <f>IF(INDEX([1]Historical!$H$7:$H$1222,MATCH(B497,[1]Historical!$B$7:$B$1253,0))=0,"n/a",((INDEX([1]Historical!$C$7:$C$1231,MATCH(B497,[1]Historical!$B$7:$B$1253,0))/INDEX([1]Historical!$H$7:$H$1222,MATCH(B497,[1]Historical!$B$7:$B$1253,0)))^(1/5)-1)*100)</f>
        <v>14.869835499703509</v>
      </c>
      <c r="V497" s="162">
        <f>IF(INDEX([1]Historical!$N$7:$N$1222,MATCH(B497,[1]Historical!$B$7:$B$1253,0))=0,"n/a",((INDEX([1]Historical!$C$7:$C$1231,MATCH(B497,[1]Historical!$B$7:$B$1253,0))/INDEX([1]Historical!$N$7:$N$1222,MATCH(B497,[1]Historical!$B$7:$B$1253,0)))^(1/10)-1)*100)</f>
        <v>17.962872918499428</v>
      </c>
      <c r="W497" s="163">
        <f t="shared" si="129"/>
        <v>0.82780942487153641</v>
      </c>
      <c r="X497" s="164">
        <f t="shared" si="130"/>
        <v>9.9132236664690065</v>
      </c>
      <c r="Y497" s="180"/>
      <c r="Z497" s="157">
        <f t="shared" si="131"/>
        <v>60.952380952380949</v>
      </c>
      <c r="AA497" s="166">
        <f t="shared" si="132"/>
        <v>37.17619047619047</v>
      </c>
      <c r="AB497" s="126">
        <v>5</v>
      </c>
      <c r="AC497" s="167">
        <v>2.1</v>
      </c>
      <c r="AD497" s="167">
        <v>3.4</v>
      </c>
      <c r="AE497" s="167">
        <v>4.59</v>
      </c>
      <c r="AF497" s="167" t="s">
        <v>95</v>
      </c>
      <c r="AG497" s="167">
        <v>-75.2</v>
      </c>
      <c r="AH497" s="167">
        <v>-47</v>
      </c>
      <c r="AI497" s="167">
        <v>14.510000000000002</v>
      </c>
      <c r="AJ497" s="167">
        <v>1.5</v>
      </c>
      <c r="AK497" s="167">
        <v>10.8</v>
      </c>
      <c r="AL497" s="168">
        <v>202620</v>
      </c>
      <c r="AM497" s="169">
        <v>42.699999999999996</v>
      </c>
      <c r="AN497" s="167" t="s">
        <v>95</v>
      </c>
      <c r="AO497" s="170">
        <f t="shared" si="133"/>
        <v>-20.666800730297645</v>
      </c>
      <c r="AP497" s="171">
        <f t="shared" si="134"/>
        <v>16.509389745892825</v>
      </c>
      <c r="AQ497" s="172" t="str">
        <f t="shared" si="135"/>
        <v>n/a</v>
      </c>
      <c r="AR497" s="157">
        <f>INDEX([1]Historical!$C$7:$C$1231,MATCH(B497,[1]Historical!$B$7:$B$1253,0))*IF(AH497="n/a",1.03,IF(AH497&lt;0,1.01,IF(AH497&gt;10,1.1,(1+AH497/100))))</f>
        <v>1.212</v>
      </c>
      <c r="AS497" s="166">
        <f t="shared" si="136"/>
        <v>1.3332000000000002</v>
      </c>
      <c r="AT497" s="166">
        <f t="shared" si="142"/>
        <v>1.4665200000000003</v>
      </c>
      <c r="AU497" s="166">
        <f t="shared" si="142"/>
        <v>1.6131720000000005</v>
      </c>
      <c r="AV497" s="166">
        <f t="shared" si="142"/>
        <v>1.7744892000000008</v>
      </c>
      <c r="AW497" s="157">
        <f t="shared" si="138"/>
        <v>7.3993812000000014</v>
      </c>
      <c r="AX497" s="173">
        <f t="shared" si="139"/>
        <v>9.4778803637760998</v>
      </c>
      <c r="AY497" s="174">
        <v>0.98</v>
      </c>
      <c r="AZ497" s="169">
        <v>28.449999999999996</v>
      </c>
      <c r="BA497" s="169">
        <v>-26.58</v>
      </c>
      <c r="BB497" s="169">
        <v>11.57</v>
      </c>
      <c r="BC497" s="169">
        <v>4.79</v>
      </c>
      <c r="BE497" s="77">
        <v>2010</v>
      </c>
      <c r="BF497" s="77">
        <f t="shared" si="140"/>
        <v>1</v>
      </c>
      <c r="BG497" s="175">
        <v>5.0999999999999996</v>
      </c>
      <c r="BH497" t="s">
        <v>939</v>
      </c>
      <c r="BI497" t="s">
        <v>940</v>
      </c>
    </row>
    <row r="498" spans="1:64" ht="11.25" customHeight="1" x14ac:dyDescent="0.2">
      <c r="A498" s="176" t="s">
        <v>1564</v>
      </c>
      <c r="B498" s="153" t="s">
        <v>407</v>
      </c>
      <c r="C498" s="154" t="s">
        <v>90</v>
      </c>
      <c r="D498" s="154" t="s">
        <v>110</v>
      </c>
      <c r="E498" s="155">
        <v>41</v>
      </c>
      <c r="F498" s="298">
        <v>66</v>
      </c>
      <c r="G498" s="298" t="s">
        <v>30</v>
      </c>
      <c r="H498" s="298" t="s">
        <v>104</v>
      </c>
      <c r="I498" s="167">
        <v>23.21</v>
      </c>
      <c r="J498" s="157">
        <f t="shared" si="126"/>
        <v>3.9638087031451961</v>
      </c>
      <c r="K498" s="158">
        <v>0.23</v>
      </c>
      <c r="L498" s="126">
        <v>4</v>
      </c>
      <c r="M498" s="82">
        <f t="shared" si="127"/>
        <v>0.92</v>
      </c>
      <c r="N498" s="159" t="s">
        <v>167</v>
      </c>
      <c r="O498" s="160">
        <v>0.22</v>
      </c>
      <c r="P498" s="161">
        <v>44624</v>
      </c>
      <c r="Q498" s="161">
        <v>44635</v>
      </c>
      <c r="R498" s="82">
        <f t="shared" si="128"/>
        <v>4.5454545454545494</v>
      </c>
      <c r="S498" s="162">
        <f>IF(INDEX([1]Historical!$D$7:$D$1229,MATCH(B498,[1]Historical!$B$7:$B$1253,0))=0,"n/a",(INDEX([1]Historical!$C$7:$C$1231,MATCH(B498,[1]Historical!$B$7:$B$1253,0))/INDEX([1]Historical!$D$7:$D$1229,MATCH(B498,[1]Historical!$B$7:$B$1253,0))-1)*100)</f>
        <v>4.7619047619047672</v>
      </c>
      <c r="T498" s="162">
        <f>IF(INDEX([1]Historical!$F$7:$F$1222,MATCH(B498,[1]Historical!$B$7:$B$1253,0))=0,"n/a",((INDEX([1]Historical!$C$7:$C$1231,MATCH(B498,[1]Historical!$B$7:$B$1253,0))/INDEX([1]Historical!$F$7:$F$1222,MATCH(B498,[1]Historical!$B$7:$B$1253,0)))^(1/3)-1)*100)</f>
        <v>4.102866914963843</v>
      </c>
      <c r="U498" s="162">
        <f>IF(INDEX([1]Historical!$H$7:$H$1222,MATCH(B498,[1]Historical!$B$7:$B$1253,0))=0,"n/a",((INDEX([1]Historical!$C$7:$C$1231,MATCH(B498,[1]Historical!$B$7:$B$1253,0))/INDEX([1]Historical!$H$7:$H$1222,MATCH(B498,[1]Historical!$B$7:$B$1253,0)))^(1/5)-1)*100)</f>
        <v>3.2486261992623389</v>
      </c>
      <c r="V498" s="162">
        <f>IF(INDEX([1]Historical!$N$7:$N$1222,MATCH(B498,[1]Historical!$B$7:$B$1253,0))=0,"n/a",((INDEX([1]Historical!$C$7:$C$1231,MATCH(B498,[1]Historical!$B$7:$B$1253,0))/INDEX([1]Historical!$N$7:$N$1222,MATCH(B498,[1]Historical!$B$7:$B$1253,0)))^(1/10)-1)*100)</f>
        <v>2.3148008395632802</v>
      </c>
      <c r="W498" s="163">
        <f t="shared" si="129"/>
        <v>1.4034149909308129</v>
      </c>
      <c r="X498" s="164">
        <f t="shared" si="130"/>
        <v>0.12399336638405872</v>
      </c>
      <c r="Y498" s="219"/>
      <c r="Z498" s="157">
        <f t="shared" si="131"/>
        <v>35.249042145593876</v>
      </c>
      <c r="AA498" s="166">
        <f t="shared" si="132"/>
        <v>8.8927203065134108</v>
      </c>
      <c r="AB498" s="126">
        <v>12</v>
      </c>
      <c r="AC498" s="167">
        <v>2.61</v>
      </c>
      <c r="AD498" s="167">
        <v>0.9</v>
      </c>
      <c r="AE498" s="167">
        <v>0.83</v>
      </c>
      <c r="AF498" s="167">
        <v>1.1100000000000001</v>
      </c>
      <c r="AG498" s="167">
        <v>20.3</v>
      </c>
      <c r="AH498" s="167">
        <v>170.4</v>
      </c>
      <c r="AI498" s="167">
        <v>-2.0099999999999998</v>
      </c>
      <c r="AJ498" s="167">
        <v>26.200000000000003</v>
      </c>
      <c r="AK498" s="167">
        <v>10</v>
      </c>
      <c r="AL498" s="168">
        <v>7130</v>
      </c>
      <c r="AM498" s="169">
        <v>0.1</v>
      </c>
      <c r="AN498" s="167">
        <v>0.25</v>
      </c>
      <c r="AO498" s="170">
        <f t="shared" si="133"/>
        <v>-1.6802854041058755</v>
      </c>
      <c r="AP498" s="171">
        <f t="shared" si="134"/>
        <v>7.2124349024075354</v>
      </c>
      <c r="AQ498" s="172">
        <f t="shared" si="135"/>
        <v>-33.764999047231214</v>
      </c>
      <c r="AR498" s="157">
        <f>INDEX([1]Historical!$C$7:$C$1231,MATCH(B498,[1]Historical!$B$7:$B$1253,0))*IF(AH498="n/a",1.03,IF(AH498&lt;0,1.01,IF(AH498&gt;10,1.1,(1+AH498/100))))</f>
        <v>0.96800000000000008</v>
      </c>
      <c r="AS498" s="166">
        <f t="shared" si="136"/>
        <v>0.9776800000000001</v>
      </c>
      <c r="AT498" s="166">
        <f t="shared" si="142"/>
        <v>1.0754480000000002</v>
      </c>
      <c r="AU498" s="166">
        <f t="shared" si="142"/>
        <v>1.1829928000000003</v>
      </c>
      <c r="AV498" s="166">
        <f t="shared" si="142"/>
        <v>1.3012920800000005</v>
      </c>
      <c r="AW498" s="157">
        <f t="shared" si="138"/>
        <v>5.5054128800000015</v>
      </c>
      <c r="AX498" s="173">
        <f t="shared" si="139"/>
        <v>23.7200037914692</v>
      </c>
      <c r="AY498" s="174">
        <v>0.82</v>
      </c>
      <c r="AZ498" s="169">
        <v>15.879999999999999</v>
      </c>
      <c r="BA498" s="169">
        <v>-10.8</v>
      </c>
      <c r="BB498" s="169">
        <v>4.38</v>
      </c>
      <c r="BC498" s="169">
        <v>1.73</v>
      </c>
      <c r="BE498" s="77">
        <v>1982</v>
      </c>
      <c r="BF498" s="77">
        <f t="shared" si="140"/>
        <v>4</v>
      </c>
      <c r="BG498" s="175">
        <v>5.3</v>
      </c>
      <c r="BH498" t="s">
        <v>939</v>
      </c>
      <c r="BI498" t="s">
        <v>940</v>
      </c>
    </row>
    <row r="499" spans="1:64" s="252" customFormat="1" ht="11.25" customHeight="1" x14ac:dyDescent="0.2">
      <c r="A499" s="183" t="s">
        <v>1565</v>
      </c>
      <c r="B499" s="184" t="s">
        <v>1165</v>
      </c>
      <c r="C499" s="154" t="s">
        <v>90</v>
      </c>
      <c r="D499" s="154" t="s">
        <v>969</v>
      </c>
      <c r="E499" s="185">
        <v>7</v>
      </c>
      <c r="F499" s="298">
        <v>604</v>
      </c>
      <c r="G499" s="297" t="s">
        <v>88</v>
      </c>
      <c r="H499" s="297" t="s">
        <v>88</v>
      </c>
      <c r="I499" s="186">
        <v>26.47</v>
      </c>
      <c r="J499" s="187">
        <f t="shared" si="126"/>
        <v>2.8711749149981114</v>
      </c>
      <c r="K499" s="188">
        <v>0.19</v>
      </c>
      <c r="L499" s="189">
        <v>4</v>
      </c>
      <c r="M499" s="190">
        <f t="shared" si="127"/>
        <v>0.76</v>
      </c>
      <c r="N499" s="191" t="s">
        <v>700</v>
      </c>
      <c r="O499" s="192">
        <v>0.18</v>
      </c>
      <c r="P499" s="293">
        <v>44407</v>
      </c>
      <c r="Q499" s="293">
        <v>44417</v>
      </c>
      <c r="R499" s="190">
        <f t="shared" si="128"/>
        <v>5.5555555555555607</v>
      </c>
      <c r="S499" s="162">
        <f>IF(INDEX([1]Historical!$D$7:$D$1229,MATCH(B499,[1]Historical!$B$7:$B$1253,0))=0,"n/a",(INDEX([1]Historical!$C$7:$C$1231,MATCH(B499,[1]Historical!$B$7:$B$1253,0))/INDEX([1]Historical!$D$7:$D$1229,MATCH(B499,[1]Historical!$B$7:$B$1253,0))-1)*100)</f>
        <v>8.8235294117646959</v>
      </c>
      <c r="T499" s="162">
        <f>IF(INDEX([1]Historical!$F$7:$F$1222,MATCH(B499,[1]Historical!$B$7:$B$1253,0))=0,"n/a",((INDEX([1]Historical!$C$7:$C$1231,MATCH(B499,[1]Historical!$B$7:$B$1253,0))/INDEX([1]Historical!$F$7:$F$1222,MATCH(B499,[1]Historical!$B$7:$B$1253,0)))^(1/3)-1)*100)</f>
        <v>13.960384306101293</v>
      </c>
      <c r="U499" s="162">
        <f>IF(INDEX([1]Historical!$H$7:$H$1222,MATCH(B499,[1]Historical!$B$7:$B$1253,0))=0,"n/a",((INDEX([1]Historical!$C$7:$C$1231,MATCH(B499,[1]Historical!$B$7:$B$1253,0))/INDEX([1]Historical!$H$7:$H$1222,MATCH(B499,[1]Historical!$B$7:$B$1253,0)))^(1/5)-1)*100)</f>
        <v>16.153616167554617</v>
      </c>
      <c r="V499" s="162">
        <f>IF(INDEX([1]Historical!$N$7:$N$1222,MATCH(B499,[1]Historical!$B$7:$B$1253,0))=0,"n/a",((INDEX([1]Historical!$C$7:$C$1231,MATCH(B499,[1]Historical!$B$7:$B$1253,0))/INDEX([1]Historical!$N$7:$N$1222,MATCH(B499,[1]Historical!$B$7:$B$1253,0)))^(1/10)-1)*100)</f>
        <v>0.70203870465042062</v>
      </c>
      <c r="W499" s="163">
        <f t="shared" si="129"/>
        <v>23.009580612223214</v>
      </c>
      <c r="X499" s="164">
        <f t="shared" si="130"/>
        <v>0.54758020906964799</v>
      </c>
      <c r="Y499" s="221"/>
      <c r="Z499" s="187">
        <f t="shared" si="131"/>
        <v>28.044280442804432</v>
      </c>
      <c r="AA499" s="194">
        <f t="shared" si="132"/>
        <v>9.767527675276753</v>
      </c>
      <c r="AB499" s="189">
        <v>12</v>
      </c>
      <c r="AC499" s="195">
        <v>2.71</v>
      </c>
      <c r="AD499" s="195" t="s">
        <v>95</v>
      </c>
      <c r="AE499" s="195">
        <v>2.75</v>
      </c>
      <c r="AF499" s="195">
        <v>1.18</v>
      </c>
      <c r="AG499" s="195">
        <v>12</v>
      </c>
      <c r="AH499" s="195">
        <v>23.400000000000002</v>
      </c>
      <c r="AI499" s="195">
        <v>18.89</v>
      </c>
      <c r="AJ499" s="195">
        <v>29.5</v>
      </c>
      <c r="AK499" s="195" t="s">
        <v>95</v>
      </c>
      <c r="AL499" s="196">
        <v>276.25</v>
      </c>
      <c r="AM499" s="197">
        <v>1.2</v>
      </c>
      <c r="AN499" s="195">
        <v>0.13</v>
      </c>
      <c r="AO499" s="198">
        <f t="shared" si="133"/>
        <v>9.2572634072759747</v>
      </c>
      <c r="AP499" s="199">
        <f t="shared" si="134"/>
        <v>19.024791082552728</v>
      </c>
      <c r="AQ499" s="172">
        <f t="shared" si="135"/>
        <v>-28.42817855289519</v>
      </c>
      <c r="AR499" s="157">
        <f>INDEX([1]Historical!$C$7:$C$1231,MATCH(B499,[1]Historical!$B$7:$B$1253,0))*IF(AH499="n/a",1.03,IF(AH499&lt;0,1.01,IF(AH499&gt;10,1.1,(1+AH499/100))))</f>
        <v>0.81400000000000006</v>
      </c>
      <c r="AS499" s="194">
        <f t="shared" si="136"/>
        <v>0.89540000000000008</v>
      </c>
      <c r="AT499" s="194">
        <f t="shared" si="142"/>
        <v>0.92226200000000014</v>
      </c>
      <c r="AU499" s="194">
        <f t="shared" si="142"/>
        <v>0.94992986000000013</v>
      </c>
      <c r="AV499" s="194">
        <f t="shared" si="142"/>
        <v>0.97842775580000019</v>
      </c>
      <c r="AW499" s="187">
        <f t="shared" si="138"/>
        <v>4.5600196158000008</v>
      </c>
      <c r="AX499" s="200">
        <f t="shared" si="139"/>
        <v>17.227123595768798</v>
      </c>
      <c r="AY499" s="201">
        <v>0.81</v>
      </c>
      <c r="AZ499" s="197">
        <v>21.37</v>
      </c>
      <c r="BA499" s="197">
        <v>-3.29</v>
      </c>
      <c r="BB499" s="197">
        <v>5.58</v>
      </c>
      <c r="BC499" s="197">
        <v>7.8</v>
      </c>
      <c r="BD499" s="202"/>
      <c r="BE499" s="77">
        <v>2015</v>
      </c>
      <c r="BF499" s="77">
        <f t="shared" si="140"/>
        <v>1</v>
      </c>
      <c r="BG499" s="203">
        <v>1.0999999999999999</v>
      </c>
      <c r="BH499" t="s">
        <v>939</v>
      </c>
      <c r="BI499" t="s">
        <v>940</v>
      </c>
      <c r="BJ499" s="208"/>
      <c r="BK499" s="208"/>
      <c r="BL499" s="208"/>
    </row>
    <row r="500" spans="1:64" ht="11.25" customHeight="1" x14ac:dyDescent="0.2">
      <c r="A500" s="176" t="s">
        <v>1566</v>
      </c>
      <c r="B500" s="153" t="s">
        <v>825</v>
      </c>
      <c r="C500" s="154" t="s">
        <v>94</v>
      </c>
      <c r="D500" s="154" t="s">
        <v>101</v>
      </c>
      <c r="E500" s="155">
        <v>9</v>
      </c>
      <c r="F500" s="298">
        <v>512</v>
      </c>
      <c r="G500" s="298" t="s">
        <v>88</v>
      </c>
      <c r="H500" s="298" t="s">
        <v>88</v>
      </c>
      <c r="I500" s="156">
        <v>88</v>
      </c>
      <c r="J500" s="157">
        <f t="shared" si="126"/>
        <v>1.6818181818181819</v>
      </c>
      <c r="K500" s="158">
        <v>0.37</v>
      </c>
      <c r="L500" s="126">
        <v>4</v>
      </c>
      <c r="M500" s="82">
        <f t="shared" si="127"/>
        <v>1.48</v>
      </c>
      <c r="N500" s="159" t="s">
        <v>677</v>
      </c>
      <c r="O500" s="160">
        <v>0.33</v>
      </c>
      <c r="P500" s="224">
        <v>44512</v>
      </c>
      <c r="Q500" s="224">
        <v>44529</v>
      </c>
      <c r="R500" s="82">
        <f t="shared" si="128"/>
        <v>12.121212121212114</v>
      </c>
      <c r="S500" s="162">
        <f>IF(INDEX([1]Historical!$D$7:$D$1229,MATCH(B500,[1]Historical!$B$7:$B$1253,0))=0,"n/a",(INDEX([1]Historical!$C$7:$C$1231,MATCH(B500,[1]Historical!$B$7:$B$1253,0))/INDEX([1]Historical!$D$7:$D$1229,MATCH(B500,[1]Historical!$B$7:$B$1253,0))-1)*100)</f>
        <v>10.569105691056912</v>
      </c>
      <c r="T500" s="162">
        <f>IF(INDEX([1]Historical!$F$7:$F$1222,MATCH(B500,[1]Historical!$B$7:$B$1253,0))=0,"n/a",((INDEX([1]Historical!$C$7:$C$1231,MATCH(B500,[1]Historical!$B$7:$B$1253,0))/INDEX([1]Historical!$F$7:$F$1222,MATCH(B500,[1]Historical!$B$7:$B$1253,0)))^(1/3)-1)*100)</f>
        <v>11.164957066285929</v>
      </c>
      <c r="U500" s="162">
        <f>IF(INDEX([1]Historical!$H$7:$H$1222,MATCH(B500,[1]Historical!$B$7:$B$1253,0))=0,"n/a",((INDEX([1]Historical!$C$7:$C$1231,MATCH(B500,[1]Historical!$B$7:$B$1253,0))/INDEX([1]Historical!$H$7:$H$1222,MATCH(B500,[1]Historical!$B$7:$B$1253,0)))^(1/5)-1)*100)</f>
        <v>11.760635116972784</v>
      </c>
      <c r="V500" s="162" t="str">
        <f>IF(INDEX([1]Historical!$N$7:$N$1222,MATCH(B500,[1]Historical!$B$7:$B$1253,0))=0,"n/a",((INDEX([1]Historical!$C$7:$C$1231,MATCH(B500,[1]Historical!$B$7:$B$1253,0))/INDEX([1]Historical!$N$7:$N$1222,MATCH(B500,[1]Historical!$B$7:$B$1253,0)))^(1/10)-1)*100)</f>
        <v>n/a</v>
      </c>
      <c r="W500" s="163" t="str">
        <f t="shared" si="129"/>
        <v>n/a</v>
      </c>
      <c r="X500" s="164" t="str">
        <f t="shared" si="130"/>
        <v>n/a</v>
      </c>
      <c r="Y500" s="212"/>
      <c r="Z500" s="157">
        <f t="shared" si="131"/>
        <v>108.02919708029196</v>
      </c>
      <c r="AA500" s="166">
        <f t="shared" si="132"/>
        <v>64.233576642335763</v>
      </c>
      <c r="AB500" s="126">
        <v>9</v>
      </c>
      <c r="AC500" s="167">
        <v>1.37</v>
      </c>
      <c r="AD500" s="167">
        <v>3.77</v>
      </c>
      <c r="AE500" s="167">
        <v>0.71</v>
      </c>
      <c r="AF500" s="167">
        <v>2</v>
      </c>
      <c r="AG500" s="167">
        <v>3.1</v>
      </c>
      <c r="AH500" s="167">
        <v>-98.7</v>
      </c>
      <c r="AI500" s="167">
        <v>151.22999999999999</v>
      </c>
      <c r="AJ500" s="167">
        <v>-52.5</v>
      </c>
      <c r="AK500" s="167">
        <v>17.080000000000002</v>
      </c>
      <c r="AL500" s="168">
        <v>5570</v>
      </c>
      <c r="AM500" s="169">
        <v>0.5</v>
      </c>
      <c r="AN500" s="167">
        <v>0.21</v>
      </c>
      <c r="AO500" s="170">
        <f t="shared" si="133"/>
        <v>-50.791123343544797</v>
      </c>
      <c r="AP500" s="171">
        <f t="shared" si="134"/>
        <v>13.442453298790966</v>
      </c>
      <c r="AQ500" s="172">
        <f t="shared" si="135"/>
        <v>138.94876557740389</v>
      </c>
      <c r="AR500" s="157">
        <f>INDEX([1]Historical!$C$7:$C$1231,MATCH(B500,[1]Historical!$B$7:$B$1253,0))*IF(AH500="n/a",1.03,IF(AH500&lt;0,1.01,IF(AH500&gt;10,1.1,(1+AH500/100))))</f>
        <v>1.3736000000000002</v>
      </c>
      <c r="AS500" s="166">
        <f t="shared" si="136"/>
        <v>1.5109600000000003</v>
      </c>
      <c r="AT500" s="166">
        <f t="shared" si="142"/>
        <v>1.6620560000000004</v>
      </c>
      <c r="AU500" s="166">
        <f t="shared" si="142"/>
        <v>1.8282616000000007</v>
      </c>
      <c r="AV500" s="166">
        <f t="shared" si="142"/>
        <v>2.011087760000001</v>
      </c>
      <c r="AW500" s="157">
        <f t="shared" si="138"/>
        <v>8.3859653600000019</v>
      </c>
      <c r="AX500" s="173">
        <f t="shared" si="139"/>
        <v>9.5295060909090932</v>
      </c>
      <c r="AY500" s="174">
        <v>1.36</v>
      </c>
      <c r="AZ500" s="169">
        <v>26.979999999999997</v>
      </c>
      <c r="BA500" s="169">
        <v>-29.69</v>
      </c>
      <c r="BB500" s="169">
        <v>11.95</v>
      </c>
      <c r="BC500" s="169">
        <v>-4.8099999999999996</v>
      </c>
      <c r="BE500" s="77">
        <v>2014</v>
      </c>
      <c r="BF500" s="77">
        <f t="shared" si="140"/>
        <v>1</v>
      </c>
      <c r="BG500" s="175">
        <v>1.3</v>
      </c>
      <c r="BH500" t="s">
        <v>939</v>
      </c>
      <c r="BI500" t="s">
        <v>940</v>
      </c>
      <c r="BJ500" s="112"/>
      <c r="BK500" s="112"/>
      <c r="BL500" s="112"/>
    </row>
    <row r="501" spans="1:64" ht="11.25" customHeight="1" x14ac:dyDescent="0.2">
      <c r="A501" s="176" t="s">
        <v>1567</v>
      </c>
      <c r="B501" s="153" t="s">
        <v>824</v>
      </c>
      <c r="C501" s="154" t="s">
        <v>922</v>
      </c>
      <c r="D501" s="154" t="s">
        <v>1113</v>
      </c>
      <c r="E501" s="155">
        <v>10</v>
      </c>
      <c r="F501" s="298">
        <v>501</v>
      </c>
      <c r="G501" s="298" t="s">
        <v>88</v>
      </c>
      <c r="H501" s="298" t="s">
        <v>88</v>
      </c>
      <c r="I501" s="156">
        <v>28.95</v>
      </c>
      <c r="J501" s="157">
        <f t="shared" si="126"/>
        <v>3.3575129533678756</v>
      </c>
      <c r="K501" s="158">
        <v>0.24299999999999999</v>
      </c>
      <c r="L501" s="126">
        <v>4</v>
      </c>
      <c r="M501" s="82">
        <f t="shared" si="127"/>
        <v>0.97199999999999998</v>
      </c>
      <c r="N501" s="159" t="s">
        <v>186</v>
      </c>
      <c r="O501" s="160">
        <v>0.22090000000000001</v>
      </c>
      <c r="P501" s="161">
        <v>44805</v>
      </c>
      <c r="Q501" s="161">
        <v>44827</v>
      </c>
      <c r="R501" s="82">
        <f t="shared" si="128"/>
        <v>10.004526935264817</v>
      </c>
      <c r="S501" s="162">
        <f>IF(INDEX([1]Historical!$D$7:$D$1229,MATCH(B501,[1]Historical!$B$7:$B$1253,0))=0,"n/a",(INDEX([1]Historical!$C$7:$C$1231,MATCH(B501,[1]Historical!$B$7:$B$1253,0))/INDEX([1]Historical!$D$7:$D$1229,MATCH(B501,[1]Historical!$B$7:$B$1253,0))-1)*100)</f>
        <v>16.395252553132767</v>
      </c>
      <c r="T501" s="162">
        <f>IF(INDEX([1]Historical!$F$7:$F$1222,MATCH(B501,[1]Historical!$B$7:$B$1253,0))=0,"n/a",((INDEX([1]Historical!$C$7:$C$1231,MATCH(B501,[1]Historical!$B$7:$B$1253,0))/INDEX([1]Historical!$F$7:$F$1222,MATCH(B501,[1]Historical!$B$7:$B$1253,0)))^(1/3)-1)*100)</f>
        <v>12.814923047891336</v>
      </c>
      <c r="U501" s="162">
        <f>IF(INDEX([1]Historical!$H$7:$H$1222,MATCH(B501,[1]Historical!$B$7:$B$1253,0))=0,"n/a",((INDEX([1]Historical!$C$7:$C$1231,MATCH(B501,[1]Historical!$B$7:$B$1253,0))/INDEX([1]Historical!$H$7:$H$1222,MATCH(B501,[1]Historical!$B$7:$B$1253,0)))^(1/5)-1)*100)</f>
        <v>13.640913763748097</v>
      </c>
      <c r="V501" s="162" t="str">
        <f>IF(INDEX([1]Historical!$N$7:$N$1222,MATCH(B501,[1]Historical!$B$7:$B$1253,0))=0,"n/a",((INDEX([1]Historical!$C$7:$C$1231,MATCH(B501,[1]Historical!$B$7:$B$1253,0))/INDEX([1]Historical!$N$7:$N$1222,MATCH(B501,[1]Historical!$B$7:$B$1253,0)))^(1/10)-1)*100)</f>
        <v>n/a</v>
      </c>
      <c r="W501" s="163" t="str">
        <f t="shared" si="129"/>
        <v>n/a</v>
      </c>
      <c r="X501" s="164" t="str">
        <f t="shared" si="130"/>
        <v>n/a</v>
      </c>
      <c r="Y501" s="178" t="s">
        <v>253</v>
      </c>
      <c r="Z501" s="157">
        <f t="shared" si="131"/>
        <v>66.575342465753423</v>
      </c>
      <c r="AA501" s="166">
        <f t="shared" si="132"/>
        <v>19.828767123287673</v>
      </c>
      <c r="AB501" s="126">
        <v>6</v>
      </c>
      <c r="AC501" s="167">
        <v>1.46</v>
      </c>
      <c r="AD501" s="167" t="s">
        <v>95</v>
      </c>
      <c r="AE501" s="167">
        <v>2.25</v>
      </c>
      <c r="AF501" s="167">
        <v>2.0099999999999998</v>
      </c>
      <c r="AG501" s="167">
        <v>9.7000000000000011</v>
      </c>
      <c r="AH501" s="167">
        <v>28.599999999999998</v>
      </c>
      <c r="AI501" s="167">
        <v>5.36</v>
      </c>
      <c r="AJ501" s="167">
        <v>-18.3</v>
      </c>
      <c r="AK501" s="167">
        <v>-1.2</v>
      </c>
      <c r="AL501" s="168">
        <v>7840</v>
      </c>
      <c r="AM501" s="169">
        <v>2.2999999999999998</v>
      </c>
      <c r="AN501" s="167">
        <v>1.05</v>
      </c>
      <c r="AO501" s="170">
        <f t="shared" si="133"/>
        <v>-2.8303404061717004</v>
      </c>
      <c r="AP501" s="171">
        <f t="shared" si="134"/>
        <v>16.998426717115972</v>
      </c>
      <c r="AQ501" s="172">
        <f t="shared" si="135"/>
        <v>33.092819603977809</v>
      </c>
      <c r="AR501" s="157">
        <f>INDEX([1]Historical!$C$7:$C$1231,MATCH(B501,[1]Historical!$B$7:$B$1253,0))*IF(AH501="n/a",1.03,IF(AH501&lt;0,1.01,IF(AH501&gt;10,1.1,(1+AH501/100))))</f>
        <v>0.92774000000000012</v>
      </c>
      <c r="AS501" s="166">
        <f t="shared" si="136"/>
        <v>0.97746686400000016</v>
      </c>
      <c r="AT501" s="166">
        <f t="shared" si="142"/>
        <v>0.98724153264000014</v>
      </c>
      <c r="AU501" s="166">
        <f t="shared" si="142"/>
        <v>0.99711394796640018</v>
      </c>
      <c r="AV501" s="166">
        <f t="shared" si="142"/>
        <v>1.0070850874460642</v>
      </c>
      <c r="AW501" s="157">
        <f t="shared" si="138"/>
        <v>4.8966474320524647</v>
      </c>
      <c r="AX501" s="173">
        <f t="shared" si="139"/>
        <v>16.914153478592279</v>
      </c>
      <c r="AY501" s="174">
        <v>1.03</v>
      </c>
      <c r="AZ501" s="169">
        <v>16.220000000000002</v>
      </c>
      <c r="BA501" s="169">
        <v>-45.07</v>
      </c>
      <c r="BB501" s="169">
        <v>-1.0699999999999998</v>
      </c>
      <c r="BC501" s="169">
        <v>-24.279999999999998</v>
      </c>
      <c r="BE501" s="77">
        <v>2013</v>
      </c>
      <c r="BF501" s="77">
        <f t="shared" si="140"/>
        <v>1</v>
      </c>
      <c r="BG501" s="175">
        <v>4</v>
      </c>
      <c r="BH501" t="s">
        <v>939</v>
      </c>
      <c r="BI501" t="s">
        <v>940</v>
      </c>
    </row>
    <row r="502" spans="1:64" ht="11.25" customHeight="1" x14ac:dyDescent="0.2">
      <c r="A502" s="112" t="s">
        <v>1568</v>
      </c>
      <c r="B502" s="153" t="s">
        <v>866</v>
      </c>
      <c r="C502" s="154" t="s">
        <v>117</v>
      </c>
      <c r="D502" s="154" t="s">
        <v>957</v>
      </c>
      <c r="E502" s="155">
        <v>9</v>
      </c>
      <c r="F502" s="298">
        <v>522</v>
      </c>
      <c r="G502" s="298" t="s">
        <v>30</v>
      </c>
      <c r="H502" s="298" t="s">
        <v>30</v>
      </c>
      <c r="I502" s="156">
        <v>67.42</v>
      </c>
      <c r="J502" s="157">
        <f t="shared" si="126"/>
        <v>2.4473450014832392</v>
      </c>
      <c r="K502" s="158">
        <v>0.41249999999999998</v>
      </c>
      <c r="L502" s="126">
        <v>4</v>
      </c>
      <c r="M502" s="82">
        <f t="shared" si="127"/>
        <v>1.65</v>
      </c>
      <c r="N502" s="159" t="s">
        <v>151</v>
      </c>
      <c r="O502" s="160">
        <v>0.39</v>
      </c>
      <c r="P502" s="161">
        <v>44606</v>
      </c>
      <c r="Q502" s="161">
        <v>44630</v>
      </c>
      <c r="R502" s="82">
        <f t="shared" si="128"/>
        <v>5.7692307692307594</v>
      </c>
      <c r="S502" s="162">
        <f>IF(INDEX([1]Historical!$D$7:$D$1229,MATCH(B502,[1]Historical!$B$7:$B$1253,0))=0,"n/a",(INDEX([1]Historical!$C$7:$C$1231,MATCH(B502,[1]Historical!$B$7:$B$1253,0))/INDEX([1]Historical!$D$7:$D$1229,MATCH(B502,[1]Historical!$B$7:$B$1253,0))-1)*100)</f>
        <v>5.4054054054054168</v>
      </c>
      <c r="T502" s="162">
        <f>IF(INDEX([1]Historical!$F$7:$F$1222,MATCH(B502,[1]Historical!$B$7:$B$1253,0))=0,"n/a",((INDEX([1]Historical!$C$7:$C$1231,MATCH(B502,[1]Historical!$B$7:$B$1253,0))/INDEX([1]Historical!$F$7:$F$1222,MATCH(B502,[1]Historical!$B$7:$B$1253,0)))^(1/3)-1)*100)</f>
        <v>5.1977860665757269</v>
      </c>
      <c r="U502" s="162">
        <f>IF(INDEX([1]Historical!$H$7:$H$1222,MATCH(B502,[1]Historical!$B$7:$B$1253,0))=0,"n/a",((INDEX([1]Historical!$C$7:$C$1231,MATCH(B502,[1]Historical!$B$7:$B$1253,0))/INDEX([1]Historical!$H$7:$H$1222,MATCH(B502,[1]Historical!$B$7:$B$1253,0)))^(1/5)-1)*100)</f>
        <v>4.5304733581652101</v>
      </c>
      <c r="V502" s="162">
        <f>IF(INDEX([1]Historical!$N$7:$N$1222,MATCH(B502,[1]Historical!$B$7:$B$1253,0))=0,"n/a",((INDEX([1]Historical!$C$7:$C$1231,MATCH(B502,[1]Historical!$B$7:$B$1253,0))/INDEX([1]Historical!$N$7:$N$1222,MATCH(B502,[1]Historical!$B$7:$B$1253,0)))^(1/10)-1)*100)</f>
        <v>2.7443061663912083</v>
      </c>
      <c r="W502" s="163">
        <f t="shared" si="129"/>
        <v>1.6508629443932747</v>
      </c>
      <c r="X502" s="164">
        <f t="shared" si="130"/>
        <v>0.2117043625310846</v>
      </c>
      <c r="Y502" s="211"/>
      <c r="Z502" s="157">
        <f t="shared" si="131"/>
        <v>26.357827476038338</v>
      </c>
      <c r="AA502" s="166">
        <f t="shared" si="132"/>
        <v>10.769968051118212</v>
      </c>
      <c r="AB502" s="126">
        <v>12</v>
      </c>
      <c r="AC502" s="167">
        <v>6.26</v>
      </c>
      <c r="AD502" s="167">
        <v>1.22</v>
      </c>
      <c r="AE502" s="167">
        <v>1.95</v>
      </c>
      <c r="AF502" s="167">
        <v>2.56</v>
      </c>
      <c r="AG502" s="167">
        <v>25.5</v>
      </c>
      <c r="AH502" s="167">
        <v>80.400000000000006</v>
      </c>
      <c r="AI502" s="167">
        <v>-40.31</v>
      </c>
      <c r="AJ502" s="167">
        <v>21.4</v>
      </c>
      <c r="AK502" s="167">
        <v>9</v>
      </c>
      <c r="AL502" s="168">
        <v>2780</v>
      </c>
      <c r="AM502" s="169">
        <v>2.11</v>
      </c>
      <c r="AN502" s="167">
        <v>0.76</v>
      </c>
      <c r="AO502" s="170">
        <f t="shared" si="133"/>
        <v>-3.7921496914697634</v>
      </c>
      <c r="AP502" s="171">
        <f t="shared" si="134"/>
        <v>6.9778183596484489</v>
      </c>
      <c r="AQ502" s="172">
        <f t="shared" si="135"/>
        <v>10.697020357094278</v>
      </c>
      <c r="AR502" s="157">
        <f>INDEX([1]Historical!$C$7:$C$1231,MATCH(B502,[1]Historical!$B$7:$B$1253,0))*IF(AH502="n/a",1.03,IF(AH502&lt;0,1.01,IF(AH502&gt;10,1.1,(1+AH502/100))))</f>
        <v>1.7160000000000002</v>
      </c>
      <c r="AS502" s="166">
        <f t="shared" si="136"/>
        <v>1.7331600000000003</v>
      </c>
      <c r="AT502" s="166">
        <f t="shared" si="142"/>
        <v>1.8891444000000004</v>
      </c>
      <c r="AU502" s="166">
        <f t="shared" si="142"/>
        <v>2.0591673960000008</v>
      </c>
      <c r="AV502" s="166">
        <f t="shared" si="142"/>
        <v>2.244492461640001</v>
      </c>
      <c r="AW502" s="157">
        <f t="shared" si="138"/>
        <v>9.6419642576400015</v>
      </c>
      <c r="AX502" s="173">
        <f t="shared" si="139"/>
        <v>14.301341230554735</v>
      </c>
      <c r="AY502" s="174">
        <v>0.53</v>
      </c>
      <c r="AZ502" s="169">
        <v>17.07</v>
      </c>
      <c r="BA502" s="169">
        <v>-18.240000000000002</v>
      </c>
      <c r="BB502" s="169">
        <v>-2.7</v>
      </c>
      <c r="BC502" s="169">
        <v>2.1399999999999997</v>
      </c>
      <c r="BE502" s="77">
        <v>2014</v>
      </c>
      <c r="BF502" s="77">
        <f t="shared" si="140"/>
        <v>1</v>
      </c>
      <c r="BG502" s="175">
        <v>9.4</v>
      </c>
      <c r="BH502" t="s">
        <v>939</v>
      </c>
      <c r="BI502" t="s">
        <v>940</v>
      </c>
      <c r="BJ502" s="112"/>
      <c r="BK502" s="112"/>
      <c r="BL502" s="112"/>
    </row>
    <row r="503" spans="1:64" ht="11.25" customHeight="1" x14ac:dyDescent="0.2">
      <c r="A503" s="176" t="s">
        <v>863</v>
      </c>
      <c r="B503" s="153" t="s">
        <v>864</v>
      </c>
      <c r="C503" s="154" t="s">
        <v>90</v>
      </c>
      <c r="D503" s="154" t="s">
        <v>969</v>
      </c>
      <c r="E503" s="155">
        <v>9</v>
      </c>
      <c r="F503" s="298">
        <v>517</v>
      </c>
      <c r="G503" s="298" t="s">
        <v>88</v>
      </c>
      <c r="H503" s="298" t="s">
        <v>88</v>
      </c>
      <c r="I503" s="156">
        <v>19.72</v>
      </c>
      <c r="J503" s="157">
        <f t="shared" si="126"/>
        <v>1.5212981744421907</v>
      </c>
      <c r="K503" s="158">
        <v>0.15</v>
      </c>
      <c r="L503" s="126">
        <v>2</v>
      </c>
      <c r="M503" s="82">
        <f t="shared" si="127"/>
        <v>0.3</v>
      </c>
      <c r="N503" s="159" t="s">
        <v>311</v>
      </c>
      <c r="O503" s="160">
        <v>0.14499999999999999</v>
      </c>
      <c r="P503" s="161">
        <v>44589</v>
      </c>
      <c r="Q503" s="161">
        <v>44603</v>
      </c>
      <c r="R503" s="82">
        <f t="shared" si="128"/>
        <v>3.4482758620689689</v>
      </c>
      <c r="S503" s="162">
        <f>IF(INDEX([1]Historical!$D$7:$D$1229,MATCH(B503,[1]Historical!$B$7:$B$1253,0))=0,"n/a",(INDEX([1]Historical!$C$7:$C$1231,MATCH(B503,[1]Historical!$B$7:$B$1253,0))/INDEX([1]Historical!$D$7:$D$1229,MATCH(B503,[1]Historical!$B$7:$B$1253,0))-1)*100)</f>
        <v>3.5714285714285587</v>
      </c>
      <c r="T503" s="162">
        <f>IF(INDEX([1]Historical!$F$7:$F$1222,MATCH(B503,[1]Historical!$B$7:$B$1253,0))=0,"n/a",((INDEX([1]Historical!$C$7:$C$1231,MATCH(B503,[1]Historical!$B$7:$B$1253,0))/INDEX([1]Historical!$F$7:$F$1222,MATCH(B503,[1]Historical!$B$7:$B$1253,0)))^(1/3)-1)*100)</f>
        <v>3.7070347012313709</v>
      </c>
      <c r="U503" s="162">
        <f>IF(INDEX([1]Historical!$H$7:$H$1222,MATCH(B503,[1]Historical!$B$7:$B$1253,0))=0,"n/a",((INDEX([1]Historical!$C$7:$C$1231,MATCH(B503,[1]Historical!$B$7:$B$1253,0))/INDEX([1]Historical!$H$7:$H$1222,MATCH(B503,[1]Historical!$B$7:$B$1253,0)))^(1/5)-1)*100)</f>
        <v>3.8573773084258578</v>
      </c>
      <c r="V503" s="162" t="str">
        <f>IF(INDEX([1]Historical!$N$7:$N$1222,MATCH(B503,[1]Historical!$B$7:$B$1253,0))=0,"n/a",((INDEX([1]Historical!$C$7:$C$1231,MATCH(B503,[1]Historical!$B$7:$B$1253,0))/INDEX([1]Historical!$N$7:$N$1222,MATCH(B503,[1]Historical!$B$7:$B$1253,0)))^(1/10)-1)*100)</f>
        <v>n/a</v>
      </c>
      <c r="W503" s="163" t="str">
        <f t="shared" si="129"/>
        <v>n/a</v>
      </c>
      <c r="X503" s="164">
        <f t="shared" si="130"/>
        <v>0.23958865269725824</v>
      </c>
      <c r="Y503" s="178"/>
      <c r="Z503" s="157">
        <f t="shared" si="131"/>
        <v>14.563106796116504</v>
      </c>
      <c r="AA503" s="166">
        <f t="shared" si="132"/>
        <v>9.5728155339805809</v>
      </c>
      <c r="AB503" s="126">
        <v>12</v>
      </c>
      <c r="AC503" s="167">
        <v>2.06</v>
      </c>
      <c r="AD503" s="167" t="s">
        <v>95</v>
      </c>
      <c r="AE503" s="167">
        <v>3.04</v>
      </c>
      <c r="AF503" s="167">
        <v>1.36</v>
      </c>
      <c r="AG503" s="167">
        <v>10.8</v>
      </c>
      <c r="AH503" s="167">
        <v>18.8</v>
      </c>
      <c r="AI503" s="167" t="s">
        <v>95</v>
      </c>
      <c r="AJ503" s="167">
        <v>16.100000000000001</v>
      </c>
      <c r="AK503" s="167" t="s">
        <v>95</v>
      </c>
      <c r="AL503" s="168">
        <v>161.06</v>
      </c>
      <c r="AM503" s="169">
        <v>1.7999999999999998</v>
      </c>
      <c r="AN503" s="167">
        <v>0</v>
      </c>
      <c r="AO503" s="170">
        <f t="shared" si="133"/>
        <v>-4.194140051112532</v>
      </c>
      <c r="AP503" s="171">
        <f t="shared" si="134"/>
        <v>5.378675482868049</v>
      </c>
      <c r="AQ503" s="172">
        <f t="shared" si="135"/>
        <v>-23.932693177646669</v>
      </c>
      <c r="AR503" s="157">
        <f>INDEX([1]Historical!$C$7:$C$1231,MATCH(B503,[1]Historical!$B$7:$B$1253,0))*IF(AH503="n/a",1.03,IF(AH503&lt;0,1.01,IF(AH503&gt;10,1.1,(1+AH503/100))))</f>
        <v>0.31900000000000001</v>
      </c>
      <c r="AS503" s="166">
        <f t="shared" si="136"/>
        <v>0.32857000000000003</v>
      </c>
      <c r="AT503" s="166">
        <f t="shared" ref="AT503:AV518" si="143">IF($AK503="n/a",1.03*AS503,IF($AK503&lt;0,1.01*AS503,IF($AK503&gt;10,1.1*AS503,(1+$AK503/100)*AS503)))</f>
        <v>0.33842710000000004</v>
      </c>
      <c r="AU503" s="166">
        <f t="shared" si="143"/>
        <v>0.34857991300000002</v>
      </c>
      <c r="AV503" s="166">
        <f t="shared" si="143"/>
        <v>0.35903731039000003</v>
      </c>
      <c r="AW503" s="157">
        <f t="shared" si="138"/>
        <v>1.6936143233900001</v>
      </c>
      <c r="AX503" s="173">
        <f t="shared" si="139"/>
        <v>8.5883079279411767</v>
      </c>
      <c r="AY503" s="174">
        <v>0.36</v>
      </c>
      <c r="AZ503" s="169">
        <v>19.37</v>
      </c>
      <c r="BA503" s="169">
        <v>-1.8900000000000001</v>
      </c>
      <c r="BB503" s="169">
        <v>7.91</v>
      </c>
      <c r="BC503" s="169">
        <v>9.4600000000000009</v>
      </c>
      <c r="BE503" s="77">
        <v>2014</v>
      </c>
      <c r="BF503" s="77">
        <f t="shared" si="140"/>
        <v>1</v>
      </c>
      <c r="BG503" s="175">
        <v>0.70000000000000007</v>
      </c>
      <c r="BH503" t="s">
        <v>939</v>
      </c>
      <c r="BI503" t="s">
        <v>940</v>
      </c>
      <c r="BJ503" s="112"/>
      <c r="BK503" s="112"/>
      <c r="BL503" s="112"/>
    </row>
    <row r="504" spans="1:64" ht="11.25" customHeight="1" x14ac:dyDescent="0.2">
      <c r="A504" s="112" t="s">
        <v>1166</v>
      </c>
      <c r="B504" s="153" t="s">
        <v>898</v>
      </c>
      <c r="C504" s="154" t="s">
        <v>90</v>
      </c>
      <c r="D504" s="154" t="s">
        <v>969</v>
      </c>
      <c r="E504" s="155">
        <v>26</v>
      </c>
      <c r="F504" s="298">
        <v>138</v>
      </c>
      <c r="G504" s="298" t="s">
        <v>88</v>
      </c>
      <c r="H504" s="298" t="s">
        <v>88</v>
      </c>
      <c r="I504" s="156">
        <v>42.98</v>
      </c>
      <c r="J504" s="157">
        <f t="shared" si="126"/>
        <v>3.0711959050721269</v>
      </c>
      <c r="K504" s="209">
        <v>0.33</v>
      </c>
      <c r="L504" s="126">
        <v>4</v>
      </c>
      <c r="M504" s="82">
        <f t="shared" si="127"/>
        <v>1.32</v>
      </c>
      <c r="N504" s="159" t="s">
        <v>296</v>
      </c>
      <c r="O504" s="210">
        <v>0.32</v>
      </c>
      <c r="P504" s="161">
        <v>44847</v>
      </c>
      <c r="Q504" s="161">
        <v>44855</v>
      </c>
      <c r="R504" s="82">
        <f t="shared" si="128"/>
        <v>3.1250000000000027</v>
      </c>
      <c r="S504" s="162">
        <f>IF(INDEX([1]Historical!$D$7:$D$1229,MATCH(B504,[1]Historical!$B$7:$B$1253,0))=0,"n/a",(INDEX([1]Historical!$C$7:$C$1231,MATCH(B504,[1]Historical!$B$7:$B$1253,0))/INDEX([1]Historical!$D$7:$D$1229,MATCH(B504,[1]Historical!$B$7:$B$1253,0))-1)*100)</f>
        <v>5.1044083526682327</v>
      </c>
      <c r="T504" s="162">
        <f>IF(INDEX([1]Historical!$F$7:$F$1222,MATCH(B504,[1]Historical!$B$7:$B$1253,0))=0,"n/a",((INDEX([1]Historical!$C$7:$C$1231,MATCH(B504,[1]Historical!$B$7:$B$1253,0))/INDEX([1]Historical!$F$7:$F$1222,MATCH(B504,[1]Historical!$B$7:$B$1253,0)))^(1/3)-1)*100)</f>
        <v>12.518437850757124</v>
      </c>
      <c r="U504" s="162">
        <f>IF(INDEX([1]Historical!$H$7:$H$1222,MATCH(B504,[1]Historical!$B$7:$B$1253,0))=0,"n/a",((INDEX([1]Historical!$C$7:$C$1231,MATCH(B504,[1]Historical!$B$7:$B$1253,0))/INDEX([1]Historical!$H$7:$H$1222,MATCH(B504,[1]Historical!$B$7:$B$1253,0)))^(1/5)-1)*100)</f>
        <v>12.4448403700389</v>
      </c>
      <c r="V504" s="162">
        <f>IF(INDEX([1]Historical!$N$7:$N$1222,MATCH(B504,[1]Historical!$B$7:$B$1253,0))=0,"n/a",((INDEX([1]Historical!$C$7:$C$1231,MATCH(B504,[1]Historical!$B$7:$B$1253,0))/INDEX([1]Historical!$N$7:$N$1222,MATCH(B504,[1]Historical!$B$7:$B$1253,0)))^(1/10)-1)*100)</f>
        <v>19.863415361785353</v>
      </c>
      <c r="W504" s="163">
        <f t="shared" si="129"/>
        <v>0.62652067347799445</v>
      </c>
      <c r="X504" s="164">
        <f t="shared" si="130"/>
        <v>1.0728310663826637</v>
      </c>
      <c r="Y504" s="178" t="s">
        <v>1167</v>
      </c>
      <c r="Z504" s="157">
        <f t="shared" si="131"/>
        <v>30.205949656750576</v>
      </c>
      <c r="AA504" s="166">
        <f t="shared" si="132"/>
        <v>9.835240274599542</v>
      </c>
      <c r="AB504" s="126">
        <v>12</v>
      </c>
      <c r="AC504" s="167">
        <v>4.37</v>
      </c>
      <c r="AD504" s="167">
        <v>0.82</v>
      </c>
      <c r="AE504" s="167">
        <v>4.6399999999999997</v>
      </c>
      <c r="AF504" s="167">
        <v>1.21</v>
      </c>
      <c r="AG504" s="167">
        <v>12.6</v>
      </c>
      <c r="AH504" s="167">
        <v>98.1</v>
      </c>
      <c r="AI504" s="167">
        <v>15.83</v>
      </c>
      <c r="AJ504" s="167">
        <v>11.600000000000001</v>
      </c>
      <c r="AK504" s="167">
        <v>12</v>
      </c>
      <c r="AL504" s="168">
        <v>5330</v>
      </c>
      <c r="AM504" s="169">
        <v>0.4</v>
      </c>
      <c r="AN504" s="167">
        <v>0.23</v>
      </c>
      <c r="AO504" s="170">
        <f t="shared" si="133"/>
        <v>5.680796000511485</v>
      </c>
      <c r="AP504" s="171">
        <f t="shared" si="134"/>
        <v>15.516036275111027</v>
      </c>
      <c r="AQ504" s="172">
        <f t="shared" si="135"/>
        <v>-27.273294734433062</v>
      </c>
      <c r="AR504" s="157">
        <f>INDEX([1]Historical!$C$7:$C$1231,MATCH(B504,[1]Historical!$B$7:$B$1253,0))*IF(AH504="n/a",1.03,IF(AH504&lt;0,1.01,IF(AH504&gt;10,1.1,(1+AH504/100))))</f>
        <v>1.2457500000000001</v>
      </c>
      <c r="AS504" s="166">
        <f t="shared" si="136"/>
        <v>1.3703250000000002</v>
      </c>
      <c r="AT504" s="166">
        <f t="shared" si="143"/>
        <v>1.5073575000000003</v>
      </c>
      <c r="AU504" s="166">
        <f t="shared" si="143"/>
        <v>1.6580932500000005</v>
      </c>
      <c r="AV504" s="166">
        <f t="shared" si="143"/>
        <v>1.8239025750000006</v>
      </c>
      <c r="AW504" s="157">
        <f t="shared" si="138"/>
        <v>7.6054283250000019</v>
      </c>
      <c r="AX504" s="173">
        <f t="shared" si="139"/>
        <v>17.695272975802702</v>
      </c>
      <c r="AY504" s="174">
        <v>1.34</v>
      </c>
      <c r="AZ504" s="169">
        <v>23.54</v>
      </c>
      <c r="BA504" s="169">
        <v>-16.37</v>
      </c>
      <c r="BB504" s="169">
        <v>3.9</v>
      </c>
      <c r="BC504" s="169">
        <v>2.8899999999999997</v>
      </c>
      <c r="BE504" s="77">
        <v>1997</v>
      </c>
      <c r="BF504" s="77">
        <f t="shared" si="140"/>
        <v>3</v>
      </c>
      <c r="BG504" s="175">
        <v>2.1</v>
      </c>
      <c r="BH504" t="s">
        <v>939</v>
      </c>
      <c r="BI504" t="s">
        <v>940</v>
      </c>
    </row>
    <row r="505" spans="1:64" ht="11.25" customHeight="1" x14ac:dyDescent="0.2">
      <c r="A505" s="112" t="s">
        <v>1569</v>
      </c>
      <c r="B505" s="153" t="s">
        <v>638</v>
      </c>
      <c r="C505" s="154" t="s">
        <v>922</v>
      </c>
      <c r="D505" s="154" t="s">
        <v>949</v>
      </c>
      <c r="E505" s="155">
        <v>12</v>
      </c>
      <c r="F505" s="298">
        <v>362</v>
      </c>
      <c r="G505" s="298" t="s">
        <v>30</v>
      </c>
      <c r="H505" s="298" t="s">
        <v>30</v>
      </c>
      <c r="I505" s="156">
        <v>118.31</v>
      </c>
      <c r="J505" s="157">
        <f t="shared" si="126"/>
        <v>2.6709492012509508</v>
      </c>
      <c r="K505" s="158">
        <v>0.79</v>
      </c>
      <c r="L505" s="126">
        <v>4</v>
      </c>
      <c r="M505" s="82">
        <f t="shared" si="127"/>
        <v>3.16</v>
      </c>
      <c r="N505" s="159" t="s">
        <v>207</v>
      </c>
      <c r="O505" s="160">
        <v>0.66</v>
      </c>
      <c r="P505" s="161">
        <v>44692</v>
      </c>
      <c r="Q505" s="161">
        <v>44707</v>
      </c>
      <c r="R505" s="82">
        <f t="shared" si="128"/>
        <v>19.696969696969695</v>
      </c>
      <c r="S505" s="162">
        <f>IF(INDEX([1]Historical!$D$7:$D$1229,MATCH(B505,[1]Historical!$B$7:$B$1253,0))=0,"n/a",(INDEX([1]Historical!$C$7:$C$1231,MATCH(B505,[1]Historical!$B$7:$B$1253,0))/INDEX([1]Historical!$D$7:$D$1229,MATCH(B505,[1]Historical!$B$7:$B$1253,0))-1)*100)</f>
        <v>4.8387096774193505</v>
      </c>
      <c r="T505" s="162">
        <f>IF(INDEX([1]Historical!$F$7:$F$1222,MATCH(B505,[1]Historical!$B$7:$B$1253,0))=0,"n/a",((INDEX([1]Historical!$C$7:$C$1231,MATCH(B505,[1]Historical!$B$7:$B$1253,0))/INDEX([1]Historical!$F$7:$F$1222,MATCH(B505,[1]Historical!$B$7:$B$1253,0)))^(1/3)-1)*100)</f>
        <v>6.0487656968408743</v>
      </c>
      <c r="U505" s="162">
        <f>IF(INDEX([1]Historical!$H$7:$H$1222,MATCH(B505,[1]Historical!$B$7:$B$1253,0))=0,"n/a",((INDEX([1]Historical!$C$7:$C$1231,MATCH(B505,[1]Historical!$B$7:$B$1253,0))/INDEX([1]Historical!$H$7:$H$1222,MATCH(B505,[1]Historical!$B$7:$B$1253,0)))^(1/5)-1)*100)</f>
        <v>8.1165393261328767</v>
      </c>
      <c r="V505" s="162">
        <f>IF(INDEX([1]Historical!$N$7:$N$1222,MATCH(B505,[1]Historical!$B$7:$B$1253,0))=0,"n/a",((INDEX([1]Historical!$C$7:$C$1231,MATCH(B505,[1]Historical!$B$7:$B$1253,0))/INDEX([1]Historical!$N$7:$N$1222,MATCH(B505,[1]Historical!$B$7:$B$1253,0)))^(1/10)-1)*100)</f>
        <v>7.5985288632311354</v>
      </c>
      <c r="W505" s="163">
        <f t="shared" si="129"/>
        <v>1.0681724676217741</v>
      </c>
      <c r="X505" s="164">
        <f t="shared" si="130"/>
        <v>0.73786721146662515</v>
      </c>
      <c r="Y505" s="180"/>
      <c r="Z505" s="157">
        <f t="shared" si="131"/>
        <v>79.797979797979806</v>
      </c>
      <c r="AA505" s="166">
        <f t="shared" si="132"/>
        <v>29.876262626262626</v>
      </c>
      <c r="AB505" s="126">
        <v>5</v>
      </c>
      <c r="AC505" s="167">
        <v>3.96</v>
      </c>
      <c r="AD505" s="167">
        <v>2.11</v>
      </c>
      <c r="AE505" s="167">
        <v>8.81</v>
      </c>
      <c r="AF505" s="167">
        <v>13.75</v>
      </c>
      <c r="AG505" s="167">
        <v>45.6</v>
      </c>
      <c r="AH505" s="167">
        <v>26.6</v>
      </c>
      <c r="AI505" s="167">
        <v>7.0499999999999989</v>
      </c>
      <c r="AJ505" s="167">
        <v>11</v>
      </c>
      <c r="AK505" s="167">
        <v>14.31</v>
      </c>
      <c r="AL505" s="168">
        <v>41720</v>
      </c>
      <c r="AM505" s="169">
        <v>10.7</v>
      </c>
      <c r="AN505" s="167">
        <v>0.26</v>
      </c>
      <c r="AO505" s="170">
        <f t="shared" si="133"/>
        <v>-19.088774098878801</v>
      </c>
      <c r="AP505" s="171">
        <f t="shared" si="134"/>
        <v>10.787488527383827</v>
      </c>
      <c r="AQ505" s="172">
        <f t="shared" si="135"/>
        <v>327.29048724939707</v>
      </c>
      <c r="AR505" s="157">
        <f>INDEX([1]Historical!$C$7:$C$1231,MATCH(B505,[1]Historical!$B$7:$B$1253,0))*IF(AH505="n/a",1.03,IF(AH505&lt;0,1.01,IF(AH505&gt;10,1.1,(1+AH505/100))))</f>
        <v>2.8600000000000003</v>
      </c>
      <c r="AS505" s="166">
        <f t="shared" si="136"/>
        <v>3.0616300000000005</v>
      </c>
      <c r="AT505" s="166">
        <f t="shared" si="143"/>
        <v>3.3677930000000007</v>
      </c>
      <c r="AU505" s="166">
        <f t="shared" si="143"/>
        <v>3.704572300000001</v>
      </c>
      <c r="AV505" s="166">
        <f t="shared" si="143"/>
        <v>4.0750295300000019</v>
      </c>
      <c r="AW505" s="157">
        <f t="shared" si="138"/>
        <v>17.069024830000004</v>
      </c>
      <c r="AX505" s="173">
        <f t="shared" si="139"/>
        <v>14.427372859437074</v>
      </c>
      <c r="AY505" s="174">
        <v>0.98</v>
      </c>
      <c r="AZ505" s="169">
        <v>11.97</v>
      </c>
      <c r="BA505" s="169">
        <v>-16.64</v>
      </c>
      <c r="BB505" s="169">
        <v>-0.57999999999999996</v>
      </c>
      <c r="BC505" s="169">
        <v>-3.5700000000000003</v>
      </c>
      <c r="BE505" s="77">
        <v>2011</v>
      </c>
      <c r="BF505" s="77">
        <f t="shared" si="140"/>
        <v>1</v>
      </c>
      <c r="BG505" s="175">
        <v>14.899999999999999</v>
      </c>
      <c r="BH505" t="s">
        <v>939</v>
      </c>
      <c r="BI505" t="s">
        <v>940</v>
      </c>
    </row>
    <row r="506" spans="1:64" ht="11.25" customHeight="1" x14ac:dyDescent="0.2">
      <c r="A506" s="112" t="s">
        <v>1570</v>
      </c>
      <c r="B506" s="153" t="s">
        <v>424</v>
      </c>
      <c r="C506" s="154" t="s">
        <v>90</v>
      </c>
      <c r="D506" s="154" t="s">
        <v>969</v>
      </c>
      <c r="E506" s="155">
        <v>25</v>
      </c>
      <c r="F506" s="298">
        <v>145</v>
      </c>
      <c r="G506" s="298" t="s">
        <v>30</v>
      </c>
      <c r="H506" s="298" t="s">
        <v>30</v>
      </c>
      <c r="I506" s="156">
        <v>71.569999999999993</v>
      </c>
      <c r="J506" s="157">
        <f t="shared" si="126"/>
        <v>3.0739136509710776</v>
      </c>
      <c r="K506" s="209">
        <v>0.55000000000000004</v>
      </c>
      <c r="L506" s="126">
        <v>4</v>
      </c>
      <c r="M506" s="82">
        <f t="shared" si="127"/>
        <v>2.2000000000000002</v>
      </c>
      <c r="N506" s="159" t="s">
        <v>183</v>
      </c>
      <c r="O506" s="210">
        <v>0.52</v>
      </c>
      <c r="P506" s="161">
        <v>44909</v>
      </c>
      <c r="Q506" s="161">
        <v>44929</v>
      </c>
      <c r="R506" s="82">
        <f t="shared" si="128"/>
        <v>5.7692307692307745</v>
      </c>
      <c r="S506" s="162">
        <f>IF(INDEX([1]Historical!$D$7:$D$1229,MATCH(B506,[1]Historical!$B$7:$B$1253,0))=0,"n/a",(INDEX([1]Historical!$C$7:$C$1231,MATCH(B506,[1]Historical!$B$7:$B$1253,0))/INDEX([1]Historical!$D$7:$D$1229,MATCH(B506,[1]Historical!$B$7:$B$1253,0))-1)*100)</f>
        <v>6.5217391304347672</v>
      </c>
      <c r="T506" s="162">
        <f>IF(INDEX([1]Historical!$F$7:$F$1222,MATCH(B506,[1]Historical!$B$7:$B$1253,0))=0,"n/a",((INDEX([1]Historical!$C$7:$C$1231,MATCH(B506,[1]Historical!$B$7:$B$1253,0))/INDEX([1]Historical!$F$7:$F$1222,MATCH(B506,[1]Historical!$B$7:$B$1253,0)))^(1/3)-1)*100)</f>
        <v>10.823329352516264</v>
      </c>
      <c r="U506" s="162">
        <f>IF(INDEX([1]Historical!$H$7:$H$1222,MATCH(B506,[1]Historical!$B$7:$B$1253,0))=0,"n/a",((INDEX([1]Historical!$C$7:$C$1231,MATCH(B506,[1]Historical!$B$7:$B$1253,0))/INDEX([1]Historical!$H$7:$H$1222,MATCH(B506,[1]Historical!$B$7:$B$1253,0)))^(1/5)-1)*100)</f>
        <v>10.310020440058288</v>
      </c>
      <c r="V506" s="162">
        <f>IF(INDEX([1]Historical!$N$7:$N$1222,MATCH(B506,[1]Historical!$B$7:$B$1253,0))=0,"n/a",((INDEX([1]Historical!$C$7:$C$1231,MATCH(B506,[1]Historical!$B$7:$B$1253,0))/INDEX([1]Historical!$N$7:$N$1222,MATCH(B506,[1]Historical!$B$7:$B$1253,0)))^(1/10)-1)*100)</f>
        <v>10.8449222600272</v>
      </c>
      <c r="W506" s="163">
        <f t="shared" si="129"/>
        <v>0.95067721029771857</v>
      </c>
      <c r="X506" s="164">
        <f t="shared" si="130"/>
        <v>1.4123315671312724</v>
      </c>
      <c r="Y506" s="181"/>
      <c r="Z506" s="157">
        <f t="shared" si="131"/>
        <v>39.355992844364941</v>
      </c>
      <c r="AA506" s="166">
        <f t="shared" si="132"/>
        <v>12.803220035778175</v>
      </c>
      <c r="AB506" s="126">
        <v>12</v>
      </c>
      <c r="AC506" s="167">
        <v>5.59</v>
      </c>
      <c r="AD506" s="167">
        <v>1.41</v>
      </c>
      <c r="AE506" s="167">
        <v>6.16</v>
      </c>
      <c r="AF506" s="167">
        <v>1.01</v>
      </c>
      <c r="AG506" s="167">
        <v>7.9</v>
      </c>
      <c r="AH506" s="167">
        <v>-1.4000000000000001</v>
      </c>
      <c r="AI506" s="167">
        <v>9.36</v>
      </c>
      <c r="AJ506" s="167">
        <v>7.3</v>
      </c>
      <c r="AK506" s="167">
        <v>9.120000000000001</v>
      </c>
      <c r="AL506" s="168">
        <v>6410</v>
      </c>
      <c r="AM506" s="169">
        <v>0.8</v>
      </c>
      <c r="AN506" s="167">
        <v>0</v>
      </c>
      <c r="AO506" s="170">
        <f t="shared" si="133"/>
        <v>0.58071405525119069</v>
      </c>
      <c r="AP506" s="171">
        <f t="shared" si="134"/>
        <v>13.383934091029365</v>
      </c>
      <c r="AQ506" s="172">
        <f t="shared" si="135"/>
        <v>-24.189557341614044</v>
      </c>
      <c r="AR506" s="157">
        <f>INDEX([1]Historical!$C$7:$C$1231,MATCH(B506,[1]Historical!$B$7:$B$1253,0))*IF(AH506="n/a",1.03,IF(AH506&lt;0,1.01,IF(AH506&gt;10,1.1,(1+AH506/100))))</f>
        <v>1.9796</v>
      </c>
      <c r="AS506" s="166">
        <f t="shared" si="136"/>
        <v>2.1648905599999999</v>
      </c>
      <c r="AT506" s="166">
        <f t="shared" si="143"/>
        <v>2.3623285790719999</v>
      </c>
      <c r="AU506" s="166">
        <f t="shared" si="143"/>
        <v>2.5777729454833662</v>
      </c>
      <c r="AV506" s="166">
        <f t="shared" si="143"/>
        <v>2.8128658381114491</v>
      </c>
      <c r="AW506" s="157">
        <f t="shared" si="138"/>
        <v>11.897457922666815</v>
      </c>
      <c r="AX506" s="173">
        <f t="shared" si="139"/>
        <v>16.623526509245238</v>
      </c>
      <c r="AY506" s="174">
        <v>1.02</v>
      </c>
      <c r="AZ506" s="169">
        <v>10.639999999999999</v>
      </c>
      <c r="BA506" s="169">
        <v>-11.05</v>
      </c>
      <c r="BB506" s="169">
        <v>0.54</v>
      </c>
      <c r="BC506" s="169">
        <v>0.62</v>
      </c>
      <c r="BE506" s="77">
        <v>2000</v>
      </c>
      <c r="BF506" s="77">
        <f t="shared" si="140"/>
        <v>3</v>
      </c>
      <c r="BG506" s="175">
        <v>1.4000000000000001</v>
      </c>
      <c r="BH506" t="s">
        <v>939</v>
      </c>
      <c r="BI506" t="s">
        <v>940</v>
      </c>
    </row>
    <row r="507" spans="1:64" ht="11.25" customHeight="1" x14ac:dyDescent="0.2">
      <c r="A507" s="176" t="s">
        <v>1571</v>
      </c>
      <c r="B507" s="153" t="s">
        <v>827</v>
      </c>
      <c r="C507" s="154" t="s">
        <v>90</v>
      </c>
      <c r="D507" s="154" t="s">
        <v>969</v>
      </c>
      <c r="E507" s="155">
        <v>10</v>
      </c>
      <c r="F507" s="298">
        <v>474</v>
      </c>
      <c r="G507" s="298" t="s">
        <v>30</v>
      </c>
      <c r="H507" s="298" t="s">
        <v>104</v>
      </c>
      <c r="I507" s="156">
        <v>28.15</v>
      </c>
      <c r="J507" s="157">
        <f t="shared" si="126"/>
        <v>2.5577264653641207</v>
      </c>
      <c r="K507" s="158">
        <v>0.18</v>
      </c>
      <c r="L507" s="126">
        <v>4</v>
      </c>
      <c r="M507" s="82">
        <f t="shared" si="127"/>
        <v>0.72</v>
      </c>
      <c r="N507" s="159" t="s">
        <v>167</v>
      </c>
      <c r="O507" s="230">
        <v>0.17</v>
      </c>
      <c r="P507" s="161">
        <v>44622</v>
      </c>
      <c r="Q507" s="161">
        <v>44635</v>
      </c>
      <c r="R507" s="82">
        <f t="shared" si="128"/>
        <v>5.8823529411764595</v>
      </c>
      <c r="S507" s="162">
        <f>IF(INDEX([1]Historical!$D$7:$D$1229,MATCH(B507,[1]Historical!$B$7:$B$1253,0))=0,"n/a",(INDEX([1]Historical!$C$7:$C$1231,MATCH(B507,[1]Historical!$B$7:$B$1253,0))/INDEX([1]Historical!$D$7:$D$1229,MATCH(B507,[1]Historical!$B$7:$B$1253,0))-1)*100)</f>
        <v>10.000000000000009</v>
      </c>
      <c r="T507" s="162">
        <f>IF(INDEX([1]Historical!$F$7:$F$1222,MATCH(B507,[1]Historical!$B$7:$B$1253,0))=0,"n/a",((INDEX([1]Historical!$C$7:$C$1231,MATCH(B507,[1]Historical!$B$7:$B$1253,0))/INDEX([1]Historical!$F$7:$F$1222,MATCH(B507,[1]Historical!$B$7:$B$1253,0)))^(1/3)-1)*100)</f>
        <v>8.2713447015707828</v>
      </c>
      <c r="U507" s="162">
        <f>IF(INDEX([1]Historical!$H$7:$H$1222,MATCH(B507,[1]Historical!$B$7:$B$1253,0))=0,"n/a",((INDEX([1]Historical!$C$7:$C$1231,MATCH(B507,[1]Historical!$B$7:$B$1253,0))/INDEX([1]Historical!$H$7:$H$1222,MATCH(B507,[1]Historical!$B$7:$B$1253,0)))^(1/5)-1)*100)</f>
        <v>13.823151176952674</v>
      </c>
      <c r="V507" s="162">
        <f>IF(INDEX([1]Historical!$N$7:$N$1222,MATCH(B507,[1]Historical!$B$7:$B$1253,0))=0,"n/a",((INDEX([1]Historical!$C$7:$C$1231,MATCH(B507,[1]Historical!$B$7:$B$1253,0))/INDEX([1]Historical!$N$7:$N$1222,MATCH(B507,[1]Historical!$B$7:$B$1253,0)))^(1/10)-1)*100)</f>
        <v>24.676517624525673</v>
      </c>
      <c r="W507" s="163">
        <f t="shared" si="129"/>
        <v>0.56017430770758436</v>
      </c>
      <c r="X507" s="164">
        <f t="shared" si="130"/>
        <v>1.1714534895722606</v>
      </c>
      <c r="Y507" s="233" t="s">
        <v>240</v>
      </c>
      <c r="Z507" s="157">
        <f t="shared" si="131"/>
        <v>27.27272727272727</v>
      </c>
      <c r="AA507" s="166">
        <f t="shared" si="132"/>
        <v>10.662878787878787</v>
      </c>
      <c r="AB507" s="126">
        <v>12</v>
      </c>
      <c r="AC507" s="167">
        <v>2.64</v>
      </c>
      <c r="AD507" s="167" t="s">
        <v>95</v>
      </c>
      <c r="AE507" s="167">
        <v>3.15</v>
      </c>
      <c r="AF507" s="167">
        <v>1.4</v>
      </c>
      <c r="AG507" s="167">
        <v>11</v>
      </c>
      <c r="AH507" s="167">
        <v>35</v>
      </c>
      <c r="AI507" s="167" t="s">
        <v>95</v>
      </c>
      <c r="AJ507" s="167">
        <v>11.799999999999999</v>
      </c>
      <c r="AK507" s="167" t="s">
        <v>95</v>
      </c>
      <c r="AL507" s="168">
        <v>155.18</v>
      </c>
      <c r="AM507" s="169">
        <v>1.3</v>
      </c>
      <c r="AN507" s="167">
        <v>0.14000000000000001</v>
      </c>
      <c r="AO507" s="170">
        <f t="shared" si="133"/>
        <v>5.7179988544380063</v>
      </c>
      <c r="AP507" s="171">
        <f t="shared" si="134"/>
        <v>16.380877642316793</v>
      </c>
      <c r="AQ507" s="172">
        <f t="shared" si="135"/>
        <v>-18.54645413071243</v>
      </c>
      <c r="AR507" s="157">
        <f>INDEX([1]Historical!$C$7:$C$1231,MATCH(B507,[1]Historical!$B$7:$B$1253,0))*IF(AH507="n/a",1.03,IF(AH507&lt;0,1.01,IF(AH507&gt;10,1.1,(1+AH507/100))))</f>
        <v>0.72600000000000009</v>
      </c>
      <c r="AS507" s="166">
        <f t="shared" si="136"/>
        <v>0.74778000000000011</v>
      </c>
      <c r="AT507" s="166">
        <f t="shared" si="143"/>
        <v>0.77021340000000016</v>
      </c>
      <c r="AU507" s="166">
        <f t="shared" si="143"/>
        <v>0.79331980200000018</v>
      </c>
      <c r="AV507" s="166">
        <f t="shared" si="143"/>
        <v>0.81711939606000017</v>
      </c>
      <c r="AW507" s="157">
        <f t="shared" si="138"/>
        <v>3.8544325980600007</v>
      </c>
      <c r="AX507" s="173">
        <f t="shared" si="139"/>
        <v>13.692478145861459</v>
      </c>
      <c r="AY507" s="174">
        <v>0.68</v>
      </c>
      <c r="AZ507" s="169">
        <v>15.27</v>
      </c>
      <c r="BA507" s="169">
        <v>-6.17</v>
      </c>
      <c r="BB507" s="169">
        <v>9.7199999999999989</v>
      </c>
      <c r="BC507" s="169">
        <v>3.91</v>
      </c>
      <c r="BE507" s="77">
        <v>2013</v>
      </c>
      <c r="BF507" s="77">
        <f t="shared" si="140"/>
        <v>1</v>
      </c>
      <c r="BG507" s="175">
        <v>0.89999999999999991</v>
      </c>
      <c r="BH507" t="s">
        <v>939</v>
      </c>
      <c r="BI507" t="s">
        <v>940</v>
      </c>
    </row>
    <row r="508" spans="1:64" ht="11.25" customHeight="1" x14ac:dyDescent="0.2">
      <c r="A508" s="205" t="s">
        <v>1168</v>
      </c>
      <c r="B508" s="153" t="s">
        <v>1169</v>
      </c>
      <c r="C508" s="154" t="s">
        <v>90</v>
      </c>
      <c r="D508" s="154" t="s">
        <v>969</v>
      </c>
      <c r="E508" s="155">
        <v>7</v>
      </c>
      <c r="F508" s="298">
        <v>629</v>
      </c>
      <c r="G508" s="298" t="s">
        <v>88</v>
      </c>
      <c r="H508" s="298" t="s">
        <v>88</v>
      </c>
      <c r="I508" s="156">
        <v>30.27</v>
      </c>
      <c r="J508" s="157">
        <f t="shared" si="126"/>
        <v>5.0214734060125537</v>
      </c>
      <c r="K508" s="158">
        <v>0.38</v>
      </c>
      <c r="L508" s="126">
        <v>4</v>
      </c>
      <c r="M508" s="82">
        <f t="shared" si="127"/>
        <v>1.52</v>
      </c>
      <c r="N508" s="159" t="s">
        <v>214</v>
      </c>
      <c r="O508" s="160">
        <v>0.36</v>
      </c>
      <c r="P508" s="161">
        <v>44687</v>
      </c>
      <c r="Q508" s="161">
        <v>44704</v>
      </c>
      <c r="R508" s="82">
        <f t="shared" si="128"/>
        <v>5.5555555555555607</v>
      </c>
      <c r="S508" s="162">
        <f>IF(INDEX([1]Historical!$D$7:$D$1229,MATCH(B508,[1]Historical!$B$7:$B$1253,0))=0,"n/a",(INDEX([1]Historical!$C$7:$C$1231,MATCH(B508,[1]Historical!$B$7:$B$1253,0))/INDEX([1]Historical!$D$7:$D$1229,MATCH(B508,[1]Historical!$B$7:$B$1253,0))-1)*100)</f>
        <v>4.3795620437956151</v>
      </c>
      <c r="T508" s="162">
        <f>IF(INDEX([1]Historical!$F$7:$F$1222,MATCH(B508,[1]Historical!$B$7:$B$1253,0))=0,"n/a",((INDEX([1]Historical!$C$7:$C$1231,MATCH(B508,[1]Historical!$B$7:$B$1253,0))/INDEX([1]Historical!$F$7:$F$1222,MATCH(B508,[1]Historical!$B$7:$B$1253,0)))^(1/3)-1)*100)</f>
        <v>8.485743963863035</v>
      </c>
      <c r="U508" s="162">
        <f>IF(INDEX([1]Historical!$H$7:$H$1222,MATCH(B508,[1]Historical!$B$7:$B$1253,0))=0,"n/a",((INDEX([1]Historical!$C$7:$C$1231,MATCH(B508,[1]Historical!$B$7:$B$1253,0))/INDEX([1]Historical!$H$7:$H$1222,MATCH(B508,[1]Historical!$B$7:$B$1253,0)))^(1/5)-1)*100)</f>
        <v>17.444102309794474</v>
      </c>
      <c r="V508" s="162">
        <f>IF(INDEX([1]Historical!$N$7:$N$1222,MATCH(B508,[1]Historical!$B$7:$B$1253,0))=0,"n/a",((INDEX([1]Historical!$C$7:$C$1231,MATCH(B508,[1]Historical!$B$7:$B$1253,0))/INDEX([1]Historical!$N$7:$N$1222,MATCH(B508,[1]Historical!$B$7:$B$1253,0)))^(1/10)-1)*100)</f>
        <v>13.586731989941093</v>
      </c>
      <c r="W508" s="163">
        <f t="shared" si="129"/>
        <v>1.2839071472602224</v>
      </c>
      <c r="X508" s="164">
        <f t="shared" si="130"/>
        <v>3.7921961543031468</v>
      </c>
      <c r="Y508" s="178"/>
      <c r="Z508" s="157">
        <f t="shared" si="131"/>
        <v>58.914728682170534</v>
      </c>
      <c r="AA508" s="166">
        <f t="shared" si="132"/>
        <v>11.732558139534882</v>
      </c>
      <c r="AB508" s="126">
        <v>12</v>
      </c>
      <c r="AC508" s="167">
        <v>2.58</v>
      </c>
      <c r="AD508" s="167">
        <v>1.46</v>
      </c>
      <c r="AE508" s="167">
        <v>2.8</v>
      </c>
      <c r="AF508" s="167">
        <v>1.07</v>
      </c>
      <c r="AG508" s="167" t="s">
        <v>95</v>
      </c>
      <c r="AH508" s="167">
        <v>24.099999999999998</v>
      </c>
      <c r="AI508" s="167">
        <v>0.13999999999999999</v>
      </c>
      <c r="AJ508" s="167">
        <v>4.5999999999999996</v>
      </c>
      <c r="AK508" s="167">
        <v>8</v>
      </c>
      <c r="AL508" s="168">
        <v>824.27</v>
      </c>
      <c r="AM508" s="169">
        <v>1.7999999999999998</v>
      </c>
      <c r="AN508" s="167">
        <v>0.11</v>
      </c>
      <c r="AO508" s="170">
        <f t="shared" si="133"/>
        <v>10.733017576272145</v>
      </c>
      <c r="AP508" s="171">
        <f t="shared" si="134"/>
        <v>22.465575715807027</v>
      </c>
      <c r="AQ508" s="172">
        <f t="shared" si="135"/>
        <v>-25.304061662401178</v>
      </c>
      <c r="AR508" s="157">
        <f>INDEX([1]Historical!$C$7:$C$1231,MATCH(B508,[1]Historical!$B$7:$B$1253,0))*IF(AH508="n/a",1.03,IF(AH508&lt;0,1.01,IF(AH508&gt;10,1.1,(1+AH508/100))))</f>
        <v>1.573</v>
      </c>
      <c r="AS508" s="166">
        <f t="shared" si="136"/>
        <v>1.5752022000000001</v>
      </c>
      <c r="AT508" s="166">
        <f t="shared" si="143"/>
        <v>1.7012183760000001</v>
      </c>
      <c r="AU508" s="166">
        <f t="shared" si="143"/>
        <v>1.8373158460800003</v>
      </c>
      <c r="AV508" s="166">
        <f t="shared" si="143"/>
        <v>1.9843011137664004</v>
      </c>
      <c r="AW508" s="157">
        <f t="shared" si="138"/>
        <v>8.6710375358464002</v>
      </c>
      <c r="AX508" s="173">
        <f t="shared" si="139"/>
        <v>28.645647624203502</v>
      </c>
      <c r="AY508" s="174">
        <v>0.84</v>
      </c>
      <c r="AZ508" s="169">
        <v>18.099999999999998</v>
      </c>
      <c r="BA508" s="169">
        <v>-12.590000000000002</v>
      </c>
      <c r="BB508" s="169">
        <v>1.35</v>
      </c>
      <c r="BC508" s="169">
        <v>1.1199999999999999</v>
      </c>
      <c r="BE508" s="77">
        <v>2016</v>
      </c>
      <c r="BF508" s="77">
        <f t="shared" si="140"/>
        <v>1</v>
      </c>
      <c r="BG508" s="175" t="s">
        <v>95</v>
      </c>
      <c r="BH508" t="s">
        <v>939</v>
      </c>
      <c r="BI508" t="s">
        <v>940</v>
      </c>
      <c r="BJ508" s="112"/>
      <c r="BK508" s="112"/>
      <c r="BL508" s="112"/>
    </row>
    <row r="509" spans="1:64" ht="11.25" customHeight="1" x14ac:dyDescent="0.2">
      <c r="A509" s="176" t="s">
        <v>1572</v>
      </c>
      <c r="B509" s="153" t="s">
        <v>27</v>
      </c>
      <c r="C509" s="154" t="s">
        <v>117</v>
      </c>
      <c r="D509" s="154" t="s">
        <v>953</v>
      </c>
      <c r="E509" s="155">
        <v>11</v>
      </c>
      <c r="F509" s="298">
        <v>412</v>
      </c>
      <c r="G509" s="298" t="s">
        <v>30</v>
      </c>
      <c r="H509" s="298" t="s">
        <v>30</v>
      </c>
      <c r="I509" s="156">
        <v>56.07</v>
      </c>
      <c r="J509" s="157">
        <f t="shared" si="126"/>
        <v>3.8523274478330665</v>
      </c>
      <c r="K509" s="158">
        <v>0.54</v>
      </c>
      <c r="L509" s="126">
        <v>4</v>
      </c>
      <c r="M509" s="82">
        <f t="shared" si="127"/>
        <v>2.16</v>
      </c>
      <c r="N509" s="159" t="s">
        <v>119</v>
      </c>
      <c r="O509" s="160">
        <v>0.51</v>
      </c>
      <c r="P509" s="161">
        <v>44629</v>
      </c>
      <c r="Q509" s="161">
        <v>44651</v>
      </c>
      <c r="R509" s="82">
        <f t="shared" si="128"/>
        <v>5.8823529411764754</v>
      </c>
      <c r="S509" s="162">
        <f>IF(INDEX([1]Historical!$D$7:$D$1229,MATCH(B509,[1]Historical!$B$7:$B$1253,0))=0,"n/a",(INDEX([1]Historical!$C$7:$C$1231,MATCH(B509,[1]Historical!$B$7:$B$1253,0))/INDEX([1]Historical!$D$7:$D$1229,MATCH(B509,[1]Historical!$B$7:$B$1253,0))-1)*100)</f>
        <v>4.081632653061229</v>
      </c>
      <c r="T509" s="162">
        <f>IF(INDEX([1]Historical!$F$7:$F$1222,MATCH(B509,[1]Historical!$B$7:$B$1253,0))=0,"n/a",((INDEX([1]Historical!$C$7:$C$1231,MATCH(B509,[1]Historical!$B$7:$B$1253,0))/INDEX([1]Historical!$F$7:$F$1222,MATCH(B509,[1]Historical!$B$7:$B$1253,0)))^(1/3)-1)*100)</f>
        <v>4.2603601458844453</v>
      </c>
      <c r="U509" s="162">
        <f>IF(INDEX([1]Historical!$H$7:$H$1222,MATCH(B509,[1]Historical!$B$7:$B$1253,0))=0,"n/a",((INDEX([1]Historical!$C$7:$C$1231,MATCH(B509,[1]Historical!$B$7:$B$1253,0))/INDEX([1]Historical!$H$7:$H$1222,MATCH(B509,[1]Historical!$B$7:$B$1253,0)))^(1/5)-1)*100)</f>
        <v>4.4617420086995985</v>
      </c>
      <c r="V509" s="162">
        <f>IF(INDEX([1]Historical!$N$7:$N$1222,MATCH(B509,[1]Historical!$B$7:$B$1253,0))=0,"n/a",((INDEX([1]Historical!$C$7:$C$1231,MATCH(B509,[1]Historical!$B$7:$B$1253,0))/INDEX([1]Historical!$N$7:$N$1222,MATCH(B509,[1]Historical!$B$7:$B$1253,0)))^(1/10)-1)*100)</f>
        <v>4.0617104407372873</v>
      </c>
      <c r="W509" s="163">
        <f t="shared" si="129"/>
        <v>1.0984884505675636</v>
      </c>
      <c r="X509" s="164" t="str">
        <f t="shared" si="130"/>
        <v>n/a</v>
      </c>
      <c r="Y509" s="211"/>
      <c r="Z509" s="157" t="str">
        <f t="shared" si="131"/>
        <v>n/a</v>
      </c>
      <c r="AA509" s="166" t="str">
        <f t="shared" si="132"/>
        <v>n/a</v>
      </c>
      <c r="AB509" s="126">
        <v>12</v>
      </c>
      <c r="AC509" s="167">
        <v>-1.96</v>
      </c>
      <c r="AD509" s="167" t="s">
        <v>95</v>
      </c>
      <c r="AE509" s="167">
        <v>2.96</v>
      </c>
      <c r="AF509" s="167">
        <v>2.13</v>
      </c>
      <c r="AG509" s="167">
        <v>-7.1</v>
      </c>
      <c r="AH509" s="167">
        <v>-134.20000000000002</v>
      </c>
      <c r="AI509" s="167">
        <v>3.49</v>
      </c>
      <c r="AJ509" s="167">
        <v>-22.3</v>
      </c>
      <c r="AK509" s="167">
        <v>3.8</v>
      </c>
      <c r="AL509" s="168">
        <v>27680</v>
      </c>
      <c r="AM509" s="169">
        <v>0.1</v>
      </c>
      <c r="AN509" s="167">
        <v>1.56</v>
      </c>
      <c r="AO509" s="170" t="str">
        <f t="shared" si="133"/>
        <v>n/a</v>
      </c>
      <c r="AP509" s="171">
        <f t="shared" si="134"/>
        <v>8.314069456532664</v>
      </c>
      <c r="AQ509" s="172" t="str">
        <f t="shared" si="135"/>
        <v>n/a</v>
      </c>
      <c r="AR509" s="157">
        <f>INDEX([1]Historical!$C$7:$C$1231,MATCH(B509,[1]Historical!$B$7:$B$1253,0))*IF(AH509="n/a",1.03,IF(AH509&lt;0,1.01,IF(AH509&gt;10,1.1,(1+AH509/100))))</f>
        <v>2.0604</v>
      </c>
      <c r="AS509" s="166">
        <f t="shared" si="136"/>
        <v>2.1323079599999999</v>
      </c>
      <c r="AT509" s="166">
        <f t="shared" si="143"/>
        <v>2.21333566248</v>
      </c>
      <c r="AU509" s="166">
        <f t="shared" si="143"/>
        <v>2.2974424176542403</v>
      </c>
      <c r="AV509" s="166">
        <f t="shared" si="143"/>
        <v>2.3847452295251017</v>
      </c>
      <c r="AW509" s="157">
        <f t="shared" si="138"/>
        <v>11.088231269659342</v>
      </c>
      <c r="AX509" s="173">
        <f t="shared" si="139"/>
        <v>19.775693364828502</v>
      </c>
      <c r="AY509" s="174">
        <v>0.6</v>
      </c>
      <c r="AZ509" s="169">
        <v>6.78</v>
      </c>
      <c r="BA509" s="169">
        <v>-25.840000000000003</v>
      </c>
      <c r="BB509" s="169">
        <v>-8.5400000000000009</v>
      </c>
      <c r="BC509" s="169">
        <v>-13.91</v>
      </c>
      <c r="BE509" s="77">
        <v>2012</v>
      </c>
      <c r="BF509" s="77">
        <f t="shared" si="140"/>
        <v>1</v>
      </c>
      <c r="BG509" s="175">
        <v>-2</v>
      </c>
      <c r="BH509" t="s">
        <v>939</v>
      </c>
      <c r="BI509" t="s">
        <v>940</v>
      </c>
    </row>
    <row r="510" spans="1:64" ht="11.25" customHeight="1" x14ac:dyDescent="0.2">
      <c r="A510" s="112" t="s">
        <v>1573</v>
      </c>
      <c r="B510" s="153" t="s">
        <v>413</v>
      </c>
      <c r="C510" s="154" t="s">
        <v>127</v>
      </c>
      <c r="D510" s="154" t="s">
        <v>994</v>
      </c>
      <c r="E510" s="155">
        <v>50</v>
      </c>
      <c r="F510" s="298">
        <v>41</v>
      </c>
      <c r="G510" s="298" t="s">
        <v>104</v>
      </c>
      <c r="H510" s="298" t="s">
        <v>104</v>
      </c>
      <c r="I510" s="167">
        <v>181.58</v>
      </c>
      <c r="J510" s="157">
        <f t="shared" si="126"/>
        <v>2.5333186474281306</v>
      </c>
      <c r="K510" s="158">
        <v>1.1499999999999999</v>
      </c>
      <c r="L510" s="126">
        <v>4</v>
      </c>
      <c r="M510" s="82">
        <f t="shared" si="127"/>
        <v>4.5999999999999996</v>
      </c>
      <c r="N510" s="159" t="s">
        <v>119</v>
      </c>
      <c r="O510" s="160">
        <v>1.075</v>
      </c>
      <c r="P510" s="161">
        <v>44714</v>
      </c>
      <c r="Q510" s="161">
        <v>44742</v>
      </c>
      <c r="R510" s="82">
        <f t="shared" si="128"/>
        <v>6.9767441860465071</v>
      </c>
      <c r="S510" s="162">
        <f>IF(INDEX([1]Historical!$D$7:$D$1229,MATCH(B510,[1]Historical!$B$7:$B$1253,0))=0,"n/a",(INDEX([1]Historical!$C$7:$C$1231,MATCH(B510,[1]Historical!$B$7:$B$1253,0))/INDEX([1]Historical!$D$7:$D$1229,MATCH(B510,[1]Historical!$B$7:$B$1253,0))-1)*100)</f>
        <v>6.0682680151706858</v>
      </c>
      <c r="T510" s="162">
        <f>IF(INDEX([1]Historical!$F$7:$F$1222,MATCH(B510,[1]Historical!$B$7:$B$1253,0))=0,"n/a",((INDEX([1]Historical!$C$7:$C$1231,MATCH(B510,[1]Historical!$B$7:$B$1253,0))/INDEX([1]Historical!$F$7:$F$1222,MATCH(B510,[1]Historical!$B$7:$B$1253,0)))^(1/3)-1)*100)</f>
        <v>6.5801291265680684</v>
      </c>
      <c r="U510" s="162">
        <f>IF(INDEX([1]Historical!$H$7:$H$1222,MATCH(B510,[1]Historical!$B$7:$B$1253,0))=0,"n/a",((INDEX([1]Historical!$C$7:$C$1231,MATCH(B510,[1]Historical!$B$7:$B$1253,0))/INDEX([1]Historical!$H$7:$H$1222,MATCH(B510,[1]Historical!$B$7:$B$1253,0)))^(1/5)-1)*100)</f>
        <v>7.5889812490382846</v>
      </c>
      <c r="V510" s="162">
        <f>IF(INDEX([1]Historical!$N$7:$N$1222,MATCH(B510,[1]Historical!$B$7:$B$1253,0))=0,"n/a",((INDEX([1]Historical!$C$7:$C$1231,MATCH(B510,[1]Historical!$B$7:$B$1253,0))/INDEX([1]Historical!$N$7:$N$1222,MATCH(B510,[1]Historical!$B$7:$B$1253,0)))^(1/10)-1)*100)</f>
        <v>7.7427084941719349</v>
      </c>
      <c r="W510" s="163">
        <f t="shared" si="129"/>
        <v>0.98014554658110098</v>
      </c>
      <c r="X510" s="164">
        <f t="shared" si="130"/>
        <v>1.4594194709689008</v>
      </c>
      <c r="Y510" s="222"/>
      <c r="Z510" s="157">
        <f t="shared" si="131"/>
        <v>65.248226950354606</v>
      </c>
      <c r="AA510" s="166">
        <f t="shared" si="132"/>
        <v>25.756028368794329</v>
      </c>
      <c r="AB510" s="126">
        <v>12</v>
      </c>
      <c r="AC510" s="167">
        <v>7.05</v>
      </c>
      <c r="AD510" s="167">
        <v>3.16</v>
      </c>
      <c r="AE510" s="167">
        <v>2.95</v>
      </c>
      <c r="AF510" s="167">
        <v>13.25</v>
      </c>
      <c r="AG510" s="167">
        <v>54.1</v>
      </c>
      <c r="AH510" s="167">
        <v>9.9</v>
      </c>
      <c r="AI510" s="167">
        <v>7.7200000000000006</v>
      </c>
      <c r="AJ510" s="167">
        <v>5.2</v>
      </c>
      <c r="AK510" s="167">
        <v>8.17</v>
      </c>
      <c r="AL510" s="168">
        <v>246440</v>
      </c>
      <c r="AM510" s="169">
        <v>0.1</v>
      </c>
      <c r="AN510" s="167">
        <v>2.0699999999999998</v>
      </c>
      <c r="AO510" s="170">
        <f t="shared" si="133"/>
        <v>-15.633728472327913</v>
      </c>
      <c r="AP510" s="171">
        <f t="shared" si="134"/>
        <v>10.122299896466416</v>
      </c>
      <c r="AQ510" s="172">
        <f t="shared" si="135"/>
        <v>289.45396298266104</v>
      </c>
      <c r="AR510" s="157">
        <f>INDEX([1]Historical!$C$7:$C$1231,MATCH(B510,[1]Historical!$B$7:$B$1253,0))*IF(AH510="n/a",1.03,IF(AH510&lt;0,1.01,IF(AH510&gt;10,1.1,(1+AH510/100))))</f>
        <v>4.6103050000000003</v>
      </c>
      <c r="AS510" s="166">
        <f t="shared" si="136"/>
        <v>4.9662205459999997</v>
      </c>
      <c r="AT510" s="166">
        <f t="shared" si="143"/>
        <v>5.3719607646082004</v>
      </c>
      <c r="AU510" s="166">
        <f t="shared" si="143"/>
        <v>5.8108499590766911</v>
      </c>
      <c r="AV510" s="166">
        <f t="shared" si="143"/>
        <v>6.2855964007332572</v>
      </c>
      <c r="AW510" s="157">
        <f t="shared" si="138"/>
        <v>27.044932670418149</v>
      </c>
      <c r="AX510" s="173">
        <f t="shared" si="139"/>
        <v>14.894224402697514</v>
      </c>
      <c r="AY510" s="174">
        <v>0.59</v>
      </c>
      <c r="AZ510" s="169">
        <v>18.39</v>
      </c>
      <c r="BA510" s="169">
        <v>-0.74</v>
      </c>
      <c r="BB510" s="169">
        <v>6.01</v>
      </c>
      <c r="BC510" s="169">
        <v>7.1</v>
      </c>
      <c r="BE510" s="77">
        <v>1973</v>
      </c>
      <c r="BF510" s="77">
        <f t="shared" si="140"/>
        <v>6</v>
      </c>
      <c r="BG510" s="175">
        <v>10.4</v>
      </c>
      <c r="BH510" t="s">
        <v>939</v>
      </c>
      <c r="BI510" t="s">
        <v>940</v>
      </c>
    </row>
    <row r="511" spans="1:64" ht="11.25" customHeight="1" x14ac:dyDescent="0.2">
      <c r="A511" s="112" t="s">
        <v>1574</v>
      </c>
      <c r="B511" s="153" t="s">
        <v>416</v>
      </c>
      <c r="C511" s="154" t="s">
        <v>100</v>
      </c>
      <c r="D511" s="154" t="s">
        <v>1170</v>
      </c>
      <c r="E511" s="155">
        <v>13</v>
      </c>
      <c r="F511" s="298">
        <v>269</v>
      </c>
      <c r="G511" s="298" t="s">
        <v>88</v>
      </c>
      <c r="H511" s="298" t="s">
        <v>88</v>
      </c>
      <c r="I511" s="156">
        <v>21.32</v>
      </c>
      <c r="J511" s="157">
        <f t="shared" si="126"/>
        <v>5.6285178236397746</v>
      </c>
      <c r="K511" s="158">
        <v>0.3</v>
      </c>
      <c r="L511" s="126">
        <v>4</v>
      </c>
      <c r="M511" s="82">
        <f t="shared" si="127"/>
        <v>1.2</v>
      </c>
      <c r="N511" s="159" t="s">
        <v>268</v>
      </c>
      <c r="O511" s="160">
        <v>0.28000000000000003</v>
      </c>
      <c r="P511" s="182">
        <v>44329</v>
      </c>
      <c r="Q511" s="182">
        <v>44337</v>
      </c>
      <c r="R511" s="82">
        <f t="shared" si="128"/>
        <v>7.1428571428571281</v>
      </c>
      <c r="S511" s="162">
        <f>IF(INDEX([1]Historical!$D$7:$D$1229,MATCH(B511,[1]Historical!$B$7:$B$1253,0))=0,"n/a",(INDEX([1]Historical!$C$7:$C$1231,MATCH(B511,[1]Historical!$B$7:$B$1253,0))/INDEX([1]Historical!$D$7:$D$1229,MATCH(B511,[1]Historical!$B$7:$B$1253,0))-1)*100)</f>
        <v>6.3063063063062863</v>
      </c>
      <c r="T511" s="162">
        <f>IF(INDEX([1]Historical!$F$7:$F$1222,MATCH(B511,[1]Historical!$B$7:$B$1253,0))=0,"n/a",((INDEX([1]Historical!$C$7:$C$1231,MATCH(B511,[1]Historical!$B$7:$B$1253,0))/INDEX([1]Historical!$F$7:$F$1222,MATCH(B511,[1]Historical!$B$7:$B$1253,0)))^(1/3)-1)*100)</f>
        <v>4.2996591922543681</v>
      </c>
      <c r="U511" s="162">
        <f>IF(INDEX([1]Historical!$H$7:$H$1222,MATCH(B511,[1]Historical!$B$7:$B$1253,0))=0,"n/a",((INDEX([1]Historical!$C$7:$C$1231,MATCH(B511,[1]Historical!$B$7:$B$1253,0))/INDEX([1]Historical!$H$7:$H$1222,MATCH(B511,[1]Historical!$B$7:$B$1253,0)))^(1/5)-1)*100)</f>
        <v>9.4874015362663719</v>
      </c>
      <c r="V511" s="162">
        <f>IF(INDEX([1]Historical!$N$7:$N$1222,MATCH(B511,[1]Historical!$B$7:$B$1253,0))=0,"n/a",((INDEX([1]Historical!$C$7:$C$1231,MATCH(B511,[1]Historical!$B$7:$B$1253,0))/INDEX([1]Historical!$N$7:$N$1222,MATCH(B511,[1]Historical!$B$7:$B$1253,0)))^(1/10)-1)*100)</f>
        <v>8.9660480461085648</v>
      </c>
      <c r="W511" s="163">
        <f t="shared" si="129"/>
        <v>1.0581475235774678</v>
      </c>
      <c r="X511" s="164" t="str">
        <f t="shared" si="130"/>
        <v>n/a</v>
      </c>
      <c r="Y511" s="180"/>
      <c r="Z511" s="157">
        <f t="shared" si="131"/>
        <v>126.31578947368421</v>
      </c>
      <c r="AA511" s="166">
        <f t="shared" si="132"/>
        <v>22.442105263157895</v>
      </c>
      <c r="AB511" s="126">
        <v>3</v>
      </c>
      <c r="AC511" s="167">
        <v>0.95</v>
      </c>
      <c r="AD511" s="167" t="s">
        <v>95</v>
      </c>
      <c r="AE511" s="167">
        <v>1.71</v>
      </c>
      <c r="AF511" s="167">
        <v>3.15</v>
      </c>
      <c r="AG511" s="167">
        <v>13.8</v>
      </c>
      <c r="AH511" s="167">
        <v>-31.900000000000002</v>
      </c>
      <c r="AI511" s="167">
        <v>17.78</v>
      </c>
      <c r="AJ511" s="167">
        <v>-2.4</v>
      </c>
      <c r="AK511" s="167">
        <v>-0.02</v>
      </c>
      <c r="AL511" s="168">
        <v>452.3</v>
      </c>
      <c r="AM511" s="169">
        <v>0.8</v>
      </c>
      <c r="AN511" s="167">
        <v>0</v>
      </c>
      <c r="AO511" s="170">
        <f t="shared" si="133"/>
        <v>-7.3261859032517478</v>
      </c>
      <c r="AP511" s="171">
        <f t="shared" si="134"/>
        <v>15.115919359906147</v>
      </c>
      <c r="AQ511" s="172">
        <f t="shared" si="135"/>
        <v>77.253906496926177</v>
      </c>
      <c r="AR511" s="157">
        <f>INDEX([1]Historical!$C$7:$C$1231,MATCH(B511,[1]Historical!$B$7:$B$1253,0))*IF(AH511="n/a",1.03,IF(AH511&lt;0,1.01,IF(AH511&gt;10,1.1,(1+AH511/100))))</f>
        <v>1.1918</v>
      </c>
      <c r="AS511" s="166">
        <f t="shared" si="136"/>
        <v>1.31098</v>
      </c>
      <c r="AT511" s="166">
        <f t="shared" si="143"/>
        <v>1.3240898000000001</v>
      </c>
      <c r="AU511" s="166">
        <f t="shared" si="143"/>
        <v>1.3373306980000002</v>
      </c>
      <c r="AV511" s="166">
        <f t="shared" si="143"/>
        <v>1.3507040049800001</v>
      </c>
      <c r="AW511" s="157">
        <f t="shared" si="138"/>
        <v>6.5149045029799995</v>
      </c>
      <c r="AX511" s="173">
        <f t="shared" si="139"/>
        <v>30.557713428611628</v>
      </c>
      <c r="AY511" s="174">
        <v>0.61</v>
      </c>
      <c r="AZ511" s="169">
        <v>12.09</v>
      </c>
      <c r="BA511" s="169">
        <v>-34.74</v>
      </c>
      <c r="BB511" s="169">
        <v>3.37</v>
      </c>
      <c r="BC511" s="169">
        <v>-6.5500000000000007</v>
      </c>
      <c r="BE511" s="77">
        <v>2009</v>
      </c>
      <c r="BF511" s="77">
        <f t="shared" si="140"/>
        <v>1</v>
      </c>
      <c r="BG511" s="175">
        <v>11.600000000000001</v>
      </c>
      <c r="BH511" t="s">
        <v>939</v>
      </c>
      <c r="BI511" t="s">
        <v>940</v>
      </c>
    </row>
    <row r="512" spans="1:64" ht="11.25" customHeight="1" x14ac:dyDescent="0.2">
      <c r="A512" s="176" t="s">
        <v>1575</v>
      </c>
      <c r="B512" s="153" t="s">
        <v>1171</v>
      </c>
      <c r="C512" s="154" t="s">
        <v>90</v>
      </c>
      <c r="D512" s="154" t="s">
        <v>959</v>
      </c>
      <c r="E512" s="155">
        <v>12</v>
      </c>
      <c r="F512" s="298">
        <v>331</v>
      </c>
      <c r="G512" s="298" t="s">
        <v>30</v>
      </c>
      <c r="H512" s="298" t="s">
        <v>30</v>
      </c>
      <c r="I512" s="156">
        <v>28.85</v>
      </c>
      <c r="J512" s="157">
        <f t="shared" si="126"/>
        <v>4.159445407279029</v>
      </c>
      <c r="K512" s="158">
        <v>0.3</v>
      </c>
      <c r="L512" s="126">
        <v>4</v>
      </c>
      <c r="M512" s="82">
        <f t="shared" si="127"/>
        <v>1.2</v>
      </c>
      <c r="N512" s="159" t="s">
        <v>135</v>
      </c>
      <c r="O512" s="226">
        <v>0.28000000000000003</v>
      </c>
      <c r="P512" s="161">
        <v>44602</v>
      </c>
      <c r="Q512" s="161">
        <v>44610</v>
      </c>
      <c r="R512" s="82">
        <f t="shared" si="128"/>
        <v>7.1428571428571281</v>
      </c>
      <c r="S512" s="162">
        <f>IF(INDEX([1]Historical!$D$7:$D$1229,MATCH(B512,[1]Historical!$B$7:$B$1253,0))=0,"n/a",(INDEX([1]Historical!$C$7:$C$1231,MATCH(B512,[1]Historical!$B$7:$B$1253,0))/INDEX([1]Historical!$D$7:$D$1229,MATCH(B512,[1]Historical!$B$7:$B$1253,0))-1)*100)</f>
        <v>19.318181818181813</v>
      </c>
      <c r="T512" s="162">
        <f>IF(INDEX([1]Historical!$F$7:$F$1222,MATCH(B512,[1]Historical!$B$7:$B$1253,0))=0,"n/a",((INDEX([1]Historical!$C$7:$C$1231,MATCH(B512,[1]Historical!$B$7:$B$1253,0))/INDEX([1]Historical!$F$7:$F$1222,MATCH(B512,[1]Historical!$B$7:$B$1253,0)))^(1/3)-1)*100)</f>
        <v>17.942349507913335</v>
      </c>
      <c r="U512" s="162">
        <f>IF(INDEX([1]Historical!$H$7:$H$1222,MATCH(B512,[1]Historical!$B$7:$B$1253,0))=0,"n/a",((INDEX([1]Historical!$C$7:$C$1231,MATCH(B512,[1]Historical!$B$7:$B$1253,0))/INDEX([1]Historical!$H$7:$H$1222,MATCH(B512,[1]Historical!$B$7:$B$1253,0)))^(1/5)-1)*100)</f>
        <v>19.000099498846911</v>
      </c>
      <c r="V512" s="162">
        <f>IF(INDEX([1]Historical!$N$7:$N$1222,MATCH(B512,[1]Historical!$B$7:$B$1253,0))=0,"n/a",((INDEX([1]Historical!$C$7:$C$1231,MATCH(B512,[1]Historical!$B$7:$B$1253,0))/INDEX([1]Historical!$N$7:$N$1222,MATCH(B512,[1]Historical!$B$7:$B$1253,0)))^(1/10)-1)*100)</f>
        <v>45.319846028226785</v>
      </c>
      <c r="W512" s="163">
        <f t="shared" si="129"/>
        <v>0.4192445730511305</v>
      </c>
      <c r="X512" s="164">
        <f t="shared" si="130"/>
        <v>1.165650276002878</v>
      </c>
      <c r="Y512" s="180"/>
      <c r="Z512" s="157">
        <f t="shared" si="131"/>
        <v>34.090909090909086</v>
      </c>
      <c r="AA512" s="166">
        <f t="shared" si="132"/>
        <v>8.1960227272727284</v>
      </c>
      <c r="AB512" s="126">
        <v>12</v>
      </c>
      <c r="AC512" s="167">
        <v>3.52</v>
      </c>
      <c r="AD512" s="167">
        <v>0.93</v>
      </c>
      <c r="AE512" s="167">
        <v>3.53</v>
      </c>
      <c r="AF512" s="167">
        <v>1.1599999999999999</v>
      </c>
      <c r="AG512" s="167" t="s">
        <v>95</v>
      </c>
      <c r="AH512" s="167">
        <v>93.2</v>
      </c>
      <c r="AI512" s="167">
        <v>9.49</v>
      </c>
      <c r="AJ512" s="167">
        <v>16.3</v>
      </c>
      <c r="AK512" s="167">
        <v>9</v>
      </c>
      <c r="AL512" s="168">
        <v>1010</v>
      </c>
      <c r="AM512" s="169">
        <v>0.5</v>
      </c>
      <c r="AN512" s="167">
        <v>0.09</v>
      </c>
      <c r="AO512" s="170">
        <f t="shared" si="133"/>
        <v>14.963522178853212</v>
      </c>
      <c r="AP512" s="171">
        <f t="shared" si="134"/>
        <v>23.159544906125941</v>
      </c>
      <c r="AQ512" s="172">
        <f t="shared" si="135"/>
        <v>-34.996115112210013</v>
      </c>
      <c r="AR512" s="157">
        <f>INDEX([1]Historical!$C$7:$C$1231,MATCH(B512,[1]Historical!$B$7:$B$1253,0))*IF(AH512="n/a",1.03,IF(AH512&lt;0,1.01,IF(AH512&gt;10,1.1,(1+AH512/100))))</f>
        <v>1.1550000000000002</v>
      </c>
      <c r="AS512" s="166">
        <f t="shared" si="136"/>
        <v>1.2646095000000002</v>
      </c>
      <c r="AT512" s="166">
        <f t="shared" si="143"/>
        <v>1.3784243550000004</v>
      </c>
      <c r="AU512" s="166">
        <f t="shared" si="143"/>
        <v>1.5024825469500005</v>
      </c>
      <c r="AV512" s="166">
        <f t="shared" si="143"/>
        <v>1.6377059761755006</v>
      </c>
      <c r="AW512" s="157">
        <f t="shared" si="138"/>
        <v>6.9382223781255021</v>
      </c>
      <c r="AX512" s="173">
        <f t="shared" si="139"/>
        <v>24.049297671145588</v>
      </c>
      <c r="AY512" s="174">
        <v>1.24</v>
      </c>
      <c r="AZ512" s="169">
        <v>18.48</v>
      </c>
      <c r="BA512" s="169">
        <v>-15.15</v>
      </c>
      <c r="BB512" s="169">
        <v>6.32</v>
      </c>
      <c r="BC512" s="169">
        <v>2.9499999999999997</v>
      </c>
      <c r="BE512" s="77">
        <v>2011</v>
      </c>
      <c r="BF512" s="77">
        <f t="shared" si="140"/>
        <v>1</v>
      </c>
      <c r="BG512" s="175" t="s">
        <v>95</v>
      </c>
      <c r="BH512" t="s">
        <v>939</v>
      </c>
      <c r="BI512" t="s">
        <v>940</v>
      </c>
    </row>
    <row r="513" spans="1:64" ht="11.25" customHeight="1" x14ac:dyDescent="0.2">
      <c r="A513" s="112" t="s">
        <v>546</v>
      </c>
      <c r="B513" s="153" t="s">
        <v>547</v>
      </c>
      <c r="C513" s="154" t="s">
        <v>137</v>
      </c>
      <c r="D513" s="154" t="s">
        <v>996</v>
      </c>
      <c r="E513" s="155">
        <v>12</v>
      </c>
      <c r="F513" s="298">
        <v>327</v>
      </c>
      <c r="G513" s="298" t="s">
        <v>30</v>
      </c>
      <c r="H513" s="298" t="s">
        <v>30</v>
      </c>
      <c r="I513" s="156">
        <v>46.55</v>
      </c>
      <c r="J513" s="157">
        <f t="shared" si="126"/>
        <v>3.4371643394199793</v>
      </c>
      <c r="K513" s="158">
        <v>0.4</v>
      </c>
      <c r="L513" s="126">
        <v>4</v>
      </c>
      <c r="M513" s="82">
        <f t="shared" si="127"/>
        <v>1.6</v>
      </c>
      <c r="N513" s="159" t="s">
        <v>116</v>
      </c>
      <c r="O513" s="160">
        <v>0.39</v>
      </c>
      <c r="P513" s="161">
        <v>44588</v>
      </c>
      <c r="Q513" s="161">
        <v>44624</v>
      </c>
      <c r="R513" s="82">
        <f t="shared" si="128"/>
        <v>2.5641025641025665</v>
      </c>
      <c r="S513" s="162">
        <f>IF(INDEX([1]Historical!$D$7:$D$1229,MATCH(B513,[1]Historical!$B$7:$B$1253,0))=0,"n/a",(INDEX([1]Historical!$C$7:$C$1231,MATCH(B513,[1]Historical!$B$7:$B$1253,0))/INDEX([1]Historical!$D$7:$D$1229,MATCH(B513,[1]Historical!$B$7:$B$1253,0))-1)*100)</f>
        <v>2.6315789473684292</v>
      </c>
      <c r="T513" s="162">
        <f>IF(INDEX([1]Historical!$F$7:$F$1222,MATCH(B513,[1]Historical!$B$7:$B$1253,0))=0,"n/a",((INDEX([1]Historical!$C$7:$C$1231,MATCH(B513,[1]Historical!$B$7:$B$1253,0))/INDEX([1]Historical!$F$7:$F$1222,MATCH(B513,[1]Historical!$B$7:$B$1253,0)))^(1/3)-1)*100)</f>
        <v>4.6795619671746724</v>
      </c>
      <c r="U513" s="162">
        <f>IF(INDEX([1]Historical!$H$7:$H$1222,MATCH(B513,[1]Historical!$B$7:$B$1253,0))=0,"n/a",((INDEX([1]Historical!$C$7:$C$1231,MATCH(B513,[1]Historical!$B$7:$B$1253,0))/INDEX([1]Historical!$H$7:$H$1222,MATCH(B513,[1]Historical!$B$7:$B$1253,0)))^(1/5)-1)*100)</f>
        <v>5.387395206178347</v>
      </c>
      <c r="V513" s="162">
        <f>IF(INDEX([1]Historical!$N$7:$N$1222,MATCH(B513,[1]Historical!$B$7:$B$1253,0))=0,"n/a",((INDEX([1]Historical!$C$7:$C$1231,MATCH(B513,[1]Historical!$B$7:$B$1253,0))/INDEX([1]Historical!$N$7:$N$1222,MATCH(B513,[1]Historical!$B$7:$B$1253,0)))^(1/10)-1)*100)</f>
        <v>6.9063399154400296</v>
      </c>
      <c r="W513" s="163">
        <f t="shared" si="129"/>
        <v>0.7800651679674957</v>
      </c>
      <c r="X513" s="164">
        <f t="shared" si="130"/>
        <v>0.19662026299920973</v>
      </c>
      <c r="Y513" s="165"/>
      <c r="Z513" s="157">
        <f t="shared" si="131"/>
        <v>30.828516377649322</v>
      </c>
      <c r="AA513" s="166">
        <f t="shared" si="132"/>
        <v>8.9691714836223486</v>
      </c>
      <c r="AB513" s="126">
        <v>12</v>
      </c>
      <c r="AC513" s="167">
        <v>5.19</v>
      </c>
      <c r="AD513" s="167" t="s">
        <v>95</v>
      </c>
      <c r="AE513" s="167">
        <v>2.54</v>
      </c>
      <c r="AF513" s="167">
        <v>3.04</v>
      </c>
      <c r="AG513" s="167">
        <v>36.299999999999997</v>
      </c>
      <c r="AH513" s="167">
        <v>233.6</v>
      </c>
      <c r="AI513" s="167">
        <v>-18.7</v>
      </c>
      <c r="AJ513" s="167">
        <v>27.400000000000002</v>
      </c>
      <c r="AK513" s="167">
        <v>-1.7999999999999998</v>
      </c>
      <c r="AL513" s="168">
        <v>256709.99999999997</v>
      </c>
      <c r="AM513" s="169">
        <v>0.04</v>
      </c>
      <c r="AN513" s="167">
        <v>0.46</v>
      </c>
      <c r="AO513" s="170">
        <f t="shared" si="133"/>
        <v>-0.14461193802402228</v>
      </c>
      <c r="AP513" s="171">
        <f t="shared" si="134"/>
        <v>8.8245595455983263</v>
      </c>
      <c r="AQ513" s="172">
        <f t="shared" si="135"/>
        <v>10.083364996638267</v>
      </c>
      <c r="AR513" s="157">
        <f>INDEX([1]Historical!$C$7:$C$1231,MATCH(B513,[1]Historical!$B$7:$B$1253,0))*IF(AH513="n/a",1.03,IF(AH513&lt;0,1.01,IF(AH513&gt;10,1.1,(1+AH513/100))))</f>
        <v>1.7160000000000002</v>
      </c>
      <c r="AS513" s="166">
        <f t="shared" si="136"/>
        <v>1.7331600000000003</v>
      </c>
      <c r="AT513" s="166">
        <f t="shared" si="143"/>
        <v>1.7504916000000004</v>
      </c>
      <c r="AU513" s="166">
        <f t="shared" si="143"/>
        <v>1.7679965160000004</v>
      </c>
      <c r="AV513" s="166">
        <f t="shared" si="143"/>
        <v>1.7856764811600003</v>
      </c>
      <c r="AW513" s="157">
        <f t="shared" si="138"/>
        <v>8.7533245971600024</v>
      </c>
      <c r="AX513" s="173">
        <f t="shared" si="139"/>
        <v>18.80413447295382</v>
      </c>
      <c r="AY513" s="174">
        <v>0.67</v>
      </c>
      <c r="AZ513" s="169">
        <v>12.32</v>
      </c>
      <c r="BA513" s="169">
        <v>-24.57</v>
      </c>
      <c r="BB513" s="169">
        <v>3.05</v>
      </c>
      <c r="BC513" s="169">
        <v>-6.13</v>
      </c>
      <c r="BE513" s="77">
        <v>2011</v>
      </c>
      <c r="BF513" s="77">
        <f t="shared" si="140"/>
        <v>1</v>
      </c>
      <c r="BG513" s="175">
        <v>15.8</v>
      </c>
      <c r="BH513" t="s">
        <v>939</v>
      </c>
      <c r="BI513" t="s">
        <v>940</v>
      </c>
    </row>
    <row r="514" spans="1:64" ht="11.25" customHeight="1" x14ac:dyDescent="0.2">
      <c r="A514" s="176" t="s">
        <v>1576</v>
      </c>
      <c r="B514" s="153" t="s">
        <v>422</v>
      </c>
      <c r="C514" s="154" t="s">
        <v>90</v>
      </c>
      <c r="D514" s="154" t="s">
        <v>110</v>
      </c>
      <c r="E514" s="155">
        <v>13</v>
      </c>
      <c r="F514" s="298">
        <v>270</v>
      </c>
      <c r="G514" s="298" t="s">
        <v>88</v>
      </c>
      <c r="H514" s="298" t="s">
        <v>88</v>
      </c>
      <c r="I514" s="156">
        <v>88.13</v>
      </c>
      <c r="J514" s="157">
        <f t="shared" si="126"/>
        <v>2.9047997276750257</v>
      </c>
      <c r="K514" s="158">
        <v>0.64</v>
      </c>
      <c r="L514" s="126">
        <v>4</v>
      </c>
      <c r="M514" s="82">
        <f t="shared" si="127"/>
        <v>2.56</v>
      </c>
      <c r="N514" s="159" t="s">
        <v>628</v>
      </c>
      <c r="O514" s="160">
        <v>0.63</v>
      </c>
      <c r="P514" s="224">
        <v>44530</v>
      </c>
      <c r="Q514" s="224">
        <v>44551</v>
      </c>
      <c r="R514" s="82">
        <f t="shared" si="128"/>
        <v>1.5873015873015885</v>
      </c>
      <c r="S514" s="162">
        <f>IF(INDEX([1]Historical!$D$7:$D$1229,MATCH(B514,[1]Historical!$B$7:$B$1253,0))=0,"n/a",(INDEX([1]Historical!$C$7:$C$1231,MATCH(B514,[1]Historical!$B$7:$B$1253,0))/INDEX([1]Historical!$D$7:$D$1229,MATCH(B514,[1]Historical!$B$7:$B$1253,0))-1)*100)</f>
        <v>8.9285714285714199</v>
      </c>
      <c r="T514" s="162">
        <f>IF(INDEX([1]Historical!$F$7:$F$1222,MATCH(B514,[1]Historical!$B$7:$B$1253,0))=0,"n/a",((INDEX([1]Historical!$C$7:$C$1231,MATCH(B514,[1]Historical!$B$7:$B$1253,0))/INDEX([1]Historical!$F$7:$F$1222,MATCH(B514,[1]Historical!$B$7:$B$1253,0)))^(1/3)-1)*100)</f>
        <v>5.1292365408900809</v>
      </c>
      <c r="U514" s="162">
        <f>IF(INDEX([1]Historical!$H$7:$H$1222,MATCH(B514,[1]Historical!$B$7:$B$1253,0))=0,"n/a",((INDEX([1]Historical!$C$7:$C$1231,MATCH(B514,[1]Historical!$B$7:$B$1253,0))/INDEX([1]Historical!$H$7:$H$1222,MATCH(B514,[1]Historical!$B$7:$B$1253,0)))^(1/5)-1)*100)</f>
        <v>8.670781446071496</v>
      </c>
      <c r="V514" s="162">
        <f>IF(INDEX([1]Historical!$N$7:$N$1222,MATCH(B514,[1]Historical!$B$7:$B$1253,0))=0,"n/a",((INDEX([1]Historical!$C$7:$C$1231,MATCH(B514,[1]Historical!$B$7:$B$1253,0))/INDEX([1]Historical!$N$7:$N$1222,MATCH(B514,[1]Historical!$B$7:$B$1253,0)))^(1/10)-1)*100)</f>
        <v>13.299809234516346</v>
      </c>
      <c r="W514" s="163">
        <f t="shared" si="129"/>
        <v>0.65194780565488419</v>
      </c>
      <c r="X514" s="164">
        <f t="shared" si="130"/>
        <v>1.2566349921842748</v>
      </c>
      <c r="Y514" s="178"/>
      <c r="Z514" s="157">
        <f t="shared" si="131"/>
        <v>15.571776155717762</v>
      </c>
      <c r="AA514" s="166">
        <f t="shared" si="132"/>
        <v>5.3607055961070555</v>
      </c>
      <c r="AB514" s="126">
        <v>12</v>
      </c>
      <c r="AC514" s="167">
        <v>16.440000000000001</v>
      </c>
      <c r="AD514" s="167">
        <v>0.92</v>
      </c>
      <c r="AE514" s="167">
        <v>1.43</v>
      </c>
      <c r="AF514" s="167">
        <v>2.0099999999999998</v>
      </c>
      <c r="AG514" s="167">
        <v>31</v>
      </c>
      <c r="AH514" s="167">
        <v>24.2</v>
      </c>
      <c r="AI514" s="167">
        <v>10.14</v>
      </c>
      <c r="AJ514" s="167">
        <v>6.9</v>
      </c>
      <c r="AK514" s="167">
        <v>5.83</v>
      </c>
      <c r="AL514" s="168">
        <v>20400</v>
      </c>
      <c r="AM514" s="169">
        <v>0.4</v>
      </c>
      <c r="AN514" s="167">
        <v>0.39</v>
      </c>
      <c r="AO514" s="170">
        <f t="shared" si="133"/>
        <v>6.2148755776394653</v>
      </c>
      <c r="AP514" s="171">
        <f t="shared" si="134"/>
        <v>11.575581173746521</v>
      </c>
      <c r="AQ514" s="172">
        <f t="shared" si="135"/>
        <v>-30.798143094357876</v>
      </c>
      <c r="AR514" s="157">
        <f>INDEX([1]Historical!$C$7:$C$1231,MATCH(B514,[1]Historical!$B$7:$B$1253,0))*IF(AH514="n/a",1.03,IF(AH514&lt;0,1.01,IF(AH514&gt;10,1.1,(1+AH514/100))))</f>
        <v>2.6840000000000002</v>
      </c>
      <c r="AS514" s="166">
        <f t="shared" si="136"/>
        <v>2.9524000000000004</v>
      </c>
      <c r="AT514" s="166">
        <f t="shared" si="143"/>
        <v>3.1245249200000003</v>
      </c>
      <c r="AU514" s="166">
        <f t="shared" si="143"/>
        <v>3.3066847228360001</v>
      </c>
      <c r="AV514" s="166">
        <f t="shared" si="143"/>
        <v>3.4994644421773389</v>
      </c>
      <c r="AW514" s="157">
        <f t="shared" si="138"/>
        <v>15.567074085013338</v>
      </c>
      <c r="AX514" s="173">
        <f t="shared" si="139"/>
        <v>17.663762719860816</v>
      </c>
      <c r="AY514" s="174">
        <v>1.26</v>
      </c>
      <c r="AZ514" s="169">
        <v>44.36</v>
      </c>
      <c r="BA514" s="169">
        <v>-0.2</v>
      </c>
      <c r="BB514" s="169">
        <v>14.64</v>
      </c>
      <c r="BC514" s="169">
        <v>22.25</v>
      </c>
      <c r="BE514" s="77">
        <v>2009</v>
      </c>
      <c r="BF514" s="77">
        <f t="shared" si="140"/>
        <v>1</v>
      </c>
      <c r="BG514" s="175">
        <v>1.4000000000000001</v>
      </c>
      <c r="BH514" t="s">
        <v>939</v>
      </c>
      <c r="BI514" t="s">
        <v>940</v>
      </c>
    </row>
    <row r="515" spans="1:64" s="252" customFormat="1" ht="11.25" customHeight="1" x14ac:dyDescent="0.2">
      <c r="A515" s="236" t="s">
        <v>1172</v>
      </c>
      <c r="B515" s="184" t="s">
        <v>1173</v>
      </c>
      <c r="C515" s="154" t="s">
        <v>90</v>
      </c>
      <c r="D515" s="154" t="s">
        <v>969</v>
      </c>
      <c r="E515" s="185">
        <v>6</v>
      </c>
      <c r="F515" s="298">
        <v>685</v>
      </c>
      <c r="G515" s="297" t="s">
        <v>88</v>
      </c>
      <c r="H515" s="297" t="s">
        <v>88</v>
      </c>
      <c r="I515" s="186">
        <v>54.99</v>
      </c>
      <c r="J515" s="187">
        <f t="shared" si="126"/>
        <v>2.9096199308965267</v>
      </c>
      <c r="K515" s="188">
        <v>0.4</v>
      </c>
      <c r="L515" s="189">
        <v>4</v>
      </c>
      <c r="M515" s="190">
        <f t="shared" si="127"/>
        <v>1.6</v>
      </c>
      <c r="N515" s="191" t="s">
        <v>167</v>
      </c>
      <c r="O515" s="192">
        <v>0.39</v>
      </c>
      <c r="P515" s="193">
        <v>44803</v>
      </c>
      <c r="Q515" s="193">
        <v>44819</v>
      </c>
      <c r="R515" s="190">
        <f t="shared" si="128"/>
        <v>2.5641025641025665</v>
      </c>
      <c r="S515" s="162">
        <f>IF(INDEX([1]Historical!$D$7:$D$1229,MATCH(B515,[1]Historical!$B$7:$B$1253,0))=0,"n/a",(INDEX([1]Historical!$C$7:$C$1231,MATCH(B515,[1]Historical!$B$7:$B$1253,0))/INDEX([1]Historical!$D$7:$D$1229,MATCH(B515,[1]Historical!$B$7:$B$1253,0))-1)*100)</f>
        <v>4.1666666666666741</v>
      </c>
      <c r="T515" s="162">
        <f>IF(INDEX([1]Historical!$F$7:$F$1222,MATCH(B515,[1]Historical!$B$7:$B$1253,0))=0,"n/a",((INDEX([1]Historical!$C$7:$C$1231,MATCH(B515,[1]Historical!$B$7:$B$1253,0))/INDEX([1]Historical!$F$7:$F$1222,MATCH(B515,[1]Historical!$B$7:$B$1253,0)))^(1/3)-1)*100)</f>
        <v>4.6180580975712093</v>
      </c>
      <c r="U515" s="162">
        <f>IF(INDEX([1]Historical!$H$7:$H$1222,MATCH(B515,[1]Historical!$B$7:$B$1253,0))=0,"n/a",((INDEX([1]Historical!$C$7:$C$1231,MATCH(B515,[1]Historical!$B$7:$B$1253,0))/INDEX([1]Historical!$H$7:$H$1222,MATCH(B515,[1]Historical!$B$7:$B$1253,0)))^(1/5)-1)*100)</f>
        <v>3.8804721244317664</v>
      </c>
      <c r="V515" s="162">
        <f>IF(INDEX([1]Historical!$N$7:$N$1222,MATCH(B515,[1]Historical!$B$7:$B$1253,0))=0,"n/a",((INDEX([1]Historical!$C$7:$C$1231,MATCH(B515,[1]Historical!$B$7:$B$1253,0))/INDEX([1]Historical!$N$7:$N$1222,MATCH(B515,[1]Historical!$B$7:$B$1253,0)))^(1/10)-1)*100)</f>
        <v>6.4878668033606202</v>
      </c>
      <c r="W515" s="163">
        <f t="shared" si="129"/>
        <v>0.59811217493271263</v>
      </c>
      <c r="X515" s="164">
        <f t="shared" si="130"/>
        <v>0.21800405193436889</v>
      </c>
      <c r="Y515" s="227"/>
      <c r="Z515" s="187">
        <f t="shared" si="131"/>
        <v>25.437201907790147</v>
      </c>
      <c r="AA515" s="194">
        <f t="shared" si="132"/>
        <v>8.7424483306836258</v>
      </c>
      <c r="AB515" s="189">
        <v>12</v>
      </c>
      <c r="AC515" s="195">
        <v>6.29</v>
      </c>
      <c r="AD515" s="195" t="s">
        <v>95</v>
      </c>
      <c r="AE515" s="195">
        <v>3.83</v>
      </c>
      <c r="AF515" s="195">
        <v>1.3</v>
      </c>
      <c r="AG515" s="195">
        <v>13.4</v>
      </c>
      <c r="AH515" s="195">
        <v>50.4</v>
      </c>
      <c r="AI515" s="195">
        <v>6.79</v>
      </c>
      <c r="AJ515" s="195">
        <v>17.8</v>
      </c>
      <c r="AK515" s="195" t="s">
        <v>95</v>
      </c>
      <c r="AL515" s="196">
        <v>395.51</v>
      </c>
      <c r="AM515" s="197">
        <v>1</v>
      </c>
      <c r="AN515" s="195">
        <v>0.11</v>
      </c>
      <c r="AO515" s="198">
        <f t="shared" si="133"/>
        <v>-1.9523562753553332</v>
      </c>
      <c r="AP515" s="199">
        <f t="shared" si="134"/>
        <v>6.7900920553282926</v>
      </c>
      <c r="AQ515" s="172">
        <f t="shared" si="135"/>
        <v>-28.928258999519162</v>
      </c>
      <c r="AR515" s="157">
        <f>INDEX([1]Historical!$C$7:$C$1231,MATCH(B515,[1]Historical!$B$7:$B$1253,0))*IF(AH515="n/a",1.03,IF(AH515&lt;0,1.01,IF(AH515&gt;10,1.1,(1+AH515/100))))</f>
        <v>1.6500000000000001</v>
      </c>
      <c r="AS515" s="194">
        <f t="shared" si="136"/>
        <v>1.7620350000000002</v>
      </c>
      <c r="AT515" s="194">
        <f t="shared" si="143"/>
        <v>1.8148960500000002</v>
      </c>
      <c r="AU515" s="194">
        <f t="shared" si="143"/>
        <v>1.8693429315000003</v>
      </c>
      <c r="AV515" s="194">
        <f t="shared" si="143"/>
        <v>1.9254232194450003</v>
      </c>
      <c r="AW515" s="187">
        <f t="shared" si="138"/>
        <v>9.0216972009450025</v>
      </c>
      <c r="AX515" s="200">
        <f t="shared" si="139"/>
        <v>16.406068741489367</v>
      </c>
      <c r="AY515" s="201">
        <v>0.23</v>
      </c>
      <c r="AZ515" s="197">
        <v>20.330000000000002</v>
      </c>
      <c r="BA515" s="197">
        <v>-8.33</v>
      </c>
      <c r="BB515" s="197">
        <v>9.75</v>
      </c>
      <c r="BC515" s="197">
        <v>8.4</v>
      </c>
      <c r="BD515" s="202"/>
      <c r="BE515" s="77">
        <v>2017</v>
      </c>
      <c r="BF515" s="77">
        <f t="shared" si="140"/>
        <v>1</v>
      </c>
      <c r="BG515" s="203">
        <v>1.3</v>
      </c>
      <c r="BH515" t="s">
        <v>939</v>
      </c>
      <c r="BI515" t="s">
        <v>940</v>
      </c>
      <c r="BJ515" s="208"/>
      <c r="BK515" s="208"/>
      <c r="BL515" s="208"/>
    </row>
    <row r="516" spans="1:64" ht="11.25" customHeight="1" x14ac:dyDescent="0.2">
      <c r="A516" s="112" t="s">
        <v>1577</v>
      </c>
      <c r="B516" s="153" t="s">
        <v>423</v>
      </c>
      <c r="C516" s="154" t="s">
        <v>127</v>
      </c>
      <c r="D516" s="154" t="s">
        <v>1018</v>
      </c>
      <c r="E516" s="155">
        <v>66</v>
      </c>
      <c r="F516" s="298">
        <v>5</v>
      </c>
      <c r="G516" s="298" t="s">
        <v>30</v>
      </c>
      <c r="H516" s="298" t="s">
        <v>104</v>
      </c>
      <c r="I516" s="167">
        <v>134.66999999999999</v>
      </c>
      <c r="J516" s="157">
        <f t="shared" si="126"/>
        <v>2.7127051310611128</v>
      </c>
      <c r="K516" s="158">
        <v>0.9133</v>
      </c>
      <c r="L516" s="126">
        <v>4</v>
      </c>
      <c r="M516" s="82">
        <f t="shared" si="127"/>
        <v>3.6532</v>
      </c>
      <c r="N516" s="159" t="s">
        <v>89</v>
      </c>
      <c r="O516" s="160">
        <v>0.86980000000000002</v>
      </c>
      <c r="P516" s="161">
        <v>44672</v>
      </c>
      <c r="Q516" s="161">
        <v>44697</v>
      </c>
      <c r="R516" s="82">
        <f t="shared" si="128"/>
        <v>5.0011496895838103</v>
      </c>
      <c r="S516" s="162">
        <f>IF(INDEX([1]Historical!$D$7:$D$1229,MATCH(B516,[1]Historical!$B$7:$B$1253,0))=0,"n/a",(INDEX([1]Historical!$C$7:$C$1231,MATCH(B516,[1]Historical!$B$7:$B$1253,0))/INDEX([1]Historical!$D$7:$D$1229,MATCH(B516,[1]Historical!$B$7:$B$1253,0))-1)*100)</f>
        <v>9.0474663245670328</v>
      </c>
      <c r="T516" s="162">
        <f>IF(INDEX([1]Historical!$F$7:$F$1222,MATCH(B516,[1]Historical!$B$7:$B$1253,0))=0,"n/a",((INDEX([1]Historical!$C$7:$C$1231,MATCH(B516,[1]Historical!$B$7:$B$1253,0))/INDEX([1]Historical!$F$7:$F$1222,MATCH(B516,[1]Historical!$B$7:$B$1253,0)))^(1/3)-1)*100)</f>
        <v>6.168731407043837</v>
      </c>
      <c r="U516" s="162">
        <f>IF(INDEX([1]Historical!$H$7:$H$1222,MATCH(B516,[1]Historical!$B$7:$B$1253,0))=0,"n/a",((INDEX([1]Historical!$C$7:$C$1231,MATCH(B516,[1]Historical!$B$7:$B$1253,0))/INDEX([1]Historical!$H$7:$H$1222,MATCH(B516,[1]Historical!$B$7:$B$1253,0)))^(1/5)-1)*100)</f>
        <v>4.9422940563122797</v>
      </c>
      <c r="V516" s="162">
        <f>IF(INDEX([1]Historical!$N$7:$N$1222,MATCH(B516,[1]Historical!$B$7:$B$1253,0))=0,"n/a",((INDEX([1]Historical!$C$7:$C$1231,MATCH(B516,[1]Historical!$B$7:$B$1253,0))/INDEX([1]Historical!$N$7:$N$1222,MATCH(B516,[1]Historical!$B$7:$B$1253,0)))^(1/10)-1)*100)</f>
        <v>5.1550084598174672</v>
      </c>
      <c r="W516" s="163">
        <f t="shared" si="129"/>
        <v>0.95873636189673306</v>
      </c>
      <c r="X516" s="164">
        <f t="shared" si="130"/>
        <v>0.52024147961181888</v>
      </c>
      <c r="Y516" s="153"/>
      <c r="Z516" s="157">
        <f t="shared" si="131"/>
        <v>63.313691507798964</v>
      </c>
      <c r="AA516" s="166">
        <f t="shared" si="132"/>
        <v>23.339688041594453</v>
      </c>
      <c r="AB516" s="126">
        <v>6</v>
      </c>
      <c r="AC516" s="167">
        <v>5.77</v>
      </c>
      <c r="AD516" s="167">
        <v>4.9000000000000004</v>
      </c>
      <c r="AE516" s="167">
        <v>3.88</v>
      </c>
      <c r="AF516" s="167">
        <v>7.46</v>
      </c>
      <c r="AG516" s="167">
        <v>32.200000000000003</v>
      </c>
      <c r="AH516" s="167">
        <v>5.6000000000000005</v>
      </c>
      <c r="AI516" s="167">
        <v>7.39</v>
      </c>
      <c r="AJ516" s="167">
        <v>9.5</v>
      </c>
      <c r="AK516" s="167">
        <v>4.79</v>
      </c>
      <c r="AL516" s="168">
        <v>312520</v>
      </c>
      <c r="AM516" s="169">
        <v>0.12</v>
      </c>
      <c r="AN516" s="167">
        <v>0.76</v>
      </c>
      <c r="AO516" s="170">
        <f t="shared" si="133"/>
        <v>-15.684688854221061</v>
      </c>
      <c r="AP516" s="171">
        <f t="shared" si="134"/>
        <v>7.6549991873733925</v>
      </c>
      <c r="AQ516" s="172">
        <f t="shared" si="135"/>
        <v>178.17985612053593</v>
      </c>
      <c r="AR516" s="157">
        <f>INDEX([1]Historical!$C$7:$C$1231,MATCH(B516,[1]Historical!$B$7:$B$1253,0))*IF(AH516="n/a",1.03,IF(AH516&lt;0,1.01,IF(AH516&gt;10,1.1,(1+AH516/100))))</f>
        <v>3.5905056000000002</v>
      </c>
      <c r="AS516" s="166">
        <f t="shared" si="136"/>
        <v>3.8558439638400004</v>
      </c>
      <c r="AT516" s="166">
        <f t="shared" si="143"/>
        <v>4.0405388897079364</v>
      </c>
      <c r="AU516" s="166">
        <f t="shared" si="143"/>
        <v>4.2340807025249472</v>
      </c>
      <c r="AV516" s="166">
        <f t="shared" si="143"/>
        <v>4.4368931681758923</v>
      </c>
      <c r="AW516" s="157">
        <f t="shared" si="138"/>
        <v>20.157862324248775</v>
      </c>
      <c r="AX516" s="173">
        <f t="shared" si="139"/>
        <v>14.968339143275248</v>
      </c>
      <c r="AY516" s="174">
        <v>0.39</v>
      </c>
      <c r="AZ516" s="169">
        <v>10.220000000000001</v>
      </c>
      <c r="BA516" s="169">
        <v>-18.55</v>
      </c>
      <c r="BB516" s="169">
        <v>0.19</v>
      </c>
      <c r="BC516" s="169">
        <v>-8.32</v>
      </c>
      <c r="BE516" s="77">
        <v>1957</v>
      </c>
      <c r="BF516" s="77">
        <f t="shared" si="140"/>
        <v>9</v>
      </c>
      <c r="BG516" s="175">
        <v>12</v>
      </c>
      <c r="BH516" t="s">
        <v>939</v>
      </c>
      <c r="BI516" t="s">
        <v>940</v>
      </c>
    </row>
    <row r="517" spans="1:64" ht="12.75" customHeight="1" x14ac:dyDescent="0.2">
      <c r="A517" s="112" t="s">
        <v>1578</v>
      </c>
      <c r="B517" s="153" t="s">
        <v>411</v>
      </c>
      <c r="C517" s="154" t="s">
        <v>94</v>
      </c>
      <c r="D517" s="154" t="s">
        <v>101</v>
      </c>
      <c r="E517" s="155">
        <v>66</v>
      </c>
      <c r="F517" s="298">
        <v>6</v>
      </c>
      <c r="G517" s="298" t="s">
        <v>30</v>
      </c>
      <c r="H517" s="298" t="s">
        <v>30</v>
      </c>
      <c r="I517" s="167">
        <v>290.62</v>
      </c>
      <c r="J517" s="157">
        <f t="shared" si="126"/>
        <v>1.8305691280710208</v>
      </c>
      <c r="K517" s="158">
        <v>1.33</v>
      </c>
      <c r="L517" s="126">
        <v>4</v>
      </c>
      <c r="M517" s="82">
        <f t="shared" si="127"/>
        <v>5.32</v>
      </c>
      <c r="N517" s="159" t="s">
        <v>151</v>
      </c>
      <c r="O517" s="160">
        <v>1.03</v>
      </c>
      <c r="P517" s="161">
        <v>44693</v>
      </c>
      <c r="Q517" s="161">
        <v>44715</v>
      </c>
      <c r="R517" s="82">
        <f t="shared" si="128"/>
        <v>29.126213592233015</v>
      </c>
      <c r="S517" s="162">
        <f>IF(INDEX([1]Historical!$D$7:$D$1229,MATCH(B517,[1]Historical!$B$7:$B$1253,0))=0,"n/a",(INDEX([1]Historical!$C$7:$C$1231,MATCH(B517,[1]Historical!$B$7:$B$1253,0))/INDEX([1]Historical!$D$7:$D$1229,MATCH(B517,[1]Historical!$B$7:$B$1253,0))-1)*100)</f>
        <v>12.784090909090917</v>
      </c>
      <c r="T517" s="162">
        <f>IF(INDEX([1]Historical!$F$7:$F$1222,MATCH(B517,[1]Historical!$B$7:$B$1253,0))=0,"n/a",((INDEX([1]Historical!$C$7:$C$1231,MATCH(B517,[1]Historical!$B$7:$B$1253,0))/INDEX([1]Historical!$F$7:$F$1222,MATCH(B517,[1]Historical!$B$7:$B$1253,0)))^(1/3)-1)*100)</f>
        <v>10.530226194135928</v>
      </c>
      <c r="U517" s="162">
        <f>IF(INDEX([1]Historical!$H$7:$H$1222,MATCH(B517,[1]Historical!$B$7:$B$1253,0))=0,"n/a",((INDEX([1]Historical!$C$7:$C$1231,MATCH(B517,[1]Historical!$B$7:$B$1253,0))/INDEX([1]Historical!$H$7:$H$1222,MATCH(B517,[1]Historical!$B$7:$B$1253,0)))^(1/5)-1)*100)</f>
        <v>9.51610593701675</v>
      </c>
      <c r="V517" s="162">
        <f>IF(INDEX([1]Historical!$N$7:$N$1222,MATCH(B517,[1]Historical!$B$7:$B$1253,0))=0,"n/a",((INDEX([1]Historical!$C$7:$C$1231,MATCH(B517,[1]Historical!$B$7:$B$1253,0))/INDEX([1]Historical!$N$7:$N$1222,MATCH(B517,[1]Historical!$B$7:$B$1253,0)))^(1/10)-1)*100)</f>
        <v>10.750436589052924</v>
      </c>
      <c r="W517" s="163">
        <f t="shared" si="129"/>
        <v>0.88518320704360209</v>
      </c>
      <c r="X517" s="164">
        <f t="shared" si="130"/>
        <v>1.3994273436789337</v>
      </c>
      <c r="Y517" s="180"/>
      <c r="Z517" s="157">
        <f t="shared" si="131"/>
        <v>52.777777777777779</v>
      </c>
      <c r="AA517" s="166">
        <f t="shared" si="132"/>
        <v>28.831349206349206</v>
      </c>
      <c r="AB517" s="126">
        <v>6</v>
      </c>
      <c r="AC517" s="167">
        <v>10.08</v>
      </c>
      <c r="AD517" s="167">
        <v>3.09</v>
      </c>
      <c r="AE517" s="167">
        <v>2.2999999999999998</v>
      </c>
      <c r="AF517" s="167">
        <v>4.24</v>
      </c>
      <c r="AG517" s="167">
        <v>15</v>
      </c>
      <c r="AH517" s="167">
        <v>-24.4</v>
      </c>
      <c r="AI517" s="167">
        <v>11.110000000000001</v>
      </c>
      <c r="AJ517" s="167">
        <v>6.8000000000000007</v>
      </c>
      <c r="AK517" s="167">
        <v>9.36</v>
      </c>
      <c r="AL517" s="168">
        <v>36430</v>
      </c>
      <c r="AM517" s="169">
        <v>0.4</v>
      </c>
      <c r="AN517" s="167">
        <v>1.3</v>
      </c>
      <c r="AO517" s="170">
        <f t="shared" si="133"/>
        <v>-17.484674141261436</v>
      </c>
      <c r="AP517" s="171">
        <f t="shared" si="134"/>
        <v>11.346675065087771</v>
      </c>
      <c r="AQ517" s="172">
        <f t="shared" si="135"/>
        <v>133.09027400932564</v>
      </c>
      <c r="AR517" s="157">
        <f>INDEX([1]Historical!$C$7:$C$1231,MATCH(B517,[1]Historical!$B$7:$B$1253,0))*IF(AH517="n/a",1.03,IF(AH517&lt;0,1.01,IF(AH517&gt;10,1.1,(1+AH517/100))))</f>
        <v>4.0097000000000005</v>
      </c>
      <c r="AS517" s="166">
        <f t="shared" si="136"/>
        <v>4.4106700000000005</v>
      </c>
      <c r="AT517" s="166">
        <f t="shared" si="143"/>
        <v>4.8235087119999998</v>
      </c>
      <c r="AU517" s="166">
        <f t="shared" si="143"/>
        <v>5.2749891274431997</v>
      </c>
      <c r="AV517" s="166">
        <f t="shared" si="143"/>
        <v>5.7687281097718826</v>
      </c>
      <c r="AW517" s="157">
        <f t="shared" si="138"/>
        <v>24.287595949215081</v>
      </c>
      <c r="AX517" s="173">
        <f t="shared" si="139"/>
        <v>8.3571660412962228</v>
      </c>
      <c r="AY517" s="174">
        <v>1.55</v>
      </c>
      <c r="AZ517" s="169">
        <v>26.119999999999997</v>
      </c>
      <c r="BA517" s="169">
        <v>-14.52</v>
      </c>
      <c r="BB517" s="169">
        <v>9.24</v>
      </c>
      <c r="BC517" s="169">
        <v>5.0299999999999994</v>
      </c>
      <c r="BE517" s="77">
        <v>1957</v>
      </c>
      <c r="BF517" s="77">
        <f t="shared" si="140"/>
        <v>9</v>
      </c>
      <c r="BG517" s="175">
        <v>5.8000000000000007</v>
      </c>
      <c r="BH517" t="s">
        <v>939</v>
      </c>
      <c r="BI517" t="s">
        <v>940</v>
      </c>
    </row>
    <row r="518" spans="1:64" ht="12.75" customHeight="1" x14ac:dyDescent="0.2">
      <c r="A518" s="112" t="s">
        <v>1579</v>
      </c>
      <c r="B518" s="153" t="s">
        <v>418</v>
      </c>
      <c r="C518" s="154" t="s">
        <v>100</v>
      </c>
      <c r="D518" s="154" t="s">
        <v>990</v>
      </c>
      <c r="E518" s="155">
        <v>27</v>
      </c>
      <c r="F518" s="298">
        <v>129</v>
      </c>
      <c r="G518" s="298" t="s">
        <v>30</v>
      </c>
      <c r="H518" s="298" t="s">
        <v>30</v>
      </c>
      <c r="I518" s="167">
        <v>101.6</v>
      </c>
      <c r="J518" s="157">
        <f t="shared" si="126"/>
        <v>2.5196850393700791</v>
      </c>
      <c r="K518" s="209">
        <v>0.64</v>
      </c>
      <c r="L518" s="126">
        <v>4</v>
      </c>
      <c r="M518" s="82">
        <f t="shared" si="127"/>
        <v>2.56</v>
      </c>
      <c r="N518" s="159" t="s">
        <v>167</v>
      </c>
      <c r="O518" s="210">
        <v>0.63</v>
      </c>
      <c r="P518" s="161">
        <v>44620</v>
      </c>
      <c r="Q518" s="161">
        <v>44635</v>
      </c>
      <c r="R518" s="82">
        <f t="shared" si="128"/>
        <v>1.5873015873015885</v>
      </c>
      <c r="S518" s="162">
        <f>IF(INDEX([1]Historical!$D$7:$D$1229,MATCH(B518,[1]Historical!$B$7:$B$1253,0))=0,"n/a",(INDEX([1]Historical!$C$7:$C$1231,MATCH(B518,[1]Historical!$B$7:$B$1253,0))/INDEX([1]Historical!$D$7:$D$1229,MATCH(B518,[1]Historical!$B$7:$B$1253,0))-1)*100)</f>
        <v>1.6129032258064502</v>
      </c>
      <c r="T518" s="162">
        <f>IF(INDEX([1]Historical!$F$7:$F$1222,MATCH(B518,[1]Historical!$B$7:$B$1253,0))=0,"n/a",((INDEX([1]Historical!$C$7:$C$1231,MATCH(B518,[1]Historical!$B$7:$B$1253,0))/INDEX([1]Historical!$F$7:$F$1222,MATCH(B518,[1]Historical!$B$7:$B$1253,0)))^(1/3)-1)*100)</f>
        <v>1.6396356814853519</v>
      </c>
      <c r="U518" s="162">
        <f>IF(INDEX([1]Historical!$H$7:$H$1222,MATCH(B518,[1]Historical!$B$7:$B$1253,0))=0,"n/a",((INDEX([1]Historical!$C$7:$C$1231,MATCH(B518,[1]Historical!$B$7:$B$1253,0))/INDEX([1]Historical!$H$7:$H$1222,MATCH(B518,[1]Historical!$B$7:$B$1253,0)))^(1/5)-1)*100)</f>
        <v>2.7532511481100252</v>
      </c>
      <c r="V518" s="162">
        <f>IF(INDEX([1]Historical!$N$7:$N$1222,MATCH(B518,[1]Historical!$B$7:$B$1253,0))=0,"n/a",((INDEX([1]Historical!$C$7:$C$1231,MATCH(B518,[1]Historical!$B$7:$B$1253,0))/INDEX([1]Historical!$N$7:$N$1222,MATCH(B518,[1]Historical!$B$7:$B$1253,0)))^(1/10)-1)*100)</f>
        <v>10.8449222600272</v>
      </c>
      <c r="W518" s="163">
        <f t="shared" si="129"/>
        <v>0.25387467813006892</v>
      </c>
      <c r="X518" s="164">
        <f t="shared" si="130"/>
        <v>0.14339849729739715</v>
      </c>
      <c r="Y518" s="212"/>
      <c r="Z518" s="157">
        <f t="shared" si="131"/>
        <v>31.372549019607842</v>
      </c>
      <c r="AA518" s="166">
        <f t="shared" si="132"/>
        <v>12.450980392156861</v>
      </c>
      <c r="AB518" s="126">
        <v>12</v>
      </c>
      <c r="AC518" s="167">
        <v>8.16</v>
      </c>
      <c r="AD518" s="167">
        <v>0.83</v>
      </c>
      <c r="AE518" s="167">
        <v>0.7</v>
      </c>
      <c r="AF518" s="167">
        <v>5.93</v>
      </c>
      <c r="AG518" s="167">
        <v>30.5</v>
      </c>
      <c r="AH518" s="167">
        <v>295.10000000000002</v>
      </c>
      <c r="AI518" s="167">
        <v>3.2399999999999998</v>
      </c>
      <c r="AJ518" s="167">
        <v>19.2</v>
      </c>
      <c r="AK518" s="167">
        <v>15</v>
      </c>
      <c r="AL518" s="168">
        <v>5830</v>
      </c>
      <c r="AM518" s="169">
        <v>0.6</v>
      </c>
      <c r="AN518" s="167">
        <v>2.1</v>
      </c>
      <c r="AO518" s="170">
        <f t="shared" si="133"/>
        <v>-7.1780442046767572</v>
      </c>
      <c r="AP518" s="171">
        <f t="shared" si="134"/>
        <v>5.272936187480104</v>
      </c>
      <c r="AQ518" s="172">
        <f t="shared" si="135"/>
        <v>81.14980139283152</v>
      </c>
      <c r="AR518" s="157">
        <f>INDEX([1]Historical!$C$7:$C$1231,MATCH(B518,[1]Historical!$B$7:$B$1253,0))*IF(AH518="n/a",1.03,IF(AH518&lt;0,1.01,IF(AH518&gt;10,1.1,(1+AH518/100))))</f>
        <v>2.7720000000000002</v>
      </c>
      <c r="AS518" s="166">
        <f t="shared" si="136"/>
        <v>2.8618128</v>
      </c>
      <c r="AT518" s="166">
        <f t="shared" si="143"/>
        <v>3.1479940800000001</v>
      </c>
      <c r="AU518" s="166">
        <f t="shared" si="143"/>
        <v>3.4627934880000004</v>
      </c>
      <c r="AV518" s="166">
        <f t="shared" si="143"/>
        <v>3.8090728368000009</v>
      </c>
      <c r="AW518" s="157">
        <f t="shared" si="138"/>
        <v>16.053673204800003</v>
      </c>
      <c r="AX518" s="173">
        <f t="shared" si="139"/>
        <v>15.800859453543312</v>
      </c>
      <c r="AY518" s="174">
        <v>1.53</v>
      </c>
      <c r="AZ518" s="169">
        <v>10.6</v>
      </c>
      <c r="BA518" s="169">
        <v>-20.23</v>
      </c>
      <c r="BB518" s="169">
        <v>-3.5900000000000003</v>
      </c>
      <c r="BC518" s="169">
        <v>-6.38</v>
      </c>
      <c r="BE518" s="77">
        <v>1996</v>
      </c>
      <c r="BF518" s="77">
        <f t="shared" si="140"/>
        <v>3</v>
      </c>
      <c r="BG518" s="175">
        <v>6.6000000000000005</v>
      </c>
      <c r="BH518" t="s">
        <v>939</v>
      </c>
      <c r="BI518" t="s">
        <v>940</v>
      </c>
    </row>
    <row r="519" spans="1:64" ht="12.75" customHeight="1" x14ac:dyDescent="0.2">
      <c r="A519" s="112" t="s">
        <v>1580</v>
      </c>
      <c r="B519" s="153" t="s">
        <v>867</v>
      </c>
      <c r="C519" s="154" t="s">
        <v>947</v>
      </c>
      <c r="D519" s="154" t="s">
        <v>948</v>
      </c>
      <c r="E519" s="155">
        <v>9</v>
      </c>
      <c r="F519" s="298">
        <v>535</v>
      </c>
      <c r="G519" s="298" t="s">
        <v>88</v>
      </c>
      <c r="H519" s="298" t="s">
        <v>88</v>
      </c>
      <c r="I519" s="156">
        <v>110.75</v>
      </c>
      <c r="J519" s="157">
        <f t="shared" ref="J519:J582" si="144">(M519/I519)*100</f>
        <v>2.8532731376975171</v>
      </c>
      <c r="K519" s="158">
        <v>0.79</v>
      </c>
      <c r="L519" s="126">
        <v>4</v>
      </c>
      <c r="M519" s="82">
        <f t="shared" ref="M519:M582" si="145">K519*L519</f>
        <v>3.16</v>
      </c>
      <c r="N519" s="159" t="s">
        <v>628</v>
      </c>
      <c r="O519" s="160">
        <v>0.63</v>
      </c>
      <c r="P519" s="161">
        <v>44637</v>
      </c>
      <c r="Q519" s="161">
        <v>44651</v>
      </c>
      <c r="R519" s="82">
        <f t="shared" ref="R519:R582" si="146">(K519-O519)/O519*100</f>
        <v>25.396825396825403</v>
      </c>
      <c r="S519" s="162">
        <f>IF(INDEX([1]Historical!$D$7:$D$1229,MATCH(B519,[1]Historical!$B$7:$B$1253,0))=0,"n/a",(INDEX([1]Historical!$C$7:$C$1231,MATCH(B519,[1]Historical!$B$7:$B$1253,0))/INDEX([1]Historical!$D$7:$D$1229,MATCH(B519,[1]Historical!$B$7:$B$1253,0))-1)*100)</f>
        <v>8.6206896551724199</v>
      </c>
      <c r="T519" s="162">
        <f>IF(INDEX([1]Historical!$F$7:$F$1222,MATCH(B519,[1]Historical!$B$7:$B$1253,0))=0,"n/a",((INDEX([1]Historical!$C$7:$C$1231,MATCH(B519,[1]Historical!$B$7:$B$1253,0))/INDEX([1]Historical!$F$7:$F$1222,MATCH(B519,[1]Historical!$B$7:$B$1253,0)))^(1/3)-1)*100)</f>
        <v>9.4879784971972256</v>
      </c>
      <c r="U519" s="162">
        <f>IF(INDEX([1]Historical!$H$7:$H$1222,MATCH(B519,[1]Historical!$B$7:$B$1253,0))=0,"n/a",((INDEX([1]Historical!$C$7:$C$1231,MATCH(B519,[1]Historical!$B$7:$B$1253,0))/INDEX([1]Historical!$H$7:$H$1222,MATCH(B519,[1]Historical!$B$7:$B$1253,0)))^(1/5)-1)*100)</f>
        <v>8.4471771197698544</v>
      </c>
      <c r="V519" s="162">
        <f>IF(INDEX([1]Historical!$N$7:$N$1222,MATCH(B519,[1]Historical!$B$7:$B$1253,0))=0,"n/a",((INDEX([1]Historical!$C$7:$C$1231,MATCH(B519,[1]Historical!$B$7:$B$1253,0))/INDEX([1]Historical!$N$7:$N$1222,MATCH(B519,[1]Historical!$B$7:$B$1253,0)))^(1/10)-1)*100)</f>
        <v>8.4471771197698544</v>
      </c>
      <c r="W519" s="163">
        <f t="shared" ref="W519:W582" si="147">IF(OR(U519&lt;=0,U519="n/a",V519&lt;=0,V519="n/a"),"n/a",U519/V519)</f>
        <v>1</v>
      </c>
      <c r="X519" s="164">
        <f t="shared" ref="X519:X582" si="148">IF(OR(AJ519&lt;=0,AJ519="n/a",U519&lt;=0,U519="n/a"),"n/a",U519/AJ519)</f>
        <v>0.72198095040767984</v>
      </c>
      <c r="Y519" s="180"/>
      <c r="Z519" s="157">
        <f t="shared" ref="Z519:Z582" si="149">IF(OR(AC519&lt;0.01,AC519="n/a"),"n/a",M519/AC519*100)</f>
        <v>58.518518518518512</v>
      </c>
      <c r="AA519" s="166">
        <f t="shared" ref="AA519:AA582" si="150">IF(OR(AC519&lt;0.01,AC519="n/a"),"n/a",I519/AC519)</f>
        <v>20.50925925925926</v>
      </c>
      <c r="AB519" s="126">
        <v>12</v>
      </c>
      <c r="AC519" s="167">
        <v>5.4</v>
      </c>
      <c r="AD519" s="167" t="s">
        <v>95</v>
      </c>
      <c r="AE519" s="167">
        <v>18.64</v>
      </c>
      <c r="AF519" s="167">
        <v>2.38</v>
      </c>
      <c r="AG519" s="167">
        <v>11.700000000000001</v>
      </c>
      <c r="AH519" s="167">
        <v>96.399999999999991</v>
      </c>
      <c r="AI519" s="167">
        <v>-15.49</v>
      </c>
      <c r="AJ519" s="167">
        <v>11.700000000000001</v>
      </c>
      <c r="AK519" s="167">
        <v>-6.05</v>
      </c>
      <c r="AL519" s="168">
        <v>102490</v>
      </c>
      <c r="AM519" s="169">
        <v>0.3</v>
      </c>
      <c r="AN519" s="167">
        <v>0.51</v>
      </c>
      <c r="AO519" s="170">
        <f t="shared" ref="AO519:AO582" si="151">IF(U519="n/a","n/a",IF(AA519&lt;0,"n/a",IF(AA519="n/a","n/a",J519+U519-AA519)))</f>
        <v>-9.208809001791888</v>
      </c>
      <c r="AP519" s="171">
        <f t="shared" ref="AP519:AP582" si="152">IF(U519="n/a","n/a",J519+U519)</f>
        <v>11.300450257467372</v>
      </c>
      <c r="AQ519" s="172">
        <f t="shared" ref="AQ519:AQ582" si="153">IF(OR(AC519&lt;0.01,AC519="n/a",AF519="n/a"),"n/a",(I519/SQRT(22.5*AC519*(I519/AF519))-1)*100)</f>
        <v>47.289642144746779</v>
      </c>
      <c r="AR519" s="157">
        <f>INDEX([1]Historical!$C$7:$C$1231,MATCH(B519,[1]Historical!$B$7:$B$1253,0))*IF(AH519="n/a",1.03,IF(AH519&lt;0,1.01,IF(AH519&gt;10,1.1,(1+AH519/100))))</f>
        <v>2.7720000000000002</v>
      </c>
      <c r="AS519" s="166">
        <f t="shared" ref="AS519:AS582" si="154">IF($AI519="n/a",1.03*AR519,IF($AI519&lt;0,1.01*AR519,IF($AI519&gt;10,1.1*AR519,(1+$AI519/100)*AR519)))</f>
        <v>2.7997200000000002</v>
      </c>
      <c r="AT519" s="166">
        <f t="shared" ref="AT519:AV534" si="155">IF($AK519="n/a",1.03*AS519,IF($AK519&lt;0,1.01*AS519,IF($AK519&gt;10,1.1*AS519,(1+$AK519/100)*AS519)))</f>
        <v>2.8277172000000004</v>
      </c>
      <c r="AU519" s="166">
        <f t="shared" si="155"/>
        <v>2.8559943720000005</v>
      </c>
      <c r="AV519" s="166">
        <f t="shared" si="155"/>
        <v>2.8845543157200004</v>
      </c>
      <c r="AW519" s="157">
        <f t="shared" ref="AW519:AW582" si="156">SUM(AR519:AV519)</f>
        <v>14.139985887720004</v>
      </c>
      <c r="AX519" s="173">
        <f t="shared" ref="AX519:AX582" si="157">AW519/I519*100</f>
        <v>12.767481614194134</v>
      </c>
      <c r="AY519" s="174">
        <v>0.97</v>
      </c>
      <c r="AZ519" s="169">
        <v>12.98</v>
      </c>
      <c r="BA519" s="169">
        <v>-36.549999999999997</v>
      </c>
      <c r="BB519" s="169">
        <v>-2.34</v>
      </c>
      <c r="BC519" s="169">
        <v>-17.349999999999998</v>
      </c>
      <c r="BE519" s="77">
        <v>2014</v>
      </c>
      <c r="BF519" s="77">
        <f t="shared" ref="BF519:BF582" si="158">IF(BE519&gt;2020,0,IF(BE519&gt;2008,1,IF(BE519&gt;2001,2,IF(BE519&gt;1990,3,IF(BE519&gt;1980,4,IF(BE519&gt;1973,5,IF(BE519&gt;1970,6,IF(BE519&gt;1960,7,IF(BE519&gt;1958,8,IF(BE519&gt;1953,9,10))))))))))</f>
        <v>1</v>
      </c>
      <c r="BG519" s="175">
        <v>6.7</v>
      </c>
      <c r="BH519" t="s">
        <v>939</v>
      </c>
      <c r="BI519" t="s">
        <v>945</v>
      </c>
      <c r="BJ519" s="112"/>
      <c r="BK519" s="112"/>
      <c r="BL519" s="112"/>
    </row>
    <row r="520" spans="1:64" ht="12.75" customHeight="1" x14ac:dyDescent="0.2">
      <c r="A520" s="112" t="s">
        <v>1581</v>
      </c>
      <c r="B520" s="153" t="s">
        <v>259</v>
      </c>
      <c r="C520" s="154" t="s">
        <v>94</v>
      </c>
      <c r="D520" s="154" t="s">
        <v>101</v>
      </c>
      <c r="E520" s="155">
        <v>13</v>
      </c>
      <c r="F520" s="298">
        <v>289</v>
      </c>
      <c r="G520" s="298" t="s">
        <v>104</v>
      </c>
      <c r="H520" s="298" t="s">
        <v>104</v>
      </c>
      <c r="I520" s="156">
        <v>33.950000000000003</v>
      </c>
      <c r="J520" s="157">
        <f t="shared" si="144"/>
        <v>3.4167893961708393</v>
      </c>
      <c r="K520" s="158">
        <v>0.28999999999999998</v>
      </c>
      <c r="L520" s="126">
        <v>4</v>
      </c>
      <c r="M520" s="82">
        <f t="shared" si="145"/>
        <v>1.1599999999999999</v>
      </c>
      <c r="N520" s="159" t="s">
        <v>119</v>
      </c>
      <c r="O520" s="160">
        <v>0.28999999999999998</v>
      </c>
      <c r="P520" s="161">
        <v>44637</v>
      </c>
      <c r="Q520" s="161">
        <v>44651</v>
      </c>
      <c r="R520" s="82">
        <f t="shared" si="146"/>
        <v>0</v>
      </c>
      <c r="S520" s="162">
        <f>IF(INDEX([1]Historical!$D$7:$D$1229,MATCH(B520,[1]Historical!$B$7:$B$1253,0))=0,"n/a",(INDEX([1]Historical!$C$7:$C$1231,MATCH(B520,[1]Historical!$B$7:$B$1253,0))/INDEX([1]Historical!$D$7:$D$1229,MATCH(B520,[1]Historical!$B$7:$B$1253,0))-1)*100)</f>
        <v>1.7857142857142572</v>
      </c>
      <c r="T520" s="162">
        <f>IF(INDEX([1]Historical!$F$7:$F$1222,MATCH(B520,[1]Historical!$B$7:$B$1253,0))=0,"n/a",((INDEX([1]Historical!$C$7:$C$1231,MATCH(B520,[1]Historical!$B$7:$B$1253,0))/INDEX([1]Historical!$F$7:$F$1222,MATCH(B520,[1]Historical!$B$7:$B$1253,0)))^(1/3)-1)*100)</f>
        <v>2.45496171190136</v>
      </c>
      <c r="U520" s="162">
        <f>IF(INDEX([1]Historical!$H$7:$H$1222,MATCH(B520,[1]Historical!$B$7:$B$1253,0))=0,"n/a",((INDEX([1]Historical!$C$7:$C$1231,MATCH(B520,[1]Historical!$B$7:$B$1253,0))/INDEX([1]Historical!$H$7:$H$1222,MATCH(B520,[1]Historical!$B$7:$B$1253,0)))^(1/5)-1)*100)</f>
        <v>3.9334633807695418</v>
      </c>
      <c r="V520" s="162">
        <f>IF(INDEX([1]Historical!$N$7:$N$1222,MATCH(B520,[1]Historical!$B$7:$B$1253,0))=0,"n/a",((INDEX([1]Historical!$C$7:$C$1231,MATCH(B520,[1]Historical!$B$7:$B$1253,0))/INDEX([1]Historical!$N$7:$N$1222,MATCH(B520,[1]Historical!$B$7:$B$1253,0)))^(1/10)-1)*100)</f>
        <v>3.5406523984148563</v>
      </c>
      <c r="W520" s="163">
        <f t="shared" si="147"/>
        <v>1.1109431082617842</v>
      </c>
      <c r="X520" s="164" t="str">
        <f t="shared" si="148"/>
        <v>n/a</v>
      </c>
      <c r="Y520" s="165"/>
      <c r="Z520" s="157">
        <f t="shared" si="149"/>
        <v>89.922480620155028</v>
      </c>
      <c r="AA520" s="166">
        <f t="shared" si="150"/>
        <v>26.317829457364343</v>
      </c>
      <c r="AB520" s="126">
        <v>12</v>
      </c>
      <c r="AC520" s="167">
        <v>1.29</v>
      </c>
      <c r="AD520" s="167">
        <v>1.76</v>
      </c>
      <c r="AE520" s="167">
        <v>1.32</v>
      </c>
      <c r="AF520" s="167">
        <v>3.57</v>
      </c>
      <c r="AG520" s="167">
        <v>13.900000000000002</v>
      </c>
      <c r="AH520" s="167">
        <v>135.30000000000001</v>
      </c>
      <c r="AI520" s="167">
        <v>28.449999999999996</v>
      </c>
      <c r="AJ520" s="167">
        <v>-4.8</v>
      </c>
      <c r="AK520" s="167">
        <v>15</v>
      </c>
      <c r="AL520" s="168">
        <v>755.14</v>
      </c>
      <c r="AM520" s="169">
        <v>2.56</v>
      </c>
      <c r="AN520" s="167">
        <v>1.23</v>
      </c>
      <c r="AO520" s="170">
        <f t="shared" si="151"/>
        <v>-18.96757668042396</v>
      </c>
      <c r="AP520" s="171">
        <f t="shared" si="152"/>
        <v>7.3502527769403816</v>
      </c>
      <c r="AQ520" s="172">
        <f t="shared" si="153"/>
        <v>104.34681974285307</v>
      </c>
      <c r="AR520" s="157">
        <f>INDEX([1]Historical!$C$7:$C$1231,MATCH(B520,[1]Historical!$B$7:$B$1253,0))*IF(AH520="n/a",1.03,IF(AH520&lt;0,1.01,IF(AH520&gt;10,1.1,(1+AH520/100))))</f>
        <v>1.254</v>
      </c>
      <c r="AS520" s="166">
        <f t="shared" si="154"/>
        <v>1.3794000000000002</v>
      </c>
      <c r="AT520" s="166">
        <f t="shared" si="155"/>
        <v>1.5173400000000004</v>
      </c>
      <c r="AU520" s="166">
        <f t="shared" si="155"/>
        <v>1.6690740000000006</v>
      </c>
      <c r="AV520" s="166">
        <f t="shared" si="155"/>
        <v>1.8359814000000008</v>
      </c>
      <c r="AW520" s="157">
        <f t="shared" si="156"/>
        <v>7.6557954000000015</v>
      </c>
      <c r="AX520" s="173">
        <f t="shared" si="157"/>
        <v>22.550207363770252</v>
      </c>
      <c r="AY520" s="174">
        <v>0.93</v>
      </c>
      <c r="AZ520" s="169">
        <v>22.3</v>
      </c>
      <c r="BA520" s="169">
        <v>-25.650000000000002</v>
      </c>
      <c r="BB520" s="169">
        <v>12.4</v>
      </c>
      <c r="BC520" s="169">
        <v>5.57</v>
      </c>
      <c r="BE520" s="77">
        <v>2010</v>
      </c>
      <c r="BF520" s="77">
        <f t="shared" si="158"/>
        <v>1</v>
      </c>
      <c r="BG520" s="175">
        <v>5.0999999999999996</v>
      </c>
      <c r="BH520" t="s">
        <v>939</v>
      </c>
      <c r="BI520" t="s">
        <v>940</v>
      </c>
    </row>
    <row r="521" spans="1:64" s="252" customFormat="1" ht="12.75" customHeight="1" x14ac:dyDescent="0.2">
      <c r="A521" s="208" t="s">
        <v>1582</v>
      </c>
      <c r="B521" s="184" t="s">
        <v>417</v>
      </c>
      <c r="C521" s="154" t="s">
        <v>127</v>
      </c>
      <c r="D521" s="154" t="s">
        <v>125</v>
      </c>
      <c r="E521" s="185">
        <v>15</v>
      </c>
      <c r="F521" s="298">
        <v>257</v>
      </c>
      <c r="G521" s="297" t="s">
        <v>104</v>
      </c>
      <c r="H521" s="297" t="s">
        <v>104</v>
      </c>
      <c r="I521" s="186">
        <v>91.85</v>
      </c>
      <c r="J521" s="187">
        <f t="shared" si="144"/>
        <v>5.5307566684812199</v>
      </c>
      <c r="K521" s="188">
        <v>1.27</v>
      </c>
      <c r="L521" s="189">
        <v>4</v>
      </c>
      <c r="M521" s="190">
        <f t="shared" si="145"/>
        <v>5.08</v>
      </c>
      <c r="N521" s="191" t="s">
        <v>93</v>
      </c>
      <c r="O521" s="192">
        <v>1.25</v>
      </c>
      <c r="P521" s="193">
        <v>44831</v>
      </c>
      <c r="Q521" s="193">
        <v>44846</v>
      </c>
      <c r="R521" s="190">
        <f t="shared" si="146"/>
        <v>1.6000000000000014</v>
      </c>
      <c r="S521" s="162">
        <f>IF(INDEX([1]Historical!$D$7:$D$1229,MATCH(B521,[1]Historical!$B$7:$B$1253,0))=0,"n/a",(INDEX([1]Historical!$C$7:$C$1231,MATCH(B521,[1]Historical!$B$7:$B$1253,0))/INDEX([1]Historical!$D$7:$D$1229,MATCH(B521,[1]Historical!$B$7:$B$1253,0))-1)*100)</f>
        <v>2.9723991507430991</v>
      </c>
      <c r="T521" s="162">
        <f>IF(INDEX([1]Historical!$F$7:$F$1222,MATCH(B521,[1]Historical!$B$7:$B$1253,0))=0,"n/a",((INDEX([1]Historical!$C$7:$C$1231,MATCH(B521,[1]Historical!$B$7:$B$1253,0))/INDEX([1]Historical!$F$7:$F$1222,MATCH(B521,[1]Historical!$B$7:$B$1253,0)))^(1/3)-1)*100)</f>
        <v>3.1430152029267022</v>
      </c>
      <c r="U521" s="162">
        <f>IF(INDEX([1]Historical!$H$7:$H$1222,MATCH(B521,[1]Historical!$B$7:$B$1253,0))=0,"n/a",((INDEX([1]Historical!$C$7:$C$1231,MATCH(B521,[1]Historical!$B$7:$B$1253,0))/INDEX([1]Historical!$H$7:$H$1222,MATCH(B521,[1]Historical!$B$7:$B$1253,0)))^(1/5)-1)*100)</f>
        <v>3.4169145380273935</v>
      </c>
      <c r="V521" s="162">
        <f>IF(INDEX([1]Historical!$N$7:$N$1222,MATCH(B521,[1]Historical!$B$7:$B$1253,0))=0,"n/a",((INDEX([1]Historical!$C$7:$C$1231,MATCH(B521,[1]Historical!$B$7:$B$1253,0))/INDEX([1]Historical!$N$7:$N$1222,MATCH(B521,[1]Historical!$B$7:$B$1253,0)))^(1/10)-1)*100)</f>
        <v>6.0715575013404965</v>
      </c>
      <c r="W521" s="163">
        <f t="shared" si="147"/>
        <v>0.56277397311529986</v>
      </c>
      <c r="X521" s="164">
        <f t="shared" si="148"/>
        <v>0.63276195148655434</v>
      </c>
      <c r="Y521" s="184"/>
      <c r="Z521" s="187">
        <f t="shared" si="149"/>
        <v>90.552584670231724</v>
      </c>
      <c r="AA521" s="194">
        <f t="shared" si="150"/>
        <v>16.372549019607842</v>
      </c>
      <c r="AB521" s="189">
        <v>12</v>
      </c>
      <c r="AC521" s="195">
        <v>5.61</v>
      </c>
      <c r="AD521" s="195">
        <v>5.83</v>
      </c>
      <c r="AE521" s="195">
        <v>4.38</v>
      </c>
      <c r="AF521" s="195" t="s">
        <v>95</v>
      </c>
      <c r="AG521" s="195">
        <v>-90.9</v>
      </c>
      <c r="AH521" s="195">
        <v>13</v>
      </c>
      <c r="AI521" s="195">
        <v>4.01</v>
      </c>
      <c r="AJ521" s="195">
        <v>5.4</v>
      </c>
      <c r="AK521" s="195">
        <v>2.83</v>
      </c>
      <c r="AL521" s="196">
        <v>138800</v>
      </c>
      <c r="AM521" s="197">
        <v>0.13</v>
      </c>
      <c r="AN521" s="195" t="s">
        <v>95</v>
      </c>
      <c r="AO521" s="198">
        <f t="shared" si="151"/>
        <v>-7.4248778130992292</v>
      </c>
      <c r="AP521" s="199">
        <f t="shared" si="152"/>
        <v>8.9476712065086126</v>
      </c>
      <c r="AQ521" s="172" t="str">
        <f t="shared" si="153"/>
        <v>n/a</v>
      </c>
      <c r="AR521" s="157">
        <f>INDEX([1]Historical!$C$7:$C$1231,MATCH(B521,[1]Historical!$B$7:$B$1253,0))*IF(AH521="n/a",1.03,IF(AH521&lt;0,1.01,IF(AH521&gt;10,1.1,(1+AH521/100))))</f>
        <v>5.335</v>
      </c>
      <c r="AS521" s="194">
        <f t="shared" si="154"/>
        <v>5.5489335000000004</v>
      </c>
      <c r="AT521" s="194">
        <f t="shared" si="155"/>
        <v>5.70596831805</v>
      </c>
      <c r="AU521" s="194">
        <f t="shared" si="155"/>
        <v>5.8674472214508153</v>
      </c>
      <c r="AV521" s="194">
        <f t="shared" si="155"/>
        <v>6.0334959778178732</v>
      </c>
      <c r="AW521" s="187">
        <f t="shared" si="156"/>
        <v>28.490845017318691</v>
      </c>
      <c r="AX521" s="200">
        <f t="shared" si="157"/>
        <v>31.018884068937062</v>
      </c>
      <c r="AY521" s="201">
        <v>0.7</v>
      </c>
      <c r="AZ521" s="197">
        <v>10.86</v>
      </c>
      <c r="BA521" s="197">
        <v>-18.34</v>
      </c>
      <c r="BB521" s="197">
        <v>0.55999999999999994</v>
      </c>
      <c r="BC521" s="197">
        <v>-6.15</v>
      </c>
      <c r="BD521" s="202"/>
      <c r="BE521" s="77">
        <v>2008</v>
      </c>
      <c r="BF521" s="77">
        <f t="shared" si="158"/>
        <v>2</v>
      </c>
      <c r="BG521" s="203">
        <v>21.2</v>
      </c>
      <c r="BH521" t="s">
        <v>939</v>
      </c>
      <c r="BI521" t="s">
        <v>940</v>
      </c>
    </row>
    <row r="522" spans="1:64" ht="12.75" customHeight="1" x14ac:dyDescent="0.2">
      <c r="A522" s="176" t="s">
        <v>1583</v>
      </c>
      <c r="B522" s="153" t="s">
        <v>639</v>
      </c>
      <c r="C522" s="154" t="s">
        <v>90</v>
      </c>
      <c r="D522" s="154" t="s">
        <v>969</v>
      </c>
      <c r="E522" s="155">
        <v>12</v>
      </c>
      <c r="F522" s="298">
        <v>307</v>
      </c>
      <c r="G522" s="298" t="s">
        <v>88</v>
      </c>
      <c r="H522" s="298" t="s">
        <v>88</v>
      </c>
      <c r="I522" s="156">
        <v>26</v>
      </c>
      <c r="J522" s="157">
        <f t="shared" si="144"/>
        <v>3.6923076923076921</v>
      </c>
      <c r="K522" s="158">
        <v>0.24</v>
      </c>
      <c r="L522" s="126">
        <v>4</v>
      </c>
      <c r="M522" s="82">
        <f t="shared" si="145"/>
        <v>0.96</v>
      </c>
      <c r="N522" s="159" t="s">
        <v>119</v>
      </c>
      <c r="O522" s="160">
        <v>0.23</v>
      </c>
      <c r="P522" s="182">
        <v>44272</v>
      </c>
      <c r="Q522" s="182">
        <v>44286</v>
      </c>
      <c r="R522" s="82">
        <f t="shared" si="146"/>
        <v>4.3478260869565135</v>
      </c>
      <c r="S522" s="162">
        <f>IF(INDEX([1]Historical!$D$7:$D$1229,MATCH(B522,[1]Historical!$B$7:$B$1253,0))=0,"n/a",(INDEX([1]Historical!$C$7:$C$1231,MATCH(B522,[1]Historical!$B$7:$B$1253,0))/INDEX([1]Historical!$D$7:$D$1229,MATCH(B522,[1]Historical!$B$7:$B$1253,0))-1)*100)</f>
        <v>4.3478260869565188</v>
      </c>
      <c r="T522" s="162">
        <f>IF(INDEX([1]Historical!$F$7:$F$1222,MATCH(B522,[1]Historical!$B$7:$B$1253,0))=0,"n/a",((INDEX([1]Historical!$C$7:$C$1231,MATCH(B522,[1]Historical!$B$7:$B$1253,0))/INDEX([1]Historical!$F$7:$F$1222,MATCH(B522,[1]Historical!$B$7:$B$1253,0)))^(1/3)-1)*100)</f>
        <v>4.5515917149420382</v>
      </c>
      <c r="U522" s="162">
        <f>IF(INDEX([1]Historical!$H$7:$H$1222,MATCH(B522,[1]Historical!$B$7:$B$1253,0))=0,"n/a",((INDEX([1]Historical!$C$7:$C$1231,MATCH(B522,[1]Historical!$B$7:$B$1253,0))/INDEX([1]Historical!$H$7:$H$1222,MATCH(B522,[1]Historical!$B$7:$B$1253,0)))^(1/5)-1)*100)</f>
        <v>4.7831688302757414</v>
      </c>
      <c r="V522" s="162">
        <f>IF(INDEX([1]Historical!$N$7:$N$1222,MATCH(B522,[1]Historical!$B$7:$B$1253,0))=0,"n/a",((INDEX([1]Historical!$C$7:$C$1231,MATCH(B522,[1]Historical!$B$7:$B$1253,0))/INDEX([1]Historical!$N$7:$N$1222,MATCH(B522,[1]Historical!$B$7:$B$1253,0)))^(1/10)-1)*100)</f>
        <v>4.9885462363653987</v>
      </c>
      <c r="W522" s="163">
        <f t="shared" si="147"/>
        <v>0.95883020897100213</v>
      </c>
      <c r="X522" s="164" t="str">
        <f t="shared" si="148"/>
        <v>n/a</v>
      </c>
      <c r="Y522" s="249"/>
      <c r="Z522" s="157" t="str">
        <f t="shared" si="149"/>
        <v>n/a</v>
      </c>
      <c r="AA522" s="166" t="str">
        <f t="shared" si="150"/>
        <v>n/a</v>
      </c>
      <c r="AB522" s="126">
        <v>12</v>
      </c>
      <c r="AC522" s="167" t="s">
        <v>95</v>
      </c>
      <c r="AD522" s="167" t="s">
        <v>95</v>
      </c>
      <c r="AE522" s="167" t="s">
        <v>95</v>
      </c>
      <c r="AF522" s="167" t="s">
        <v>95</v>
      </c>
      <c r="AG522" s="167" t="s">
        <v>95</v>
      </c>
      <c r="AH522" s="167" t="s">
        <v>95</v>
      </c>
      <c r="AI522" s="167" t="s">
        <v>95</v>
      </c>
      <c r="AJ522" s="167" t="s">
        <v>95</v>
      </c>
      <c r="AK522" s="167" t="s">
        <v>95</v>
      </c>
      <c r="AL522" s="168" t="s">
        <v>95</v>
      </c>
      <c r="AM522" s="169" t="s">
        <v>95</v>
      </c>
      <c r="AN522" s="167" t="s">
        <v>95</v>
      </c>
      <c r="AO522" s="170" t="str">
        <f t="shared" si="151"/>
        <v>n/a</v>
      </c>
      <c r="AP522" s="171">
        <f t="shared" si="152"/>
        <v>8.475476522583433</v>
      </c>
      <c r="AQ522" s="172" t="str">
        <f t="shared" si="153"/>
        <v>n/a</v>
      </c>
      <c r="AR522" s="157">
        <f>INDEX([1]Historical!$C$7:$C$1231,MATCH(B522,[1]Historical!$B$7:$B$1253,0))*IF(AH522="n/a",1.03,IF(AH522&lt;0,1.01,IF(AH522&gt;10,1.1,(1+AH522/100))))</f>
        <v>0.98880000000000001</v>
      </c>
      <c r="AS522" s="166">
        <f t="shared" si="154"/>
        <v>1.018464</v>
      </c>
      <c r="AT522" s="166">
        <f t="shared" si="155"/>
        <v>1.04901792</v>
      </c>
      <c r="AU522" s="166">
        <f t="shared" si="155"/>
        <v>1.0804884576</v>
      </c>
      <c r="AV522" s="166">
        <f t="shared" si="155"/>
        <v>1.1129031113280001</v>
      </c>
      <c r="AW522" s="157">
        <f t="shared" si="156"/>
        <v>5.2496734889279999</v>
      </c>
      <c r="AX522" s="173">
        <f t="shared" si="157"/>
        <v>20.19105188049231</v>
      </c>
      <c r="AY522" s="174" t="s">
        <v>95</v>
      </c>
      <c r="AZ522" s="169" t="s">
        <v>95</v>
      </c>
      <c r="BA522" s="169" t="s">
        <v>95</v>
      </c>
      <c r="BB522" s="169" t="s">
        <v>95</v>
      </c>
      <c r="BC522" s="169" t="s">
        <v>95</v>
      </c>
      <c r="BD522" s="100" t="s">
        <v>932</v>
      </c>
      <c r="BE522" s="77">
        <v>2010</v>
      </c>
      <c r="BF522" s="77">
        <f t="shared" si="158"/>
        <v>1</v>
      </c>
      <c r="BG522" s="175" t="s">
        <v>95</v>
      </c>
      <c r="BH522" t="s">
        <v>939</v>
      </c>
      <c r="BI522" t="s">
        <v>940</v>
      </c>
    </row>
    <row r="523" spans="1:64" ht="12.75" customHeight="1" x14ac:dyDescent="0.2">
      <c r="A523" s="112" t="s">
        <v>1584</v>
      </c>
      <c r="B523" s="153" t="s">
        <v>640</v>
      </c>
      <c r="C523" s="154" t="s">
        <v>90</v>
      </c>
      <c r="D523" s="154" t="s">
        <v>969</v>
      </c>
      <c r="E523" s="155">
        <v>12</v>
      </c>
      <c r="F523" s="298">
        <v>359</v>
      </c>
      <c r="G523" s="298" t="s">
        <v>30</v>
      </c>
      <c r="H523" s="298" t="s">
        <v>104</v>
      </c>
      <c r="I523" s="156">
        <v>161.83000000000001</v>
      </c>
      <c r="J523" s="157">
        <f t="shared" si="144"/>
        <v>3.7075943891738241</v>
      </c>
      <c r="K523" s="158">
        <v>1.5</v>
      </c>
      <c r="L523" s="126">
        <v>4</v>
      </c>
      <c r="M523" s="82">
        <f t="shared" si="145"/>
        <v>6</v>
      </c>
      <c r="N523" s="159" t="s">
        <v>246</v>
      </c>
      <c r="O523" s="160">
        <v>1.25</v>
      </c>
      <c r="P523" s="161">
        <v>44663</v>
      </c>
      <c r="Q523" s="161">
        <v>44686</v>
      </c>
      <c r="R523" s="82">
        <f t="shared" si="146"/>
        <v>20</v>
      </c>
      <c r="S523" s="162">
        <f>IF(INDEX([1]Historical!$D$7:$D$1229,MATCH(B523,[1]Historical!$B$7:$B$1253,0))=0,"n/a",(INDEX([1]Historical!$C$7:$C$1231,MATCH(B523,[1]Historical!$B$7:$B$1253,0))/INDEX([1]Historical!$D$7:$D$1229,MATCH(B523,[1]Historical!$B$7:$B$1253,0))-1)*100)</f>
        <v>4.3478260869565188</v>
      </c>
      <c r="T523" s="162">
        <f>IF(INDEX([1]Historical!$F$7:$F$1222,MATCH(B523,[1]Historical!$B$7:$B$1253,0))=0,"n/a",((INDEX([1]Historical!$C$7:$C$1231,MATCH(B523,[1]Historical!$B$7:$B$1253,0))/INDEX([1]Historical!$F$7:$F$1222,MATCH(B523,[1]Historical!$B$7:$B$1253,0)))^(1/3)-1)*100)</f>
        <v>12.181378776036711</v>
      </c>
      <c r="U523" s="162">
        <f>IF(INDEX([1]Historical!$H$7:$H$1222,MATCH(B523,[1]Historical!$B$7:$B$1253,0))=0,"n/a",((INDEX([1]Historical!$C$7:$C$1231,MATCH(B523,[1]Historical!$B$7:$B$1253,0))/INDEX([1]Historical!$H$7:$H$1222,MATCH(B523,[1]Historical!$B$7:$B$1253,0)))^(1/5)-1)*100)</f>
        <v>17.755465956757387</v>
      </c>
      <c r="V523" s="162">
        <f>IF(INDEX([1]Historical!$N$7:$N$1222,MATCH(B523,[1]Historical!$B$7:$B$1253,0))=0,"n/a",((INDEX([1]Historical!$C$7:$C$1231,MATCH(B523,[1]Historical!$B$7:$B$1253,0))/INDEX([1]Historical!$N$7:$N$1222,MATCH(B523,[1]Historical!$B$7:$B$1253,0)))^(1/10)-1)*100)</f>
        <v>16.303701590463817</v>
      </c>
      <c r="W523" s="163">
        <f t="shared" si="147"/>
        <v>1.0890450771708629</v>
      </c>
      <c r="X523" s="164">
        <f t="shared" si="148"/>
        <v>1.5306436169618436</v>
      </c>
      <c r="Y523" s="180"/>
      <c r="Z523" s="157">
        <f t="shared" si="149"/>
        <v>46.985121378230225</v>
      </c>
      <c r="AA523" s="166">
        <f t="shared" si="150"/>
        <v>12.672670321064997</v>
      </c>
      <c r="AB523" s="126">
        <v>12</v>
      </c>
      <c r="AC523" s="167">
        <v>12.77</v>
      </c>
      <c r="AD523" s="167" t="s">
        <v>95</v>
      </c>
      <c r="AE523" s="167">
        <v>5.36</v>
      </c>
      <c r="AF523" s="167">
        <v>1.42</v>
      </c>
      <c r="AG523" s="167">
        <v>9.6</v>
      </c>
      <c r="AH523" s="167">
        <v>99.6</v>
      </c>
      <c r="AI523" s="167">
        <v>11.57</v>
      </c>
      <c r="AJ523" s="167">
        <v>11.600000000000001</v>
      </c>
      <c r="AK523" s="167">
        <v>-4.0199999999999996</v>
      </c>
      <c r="AL523" s="168">
        <v>65040.000000000007</v>
      </c>
      <c r="AM523" s="169">
        <v>0.1</v>
      </c>
      <c r="AN523" s="167">
        <v>0.55000000000000004</v>
      </c>
      <c r="AO523" s="170">
        <f t="shared" si="151"/>
        <v>8.7903900248662143</v>
      </c>
      <c r="AP523" s="171">
        <f t="shared" si="152"/>
        <v>21.463060345931211</v>
      </c>
      <c r="AQ523" s="172">
        <f t="shared" si="153"/>
        <v>-10.569227627890132</v>
      </c>
      <c r="AR523" s="157">
        <f>INDEX([1]Historical!$C$7:$C$1231,MATCH(B523,[1]Historical!$B$7:$B$1253,0))*IF(AH523="n/a",1.03,IF(AH523&lt;0,1.01,IF(AH523&gt;10,1.1,(1+AH523/100))))</f>
        <v>5.28</v>
      </c>
      <c r="AS523" s="166">
        <f t="shared" si="154"/>
        <v>5.8080000000000007</v>
      </c>
      <c r="AT523" s="166">
        <f t="shared" si="155"/>
        <v>5.8660800000000011</v>
      </c>
      <c r="AU523" s="166">
        <f t="shared" si="155"/>
        <v>5.9247408000000013</v>
      </c>
      <c r="AV523" s="166">
        <f t="shared" si="155"/>
        <v>5.9839882080000013</v>
      </c>
      <c r="AW523" s="157">
        <f t="shared" si="156"/>
        <v>28.862809008000006</v>
      </c>
      <c r="AX523" s="173">
        <f t="shared" si="157"/>
        <v>17.835264788976087</v>
      </c>
      <c r="AY523" s="174">
        <v>1.1499999999999999</v>
      </c>
      <c r="AZ523" s="169">
        <v>12.76</v>
      </c>
      <c r="BA523" s="169">
        <v>-29.07</v>
      </c>
      <c r="BB523" s="169">
        <v>2.36</v>
      </c>
      <c r="BC523" s="169">
        <v>-6.58</v>
      </c>
      <c r="BE523" s="77">
        <v>2011</v>
      </c>
      <c r="BF523" s="77">
        <f t="shared" si="158"/>
        <v>1</v>
      </c>
      <c r="BG523" s="175">
        <v>0.89999999999999991</v>
      </c>
      <c r="BH523" t="s">
        <v>939</v>
      </c>
      <c r="BI523" t="s">
        <v>940</v>
      </c>
    </row>
    <row r="524" spans="1:64" ht="12.75" customHeight="1" x14ac:dyDescent="0.2">
      <c r="A524" s="112" t="s">
        <v>1585</v>
      </c>
      <c r="B524" s="153" t="s">
        <v>676</v>
      </c>
      <c r="C524" s="154" t="s">
        <v>117</v>
      </c>
      <c r="D524" s="154" t="s">
        <v>957</v>
      </c>
      <c r="E524" s="155">
        <v>11</v>
      </c>
      <c r="F524" s="298">
        <v>409</v>
      </c>
      <c r="G524" s="298" t="s">
        <v>30</v>
      </c>
      <c r="H524" s="298" t="s">
        <v>30</v>
      </c>
      <c r="I524" s="156">
        <v>46.47</v>
      </c>
      <c r="J524" s="157">
        <f t="shared" si="144"/>
        <v>2.9911771035076393</v>
      </c>
      <c r="K524" s="158">
        <v>0.34749999999999998</v>
      </c>
      <c r="L524" s="126">
        <v>4</v>
      </c>
      <c r="M524" s="82">
        <f t="shared" si="145"/>
        <v>1.39</v>
      </c>
      <c r="N524" s="159" t="s">
        <v>201</v>
      </c>
      <c r="O524" s="160">
        <v>0.32750000000000001</v>
      </c>
      <c r="P524" s="161">
        <v>44603</v>
      </c>
      <c r="Q524" s="161">
        <v>44616</v>
      </c>
      <c r="R524" s="82">
        <f t="shared" si="146"/>
        <v>6.1068702290076216</v>
      </c>
      <c r="S524" s="162">
        <f>IF(INDEX([1]Historical!$D$7:$D$1229,MATCH(B524,[1]Historical!$B$7:$B$1253,0))=0,"n/a",(INDEX([1]Historical!$C$7:$C$1231,MATCH(B524,[1]Historical!$B$7:$B$1253,0))/INDEX([1]Historical!$D$7:$D$1229,MATCH(B524,[1]Historical!$B$7:$B$1253,0))-1)*100)</f>
        <v>6.5040650406504197</v>
      </c>
      <c r="T524" s="162">
        <f>IF(INDEX([1]Historical!$F$7:$F$1222,MATCH(B524,[1]Historical!$B$7:$B$1253,0))=0,"n/a",((INDEX([1]Historical!$C$7:$C$1231,MATCH(B524,[1]Historical!$B$7:$B$1253,0))/INDEX([1]Historical!$F$7:$F$1222,MATCH(B524,[1]Historical!$B$7:$B$1253,0)))^(1/3)-1)*100)</f>
        <v>7.3136937179899553</v>
      </c>
      <c r="U524" s="162">
        <f>IF(INDEX([1]Historical!$H$7:$H$1222,MATCH(B524,[1]Historical!$B$7:$B$1253,0))=0,"n/a",((INDEX([1]Historical!$C$7:$C$1231,MATCH(B524,[1]Historical!$B$7:$B$1253,0))/INDEX([1]Historical!$H$7:$H$1222,MATCH(B524,[1]Historical!$B$7:$B$1253,0)))^(1/5)-1)*100)</f>
        <v>8.2823630187708552</v>
      </c>
      <c r="V524" s="162">
        <f>IF(INDEX([1]Historical!$N$7:$N$1222,MATCH(B524,[1]Historical!$B$7:$B$1253,0))=0,"n/a",((INDEX([1]Historical!$C$7:$C$1231,MATCH(B524,[1]Historical!$B$7:$B$1253,0))/INDEX([1]Historical!$N$7:$N$1222,MATCH(B524,[1]Historical!$B$7:$B$1253,0)))^(1/10)-1)*100)</f>
        <v>10.110853536376684</v>
      </c>
      <c r="W524" s="163">
        <f t="shared" si="147"/>
        <v>0.81915567157339275</v>
      </c>
      <c r="X524" s="164">
        <f t="shared" si="148"/>
        <v>0.89057666868503815</v>
      </c>
      <c r="Y524" s="165"/>
      <c r="Z524" s="157">
        <f t="shared" si="149"/>
        <v>76.795580110497227</v>
      </c>
      <c r="AA524" s="166">
        <f t="shared" si="150"/>
        <v>25.674033149171269</v>
      </c>
      <c r="AB524" s="126">
        <v>12</v>
      </c>
      <c r="AC524" s="167">
        <v>1.81</v>
      </c>
      <c r="AD524" s="167">
        <v>4.9000000000000004</v>
      </c>
      <c r="AE524" s="167">
        <v>2.04</v>
      </c>
      <c r="AF524" s="167">
        <v>1.87</v>
      </c>
      <c r="AG524" s="167">
        <v>7.3</v>
      </c>
      <c r="AH524" s="167">
        <v>5.7</v>
      </c>
      <c r="AI524" s="167">
        <v>3.4099999999999997</v>
      </c>
      <c r="AJ524" s="167">
        <v>9.3000000000000007</v>
      </c>
      <c r="AK524" s="167">
        <v>5.2200000000000006</v>
      </c>
      <c r="AL524" s="168">
        <v>3940</v>
      </c>
      <c r="AM524" s="169">
        <v>0.2</v>
      </c>
      <c r="AN524" s="167">
        <v>1.93</v>
      </c>
      <c r="AO524" s="170">
        <f t="shared" si="151"/>
        <v>-14.400493026892775</v>
      </c>
      <c r="AP524" s="171">
        <f t="shared" si="152"/>
        <v>11.273540122278494</v>
      </c>
      <c r="AQ524" s="172">
        <f t="shared" si="153"/>
        <v>46.075234784378274</v>
      </c>
      <c r="AR524" s="157">
        <f>INDEX([1]Historical!$C$7:$C$1231,MATCH(B524,[1]Historical!$B$7:$B$1253,0))*IF(AH524="n/a",1.03,IF(AH524&lt;0,1.01,IF(AH524&gt;10,1.1,(1+AH524/100))))</f>
        <v>1.3846700000000001</v>
      </c>
      <c r="AS524" s="166">
        <f t="shared" si="154"/>
        <v>1.4318872470000001</v>
      </c>
      <c r="AT524" s="166">
        <f t="shared" si="155"/>
        <v>1.5066317612934002</v>
      </c>
      <c r="AU524" s="166">
        <f t="shared" si="155"/>
        <v>1.5852779392329157</v>
      </c>
      <c r="AV524" s="166">
        <f t="shared" si="155"/>
        <v>1.6680294476608739</v>
      </c>
      <c r="AW524" s="157">
        <f t="shared" si="156"/>
        <v>7.5764963951871902</v>
      </c>
      <c r="AX524" s="173">
        <f t="shared" si="157"/>
        <v>16.304059382800066</v>
      </c>
      <c r="AY524" s="174">
        <v>0.4</v>
      </c>
      <c r="AZ524" s="169">
        <v>7.0000000000000009</v>
      </c>
      <c r="BA524" s="169">
        <v>-7.06</v>
      </c>
      <c r="BB524" s="169">
        <v>-0.82000000000000006</v>
      </c>
      <c r="BC524" s="169">
        <v>-0.38</v>
      </c>
      <c r="BE524" s="77">
        <v>2012</v>
      </c>
      <c r="BF524" s="77">
        <f t="shared" si="158"/>
        <v>1</v>
      </c>
      <c r="BG524" s="175">
        <v>1.7999999999999998</v>
      </c>
      <c r="BH524" t="s">
        <v>939</v>
      </c>
      <c r="BI524" t="s">
        <v>940</v>
      </c>
    </row>
    <row r="525" spans="1:64" ht="12.75" customHeight="1" x14ac:dyDescent="0.2">
      <c r="A525" s="176" t="s">
        <v>1586</v>
      </c>
      <c r="B525" s="153" t="s">
        <v>412</v>
      </c>
      <c r="C525" s="154" t="s">
        <v>94</v>
      </c>
      <c r="D525" s="154" t="s">
        <v>101</v>
      </c>
      <c r="E525" s="155">
        <v>46</v>
      </c>
      <c r="F525" s="298">
        <v>59</v>
      </c>
      <c r="G525" s="298" t="s">
        <v>30</v>
      </c>
      <c r="H525" s="298" t="s">
        <v>30</v>
      </c>
      <c r="I525" s="167">
        <v>42.95</v>
      </c>
      <c r="J525" s="157">
        <f t="shared" si="144"/>
        <v>1.9557625145518041</v>
      </c>
      <c r="K525" s="228">
        <v>0.21</v>
      </c>
      <c r="L525" s="126">
        <v>4</v>
      </c>
      <c r="M525" s="82">
        <f t="shared" si="145"/>
        <v>0.84</v>
      </c>
      <c r="N525" s="159" t="s">
        <v>311</v>
      </c>
      <c r="O525" s="160">
        <v>0.2</v>
      </c>
      <c r="P525" s="161">
        <v>44581</v>
      </c>
      <c r="Q525" s="161">
        <v>44596</v>
      </c>
      <c r="R525" s="82">
        <f t="shared" si="146"/>
        <v>4.9999999999999902</v>
      </c>
      <c r="S525" s="162">
        <f>IF(INDEX([1]Historical!$D$7:$D$1229,MATCH(B525,[1]Historical!$B$7:$B$1253,0))=0,"n/a",(INDEX([1]Historical!$C$7:$C$1231,MATCH(B525,[1]Historical!$B$7:$B$1253,0))/INDEX([1]Historical!$D$7:$D$1229,MATCH(B525,[1]Historical!$B$7:$B$1253,0))-1)*100)</f>
        <v>5.2631578947368363</v>
      </c>
      <c r="T525" s="162">
        <f>IF(INDEX([1]Historical!$F$7:$F$1222,MATCH(B525,[1]Historical!$B$7:$B$1253,0))=0,"n/a",((INDEX([1]Historical!$C$7:$C$1231,MATCH(B525,[1]Historical!$B$7:$B$1253,0))/INDEX([1]Historical!$F$7:$F$1222,MATCH(B525,[1]Historical!$B$7:$B$1253,0)))^(1/3)-1)*100)</f>
        <v>-0.81970899914064477</v>
      </c>
      <c r="U525" s="162">
        <f>IF(INDEX([1]Historical!$H$7:$H$1222,MATCH(B525,[1]Historical!$B$7:$B$1253,0))=0,"n/a",((INDEX([1]Historical!$C$7:$C$1231,MATCH(B525,[1]Historical!$B$7:$B$1253,0))/INDEX([1]Historical!$H$7:$H$1222,MATCH(B525,[1]Historical!$B$7:$B$1253,0)))^(1/5)-1)*100)</f>
        <v>-2.6156532725383652</v>
      </c>
      <c r="V525" s="162">
        <f>IF(INDEX([1]Historical!$N$7:$N$1222,MATCH(B525,[1]Historical!$B$7:$B$1253,0))=0,"n/a",((INDEX([1]Historical!$C$7:$C$1231,MATCH(B525,[1]Historical!$B$7:$B$1253,0))/INDEX([1]Historical!$N$7:$N$1222,MATCH(B525,[1]Historical!$B$7:$B$1253,0)))^(1/10)-1)*100)</f>
        <v>4.0613533607269048</v>
      </c>
      <c r="W525" s="163" t="str">
        <f t="shared" si="147"/>
        <v>n/a</v>
      </c>
      <c r="X525" s="164" t="str">
        <f t="shared" si="148"/>
        <v>n/a</v>
      </c>
      <c r="Y525" s="218"/>
      <c r="Z525" s="157">
        <f t="shared" si="149"/>
        <v>26.006191950464398</v>
      </c>
      <c r="AA525" s="166">
        <f t="shared" si="150"/>
        <v>13.297213622291023</v>
      </c>
      <c r="AB525" s="126">
        <v>12</v>
      </c>
      <c r="AC525" s="167">
        <v>3.23</v>
      </c>
      <c r="AD525" s="167">
        <v>2.6</v>
      </c>
      <c r="AE525" s="167">
        <v>1.65</v>
      </c>
      <c r="AF525" s="167">
        <v>2.67</v>
      </c>
      <c r="AG525" s="167">
        <v>21.099999999999998</v>
      </c>
      <c r="AH525" s="179">
        <v>55.600000000000009</v>
      </c>
      <c r="AI525" s="179">
        <v>-1.1499999999999999</v>
      </c>
      <c r="AJ525" s="167">
        <v>27.800000000000004</v>
      </c>
      <c r="AK525" s="167">
        <v>5.0999999999999996</v>
      </c>
      <c r="AL525" s="168">
        <v>6800</v>
      </c>
      <c r="AM525" s="169">
        <v>0.33</v>
      </c>
      <c r="AN525" s="167">
        <v>0.93</v>
      </c>
      <c r="AO525" s="170">
        <f t="shared" si="151"/>
        <v>-13.957104380277585</v>
      </c>
      <c r="AP525" s="171">
        <f t="shared" si="152"/>
        <v>-0.65989075798656116</v>
      </c>
      <c r="AQ525" s="172">
        <f t="shared" si="153"/>
        <v>25.61592321484838</v>
      </c>
      <c r="AR525" s="157">
        <f>INDEX([1]Historical!$C$7:$C$1231,MATCH(B525,[1]Historical!$B$7:$B$1253,0))*IF(AH525="n/a",1.03,IF(AH525&lt;0,1.01,IF(AH525&gt;10,1.1,(1+AH525/100))))</f>
        <v>0.88000000000000012</v>
      </c>
      <c r="AS525" s="166">
        <f t="shared" si="154"/>
        <v>0.88880000000000015</v>
      </c>
      <c r="AT525" s="166">
        <f t="shared" si="155"/>
        <v>0.93412880000000009</v>
      </c>
      <c r="AU525" s="166">
        <f t="shared" si="155"/>
        <v>0.98176936879999999</v>
      </c>
      <c r="AV525" s="166">
        <f t="shared" si="155"/>
        <v>1.0318396066088</v>
      </c>
      <c r="AW525" s="157">
        <f t="shared" si="156"/>
        <v>4.7165377754088009</v>
      </c>
      <c r="AX525" s="173">
        <f t="shared" si="157"/>
        <v>10.981461642395345</v>
      </c>
      <c r="AY525" s="174">
        <v>1.07</v>
      </c>
      <c r="AZ525" s="169">
        <v>11.41</v>
      </c>
      <c r="BA525" s="169">
        <v>-46.379999999999995</v>
      </c>
      <c r="BB525" s="169">
        <v>-0.44</v>
      </c>
      <c r="BC525" s="169">
        <v>-14.85</v>
      </c>
      <c r="BE525" s="77">
        <v>1977</v>
      </c>
      <c r="BF525" s="77">
        <f t="shared" si="158"/>
        <v>5</v>
      </c>
      <c r="BG525" s="175">
        <v>10.100000000000001</v>
      </c>
      <c r="BH525" t="s">
        <v>939</v>
      </c>
      <c r="BI525" t="s">
        <v>940</v>
      </c>
    </row>
    <row r="526" spans="1:64" ht="12.75" customHeight="1" x14ac:dyDescent="0.2">
      <c r="A526" s="176" t="s">
        <v>1587</v>
      </c>
      <c r="B526" s="153" t="s">
        <v>773</v>
      </c>
      <c r="C526" s="154" t="s">
        <v>117</v>
      </c>
      <c r="D526" s="154" t="s">
        <v>957</v>
      </c>
      <c r="E526" s="155">
        <v>11</v>
      </c>
      <c r="F526" s="298">
        <v>450</v>
      </c>
      <c r="G526" s="298" t="s">
        <v>30</v>
      </c>
      <c r="H526" s="298" t="s">
        <v>30</v>
      </c>
      <c r="I526" s="156">
        <v>67.209999999999994</v>
      </c>
      <c r="J526" s="157">
        <f t="shared" si="144"/>
        <v>5.1480434459157873</v>
      </c>
      <c r="K526" s="158">
        <v>0.86499999999999999</v>
      </c>
      <c r="L526" s="126">
        <v>4</v>
      </c>
      <c r="M526" s="82">
        <f t="shared" si="145"/>
        <v>3.46</v>
      </c>
      <c r="N526" s="159" t="s">
        <v>116</v>
      </c>
      <c r="O526" s="160">
        <v>0.85</v>
      </c>
      <c r="P526" s="161">
        <v>44865</v>
      </c>
      <c r="Q526" s="161">
        <v>44896</v>
      </c>
      <c r="R526" s="82">
        <f t="shared" si="146"/>
        <v>1.7647058823529429</v>
      </c>
      <c r="S526" s="162">
        <f>IF(INDEX([1]Historical!$D$7:$D$1229,MATCH(B526,[1]Historical!$B$7:$B$1253,0))=0,"n/a",(INDEX([1]Historical!$C$7:$C$1231,MATCH(B526,[1]Historical!$B$7:$B$1253,0))/INDEX([1]Historical!$D$7:$D$1229,MATCH(B526,[1]Historical!$B$7:$B$1253,0))-1)*100)</f>
        <v>5.1140833988984946</v>
      </c>
      <c r="T526" s="162">
        <f>IF(INDEX([1]Historical!$F$7:$F$1222,MATCH(B526,[1]Historical!$B$7:$B$1253,0))=0,"n/a",((INDEX([1]Historical!$C$7:$C$1231,MATCH(B526,[1]Historical!$B$7:$B$1253,0))/INDEX([1]Historical!$F$7:$F$1222,MATCH(B526,[1]Historical!$B$7:$B$1253,0)))^(1/3)-1)*100)</f>
        <v>5.7720298124582126</v>
      </c>
      <c r="U526" s="162">
        <f>IF(INDEX([1]Historical!$H$7:$H$1222,MATCH(B526,[1]Historical!$B$7:$B$1253,0))=0,"n/a",((INDEX([1]Historical!$C$7:$C$1231,MATCH(B526,[1]Historical!$B$7:$B$1253,0))/INDEX([1]Historical!$H$7:$H$1222,MATCH(B526,[1]Historical!$B$7:$B$1253,0)))^(1/5)-1)*100)</f>
        <v>5.7122189879624585</v>
      </c>
      <c r="V526" s="162">
        <f>IF(INDEX([1]Historical!$N$7:$N$1222,MATCH(B526,[1]Historical!$B$7:$B$1253,0))=0,"n/a",((INDEX([1]Historical!$C$7:$C$1231,MATCH(B526,[1]Historical!$B$7:$B$1253,0))/INDEX([1]Historical!$N$7:$N$1222,MATCH(B526,[1]Historical!$B$7:$B$1253,0)))^(1/10)-1)*100)</f>
        <v>4.7496829653624006</v>
      </c>
      <c r="W526" s="163">
        <f t="shared" si="147"/>
        <v>1.2026526885308895</v>
      </c>
      <c r="X526" s="164">
        <f t="shared" si="148"/>
        <v>1.0578183311041589</v>
      </c>
      <c r="Y526" s="211"/>
      <c r="Z526" s="157">
        <f t="shared" si="149"/>
        <v>76.548672566371692</v>
      </c>
      <c r="AA526" s="166">
        <f t="shared" si="150"/>
        <v>14.869469026548673</v>
      </c>
      <c r="AB526" s="126">
        <v>12</v>
      </c>
      <c r="AC526" s="167">
        <v>4.5199999999999996</v>
      </c>
      <c r="AD526" s="167">
        <v>151.07</v>
      </c>
      <c r="AE526" s="167">
        <v>1.9</v>
      </c>
      <c r="AF526" s="167">
        <v>1.31</v>
      </c>
      <c r="AG526" s="167">
        <v>9.1999999999999993</v>
      </c>
      <c r="AH526" s="167">
        <v>16.2</v>
      </c>
      <c r="AI526" s="167">
        <v>4.32</v>
      </c>
      <c r="AJ526" s="167">
        <v>5.4</v>
      </c>
      <c r="AK526" s="167">
        <v>0.1</v>
      </c>
      <c r="AL526" s="168">
        <v>7510</v>
      </c>
      <c r="AM526" s="169">
        <v>0.1</v>
      </c>
      <c r="AN526" s="167">
        <v>1.32</v>
      </c>
      <c r="AO526" s="170">
        <f t="shared" si="151"/>
        <v>-4.0092065926704272</v>
      </c>
      <c r="AP526" s="171">
        <f t="shared" si="152"/>
        <v>10.860262433878246</v>
      </c>
      <c r="AQ526" s="172">
        <f t="shared" si="153"/>
        <v>-6.9551973514819458</v>
      </c>
      <c r="AR526" s="157">
        <f>INDEX([1]Historical!$C$7:$C$1231,MATCH(B526,[1]Historical!$B$7:$B$1253,0))*IF(AH526="n/a",1.03,IF(AH526&lt;0,1.01,IF(AH526&gt;10,1.1,(1+AH526/100))))</f>
        <v>3.6739999999999999</v>
      </c>
      <c r="AS526" s="166">
        <f t="shared" si="154"/>
        <v>3.8327167999999996</v>
      </c>
      <c r="AT526" s="166">
        <f t="shared" si="155"/>
        <v>3.836549516799999</v>
      </c>
      <c r="AU526" s="166">
        <f t="shared" si="155"/>
        <v>3.8403860663167988</v>
      </c>
      <c r="AV526" s="166">
        <f t="shared" si="155"/>
        <v>3.8442264523831153</v>
      </c>
      <c r="AW526" s="157">
        <f t="shared" si="156"/>
        <v>19.027878835499912</v>
      </c>
      <c r="AX526" s="173">
        <f t="shared" si="157"/>
        <v>28.311082927391627</v>
      </c>
      <c r="AY526" s="174">
        <v>0.38</v>
      </c>
      <c r="AZ526" s="169">
        <v>13.86</v>
      </c>
      <c r="BA526" s="169">
        <v>-16.520000000000003</v>
      </c>
      <c r="BB526" s="169">
        <v>-3.94</v>
      </c>
      <c r="BC526" s="169">
        <v>-7.33</v>
      </c>
      <c r="BE526" s="77">
        <v>2013</v>
      </c>
      <c r="BF526" s="77">
        <f t="shared" si="158"/>
        <v>1</v>
      </c>
      <c r="BG526" s="175">
        <v>2.5</v>
      </c>
      <c r="BH526" t="s">
        <v>939</v>
      </c>
      <c r="BI526" t="s">
        <v>940</v>
      </c>
    </row>
    <row r="527" spans="1:64" ht="12.75" customHeight="1" x14ac:dyDescent="0.2">
      <c r="A527" s="112" t="s">
        <v>1588</v>
      </c>
      <c r="B527" s="153" t="s">
        <v>641</v>
      </c>
      <c r="C527" s="154" t="s">
        <v>100</v>
      </c>
      <c r="D527" s="154" t="s">
        <v>1025</v>
      </c>
      <c r="E527" s="155">
        <v>12</v>
      </c>
      <c r="F527" s="298">
        <v>363</v>
      </c>
      <c r="G527" s="298" t="s">
        <v>88</v>
      </c>
      <c r="H527" s="298" t="s">
        <v>88</v>
      </c>
      <c r="I527" s="156">
        <v>304.23</v>
      </c>
      <c r="J527" s="157">
        <f t="shared" si="144"/>
        <v>1.314794727673142</v>
      </c>
      <c r="K527" s="158">
        <v>1</v>
      </c>
      <c r="L527" s="126">
        <v>4</v>
      </c>
      <c r="M527" s="82">
        <f t="shared" si="145"/>
        <v>4</v>
      </c>
      <c r="N527" s="159" t="s">
        <v>635</v>
      </c>
      <c r="O527" s="160">
        <v>0.8</v>
      </c>
      <c r="P527" s="161">
        <v>44694</v>
      </c>
      <c r="Q527" s="161">
        <v>44708</v>
      </c>
      <c r="R527" s="82">
        <f t="shared" si="146"/>
        <v>24.999999999999993</v>
      </c>
      <c r="S527" s="162">
        <f>IF(INDEX([1]Historical!$D$7:$D$1229,MATCH(B527,[1]Historical!$B$7:$B$1253,0))=0,"n/a",(INDEX([1]Historical!$C$7:$C$1231,MATCH(B527,[1]Historical!$B$7:$B$1253,0))/INDEX([1]Historical!$D$7:$D$1229,MATCH(B527,[1]Historical!$B$7:$B$1253,0))-1)*100)</f>
        <v>30.13100436681222</v>
      </c>
      <c r="T527" s="162">
        <f>IF(INDEX([1]Historical!$F$7:$F$1222,MATCH(B527,[1]Historical!$B$7:$B$1253,0))=0,"n/a",((INDEX([1]Historical!$C$7:$C$1231,MATCH(B527,[1]Historical!$B$7:$B$1253,0))/INDEX([1]Historical!$F$7:$F$1222,MATCH(B527,[1]Historical!$B$7:$B$1253,0)))^(1/3)-1)*100)</f>
        <v>20.105419850905768</v>
      </c>
      <c r="U527" s="162">
        <f>IF(INDEX([1]Historical!$H$7:$H$1222,MATCH(B527,[1]Historical!$B$7:$B$1253,0))=0,"n/a",((INDEX([1]Historical!$C$7:$C$1231,MATCH(B527,[1]Historical!$B$7:$B$1253,0))/INDEX([1]Historical!$H$7:$H$1222,MATCH(B527,[1]Historical!$B$7:$B$1253,0)))^(1/5)-1)*100)</f>
        <v>20.152790213896999</v>
      </c>
      <c r="V527" s="162">
        <f>IF(INDEX([1]Historical!$N$7:$N$1222,MATCH(B527,[1]Historical!$B$7:$B$1253,0))=0,"n/a",((INDEX([1]Historical!$C$7:$C$1231,MATCH(B527,[1]Historical!$B$7:$B$1253,0))/INDEX([1]Historical!$N$7:$N$1222,MATCH(B527,[1]Historical!$B$7:$B$1253,0)))^(1/10)-1)*100)</f>
        <v>18.409175605513827</v>
      </c>
      <c r="W527" s="163">
        <f t="shared" si="147"/>
        <v>1.0947144318543485</v>
      </c>
      <c r="X527" s="164">
        <f t="shared" si="148"/>
        <v>0.56135905888292481</v>
      </c>
      <c r="Y527" s="211"/>
      <c r="Z527" s="157">
        <f t="shared" si="149"/>
        <v>18.717828731867105</v>
      </c>
      <c r="AA527" s="166">
        <f t="shared" si="150"/>
        <v>14.236312587739823</v>
      </c>
      <c r="AB527" s="126">
        <v>12</v>
      </c>
      <c r="AC527" s="167">
        <v>21.37</v>
      </c>
      <c r="AD527" s="167">
        <v>1.2</v>
      </c>
      <c r="AE527" s="167">
        <v>1.85</v>
      </c>
      <c r="AF527" s="167">
        <v>10.5</v>
      </c>
      <c r="AG527" s="167">
        <v>73</v>
      </c>
      <c r="AH527" s="167">
        <v>79.100000000000009</v>
      </c>
      <c r="AI527" s="167">
        <v>-7.6300000000000008</v>
      </c>
      <c r="AJ527" s="167">
        <v>35.9</v>
      </c>
      <c r="AK527" s="167">
        <v>12.47</v>
      </c>
      <c r="AL527" s="168">
        <v>12040</v>
      </c>
      <c r="AM527" s="169">
        <v>0.4</v>
      </c>
      <c r="AN527" s="167">
        <v>1.27</v>
      </c>
      <c r="AO527" s="170">
        <f t="shared" si="151"/>
        <v>7.2312723538303185</v>
      </c>
      <c r="AP527" s="171">
        <f t="shared" si="152"/>
        <v>21.467584941570141</v>
      </c>
      <c r="AQ527" s="172">
        <f t="shared" si="153"/>
        <v>157.75206189175773</v>
      </c>
      <c r="AR527" s="157">
        <f>INDEX([1]Historical!$C$7:$C$1231,MATCH(B527,[1]Historical!$B$7:$B$1253,0))*IF(AH527="n/a",1.03,IF(AH527&lt;0,1.01,IF(AH527&gt;10,1.1,(1+AH527/100))))</f>
        <v>3.278</v>
      </c>
      <c r="AS527" s="166">
        <f t="shared" si="154"/>
        <v>3.3107799999999998</v>
      </c>
      <c r="AT527" s="166">
        <f t="shared" si="155"/>
        <v>3.641858</v>
      </c>
      <c r="AU527" s="166">
        <f t="shared" si="155"/>
        <v>4.0060438000000005</v>
      </c>
      <c r="AV527" s="166">
        <f t="shared" si="155"/>
        <v>4.4066481800000012</v>
      </c>
      <c r="AW527" s="157">
        <f t="shared" si="156"/>
        <v>18.643329980000001</v>
      </c>
      <c r="AX527" s="173">
        <f t="shared" si="157"/>
        <v>6.128037990993656</v>
      </c>
      <c r="AY527" s="174">
        <v>0.83</v>
      </c>
      <c r="AZ527" s="169">
        <v>9.4</v>
      </c>
      <c r="BA527" s="169">
        <v>-47.75</v>
      </c>
      <c r="BB527" s="169">
        <v>-7.4899999999999993</v>
      </c>
      <c r="BC527" s="169">
        <v>-22.45</v>
      </c>
      <c r="BE527" s="77">
        <v>2011</v>
      </c>
      <c r="BF527" s="77">
        <f t="shared" si="158"/>
        <v>1</v>
      </c>
      <c r="BG527" s="175">
        <v>23.1</v>
      </c>
      <c r="BH527" t="s">
        <v>939</v>
      </c>
      <c r="BI527" t="s">
        <v>940</v>
      </c>
    </row>
    <row r="528" spans="1:64" s="112" customFormat="1" ht="12.75" customHeight="1" x14ac:dyDescent="0.2">
      <c r="A528" s="176" t="s">
        <v>1589</v>
      </c>
      <c r="B528" s="153" t="s">
        <v>419</v>
      </c>
      <c r="C528" s="154" t="s">
        <v>117</v>
      </c>
      <c r="D528" s="154" t="s">
        <v>957</v>
      </c>
      <c r="E528" s="155">
        <v>17</v>
      </c>
      <c r="F528" s="298">
        <v>236</v>
      </c>
      <c r="G528" s="298" t="s">
        <v>88</v>
      </c>
      <c r="H528" s="298" t="s">
        <v>88</v>
      </c>
      <c r="I528" s="156">
        <v>44.94</v>
      </c>
      <c r="J528" s="157">
        <f t="shared" si="144"/>
        <v>4.0275923453493556</v>
      </c>
      <c r="K528" s="158">
        <v>0.45250000000000001</v>
      </c>
      <c r="L528" s="126">
        <v>4</v>
      </c>
      <c r="M528" s="82">
        <f t="shared" si="145"/>
        <v>1.81</v>
      </c>
      <c r="N528" s="159" t="s">
        <v>112</v>
      </c>
      <c r="O528" s="160">
        <v>0.43</v>
      </c>
      <c r="P528" s="161">
        <v>44736</v>
      </c>
      <c r="Q528" s="161">
        <v>44757</v>
      </c>
      <c r="R528" s="82">
        <f t="shared" si="146"/>
        <v>5.2325581395348886</v>
      </c>
      <c r="S528" s="162">
        <f>IF(INDEX([1]Historical!$D$7:$D$1229,MATCH(B528,[1]Historical!$B$7:$B$1253,0))=0,"n/a",(INDEX([1]Historical!$C$7:$C$1231,MATCH(B528,[1]Historical!$B$7:$B$1253,0))/INDEX([1]Historical!$D$7:$D$1229,MATCH(B528,[1]Historical!$B$7:$B$1253,0))-1)*100)</f>
        <v>7.2000000000000064</v>
      </c>
      <c r="T528" s="162">
        <f>IF(INDEX([1]Historical!$F$7:$F$1222,MATCH(B528,[1]Historical!$B$7:$B$1253,0))=0,"n/a",((INDEX([1]Historical!$C$7:$C$1231,MATCH(B528,[1]Historical!$B$7:$B$1253,0))/INDEX([1]Historical!$F$7:$F$1222,MATCH(B528,[1]Historical!$B$7:$B$1253,0)))^(1/3)-1)*100)</f>
        <v>6.0342484118276252</v>
      </c>
      <c r="U528" s="162">
        <f>IF(INDEX([1]Historical!$H$7:$H$1222,MATCH(B528,[1]Historical!$B$7:$B$1253,0))=0,"n/a",((INDEX([1]Historical!$C$7:$C$1231,MATCH(B528,[1]Historical!$B$7:$B$1253,0))/INDEX([1]Historical!$H$7:$H$1222,MATCH(B528,[1]Historical!$B$7:$B$1253,0)))^(1/5)-1)*100)</f>
        <v>6.1985593337348766</v>
      </c>
      <c r="V528" s="162">
        <f>IF(INDEX([1]Historical!$N$7:$N$1222,MATCH(B528,[1]Historical!$B$7:$B$1253,0))=0,"n/a",((INDEX([1]Historical!$C$7:$C$1231,MATCH(B528,[1]Historical!$B$7:$B$1253,0))/INDEX([1]Historical!$N$7:$N$1222,MATCH(B528,[1]Historical!$B$7:$B$1253,0)))^(1/10)-1)*100)</f>
        <v>4.7810029714057789</v>
      </c>
      <c r="W528" s="163">
        <f t="shared" si="147"/>
        <v>1.2964976953177436</v>
      </c>
      <c r="X528" s="164">
        <f t="shared" si="148"/>
        <v>1.3188424114329524</v>
      </c>
      <c r="Y528" s="153"/>
      <c r="Z528" s="157">
        <f t="shared" si="149"/>
        <v>65.342960288808655</v>
      </c>
      <c r="AA528" s="166">
        <f t="shared" si="150"/>
        <v>16.223826714801444</v>
      </c>
      <c r="AB528" s="126">
        <v>12</v>
      </c>
      <c r="AC528" s="167">
        <v>2.77</v>
      </c>
      <c r="AD528" s="167">
        <v>11.76</v>
      </c>
      <c r="AE528" s="167">
        <v>1.54</v>
      </c>
      <c r="AF528" s="167">
        <v>1.47</v>
      </c>
      <c r="AG528" s="167">
        <v>9.1</v>
      </c>
      <c r="AH528" s="167">
        <v>57.499999999999993</v>
      </c>
      <c r="AI528" s="167">
        <v>0.11</v>
      </c>
      <c r="AJ528" s="167">
        <v>4.7</v>
      </c>
      <c r="AK528" s="167">
        <v>1.4000000000000001</v>
      </c>
      <c r="AL528" s="168">
        <v>3970</v>
      </c>
      <c r="AM528" s="169">
        <v>0.3</v>
      </c>
      <c r="AN528" s="167">
        <v>1.32</v>
      </c>
      <c r="AO528" s="170">
        <f t="shared" si="151"/>
        <v>-5.9976750357172115</v>
      </c>
      <c r="AP528" s="171">
        <f t="shared" si="152"/>
        <v>10.226151679084232</v>
      </c>
      <c r="AQ528" s="172">
        <f t="shared" si="153"/>
        <v>2.9541975200798154</v>
      </c>
      <c r="AR528" s="157">
        <f>INDEX([1]Historical!$C$7:$C$1231,MATCH(B528,[1]Historical!$B$7:$B$1253,0))*IF(AH528="n/a",1.03,IF(AH528&lt;0,1.01,IF(AH528&gt;10,1.1,(1+AH528/100))))</f>
        <v>1.8425000000000002</v>
      </c>
      <c r="AS528" s="166">
        <f t="shared" si="154"/>
        <v>1.8445267500000004</v>
      </c>
      <c r="AT528" s="166">
        <f t="shared" si="155"/>
        <v>1.8703501245000005</v>
      </c>
      <c r="AU528" s="166">
        <f t="shared" si="155"/>
        <v>1.8965350262430005</v>
      </c>
      <c r="AV528" s="166">
        <f t="shared" si="155"/>
        <v>1.9230865166104025</v>
      </c>
      <c r="AW528" s="157">
        <f t="shared" si="156"/>
        <v>9.3769984173534038</v>
      </c>
      <c r="AX528" s="173">
        <f t="shared" si="157"/>
        <v>20.86559505419093</v>
      </c>
      <c r="AY528" s="174">
        <v>0.59</v>
      </c>
      <c r="AZ528" s="169">
        <v>8.08</v>
      </c>
      <c r="BA528" s="169">
        <v>-21.2</v>
      </c>
      <c r="BB528" s="169">
        <v>-6.5299999999999994</v>
      </c>
      <c r="BC528" s="169">
        <v>-10.76</v>
      </c>
      <c r="BD528" s="100"/>
      <c r="BE528" s="77">
        <v>2006</v>
      </c>
      <c r="BF528" s="77">
        <f t="shared" si="158"/>
        <v>2</v>
      </c>
      <c r="BG528" s="175">
        <v>2.6</v>
      </c>
      <c r="BH528" t="s">
        <v>939</v>
      </c>
      <c r="BI528" t="s">
        <v>940</v>
      </c>
      <c r="BJ528"/>
      <c r="BK528"/>
      <c r="BL528"/>
    </row>
    <row r="529" spans="1:64" s="112" customFormat="1" ht="12.75" customHeight="1" x14ac:dyDescent="0.2">
      <c r="A529" s="112" t="s">
        <v>1590</v>
      </c>
      <c r="B529" s="153" t="s">
        <v>828</v>
      </c>
      <c r="C529" s="154" t="s">
        <v>922</v>
      </c>
      <c r="D529" s="154" t="s">
        <v>950</v>
      </c>
      <c r="E529" s="155">
        <v>10</v>
      </c>
      <c r="F529" s="298">
        <v>472</v>
      </c>
      <c r="G529" s="298" t="s">
        <v>88</v>
      </c>
      <c r="H529" s="298" t="s">
        <v>88</v>
      </c>
      <c r="I529" s="156">
        <v>66.709999999999994</v>
      </c>
      <c r="J529" s="157">
        <f t="shared" si="144"/>
        <v>1.0792984560035979</v>
      </c>
      <c r="K529" s="158">
        <v>0.18</v>
      </c>
      <c r="L529" s="126">
        <v>4</v>
      </c>
      <c r="M529" s="82">
        <f t="shared" si="145"/>
        <v>0.72</v>
      </c>
      <c r="N529" s="159" t="s">
        <v>119</v>
      </c>
      <c r="O529" s="226">
        <v>0.15</v>
      </c>
      <c r="P529" s="161">
        <v>44617</v>
      </c>
      <c r="Q529" s="161">
        <v>44651</v>
      </c>
      <c r="R529" s="82">
        <f t="shared" si="146"/>
        <v>20</v>
      </c>
      <c r="S529" s="162">
        <f>IF(INDEX([1]Historical!$D$7:$D$1229,MATCH(B529,[1]Historical!$B$7:$B$1253,0))=0,"n/a",(INDEX([1]Historical!$C$7:$C$1231,MATCH(B529,[1]Historical!$B$7:$B$1253,0))/INDEX([1]Historical!$D$7:$D$1229,MATCH(B529,[1]Historical!$B$7:$B$1253,0))-1)*100)</f>
        <v>28.57142857142858</v>
      </c>
      <c r="T529" s="162">
        <f>IF(INDEX([1]Historical!$F$7:$F$1222,MATCH(B529,[1]Historical!$B$7:$B$1253,0))=0,"n/a",((INDEX([1]Historical!$C$7:$C$1231,MATCH(B529,[1]Historical!$B$7:$B$1253,0))/INDEX([1]Historical!$F$7:$F$1222,MATCH(B529,[1]Historical!$B$7:$B$1253,0)))^(1/3)-1)*100)</f>
        <v>19.055078897614951</v>
      </c>
      <c r="U529" s="162">
        <f>IF(INDEX([1]Historical!$H$7:$H$1222,MATCH(B529,[1]Historical!$B$7:$B$1253,0))=0,"n/a",((INDEX([1]Historical!$C$7:$C$1231,MATCH(B529,[1]Historical!$B$7:$B$1253,0))/INDEX([1]Historical!$H$7:$H$1222,MATCH(B529,[1]Historical!$B$7:$B$1253,0)))^(1/5)-1)*100)</f>
        <v>15.740161058219847</v>
      </c>
      <c r="V529" s="162">
        <f>IF(INDEX([1]Historical!$N$7:$N$1222,MATCH(B529,[1]Historical!$B$7:$B$1253,0))=0,"n/a",((INDEX([1]Historical!$C$7:$C$1231,MATCH(B529,[1]Historical!$B$7:$B$1253,0))/INDEX([1]Historical!$N$7:$N$1222,MATCH(B529,[1]Historical!$B$7:$B$1253,0)))^(1/10)-1)*100)</f>
        <v>18.369380853048423</v>
      </c>
      <c r="W529" s="163">
        <f t="shared" si="147"/>
        <v>0.85686943855855369</v>
      </c>
      <c r="X529" s="164">
        <f t="shared" si="148"/>
        <v>0.59396834181961689</v>
      </c>
      <c r="Y529" s="250" t="s">
        <v>901</v>
      </c>
      <c r="Z529" s="157">
        <f t="shared" si="149"/>
        <v>23.452768729641694</v>
      </c>
      <c r="AA529" s="166">
        <f t="shared" si="150"/>
        <v>21.729641693811075</v>
      </c>
      <c r="AB529" s="126">
        <v>12</v>
      </c>
      <c r="AC529" s="167">
        <v>3.07</v>
      </c>
      <c r="AD529" s="167">
        <v>7.61</v>
      </c>
      <c r="AE529" s="167">
        <v>5.22</v>
      </c>
      <c r="AF529" s="167">
        <v>5.47</v>
      </c>
      <c r="AG529" s="167">
        <v>22.1</v>
      </c>
      <c r="AH529" s="167">
        <v>128.69999999999999</v>
      </c>
      <c r="AI529" s="167">
        <v>-2</v>
      </c>
      <c r="AJ529" s="167">
        <v>26.5</v>
      </c>
      <c r="AK529" s="167">
        <v>2.88</v>
      </c>
      <c r="AL529" s="168">
        <v>3730</v>
      </c>
      <c r="AM529" s="169">
        <v>0.70000000000000007</v>
      </c>
      <c r="AN529" s="167">
        <v>0</v>
      </c>
      <c r="AO529" s="170">
        <f t="shared" si="151"/>
        <v>-4.910182179587629</v>
      </c>
      <c r="AP529" s="171">
        <f t="shared" si="152"/>
        <v>16.819459514223446</v>
      </c>
      <c r="AQ529" s="172">
        <f t="shared" si="153"/>
        <v>129.84162669605209</v>
      </c>
      <c r="AR529" s="157">
        <f>INDEX([1]Historical!$C$7:$C$1231,MATCH(B529,[1]Historical!$B$7:$B$1253,0))*IF(AH529="n/a",1.03,IF(AH529&lt;0,1.01,IF(AH529&gt;10,1.1,(1+AH529/100))))</f>
        <v>0.59400000000000008</v>
      </c>
      <c r="AS529" s="166">
        <f t="shared" si="154"/>
        <v>0.59994000000000014</v>
      </c>
      <c r="AT529" s="166">
        <f t="shared" si="155"/>
        <v>0.61721827200000012</v>
      </c>
      <c r="AU529" s="166">
        <f t="shared" si="155"/>
        <v>0.63499415823360006</v>
      </c>
      <c r="AV529" s="166">
        <f t="shared" si="155"/>
        <v>0.65328198999072773</v>
      </c>
      <c r="AW529" s="157">
        <f t="shared" si="156"/>
        <v>3.0994344202243282</v>
      </c>
      <c r="AX529" s="173">
        <f t="shared" si="157"/>
        <v>4.6461316447673946</v>
      </c>
      <c r="AY529" s="174">
        <v>1.08</v>
      </c>
      <c r="AZ529" s="169">
        <v>11.17</v>
      </c>
      <c r="BA529" s="169">
        <v>-39.589999999999996</v>
      </c>
      <c r="BB529" s="169">
        <v>-2.42</v>
      </c>
      <c r="BC529" s="169">
        <v>-15.75</v>
      </c>
      <c r="BD529" s="100"/>
      <c r="BE529" s="77">
        <v>2013</v>
      </c>
      <c r="BF529" s="77">
        <f t="shared" si="158"/>
        <v>1</v>
      </c>
      <c r="BG529" s="175">
        <v>19.7</v>
      </c>
      <c r="BH529" t="s">
        <v>939</v>
      </c>
      <c r="BI529" t="s">
        <v>940</v>
      </c>
      <c r="BJ529"/>
      <c r="BK529"/>
      <c r="BL529"/>
    </row>
    <row r="530" spans="1:64" s="112" customFormat="1" ht="12.75" customHeight="1" x14ac:dyDescent="0.2">
      <c r="A530" s="112" t="s">
        <v>1591</v>
      </c>
      <c r="B530" s="153" t="s">
        <v>420</v>
      </c>
      <c r="C530" s="154" t="s">
        <v>96</v>
      </c>
      <c r="D530" s="154" t="s">
        <v>911</v>
      </c>
      <c r="E530" s="155">
        <v>51</v>
      </c>
      <c r="F530" s="298">
        <v>36</v>
      </c>
      <c r="G530" s="298" t="s">
        <v>30</v>
      </c>
      <c r="H530" s="298" t="s">
        <v>104</v>
      </c>
      <c r="I530" s="167">
        <v>114.18</v>
      </c>
      <c r="J530" s="157">
        <f t="shared" si="144"/>
        <v>2.1720091084252933</v>
      </c>
      <c r="K530" s="158">
        <v>0.62</v>
      </c>
      <c r="L530" s="126">
        <v>4</v>
      </c>
      <c r="M530" s="82">
        <f t="shared" si="145"/>
        <v>2.48</v>
      </c>
      <c r="N530" s="159" t="s">
        <v>93</v>
      </c>
      <c r="O530" s="160">
        <v>0.59</v>
      </c>
      <c r="P530" s="161">
        <v>44782</v>
      </c>
      <c r="Q530" s="161">
        <v>44814</v>
      </c>
      <c r="R530" s="82">
        <f t="shared" si="146"/>
        <v>5.0847457627118686</v>
      </c>
      <c r="S530" s="162">
        <f>IF(INDEX([1]Historical!$D$7:$D$1229,MATCH(B530,[1]Historical!$B$7:$B$1253,0))=0,"n/a",(INDEX([1]Historical!$C$7:$C$1231,MATCH(B530,[1]Historical!$B$7:$B$1253,0))/INDEX([1]Historical!$D$7:$D$1229,MATCH(B530,[1]Historical!$B$7:$B$1253,0))-1)*100)</f>
        <v>7.6190476190476142</v>
      </c>
      <c r="T530" s="162">
        <f>IF(INDEX([1]Historical!$F$7:$F$1222,MATCH(B530,[1]Historical!$B$7:$B$1253,0))=0,"n/a",((INDEX([1]Historical!$C$7:$C$1231,MATCH(B530,[1]Historical!$B$7:$B$1253,0))/INDEX([1]Historical!$F$7:$F$1222,MATCH(B530,[1]Historical!$B$7:$B$1253,0)))^(1/3)-1)*100)</f>
        <v>6.7083730277245346</v>
      </c>
      <c r="U530" s="162">
        <f>IF(INDEX([1]Historical!$H$7:$H$1222,MATCH(B530,[1]Historical!$B$7:$B$1253,0))=0,"n/a",((INDEX([1]Historical!$C$7:$C$1231,MATCH(B530,[1]Historical!$B$7:$B$1253,0))/INDEX([1]Historical!$H$7:$H$1222,MATCH(B530,[1]Historical!$B$7:$B$1253,0)))^(1/5)-1)*100)</f>
        <v>7.6953044071672361</v>
      </c>
      <c r="V530" s="162">
        <f>IF(INDEX([1]Historical!$N$7:$N$1222,MATCH(B530,[1]Historical!$B$7:$B$1253,0))=0,"n/a",((INDEX([1]Historical!$C$7:$C$1231,MATCH(B530,[1]Historical!$B$7:$B$1253,0))/INDEX([1]Historical!$N$7:$N$1222,MATCH(B530,[1]Historical!$B$7:$B$1253,0)))^(1/10)-1)*100)</f>
        <v>7.1773462536293131</v>
      </c>
      <c r="W530" s="163">
        <f t="shared" si="147"/>
        <v>1.0721656912227149</v>
      </c>
      <c r="X530" s="164">
        <f t="shared" si="148"/>
        <v>0.32607222064267954</v>
      </c>
      <c r="Y530" s="212"/>
      <c r="Z530" s="157">
        <f t="shared" si="149"/>
        <v>55.730337078651679</v>
      </c>
      <c r="AA530" s="166">
        <f t="shared" si="150"/>
        <v>25.658426966292136</v>
      </c>
      <c r="AB530" s="126">
        <v>12</v>
      </c>
      <c r="AC530" s="167">
        <v>4.45</v>
      </c>
      <c r="AD530" s="167">
        <v>4.5</v>
      </c>
      <c r="AE530" s="167">
        <v>1.5</v>
      </c>
      <c r="AF530" s="167">
        <v>4.46</v>
      </c>
      <c r="AG530" s="167">
        <v>17.399999999999999</v>
      </c>
      <c r="AH530" s="167">
        <v>33.6</v>
      </c>
      <c r="AI530" s="167">
        <v>17.48</v>
      </c>
      <c r="AJ530" s="167">
        <v>23.599999999999998</v>
      </c>
      <c r="AK530" s="167">
        <v>5.7</v>
      </c>
      <c r="AL530" s="168">
        <v>26410</v>
      </c>
      <c r="AM530" s="169">
        <v>0.27</v>
      </c>
      <c r="AN530" s="167">
        <v>1.1299999999999999</v>
      </c>
      <c r="AO530" s="170">
        <f t="shared" si="151"/>
        <v>-15.791113450699607</v>
      </c>
      <c r="AP530" s="171">
        <f t="shared" si="152"/>
        <v>9.8673135155925298</v>
      </c>
      <c r="AQ530" s="172">
        <f t="shared" si="153"/>
        <v>125.52317867538622</v>
      </c>
      <c r="AR530" s="157">
        <f>INDEX([1]Historical!$C$7:$C$1231,MATCH(B530,[1]Historical!$B$7:$B$1253,0))*IF(AH530="n/a",1.03,IF(AH530&lt;0,1.01,IF(AH530&gt;10,1.1,(1+AH530/100))))</f>
        <v>2.4859999999999998</v>
      </c>
      <c r="AS530" s="166">
        <f t="shared" si="154"/>
        <v>2.7345999999999999</v>
      </c>
      <c r="AT530" s="166">
        <f t="shared" si="155"/>
        <v>2.8904721999999996</v>
      </c>
      <c r="AU530" s="166">
        <f t="shared" si="155"/>
        <v>3.0552291153999995</v>
      </c>
      <c r="AV530" s="166">
        <f t="shared" si="155"/>
        <v>3.2293771749777993</v>
      </c>
      <c r="AW530" s="157">
        <f t="shared" si="156"/>
        <v>14.395678490377797</v>
      </c>
      <c r="AX530" s="173">
        <f t="shared" si="157"/>
        <v>12.607880968976875</v>
      </c>
      <c r="AY530" s="174">
        <v>1.1499999999999999</v>
      </c>
      <c r="AZ530" s="169">
        <v>6.65</v>
      </c>
      <c r="BA530" s="169">
        <v>-35.61</v>
      </c>
      <c r="BB530" s="169">
        <v>-3.63</v>
      </c>
      <c r="BC530" s="169">
        <v>-10.74</v>
      </c>
      <c r="BD530" s="100"/>
      <c r="BE530" s="77">
        <v>1972</v>
      </c>
      <c r="BF530" s="77">
        <f t="shared" si="158"/>
        <v>6</v>
      </c>
      <c r="BG530" s="175">
        <v>5</v>
      </c>
      <c r="BH530" t="s">
        <v>939</v>
      </c>
      <c r="BI530" t="s">
        <v>940</v>
      </c>
      <c r="BJ530"/>
      <c r="BK530"/>
      <c r="BL530"/>
    </row>
    <row r="531" spans="1:64" s="112" customFormat="1" ht="12.75" customHeight="1" x14ac:dyDescent="0.2">
      <c r="A531" s="176" t="s">
        <v>771</v>
      </c>
      <c r="B531" s="153" t="s">
        <v>772</v>
      </c>
      <c r="C531" s="154" t="s">
        <v>90</v>
      </c>
      <c r="D531" s="154" t="s">
        <v>969</v>
      </c>
      <c r="E531" s="155">
        <v>11</v>
      </c>
      <c r="F531" s="298">
        <v>444</v>
      </c>
      <c r="G531" s="298" t="s">
        <v>88</v>
      </c>
      <c r="H531" s="298" t="s">
        <v>88</v>
      </c>
      <c r="I531" s="156">
        <v>70</v>
      </c>
      <c r="J531" s="157">
        <f t="shared" si="144"/>
        <v>3.4285714285714288</v>
      </c>
      <c r="K531" s="158">
        <v>0.6</v>
      </c>
      <c r="L531" s="126">
        <v>4</v>
      </c>
      <c r="M531" s="82">
        <f t="shared" si="145"/>
        <v>2.4</v>
      </c>
      <c r="N531" s="159" t="s">
        <v>628</v>
      </c>
      <c r="O531" s="160">
        <v>0.57999999999999996</v>
      </c>
      <c r="P531" s="161">
        <v>44896</v>
      </c>
      <c r="Q531" s="161">
        <v>44911</v>
      </c>
      <c r="R531" s="82">
        <f t="shared" si="146"/>
        <v>3.4482758620689689</v>
      </c>
      <c r="S531" s="162">
        <f>IF(INDEX([1]Historical!$D$7:$D$1229,MATCH(B531,[1]Historical!$B$7:$B$1253,0))=0,"n/a",(INDEX([1]Historical!$C$7:$C$1231,MATCH(B531,[1]Historical!$B$7:$B$1253,0))/INDEX([1]Historical!$D$7:$D$1229,MATCH(B531,[1]Historical!$B$7:$B$1253,0))-1)*100)</f>
        <v>9.2760180995474997</v>
      </c>
      <c r="T531" s="162">
        <f>IF(INDEX([1]Historical!$F$7:$F$1222,MATCH(B531,[1]Historical!$B$7:$B$1253,0))=0,"n/a",((INDEX([1]Historical!$C$7:$C$1231,MATCH(B531,[1]Historical!$B$7:$B$1253,0))/INDEX([1]Historical!$F$7:$F$1222,MATCH(B531,[1]Historical!$B$7:$B$1253,0)))^(1/3)-1)*100)</f>
        <v>9.2836492146053615</v>
      </c>
      <c r="U531" s="162">
        <f>IF(INDEX([1]Historical!$H$7:$H$1222,MATCH(B531,[1]Historical!$B$7:$B$1253,0))=0,"n/a",((INDEX([1]Historical!$C$7:$C$1231,MATCH(B531,[1]Historical!$B$7:$B$1253,0))/INDEX([1]Historical!$H$7:$H$1222,MATCH(B531,[1]Historical!$B$7:$B$1253,0)))^(1/5)-1)*100)</f>
        <v>9.3209246670490575</v>
      </c>
      <c r="V531" s="162" t="str">
        <f>IF(INDEX([1]Historical!$N$7:$N$1222,MATCH(B531,[1]Historical!$B$7:$B$1253,0))=0,"n/a",((INDEX([1]Historical!$C$7:$C$1231,MATCH(B531,[1]Historical!$B$7:$B$1253,0))/INDEX([1]Historical!$N$7:$N$1222,MATCH(B531,[1]Historical!$B$7:$B$1253,0)))^(1/10)-1)*100)</f>
        <v>n/a</v>
      </c>
      <c r="W531" s="163" t="str">
        <f t="shared" si="147"/>
        <v>n/a</v>
      </c>
      <c r="X531" s="164" t="str">
        <f t="shared" si="148"/>
        <v>n/a</v>
      </c>
      <c r="Y531" s="223"/>
      <c r="Z531" s="157" t="str">
        <f t="shared" si="149"/>
        <v>n/a</v>
      </c>
      <c r="AA531" s="166" t="str">
        <f t="shared" si="150"/>
        <v>n/a</v>
      </c>
      <c r="AB531" s="126">
        <v>12</v>
      </c>
      <c r="AC531" s="167" t="s">
        <v>95</v>
      </c>
      <c r="AD531" s="167" t="s">
        <v>95</v>
      </c>
      <c r="AE531" s="167" t="s">
        <v>95</v>
      </c>
      <c r="AF531" s="167" t="s">
        <v>95</v>
      </c>
      <c r="AG531" s="167" t="s">
        <v>95</v>
      </c>
      <c r="AH531" s="167" t="s">
        <v>95</v>
      </c>
      <c r="AI531" s="167" t="s">
        <v>95</v>
      </c>
      <c r="AJ531" s="167" t="s">
        <v>95</v>
      </c>
      <c r="AK531" s="167" t="s">
        <v>95</v>
      </c>
      <c r="AL531" s="168" t="s">
        <v>95</v>
      </c>
      <c r="AM531" s="169" t="s">
        <v>95</v>
      </c>
      <c r="AN531" s="167" t="s">
        <v>95</v>
      </c>
      <c r="AO531" s="170" t="str">
        <f t="shared" si="151"/>
        <v>n/a</v>
      </c>
      <c r="AP531" s="171">
        <f t="shared" si="152"/>
        <v>12.749496095620486</v>
      </c>
      <c r="AQ531" s="172" t="str">
        <f t="shared" si="153"/>
        <v>n/a</v>
      </c>
      <c r="AR531" s="157">
        <f>INDEX([1]Historical!$C$7:$C$1231,MATCH(B531,[1]Historical!$B$7:$B$1253,0))*IF(AH531="n/a",1.03,IF(AH531&lt;0,1.01,IF(AH531&gt;10,1.1,(1+AH531/100))))</f>
        <v>2.2561904761904761</v>
      </c>
      <c r="AS531" s="166">
        <f t="shared" si="154"/>
        <v>2.3238761904761902</v>
      </c>
      <c r="AT531" s="166">
        <f t="shared" si="155"/>
        <v>2.3935924761904759</v>
      </c>
      <c r="AU531" s="166">
        <f t="shared" si="155"/>
        <v>2.4654002504761903</v>
      </c>
      <c r="AV531" s="166">
        <f t="shared" si="155"/>
        <v>2.5393622579904762</v>
      </c>
      <c r="AW531" s="157">
        <f t="shared" si="156"/>
        <v>11.978421651323808</v>
      </c>
      <c r="AX531" s="173">
        <f t="shared" si="157"/>
        <v>17.112030930462581</v>
      </c>
      <c r="AY531" s="174" t="s">
        <v>95</v>
      </c>
      <c r="AZ531" s="169" t="s">
        <v>95</v>
      </c>
      <c r="BA531" s="169" t="s">
        <v>95</v>
      </c>
      <c r="BB531" s="169" t="s">
        <v>95</v>
      </c>
      <c r="BC531" s="169" t="s">
        <v>95</v>
      </c>
      <c r="BD531" s="100" t="s">
        <v>932</v>
      </c>
      <c r="BE531" s="77">
        <v>2012</v>
      </c>
      <c r="BF531" s="77">
        <f t="shared" si="158"/>
        <v>1</v>
      </c>
      <c r="BG531" s="175" t="s">
        <v>95</v>
      </c>
      <c r="BH531" t="s">
        <v>939</v>
      </c>
      <c r="BI531" t="s">
        <v>940</v>
      </c>
      <c r="BJ531"/>
      <c r="BK531"/>
      <c r="BL531"/>
    </row>
    <row r="532" spans="1:64" s="112" customFormat="1" ht="12.75" customHeight="1" x14ac:dyDescent="0.2">
      <c r="A532" s="176" t="s">
        <v>414</v>
      </c>
      <c r="B532" s="153" t="s">
        <v>415</v>
      </c>
      <c r="C532" s="154" t="s">
        <v>137</v>
      </c>
      <c r="D532" s="154" t="s">
        <v>996</v>
      </c>
      <c r="E532" s="155">
        <v>20</v>
      </c>
      <c r="F532" s="298">
        <v>175</v>
      </c>
      <c r="G532" s="298" t="s">
        <v>88</v>
      </c>
      <c r="H532" s="298" t="s">
        <v>88</v>
      </c>
      <c r="I532" s="156">
        <v>40.28</v>
      </c>
      <c r="J532" s="157">
        <f t="shared" si="144"/>
        <v>2.5819265143992056</v>
      </c>
      <c r="K532" s="158">
        <v>0.26</v>
      </c>
      <c r="L532" s="126">
        <v>4</v>
      </c>
      <c r="M532" s="82">
        <f t="shared" si="145"/>
        <v>1.04</v>
      </c>
      <c r="N532" s="159" t="s">
        <v>231</v>
      </c>
      <c r="O532" s="160">
        <v>0.24</v>
      </c>
      <c r="P532" s="161">
        <v>44617</v>
      </c>
      <c r="Q532" s="161">
        <v>44637</v>
      </c>
      <c r="R532" s="82">
        <f t="shared" si="146"/>
        <v>8.333333333333341</v>
      </c>
      <c r="S532" s="162">
        <f>IF(INDEX([1]Historical!$D$7:$D$1229,MATCH(B532,[1]Historical!$B$7:$B$1253,0))=0,"n/a",(INDEX([1]Historical!$C$7:$C$1231,MATCH(B532,[1]Historical!$B$7:$B$1253,0))/INDEX([1]Historical!$D$7:$D$1229,MATCH(B532,[1]Historical!$B$7:$B$1253,0))-1)*100)</f>
        <v>6.6666666666666652</v>
      </c>
      <c r="T532" s="162">
        <f>IF(INDEX([1]Historical!$F$7:$F$1222,MATCH(B532,[1]Historical!$B$7:$B$1253,0))=0,"n/a",((INDEX([1]Historical!$C$7:$C$1231,MATCH(B532,[1]Historical!$B$7:$B$1253,0))/INDEX([1]Historical!$F$7:$F$1222,MATCH(B532,[1]Historical!$B$7:$B$1253,0)))^(1/3)-1)*100)</f>
        <v>8.0983869874452274</v>
      </c>
      <c r="U532" s="162">
        <f>IF(INDEX([1]Historical!$H$7:$H$1222,MATCH(B532,[1]Historical!$B$7:$B$1253,0))=0,"n/a",((INDEX([1]Historical!$C$7:$C$1231,MATCH(B532,[1]Historical!$B$7:$B$1253,0))/INDEX([1]Historical!$H$7:$H$1222,MATCH(B532,[1]Historical!$B$7:$B$1253,0)))^(1/5)-1)*100)</f>
        <v>10.603443372707044</v>
      </c>
      <c r="V532" s="162">
        <f>IF(INDEX([1]Historical!$N$7:$N$1222,MATCH(B532,[1]Historical!$B$7:$B$1253,0))=0,"n/a",((INDEX([1]Historical!$C$7:$C$1231,MATCH(B532,[1]Historical!$B$7:$B$1253,0))/INDEX([1]Historical!$N$7:$N$1222,MATCH(B532,[1]Historical!$B$7:$B$1253,0)))^(1/10)-1)*100)</f>
        <v>12.716455524132009</v>
      </c>
      <c r="W532" s="163">
        <f t="shared" si="147"/>
        <v>0.83383639038290958</v>
      </c>
      <c r="X532" s="164">
        <f t="shared" si="148"/>
        <v>0.21683933277519518</v>
      </c>
      <c r="Y532" s="178" t="s">
        <v>701</v>
      </c>
      <c r="Z532" s="157" t="str">
        <f t="shared" si="149"/>
        <v>n/a</v>
      </c>
      <c r="AA532" s="166" t="str">
        <f t="shared" si="150"/>
        <v>n/a</v>
      </c>
      <c r="AB532" s="126">
        <v>6</v>
      </c>
      <c r="AC532" s="167">
        <v>-0.66</v>
      </c>
      <c r="AD532" s="167" t="s">
        <v>95</v>
      </c>
      <c r="AE532" s="167">
        <v>1.23</v>
      </c>
      <c r="AF532" s="167">
        <v>1.1299999999999999</v>
      </c>
      <c r="AG532" s="167">
        <v>-2.2999999999999998</v>
      </c>
      <c r="AH532" s="167">
        <v>-401.70000000000005</v>
      </c>
      <c r="AI532" s="167">
        <v>35.17</v>
      </c>
      <c r="AJ532" s="167">
        <v>48.9</v>
      </c>
      <c r="AK532" s="167">
        <v>4</v>
      </c>
      <c r="AL532" s="168">
        <v>5320</v>
      </c>
      <c r="AM532" s="169">
        <v>0.1</v>
      </c>
      <c r="AN532" s="167">
        <v>0.85</v>
      </c>
      <c r="AO532" s="170" t="str">
        <f t="shared" si="151"/>
        <v>n/a</v>
      </c>
      <c r="AP532" s="171">
        <f t="shared" si="152"/>
        <v>13.185369887106249</v>
      </c>
      <c r="AQ532" s="172" t="str">
        <f t="shared" si="153"/>
        <v>n/a</v>
      </c>
      <c r="AR532" s="157">
        <f>INDEX([1]Historical!$C$7:$C$1231,MATCH(B532,[1]Historical!$B$7:$B$1253,0))*IF(AH532="n/a",1.03,IF(AH532&lt;0,1.01,IF(AH532&gt;10,1.1,(1+AH532/100))))</f>
        <v>0.96960000000000002</v>
      </c>
      <c r="AS532" s="166">
        <f t="shared" si="154"/>
        <v>1.0665600000000002</v>
      </c>
      <c r="AT532" s="166">
        <f t="shared" si="155"/>
        <v>1.1092224000000002</v>
      </c>
      <c r="AU532" s="166">
        <f t="shared" si="155"/>
        <v>1.1535912960000001</v>
      </c>
      <c r="AV532" s="166">
        <f t="shared" si="155"/>
        <v>1.1997349478400001</v>
      </c>
      <c r="AW532" s="157">
        <f t="shared" si="156"/>
        <v>5.4987086438400006</v>
      </c>
      <c r="AX532" s="173">
        <f t="shared" si="157"/>
        <v>13.651213117775571</v>
      </c>
      <c r="AY532" s="174">
        <v>0.92</v>
      </c>
      <c r="AZ532" s="169">
        <v>28.610000000000003</v>
      </c>
      <c r="BA532" s="169">
        <v>-16</v>
      </c>
      <c r="BB532" s="169">
        <v>3.65</v>
      </c>
      <c r="BC532" s="169">
        <v>4.6899999999999995</v>
      </c>
      <c r="BD532" s="100"/>
      <c r="BE532" s="77">
        <v>2003</v>
      </c>
      <c r="BF532" s="77">
        <f t="shared" si="158"/>
        <v>2</v>
      </c>
      <c r="BG532" s="175">
        <v>-1.0999999999999999</v>
      </c>
      <c r="BH532" t="s">
        <v>939</v>
      </c>
      <c r="BI532" t="s">
        <v>940</v>
      </c>
      <c r="BJ532"/>
      <c r="BK532"/>
      <c r="BL532"/>
    </row>
    <row r="533" spans="1:64" s="112" customFormat="1" x14ac:dyDescent="0.2">
      <c r="A533" s="112" t="s">
        <v>1592</v>
      </c>
      <c r="B533" s="153" t="s">
        <v>421</v>
      </c>
      <c r="C533" s="154" t="s">
        <v>90</v>
      </c>
      <c r="D533" s="154" t="s">
        <v>110</v>
      </c>
      <c r="E533" s="155">
        <v>13</v>
      </c>
      <c r="F533" s="298">
        <v>278</v>
      </c>
      <c r="G533" s="298" t="s">
        <v>88</v>
      </c>
      <c r="H533" s="298" t="s">
        <v>88</v>
      </c>
      <c r="I533" s="156">
        <v>144.69999999999999</v>
      </c>
      <c r="J533" s="157">
        <f t="shared" si="144"/>
        <v>1.5203870076019355</v>
      </c>
      <c r="K533" s="158">
        <v>0.55000000000000004</v>
      </c>
      <c r="L533" s="126">
        <v>4</v>
      </c>
      <c r="M533" s="82">
        <f t="shared" si="145"/>
        <v>2.2000000000000002</v>
      </c>
      <c r="N533" s="159" t="s">
        <v>186</v>
      </c>
      <c r="O533" s="160">
        <v>0.47</v>
      </c>
      <c r="P533" s="161">
        <v>44610</v>
      </c>
      <c r="Q533" s="161">
        <v>44634</v>
      </c>
      <c r="R533" s="82">
        <f t="shared" si="146"/>
        <v>17.021276595744698</v>
      </c>
      <c r="S533" s="162">
        <f>IF(INDEX([1]Historical!$D$7:$D$1229,MATCH(B533,[1]Historical!$B$7:$B$1253,0))=0,"n/a",(INDEX([1]Historical!$C$7:$C$1231,MATCH(B533,[1]Historical!$B$7:$B$1253,0))/INDEX([1]Historical!$D$7:$D$1229,MATCH(B533,[1]Historical!$B$7:$B$1253,0))-1)*100)</f>
        <v>17.499999999999982</v>
      </c>
      <c r="T533" s="162">
        <f>IF(INDEX([1]Historical!$F$7:$F$1222,MATCH(B533,[1]Historical!$B$7:$B$1253,0))=0,"n/a",((INDEX([1]Historical!$C$7:$C$1231,MATCH(B533,[1]Historical!$B$7:$B$1253,0))/INDEX([1]Historical!$F$7:$F$1222,MATCH(B533,[1]Historical!$B$7:$B$1253,0)))^(1/3)-1)*100)</f>
        <v>23.420115855534362</v>
      </c>
      <c r="U533" s="162">
        <f>IF(INDEX([1]Historical!$H$7:$H$1222,MATCH(B533,[1]Historical!$B$7:$B$1253,0))=0,"n/a",((INDEX([1]Historical!$C$7:$C$1231,MATCH(B533,[1]Historical!$B$7:$B$1253,0))/INDEX([1]Historical!$H$7:$H$1222,MATCH(B533,[1]Historical!$B$7:$B$1253,0)))^(1/5)-1)*100)</f>
        <v>21.846192255890507</v>
      </c>
      <c r="V533" s="162">
        <f>IF(INDEX([1]Historical!$N$7:$N$1222,MATCH(B533,[1]Historical!$B$7:$B$1253,0))=0,"n/a",((INDEX([1]Historical!$C$7:$C$1231,MATCH(B533,[1]Historical!$B$7:$B$1253,0))/INDEX([1]Historical!$N$7:$N$1222,MATCH(B533,[1]Historical!$B$7:$B$1253,0)))^(1/10)-1)*100)</f>
        <v>34.095988147943167</v>
      </c>
      <c r="W533" s="163">
        <f t="shared" si="147"/>
        <v>0.64072618048491359</v>
      </c>
      <c r="X533" s="164">
        <f t="shared" si="148"/>
        <v>1.4185839127201627</v>
      </c>
      <c r="Y533" s="178"/>
      <c r="Z533" s="157">
        <f t="shared" si="149"/>
        <v>25.730994152046783</v>
      </c>
      <c r="AA533" s="166">
        <f t="shared" si="150"/>
        <v>16.923976608187132</v>
      </c>
      <c r="AB533" s="126">
        <v>12</v>
      </c>
      <c r="AC533" s="167">
        <v>8.5500000000000007</v>
      </c>
      <c r="AD533" s="167">
        <v>1.78</v>
      </c>
      <c r="AE533" s="167">
        <v>1.86</v>
      </c>
      <c r="AF533" s="167">
        <v>3.09</v>
      </c>
      <c r="AG533" s="167">
        <v>17</v>
      </c>
      <c r="AH533" s="167">
        <v>-2</v>
      </c>
      <c r="AI533" s="167">
        <v>21.68</v>
      </c>
      <c r="AJ533" s="167">
        <v>15.4</v>
      </c>
      <c r="AK533" s="167">
        <v>9.4</v>
      </c>
      <c r="AL533" s="168">
        <v>5170</v>
      </c>
      <c r="AM533" s="169">
        <v>0.70000000000000007</v>
      </c>
      <c r="AN533" s="167">
        <v>1.1299999999999999</v>
      </c>
      <c r="AO533" s="170">
        <f t="shared" si="151"/>
        <v>6.4426026553053113</v>
      </c>
      <c r="AP533" s="171">
        <f t="shared" si="152"/>
        <v>23.366579263492444</v>
      </c>
      <c r="AQ533" s="172">
        <f t="shared" si="153"/>
        <v>52.454128211003173</v>
      </c>
      <c r="AR533" s="157">
        <f>INDEX([1]Historical!$C$7:$C$1231,MATCH(B533,[1]Historical!$B$7:$B$1253,0))*IF(AH533="n/a",1.03,IF(AH533&lt;0,1.01,IF(AH533&gt;10,1.1,(1+AH533/100))))</f>
        <v>1.8987999999999998</v>
      </c>
      <c r="AS533" s="166">
        <f t="shared" si="154"/>
        <v>2.0886800000000001</v>
      </c>
      <c r="AT533" s="166">
        <f t="shared" si="155"/>
        <v>2.2850159200000002</v>
      </c>
      <c r="AU533" s="166">
        <f t="shared" si="155"/>
        <v>2.4998074164800004</v>
      </c>
      <c r="AV533" s="166">
        <f t="shared" si="155"/>
        <v>2.7347893136291206</v>
      </c>
      <c r="AW533" s="157">
        <f t="shared" si="156"/>
        <v>11.50709265010912</v>
      </c>
      <c r="AX533" s="173">
        <f t="shared" si="157"/>
        <v>7.9523791638625578</v>
      </c>
      <c r="AY533" s="174">
        <v>1.22</v>
      </c>
      <c r="AZ533" s="169">
        <v>31.28</v>
      </c>
      <c r="BA533" s="169">
        <v>-19.39</v>
      </c>
      <c r="BB533" s="169">
        <v>11.39</v>
      </c>
      <c r="BC533" s="169">
        <v>10.67</v>
      </c>
      <c r="BD533" s="100"/>
      <c r="BE533" s="77">
        <v>2010</v>
      </c>
      <c r="BF533" s="77">
        <f t="shared" si="158"/>
        <v>1</v>
      </c>
      <c r="BG533" s="175">
        <v>2.1</v>
      </c>
      <c r="BH533" t="s">
        <v>939</v>
      </c>
      <c r="BI533" t="s">
        <v>940</v>
      </c>
      <c r="BJ533"/>
      <c r="BK533"/>
      <c r="BL533"/>
    </row>
    <row r="534" spans="1:64" s="112" customFormat="1" ht="12.75" customHeight="1" x14ac:dyDescent="0.2">
      <c r="A534" s="205" t="s">
        <v>1779</v>
      </c>
      <c r="B534" s="153" t="s">
        <v>1780</v>
      </c>
      <c r="C534" s="154" t="s">
        <v>90</v>
      </c>
      <c r="D534" s="154" t="s">
        <v>969</v>
      </c>
      <c r="E534" s="155">
        <v>5</v>
      </c>
      <c r="F534" s="298">
        <v>696</v>
      </c>
      <c r="G534" s="298" t="s">
        <v>88</v>
      </c>
      <c r="H534" s="298" t="s">
        <v>88</v>
      </c>
      <c r="I534" s="156">
        <v>147.5</v>
      </c>
      <c r="J534" s="157">
        <f t="shared" si="144"/>
        <v>2.8203389830508478</v>
      </c>
      <c r="K534" s="158">
        <v>1.04</v>
      </c>
      <c r="L534" s="126">
        <v>4</v>
      </c>
      <c r="M534" s="82">
        <f t="shared" si="145"/>
        <v>4.16</v>
      </c>
      <c r="N534" s="159" t="s">
        <v>151</v>
      </c>
      <c r="O534" s="160">
        <v>1.03</v>
      </c>
      <c r="P534" s="161">
        <v>44609</v>
      </c>
      <c r="Q534" s="161">
        <v>44630</v>
      </c>
      <c r="R534" s="82">
        <f t="shared" si="146"/>
        <v>0.97087378640776778</v>
      </c>
      <c r="S534" s="162">
        <f>IF(INDEX([1]Historical!$D$7:$D$1229,MATCH(B534,[1]Historical!$B$7:$B$1253,0))=0,"n/a",(INDEX([1]Historical!$C$7:$C$1231,MATCH(B534,[1]Historical!$B$7:$B$1253,0))/INDEX([1]Historical!$D$7:$D$1229,MATCH(B534,[1]Historical!$B$7:$B$1253,0))-1)*100)</f>
        <v>0.98039215686274161</v>
      </c>
      <c r="T534" s="162">
        <f>IF(INDEX([1]Historical!$F$7:$F$1222,MATCH(B534,[1]Historical!$B$7:$B$1253,0))=0,"n/a",((INDEX([1]Historical!$C$7:$C$1231,MATCH(B534,[1]Historical!$B$7:$B$1253,0))/INDEX([1]Historical!$F$7:$F$1222,MATCH(B534,[1]Historical!$B$7:$B$1253,0)))^(1/3)-1)*100)</f>
        <v>2.5521140952388111</v>
      </c>
      <c r="U534" s="162">
        <f>IF(INDEX([1]Historical!$H$7:$H$1222,MATCH(B534,[1]Historical!$B$7:$B$1253,0))=0,"n/a",((INDEX([1]Historical!$C$7:$C$1231,MATCH(B534,[1]Historical!$B$7:$B$1253,0))/INDEX([1]Historical!$H$7:$H$1222,MATCH(B534,[1]Historical!$B$7:$B$1253,0)))^(1/5)-1)*100)</f>
        <v>1.845506936166208</v>
      </c>
      <c r="V534" s="162">
        <f>IF(INDEX([1]Historical!$N$7:$N$1222,MATCH(B534,[1]Historical!$B$7:$B$1253,0))=0,"n/a",((INDEX([1]Historical!$C$7:$C$1231,MATCH(B534,[1]Historical!$B$7:$B$1253,0))/INDEX([1]Historical!$N$7:$N$1222,MATCH(B534,[1]Historical!$B$7:$B$1253,0)))^(1/10)-1)*100)</f>
        <v>0.91853493594038493</v>
      </c>
      <c r="W534" s="163">
        <f t="shared" si="147"/>
        <v>2.0091853493594125</v>
      </c>
      <c r="X534" s="164">
        <f t="shared" si="148"/>
        <v>0.16931256295102826</v>
      </c>
      <c r="Y534" s="180"/>
      <c r="Z534" s="157">
        <f t="shared" si="149"/>
        <v>46.899661781285232</v>
      </c>
      <c r="AA534" s="166">
        <f t="shared" si="150"/>
        <v>16.629086809470124</v>
      </c>
      <c r="AB534" s="126">
        <v>12</v>
      </c>
      <c r="AC534" s="167">
        <v>8.8699999999999992</v>
      </c>
      <c r="AD534" s="167">
        <v>4.01</v>
      </c>
      <c r="AE534" s="167">
        <v>6.69</v>
      </c>
      <c r="AF534" s="167">
        <v>2.2599999999999998</v>
      </c>
      <c r="AG534" s="167">
        <v>13.5</v>
      </c>
      <c r="AH534" s="167">
        <v>20.200000000000003</v>
      </c>
      <c r="AI534" s="167">
        <v>-4.3999999999999995</v>
      </c>
      <c r="AJ534" s="167">
        <v>10.9</v>
      </c>
      <c r="AK534" s="167">
        <v>4.1000000000000005</v>
      </c>
      <c r="AL534" s="168">
        <v>2290</v>
      </c>
      <c r="AM534" s="169">
        <v>0.5</v>
      </c>
      <c r="AN534" s="167">
        <v>0.18</v>
      </c>
      <c r="AO534" s="170">
        <f t="shared" si="151"/>
        <v>-11.963240890253068</v>
      </c>
      <c r="AP534" s="171">
        <f t="shared" si="152"/>
        <v>4.6658459192170554</v>
      </c>
      <c r="AQ534" s="172">
        <f t="shared" si="153"/>
        <v>29.240062913775546</v>
      </c>
      <c r="AR534" s="157">
        <f>INDEX([1]Historical!$C$7:$C$1231,MATCH(B534,[1]Historical!$B$7:$B$1253,0))*IF(AH534="n/a",1.03,IF(AH534&lt;0,1.01,IF(AH534&gt;10,1.1,(1+AH534/100))))</f>
        <v>4.5320000000000009</v>
      </c>
      <c r="AS534" s="166">
        <f t="shared" si="154"/>
        <v>4.5773200000000012</v>
      </c>
      <c r="AT534" s="166">
        <f t="shared" si="155"/>
        <v>4.7649901200000011</v>
      </c>
      <c r="AU534" s="166">
        <f t="shared" si="155"/>
        <v>4.9603547149200011</v>
      </c>
      <c r="AV534" s="166">
        <f t="shared" si="155"/>
        <v>5.1637292582317205</v>
      </c>
      <c r="AW534" s="157">
        <f t="shared" si="156"/>
        <v>23.998394093151724</v>
      </c>
      <c r="AX534" s="173">
        <f t="shared" si="157"/>
        <v>16.270097690272355</v>
      </c>
      <c r="AY534" s="174">
        <v>0.76</v>
      </c>
      <c r="AZ534" s="169">
        <v>30.79</v>
      </c>
      <c r="BA534" s="169">
        <v>0.85000000000000009</v>
      </c>
      <c r="BB534" s="169">
        <v>11.59</v>
      </c>
      <c r="BC534" s="169">
        <v>15.079999999999998</v>
      </c>
      <c r="BD534" s="100"/>
      <c r="BE534" s="77">
        <v>2018</v>
      </c>
      <c r="BF534" s="77">
        <f t="shared" si="158"/>
        <v>1</v>
      </c>
      <c r="BG534" s="175">
        <v>1.5</v>
      </c>
      <c r="BH534" t="s">
        <v>939</v>
      </c>
      <c r="BI534" t="s">
        <v>940</v>
      </c>
    </row>
    <row r="535" spans="1:64" s="112" customFormat="1" ht="12.75" customHeight="1" x14ac:dyDescent="0.2">
      <c r="A535" s="112" t="s">
        <v>1593</v>
      </c>
      <c r="B535" s="153" t="s">
        <v>425</v>
      </c>
      <c r="C535" s="154" t="s">
        <v>90</v>
      </c>
      <c r="D535" s="154" t="s">
        <v>110</v>
      </c>
      <c r="E535" s="155">
        <v>14</v>
      </c>
      <c r="F535" s="298">
        <v>263</v>
      </c>
      <c r="G535" s="298" t="s">
        <v>88</v>
      </c>
      <c r="H535" s="298" t="s">
        <v>88</v>
      </c>
      <c r="I535" s="156">
        <v>105.19</v>
      </c>
      <c r="J535" s="157">
        <f t="shared" si="144"/>
        <v>4.5631714041258675</v>
      </c>
      <c r="K535" s="158">
        <v>1.2</v>
      </c>
      <c r="L535" s="126">
        <v>4</v>
      </c>
      <c r="M535" s="82">
        <f t="shared" si="145"/>
        <v>4.8</v>
      </c>
      <c r="N535" s="159" t="s">
        <v>167</v>
      </c>
      <c r="O535" s="160">
        <v>1.1499999999999999</v>
      </c>
      <c r="P535" s="161">
        <v>44606</v>
      </c>
      <c r="Q535" s="161">
        <v>44631</v>
      </c>
      <c r="R535" s="82">
        <f t="shared" si="146"/>
        <v>4.3478260869565259</v>
      </c>
      <c r="S535" s="162">
        <f>IF(INDEX([1]Historical!$D$7:$D$1229,MATCH(B535,[1]Historical!$B$7:$B$1253,0))=0,"n/a",(INDEX([1]Historical!$C$7:$C$1231,MATCH(B535,[1]Historical!$B$7:$B$1253,0))/INDEX([1]Historical!$D$7:$D$1229,MATCH(B535,[1]Historical!$B$7:$B$1253,0))-1)*100)</f>
        <v>4.5454545454545192</v>
      </c>
      <c r="T535" s="162">
        <f>IF(INDEX([1]Historical!$F$7:$F$1222,MATCH(B535,[1]Historical!$B$7:$B$1253,0))=0,"n/a",((INDEX([1]Historical!$C$7:$C$1231,MATCH(B535,[1]Historical!$B$7:$B$1253,0))/INDEX([1]Historical!$F$7:$F$1222,MATCH(B535,[1]Historical!$B$7:$B$1253,0)))^(1/3)-1)*100)</f>
        <v>8.5138345254405436</v>
      </c>
      <c r="U535" s="162">
        <f>IF(INDEX([1]Historical!$H$7:$H$1222,MATCH(B535,[1]Historical!$B$7:$B$1253,0))=0,"n/a",((INDEX([1]Historical!$C$7:$C$1231,MATCH(B535,[1]Historical!$B$7:$B$1253,0))/INDEX([1]Historical!$H$7:$H$1222,MATCH(B535,[1]Historical!$B$7:$B$1253,0)))^(1/5)-1)*100)</f>
        <v>10.438362870438155</v>
      </c>
      <c r="V535" s="162">
        <f>IF(INDEX([1]Historical!$N$7:$N$1222,MATCH(B535,[1]Historical!$B$7:$B$1253,0))=0,"n/a",((INDEX([1]Historical!$C$7:$C$1231,MATCH(B535,[1]Historical!$B$7:$B$1253,0))/INDEX([1]Historical!$N$7:$N$1222,MATCH(B535,[1]Historical!$B$7:$B$1253,0)))^(1/10)-1)*100)</f>
        <v>12.237758017183985</v>
      </c>
      <c r="W535" s="163">
        <f t="shared" si="147"/>
        <v>0.85296366015579328</v>
      </c>
      <c r="X535" s="164">
        <f t="shared" si="148"/>
        <v>0.69589085802921036</v>
      </c>
      <c r="Y535" s="212"/>
      <c r="Z535" s="157">
        <f t="shared" si="149"/>
        <v>88.888888888888886</v>
      </c>
      <c r="AA535" s="166">
        <f t="shared" si="150"/>
        <v>19.479629629629628</v>
      </c>
      <c r="AB535" s="126">
        <v>12</v>
      </c>
      <c r="AC535" s="167">
        <v>5.4</v>
      </c>
      <c r="AD535" s="167" t="s">
        <v>95</v>
      </c>
      <c r="AE535" s="167">
        <v>0.59</v>
      </c>
      <c r="AF535" s="167">
        <v>1.4</v>
      </c>
      <c r="AG535" s="167">
        <v>4.3</v>
      </c>
      <c r="AH535" s="179">
        <v>-33.300000000000004</v>
      </c>
      <c r="AI535" s="179">
        <v>20.46</v>
      </c>
      <c r="AJ535" s="167">
        <v>15</v>
      </c>
      <c r="AK535" s="167">
        <v>-6.01</v>
      </c>
      <c r="AL535" s="168">
        <v>37880</v>
      </c>
      <c r="AM535" s="169">
        <v>0.11</v>
      </c>
      <c r="AN535" s="167">
        <v>0.72</v>
      </c>
      <c r="AO535" s="170">
        <f t="shared" si="151"/>
        <v>-4.4780953550656051</v>
      </c>
      <c r="AP535" s="171">
        <f t="shared" si="152"/>
        <v>15.001534274564023</v>
      </c>
      <c r="AQ535" s="172">
        <f t="shared" si="153"/>
        <v>10.09386193704891</v>
      </c>
      <c r="AR535" s="157">
        <f>INDEX([1]Historical!$C$7:$C$1231,MATCH(B535,[1]Historical!$B$7:$B$1253,0))*IF(AH535="n/a",1.03,IF(AH535&lt;0,1.01,IF(AH535&gt;10,1.1,(1+AH535/100))))</f>
        <v>4.6459999999999999</v>
      </c>
      <c r="AS535" s="166">
        <f t="shared" si="154"/>
        <v>5.1106000000000007</v>
      </c>
      <c r="AT535" s="166">
        <f t="shared" ref="AT535:AV550" si="159">IF($AK535="n/a",1.03*AS535,IF($AK535&lt;0,1.01*AS535,IF($AK535&gt;10,1.1*AS535,(1+$AK535/100)*AS535)))</f>
        <v>5.1617060000000006</v>
      </c>
      <c r="AU535" s="166">
        <f t="shared" si="159"/>
        <v>5.2133230600000005</v>
      </c>
      <c r="AV535" s="166">
        <f t="shared" si="159"/>
        <v>5.2654562906000004</v>
      </c>
      <c r="AW535" s="157">
        <f t="shared" si="156"/>
        <v>25.397085350600001</v>
      </c>
      <c r="AX535" s="173">
        <f t="shared" si="157"/>
        <v>24.144011170833732</v>
      </c>
      <c r="AY535" s="174">
        <v>1.41</v>
      </c>
      <c r="AZ535" s="169">
        <v>23.09</v>
      </c>
      <c r="BA535" s="169">
        <v>-15.32</v>
      </c>
      <c r="BB535" s="169">
        <v>10.7</v>
      </c>
      <c r="BC535" s="169">
        <v>1.24</v>
      </c>
      <c r="BD535" s="100"/>
      <c r="BE535" s="77">
        <v>2009</v>
      </c>
      <c r="BF535" s="77">
        <f t="shared" si="158"/>
        <v>1</v>
      </c>
      <c r="BG535" s="175">
        <v>0.2</v>
      </c>
      <c r="BH535" t="s">
        <v>939</v>
      </c>
      <c r="BI535" t="s">
        <v>940</v>
      </c>
      <c r="BJ535"/>
      <c r="BK535"/>
      <c r="BL535"/>
    </row>
    <row r="536" spans="1:64" s="112" customFormat="1" ht="12.75" customHeight="1" x14ac:dyDescent="0.2">
      <c r="A536" s="176" t="s">
        <v>1594</v>
      </c>
      <c r="B536" s="153" t="s">
        <v>426</v>
      </c>
      <c r="C536" s="154" t="s">
        <v>90</v>
      </c>
      <c r="D536" s="154" t="s">
        <v>969</v>
      </c>
      <c r="E536" s="155">
        <v>29</v>
      </c>
      <c r="F536" s="298">
        <v>113</v>
      </c>
      <c r="G536" s="298" t="s">
        <v>88</v>
      </c>
      <c r="H536" s="298" t="s">
        <v>88</v>
      </c>
      <c r="I536" s="156">
        <v>21.75</v>
      </c>
      <c r="J536" s="157">
        <f t="shared" si="144"/>
        <v>2.2988505747126435</v>
      </c>
      <c r="K536" s="158">
        <v>0.25</v>
      </c>
      <c r="L536" s="126">
        <v>2</v>
      </c>
      <c r="M536" s="82">
        <f t="shared" si="145"/>
        <v>0.5</v>
      </c>
      <c r="N536" s="159" t="s">
        <v>176</v>
      </c>
      <c r="O536" s="226">
        <v>0.23</v>
      </c>
      <c r="P536" s="161">
        <v>44756</v>
      </c>
      <c r="Q536" s="161">
        <v>44771</v>
      </c>
      <c r="R536" s="82">
        <f t="shared" si="146"/>
        <v>8.6956521739130395</v>
      </c>
      <c r="S536" s="162">
        <f>IF(INDEX([1]Historical!$D$7:$D$1229,MATCH(B536,[1]Historical!$B$7:$B$1253,0))=0,"n/a",(INDEX([1]Historical!$C$7:$C$1231,MATCH(B536,[1]Historical!$B$7:$B$1253,0))/INDEX([1]Historical!$D$7:$D$1229,MATCH(B536,[1]Historical!$B$7:$B$1253,0))-1)*100)</f>
        <v>7.3170731707317138</v>
      </c>
      <c r="T536" s="162">
        <f>IF(INDEX([1]Historical!$F$7:$F$1222,MATCH(B536,[1]Historical!$B$7:$B$1253,0))=0,"n/a",((INDEX([1]Historical!$C$7:$C$1231,MATCH(B536,[1]Historical!$B$7:$B$1253,0))/INDEX([1]Historical!$F$7:$F$1222,MATCH(B536,[1]Historical!$B$7:$B$1253,0)))^(1/3)-1)*100)</f>
        <v>9.3292880588556226</v>
      </c>
      <c r="U536" s="162">
        <f>IF(INDEX([1]Historical!$H$7:$H$1222,MATCH(B536,[1]Historical!$B$7:$B$1253,0))=0,"n/a",((INDEX([1]Historical!$C$7:$C$1231,MATCH(B536,[1]Historical!$B$7:$B$1253,0))/INDEX([1]Historical!$H$7:$H$1222,MATCH(B536,[1]Historical!$B$7:$B$1253,0)))^(1/5)-1)*100)</f>
        <v>9.4608784223157549</v>
      </c>
      <c r="V536" s="162">
        <f>IF(INDEX([1]Historical!$N$7:$N$1222,MATCH(B536,[1]Historical!$B$7:$B$1253,0))=0,"n/a",((INDEX([1]Historical!$C$7:$C$1231,MATCH(B536,[1]Historical!$B$7:$B$1253,0))/INDEX([1]Historical!$N$7:$N$1222,MATCH(B536,[1]Historical!$B$7:$B$1253,0)))^(1/10)-1)*100)</f>
        <v>7.1418399095649399</v>
      </c>
      <c r="W536" s="163">
        <f t="shared" si="147"/>
        <v>1.3247116348330585</v>
      </c>
      <c r="X536" s="164" t="str">
        <f t="shared" si="148"/>
        <v>n/a</v>
      </c>
      <c r="Y536" s="218" t="s">
        <v>995</v>
      </c>
      <c r="Z536" s="157" t="str">
        <f t="shared" si="149"/>
        <v>n/a</v>
      </c>
      <c r="AA536" s="166" t="str">
        <f t="shared" si="150"/>
        <v>n/a</v>
      </c>
      <c r="AB536" s="126">
        <v>12</v>
      </c>
      <c r="AC536" s="167" t="s">
        <v>95</v>
      </c>
      <c r="AD536" s="167" t="s">
        <v>95</v>
      </c>
      <c r="AE536" s="167" t="s">
        <v>95</v>
      </c>
      <c r="AF536" s="167" t="s">
        <v>95</v>
      </c>
      <c r="AG536" s="167" t="s">
        <v>95</v>
      </c>
      <c r="AH536" s="167" t="s">
        <v>95</v>
      </c>
      <c r="AI536" s="167" t="s">
        <v>95</v>
      </c>
      <c r="AJ536" s="167" t="s">
        <v>95</v>
      </c>
      <c r="AK536" s="167" t="s">
        <v>95</v>
      </c>
      <c r="AL536" s="168" t="s">
        <v>95</v>
      </c>
      <c r="AM536" s="169" t="s">
        <v>95</v>
      </c>
      <c r="AN536" s="167" t="s">
        <v>95</v>
      </c>
      <c r="AO536" s="170" t="str">
        <f t="shared" si="151"/>
        <v>n/a</v>
      </c>
      <c r="AP536" s="171">
        <f t="shared" si="152"/>
        <v>11.759728997028398</v>
      </c>
      <c r="AQ536" s="172" t="str">
        <f t="shared" si="153"/>
        <v>n/a</v>
      </c>
      <c r="AR536" s="157">
        <f>INDEX([1]Historical!$C$7:$C$1231,MATCH(B536,[1]Historical!$B$7:$B$1253,0))*IF(AH536="n/a",1.03,IF(AH536&lt;0,1.01,IF(AH536&gt;10,1.1,(1+AH536/100))))</f>
        <v>0.45319999999999999</v>
      </c>
      <c r="AS536" s="166">
        <f t="shared" si="154"/>
        <v>0.46679599999999999</v>
      </c>
      <c r="AT536" s="166">
        <f t="shared" si="159"/>
        <v>0.48079988000000001</v>
      </c>
      <c r="AU536" s="166">
        <f t="shared" si="159"/>
        <v>0.49522387640000004</v>
      </c>
      <c r="AV536" s="166">
        <f t="shared" si="159"/>
        <v>0.51008059269200001</v>
      </c>
      <c r="AW536" s="157">
        <f t="shared" si="156"/>
        <v>2.4061003490920001</v>
      </c>
      <c r="AX536" s="173">
        <f t="shared" si="157"/>
        <v>11.062530340652874</v>
      </c>
      <c r="AY536" s="174" t="s">
        <v>95</v>
      </c>
      <c r="AZ536" s="169" t="s">
        <v>95</v>
      </c>
      <c r="BA536" s="169" t="s">
        <v>95</v>
      </c>
      <c r="BB536" s="169" t="s">
        <v>95</v>
      </c>
      <c r="BC536" s="169" t="s">
        <v>95</v>
      </c>
      <c r="BD536" s="100" t="s">
        <v>932</v>
      </c>
      <c r="BE536" s="77">
        <v>1994</v>
      </c>
      <c r="BF536" s="77">
        <f t="shared" si="158"/>
        <v>3</v>
      </c>
      <c r="BG536" s="175" t="s">
        <v>95</v>
      </c>
      <c r="BH536" t="s">
        <v>939</v>
      </c>
      <c r="BI536" t="s">
        <v>940</v>
      </c>
      <c r="BJ536"/>
      <c r="BK536"/>
      <c r="BL536"/>
    </row>
    <row r="537" spans="1:64" s="112" customFormat="1" ht="12.75" customHeight="1" x14ac:dyDescent="0.2">
      <c r="A537" s="176" t="s">
        <v>730</v>
      </c>
      <c r="B537" s="239" t="s">
        <v>731</v>
      </c>
      <c r="C537" s="154" t="s">
        <v>109</v>
      </c>
      <c r="D537" s="154" t="s">
        <v>1028</v>
      </c>
      <c r="E537" s="155">
        <v>11</v>
      </c>
      <c r="F537" s="298">
        <v>425</v>
      </c>
      <c r="G537" s="298" t="s">
        <v>30</v>
      </c>
      <c r="H537" s="298" t="s">
        <v>30</v>
      </c>
      <c r="I537" s="156">
        <v>104.29</v>
      </c>
      <c r="J537" s="157">
        <f t="shared" si="144"/>
        <v>3.7203950522581262</v>
      </c>
      <c r="K537" s="158">
        <v>0.97</v>
      </c>
      <c r="L537" s="126">
        <v>4</v>
      </c>
      <c r="M537" s="82">
        <f t="shared" si="145"/>
        <v>3.88</v>
      </c>
      <c r="N537" s="159" t="s">
        <v>116</v>
      </c>
      <c r="O537" s="160">
        <v>0.92</v>
      </c>
      <c r="P537" s="161">
        <v>44701</v>
      </c>
      <c r="Q537" s="161">
        <v>44713</v>
      </c>
      <c r="R537" s="82">
        <f t="shared" si="146"/>
        <v>5.4347826086956443</v>
      </c>
      <c r="S537" s="162">
        <f>IF(INDEX([1]Historical!$D$7:$D$1229,MATCH(B537,[1]Historical!$B$7:$B$1253,0))=0,"n/a",(INDEX([1]Historical!$C$7:$C$1231,MATCH(B537,[1]Historical!$B$7:$B$1253,0))/INDEX([1]Historical!$D$7:$D$1229,MATCH(B537,[1]Historical!$B$7:$B$1253,0))-1)*100)</f>
        <v>0.55555555555555358</v>
      </c>
      <c r="T537" s="162">
        <f>IF(INDEX([1]Historical!$F$7:$F$1222,MATCH(B537,[1]Historical!$B$7:$B$1253,0))=0,"n/a",((INDEX([1]Historical!$C$7:$C$1231,MATCH(B537,[1]Historical!$B$7:$B$1253,0))/INDEX([1]Historical!$F$7:$F$1222,MATCH(B537,[1]Historical!$B$7:$B$1253,0)))^(1/3)-1)*100)</f>
        <v>5.3049918609948898</v>
      </c>
      <c r="U537" s="162">
        <f>IF(INDEX([1]Historical!$H$7:$H$1222,MATCH(B537,[1]Historical!$B$7:$B$1253,0))=0,"n/a",((INDEX([1]Historical!$C$7:$C$1231,MATCH(B537,[1]Historical!$B$7:$B$1253,0))/INDEX([1]Historical!$H$7:$H$1222,MATCH(B537,[1]Historical!$B$7:$B$1253,0)))^(1/5)-1)*100)</f>
        <v>8.1206124838088876</v>
      </c>
      <c r="V537" s="162" t="str">
        <f>IF(INDEX([1]Historical!$N$7:$N$1222,MATCH(B537,[1]Historical!$B$7:$B$1253,0))=0,"n/a",((INDEX([1]Historical!$C$7:$C$1231,MATCH(B537,[1]Historical!$B$7:$B$1253,0))/INDEX([1]Historical!$N$7:$N$1222,MATCH(B537,[1]Historical!$B$7:$B$1253,0)))^(1/10)-1)*100)</f>
        <v>n/a</v>
      </c>
      <c r="W537" s="163" t="str">
        <f t="shared" si="147"/>
        <v>n/a</v>
      </c>
      <c r="X537" s="164">
        <f t="shared" si="148"/>
        <v>27.068708279362959</v>
      </c>
      <c r="Y537" s="180"/>
      <c r="Z537" s="157">
        <f t="shared" si="149"/>
        <v>33.419465977605512</v>
      </c>
      <c r="AA537" s="166">
        <f t="shared" si="150"/>
        <v>8.9827734711455651</v>
      </c>
      <c r="AB537" s="126">
        <v>12</v>
      </c>
      <c r="AC537" s="167">
        <v>11.61</v>
      </c>
      <c r="AD537" s="167">
        <v>1.43</v>
      </c>
      <c r="AE537" s="167">
        <v>0.34</v>
      </c>
      <c r="AF537" s="167">
        <v>2.0699999999999998</v>
      </c>
      <c r="AG537" s="167">
        <v>26</v>
      </c>
      <c r="AH537" s="167">
        <v>132.69999999999999</v>
      </c>
      <c r="AI537" s="167">
        <v>-30</v>
      </c>
      <c r="AJ537" s="167">
        <v>0.3</v>
      </c>
      <c r="AK537" s="167">
        <v>6.3</v>
      </c>
      <c r="AL537" s="168">
        <v>49820</v>
      </c>
      <c r="AM537" s="169">
        <v>0.2</v>
      </c>
      <c r="AN537" s="167">
        <v>0.53</v>
      </c>
      <c r="AO537" s="170">
        <f t="shared" si="151"/>
        <v>2.858234064921449</v>
      </c>
      <c r="AP537" s="171">
        <f t="shared" si="152"/>
        <v>11.841007536067014</v>
      </c>
      <c r="AQ537" s="172">
        <f t="shared" si="153"/>
        <v>-9.0926207975726481</v>
      </c>
      <c r="AR537" s="157">
        <f>INDEX([1]Historical!$C$7:$C$1231,MATCH(B537,[1]Historical!$B$7:$B$1253,0))*IF(AH537="n/a",1.03,IF(AH537&lt;0,1.01,IF(AH537&gt;10,1.1,(1+AH537/100))))</f>
        <v>3.9820000000000007</v>
      </c>
      <c r="AS537" s="166">
        <f t="shared" si="154"/>
        <v>4.0218200000000008</v>
      </c>
      <c r="AT537" s="166">
        <f t="shared" si="159"/>
        <v>4.2751946600000004</v>
      </c>
      <c r="AU537" s="166">
        <f t="shared" si="159"/>
        <v>4.5445319235800001</v>
      </c>
      <c r="AV537" s="166">
        <f t="shared" si="159"/>
        <v>4.8308374347655398</v>
      </c>
      <c r="AW537" s="157">
        <f t="shared" si="156"/>
        <v>21.654384018345539</v>
      </c>
      <c r="AX537" s="173">
        <f t="shared" si="157"/>
        <v>20.763624526172727</v>
      </c>
      <c r="AY537" s="174">
        <v>1.43</v>
      </c>
      <c r="AZ537" s="169">
        <v>55.47</v>
      </c>
      <c r="BA537" s="169">
        <v>-6.2799999999999994</v>
      </c>
      <c r="BB537" s="169">
        <v>16.39</v>
      </c>
      <c r="BC537" s="169">
        <v>18.02</v>
      </c>
      <c r="BD537" s="100"/>
      <c r="BE537" s="77">
        <v>2012</v>
      </c>
      <c r="BF537" s="77">
        <f t="shared" si="158"/>
        <v>1</v>
      </c>
      <c r="BG537" s="175">
        <v>9.1999999999999993</v>
      </c>
      <c r="BH537" t="s">
        <v>939</v>
      </c>
      <c r="BI537" t="s">
        <v>940</v>
      </c>
      <c r="BJ537"/>
      <c r="BK537"/>
      <c r="BL537"/>
    </row>
    <row r="538" spans="1:64" s="112" customFormat="1" ht="12.75" customHeight="1" x14ac:dyDescent="0.2">
      <c r="A538" s="176" t="s">
        <v>1595</v>
      </c>
      <c r="B538" s="239" t="s">
        <v>429</v>
      </c>
      <c r="C538" s="154" t="s">
        <v>922</v>
      </c>
      <c r="D538" s="154" t="s">
        <v>950</v>
      </c>
      <c r="E538" s="155">
        <v>20</v>
      </c>
      <c r="F538" s="298">
        <v>178</v>
      </c>
      <c r="G538" s="298" t="s">
        <v>30</v>
      </c>
      <c r="H538" s="298" t="s">
        <v>104</v>
      </c>
      <c r="I538" s="156">
        <v>117.66</v>
      </c>
      <c r="J538" s="157">
        <f t="shared" si="144"/>
        <v>2.5497195308516063</v>
      </c>
      <c r="K538" s="158">
        <v>0.75</v>
      </c>
      <c r="L538" s="126">
        <v>4</v>
      </c>
      <c r="M538" s="82">
        <f t="shared" si="145"/>
        <v>3</v>
      </c>
      <c r="N538" s="159" t="s">
        <v>231</v>
      </c>
      <c r="O538" s="160">
        <v>0.68</v>
      </c>
      <c r="P538" s="161">
        <v>44713</v>
      </c>
      <c r="Q538" s="161">
        <v>44735</v>
      </c>
      <c r="R538" s="82">
        <f t="shared" si="146"/>
        <v>10.294117647058815</v>
      </c>
      <c r="S538" s="162">
        <f>IF(INDEX([1]Historical!$D$7:$D$1229,MATCH(B538,[1]Historical!$B$7:$B$1253,0))=0,"n/a",(INDEX([1]Historical!$C$7:$C$1231,MATCH(B538,[1]Historical!$B$7:$B$1253,0))/INDEX([1]Historical!$D$7:$D$1229,MATCH(B538,[1]Historical!$B$7:$B$1253,0))-1)*100)</f>
        <v>5.836575875486405</v>
      </c>
      <c r="T538" s="162">
        <f>IF(INDEX([1]Historical!$F$7:$F$1222,MATCH(B538,[1]Historical!$B$7:$B$1253,0))=0,"n/a",((INDEX([1]Historical!$C$7:$C$1231,MATCH(B538,[1]Historical!$B$7:$B$1253,0))/INDEX([1]Historical!$F$7:$F$1222,MATCH(B538,[1]Historical!$B$7:$B$1253,0)))^(1/3)-1)*100)</f>
        <v>3.8295272967835414</v>
      </c>
      <c r="U538" s="162">
        <f>IF(INDEX([1]Historical!$H$7:$H$1222,MATCH(B538,[1]Historical!$B$7:$B$1253,0))=0,"n/a",((INDEX([1]Historical!$C$7:$C$1231,MATCH(B538,[1]Historical!$B$7:$B$1253,0))/INDEX([1]Historical!$H$7:$H$1222,MATCH(B538,[1]Historical!$B$7:$B$1253,0)))^(1/5)-1)*100)</f>
        <v>5.6135672318769814</v>
      </c>
      <c r="V538" s="162">
        <f>IF(INDEX([1]Historical!$N$7:$N$1222,MATCH(B538,[1]Historical!$B$7:$B$1253,0))=0,"n/a",((INDEX([1]Historical!$C$7:$C$1231,MATCH(B538,[1]Historical!$B$7:$B$1253,0))/INDEX([1]Historical!$N$7:$N$1222,MATCH(B538,[1]Historical!$B$7:$B$1253,0)))^(1/10)-1)*100)</f>
        <v>12.535162620107855</v>
      </c>
      <c r="W538" s="163">
        <f t="shared" si="147"/>
        <v>0.4478256407198235</v>
      </c>
      <c r="X538" s="164">
        <f t="shared" si="148"/>
        <v>0.35984405332544755</v>
      </c>
      <c r="Y538" s="180"/>
      <c r="Z538" s="157">
        <f t="shared" si="149"/>
        <v>26.572187776793626</v>
      </c>
      <c r="AA538" s="166">
        <f t="shared" si="150"/>
        <v>10.42161204605846</v>
      </c>
      <c r="AB538" s="126">
        <v>9</v>
      </c>
      <c r="AC538" s="167">
        <v>11.29</v>
      </c>
      <c r="AD538" s="167">
        <v>0.95</v>
      </c>
      <c r="AE538" s="167">
        <v>3.06</v>
      </c>
      <c r="AF538" s="167">
        <v>8.34</v>
      </c>
      <c r="AG538" s="167">
        <v>101.49999999999999</v>
      </c>
      <c r="AH538" s="167">
        <v>74</v>
      </c>
      <c r="AI538" s="167">
        <v>2.41</v>
      </c>
      <c r="AJ538" s="167">
        <v>15.6</v>
      </c>
      <c r="AK538" s="167">
        <v>11.09</v>
      </c>
      <c r="AL538" s="168">
        <v>128810</v>
      </c>
      <c r="AM538" s="169">
        <v>0.13999999999999999</v>
      </c>
      <c r="AN538" s="167">
        <v>0.97</v>
      </c>
      <c r="AO538" s="170">
        <f t="shared" si="151"/>
        <v>-2.2583252833298726</v>
      </c>
      <c r="AP538" s="171">
        <f t="shared" si="152"/>
        <v>8.1632867627285872</v>
      </c>
      <c r="AQ538" s="172">
        <f t="shared" si="153"/>
        <v>96.543740638201683</v>
      </c>
      <c r="AR538" s="157">
        <f>INDEX([1]Historical!$C$7:$C$1231,MATCH(B538,[1]Historical!$B$7:$B$1253,0))*IF(AH538="n/a",1.03,IF(AH538&lt;0,1.01,IF(AH538&gt;10,1.1,(1+AH538/100))))</f>
        <v>2.9920000000000004</v>
      </c>
      <c r="AS538" s="166">
        <f t="shared" si="154"/>
        <v>3.0641072000000005</v>
      </c>
      <c r="AT538" s="166">
        <f t="shared" si="159"/>
        <v>3.3705179200000006</v>
      </c>
      <c r="AU538" s="166">
        <f t="shared" si="159"/>
        <v>3.7075697120000011</v>
      </c>
      <c r="AV538" s="166">
        <f t="shared" si="159"/>
        <v>4.0783266832000011</v>
      </c>
      <c r="AW538" s="157">
        <f t="shared" si="156"/>
        <v>17.212521515200006</v>
      </c>
      <c r="AX538" s="173">
        <f t="shared" si="157"/>
        <v>14.629034094169647</v>
      </c>
      <c r="AY538" s="174">
        <v>1.26</v>
      </c>
      <c r="AZ538" s="169">
        <v>12.42</v>
      </c>
      <c r="BA538" s="169">
        <v>-39.22</v>
      </c>
      <c r="BB538" s="169">
        <v>-5.04</v>
      </c>
      <c r="BC538" s="169">
        <v>-17.29</v>
      </c>
      <c r="BD538" s="100"/>
      <c r="BE538" s="77">
        <v>2003</v>
      </c>
      <c r="BF538" s="77">
        <f t="shared" si="158"/>
        <v>2</v>
      </c>
      <c r="BG538" s="175">
        <v>29.299999999999997</v>
      </c>
      <c r="BH538" t="s">
        <v>939</v>
      </c>
      <c r="BI538" t="s">
        <v>940</v>
      </c>
      <c r="BJ538"/>
      <c r="BK538"/>
      <c r="BL538"/>
    </row>
    <row r="539" spans="1:64" s="112" customFormat="1" ht="12.75" customHeight="1" x14ac:dyDescent="0.2">
      <c r="A539" s="112" t="s">
        <v>605</v>
      </c>
      <c r="B539" s="239" t="s">
        <v>604</v>
      </c>
      <c r="C539" s="154" t="s">
        <v>90</v>
      </c>
      <c r="D539" s="154" t="s">
        <v>969</v>
      </c>
      <c r="E539" s="155">
        <v>12</v>
      </c>
      <c r="F539" s="298">
        <v>347</v>
      </c>
      <c r="G539" s="298" t="s">
        <v>88</v>
      </c>
      <c r="H539" s="298" t="s">
        <v>88</v>
      </c>
      <c r="I539" s="156">
        <v>26.85</v>
      </c>
      <c r="J539" s="157">
        <f t="shared" si="144"/>
        <v>5.3631284916201105</v>
      </c>
      <c r="K539" s="158">
        <v>0.36</v>
      </c>
      <c r="L539" s="126">
        <v>4</v>
      </c>
      <c r="M539" s="82">
        <f t="shared" si="145"/>
        <v>1.44</v>
      </c>
      <c r="N539" s="159" t="s">
        <v>119</v>
      </c>
      <c r="O539" s="160">
        <v>0.35</v>
      </c>
      <c r="P539" s="161">
        <v>44630</v>
      </c>
      <c r="Q539" s="161">
        <v>44645</v>
      </c>
      <c r="R539" s="82">
        <f t="shared" si="146"/>
        <v>2.8571428571428599</v>
      </c>
      <c r="S539" s="162">
        <f>IF(INDEX([1]Historical!$D$7:$D$1229,MATCH(B539,[1]Historical!$B$7:$B$1253,0))=0,"n/a",(INDEX([1]Historical!$C$7:$C$1231,MATCH(B539,[1]Historical!$B$7:$B$1253,0))/INDEX([1]Historical!$D$7:$D$1229,MATCH(B539,[1]Historical!$B$7:$B$1253,0))-1)*100)</f>
        <v>2.9411764705882248</v>
      </c>
      <c r="T539" s="162">
        <f>IF(INDEX([1]Historical!$F$7:$F$1222,MATCH(B539,[1]Historical!$B$7:$B$1253,0))=0,"n/a",((INDEX([1]Historical!$C$7:$C$1231,MATCH(B539,[1]Historical!$B$7:$B$1253,0))/INDEX([1]Historical!$F$7:$F$1222,MATCH(B539,[1]Historical!$B$7:$B$1253,0)))^(1/3)-1)*100)</f>
        <v>3.0321324952139239</v>
      </c>
      <c r="U539" s="162">
        <f>IF(INDEX([1]Historical!$H$7:$H$1222,MATCH(B539,[1]Historical!$B$7:$B$1253,0))=0,"n/a",((INDEX([1]Historical!$C$7:$C$1231,MATCH(B539,[1]Historical!$B$7:$B$1253,0))/INDEX([1]Historical!$H$7:$H$1222,MATCH(B539,[1]Historical!$B$7:$B$1253,0)))^(1/5)-1)*100)</f>
        <v>3.1310306477545069</v>
      </c>
      <c r="V539" s="162">
        <f>IF(INDEX([1]Historical!$N$7:$N$1222,MATCH(B539,[1]Historical!$B$7:$B$1253,0))=0,"n/a",((INDEX([1]Historical!$C$7:$C$1231,MATCH(B539,[1]Historical!$B$7:$B$1253,0))/INDEX([1]Historical!$N$7:$N$1222,MATCH(B539,[1]Historical!$B$7:$B$1253,0)))^(1/10)-1)*100)</f>
        <v>3.4219694129380196</v>
      </c>
      <c r="W539" s="163">
        <f t="shared" si="147"/>
        <v>0.91497914502581135</v>
      </c>
      <c r="X539" s="164" t="str">
        <f t="shared" si="148"/>
        <v>n/a</v>
      </c>
      <c r="Y539" s="214"/>
      <c r="Z539" s="157" t="str">
        <f t="shared" si="149"/>
        <v>n/a</v>
      </c>
      <c r="AA539" s="166" t="str">
        <f t="shared" si="150"/>
        <v>n/a</v>
      </c>
      <c r="AB539" s="126">
        <v>12</v>
      </c>
      <c r="AC539" s="167" t="s">
        <v>95</v>
      </c>
      <c r="AD539" s="167" t="s">
        <v>95</v>
      </c>
      <c r="AE539" s="167" t="s">
        <v>95</v>
      </c>
      <c r="AF539" s="167" t="s">
        <v>95</v>
      </c>
      <c r="AG539" s="167" t="s">
        <v>95</v>
      </c>
      <c r="AH539" s="167" t="s">
        <v>95</v>
      </c>
      <c r="AI539" s="167" t="s">
        <v>95</v>
      </c>
      <c r="AJ539" s="167" t="s">
        <v>95</v>
      </c>
      <c r="AK539" s="167" t="s">
        <v>95</v>
      </c>
      <c r="AL539" s="168" t="s">
        <v>95</v>
      </c>
      <c r="AM539" s="169" t="s">
        <v>95</v>
      </c>
      <c r="AN539" s="167" t="s">
        <v>95</v>
      </c>
      <c r="AO539" s="170" t="str">
        <f t="shared" si="151"/>
        <v>n/a</v>
      </c>
      <c r="AP539" s="171">
        <f t="shared" si="152"/>
        <v>8.4941591393746165</v>
      </c>
      <c r="AQ539" s="172" t="str">
        <f t="shared" si="153"/>
        <v>n/a</v>
      </c>
      <c r="AR539" s="157">
        <f>INDEX([1]Historical!$C$7:$C$1231,MATCH(B539,[1]Historical!$B$7:$B$1253,0))*IF(AH539="n/a",1.03,IF(AH539&lt;0,1.01,IF(AH539&gt;10,1.1,(1+AH539/100))))</f>
        <v>1.4419999999999999</v>
      </c>
      <c r="AS539" s="166">
        <f t="shared" si="154"/>
        <v>1.48526</v>
      </c>
      <c r="AT539" s="166">
        <f t="shared" si="159"/>
        <v>1.5298178</v>
      </c>
      <c r="AU539" s="166">
        <f t="shared" si="159"/>
        <v>1.5757123340000001</v>
      </c>
      <c r="AV539" s="166">
        <f t="shared" si="159"/>
        <v>1.6229837040200001</v>
      </c>
      <c r="AW539" s="157">
        <f t="shared" si="156"/>
        <v>7.6557738380200009</v>
      </c>
      <c r="AX539" s="173">
        <f t="shared" si="157"/>
        <v>28.513124163947861</v>
      </c>
      <c r="AY539" s="174" t="s">
        <v>95</v>
      </c>
      <c r="AZ539" s="169" t="s">
        <v>95</v>
      </c>
      <c r="BA539" s="169" t="s">
        <v>95</v>
      </c>
      <c r="BB539" s="169" t="s">
        <v>95</v>
      </c>
      <c r="BC539" s="169" t="s">
        <v>95</v>
      </c>
      <c r="BD539" s="100" t="s">
        <v>932</v>
      </c>
      <c r="BE539" s="77">
        <v>2011</v>
      </c>
      <c r="BF539" s="77">
        <f t="shared" si="158"/>
        <v>1</v>
      </c>
      <c r="BG539" s="175" t="s">
        <v>95</v>
      </c>
      <c r="BH539" t="s">
        <v>939</v>
      </c>
      <c r="BI539" t="s">
        <v>940</v>
      </c>
      <c r="BJ539"/>
      <c r="BK539"/>
      <c r="BL539"/>
    </row>
    <row r="540" spans="1:64" s="112" customFormat="1" ht="12.75" customHeight="1" x14ac:dyDescent="0.2">
      <c r="A540" s="176" t="s">
        <v>1596</v>
      </c>
      <c r="B540" s="153" t="s">
        <v>427</v>
      </c>
      <c r="C540" s="154" t="s">
        <v>90</v>
      </c>
      <c r="D540" s="154" t="s">
        <v>959</v>
      </c>
      <c r="E540" s="155">
        <v>15</v>
      </c>
      <c r="F540" s="298">
        <v>253</v>
      </c>
      <c r="G540" s="298" t="s">
        <v>88</v>
      </c>
      <c r="H540" s="298" t="s">
        <v>88</v>
      </c>
      <c r="I540" s="156">
        <v>22.25</v>
      </c>
      <c r="J540" s="157">
        <f t="shared" si="144"/>
        <v>2.3370786516853932</v>
      </c>
      <c r="K540" s="158">
        <v>0.13</v>
      </c>
      <c r="L540" s="126">
        <v>4</v>
      </c>
      <c r="M540" s="82">
        <f t="shared" si="145"/>
        <v>0.52</v>
      </c>
      <c r="N540" s="159" t="s">
        <v>281</v>
      </c>
      <c r="O540" s="160">
        <v>0.11</v>
      </c>
      <c r="P540" s="161">
        <v>44673</v>
      </c>
      <c r="Q540" s="161">
        <v>44690</v>
      </c>
      <c r="R540" s="82">
        <f t="shared" si="146"/>
        <v>18.181818181818183</v>
      </c>
      <c r="S540" s="162">
        <f>IF(INDEX([1]Historical!$D$7:$D$1229,MATCH(B540,[1]Historical!$B$7:$B$1253,0))=0,"n/a",(INDEX([1]Historical!$C$7:$C$1231,MATCH(B540,[1]Historical!$B$7:$B$1253,0))/INDEX([1]Historical!$D$7:$D$1229,MATCH(B540,[1]Historical!$B$7:$B$1253,0))-1)*100)</f>
        <v>16.666666666666675</v>
      </c>
      <c r="T540" s="162">
        <f>IF(INDEX([1]Historical!$F$7:$F$1222,MATCH(B540,[1]Historical!$B$7:$B$1253,0))=0,"n/a",((INDEX([1]Historical!$C$7:$C$1231,MATCH(B540,[1]Historical!$B$7:$B$1253,0))/INDEX([1]Historical!$F$7:$F$1222,MATCH(B540,[1]Historical!$B$7:$B$1253,0)))^(1/3)-1)*100)</f>
        <v>17.33438845558204</v>
      </c>
      <c r="U540" s="162">
        <f>IF(INDEX([1]Historical!$H$7:$H$1222,MATCH(B540,[1]Historical!$B$7:$B$1253,0))=0,"n/a",((INDEX([1]Historical!$C$7:$C$1231,MATCH(B540,[1]Historical!$B$7:$B$1253,0))/INDEX([1]Historical!$H$7:$H$1222,MATCH(B540,[1]Historical!$B$7:$B$1253,0)))^(1/5)-1)*100)</f>
        <v>21.672868378641152</v>
      </c>
      <c r="V540" s="162">
        <f>IF(INDEX([1]Historical!$N$7:$N$1222,MATCH(B540,[1]Historical!$B$7:$B$1253,0))=0,"n/a",((INDEX([1]Historical!$C$7:$C$1231,MATCH(B540,[1]Historical!$B$7:$B$1253,0))/INDEX([1]Historical!$N$7:$N$1222,MATCH(B540,[1]Historical!$B$7:$B$1253,0)))^(1/10)-1)*100)</f>
        <v>20.058953021849813</v>
      </c>
      <c r="W540" s="163">
        <f t="shared" si="147"/>
        <v>1.0804586039477402</v>
      </c>
      <c r="X540" s="164" t="str">
        <f t="shared" si="148"/>
        <v>n/a</v>
      </c>
      <c r="Y540" s="180"/>
      <c r="Z540" s="157" t="str">
        <f t="shared" si="149"/>
        <v>n/a</v>
      </c>
      <c r="AA540" s="166" t="str">
        <f t="shared" si="150"/>
        <v>n/a</v>
      </c>
      <c r="AB540" s="126">
        <v>12</v>
      </c>
      <c r="AC540" s="167" t="s">
        <v>95</v>
      </c>
      <c r="AD540" s="167" t="s">
        <v>95</v>
      </c>
      <c r="AE540" s="167" t="s">
        <v>95</v>
      </c>
      <c r="AF540" s="167" t="s">
        <v>95</v>
      </c>
      <c r="AG540" s="167" t="s">
        <v>95</v>
      </c>
      <c r="AH540" s="167" t="s">
        <v>95</v>
      </c>
      <c r="AI540" s="167" t="s">
        <v>95</v>
      </c>
      <c r="AJ540" s="167" t="s">
        <v>95</v>
      </c>
      <c r="AK540" s="167" t="s">
        <v>95</v>
      </c>
      <c r="AL540" s="168" t="s">
        <v>95</v>
      </c>
      <c r="AM540" s="169" t="s">
        <v>95</v>
      </c>
      <c r="AN540" s="167" t="s">
        <v>95</v>
      </c>
      <c r="AO540" s="170" t="str">
        <f t="shared" si="151"/>
        <v>n/a</v>
      </c>
      <c r="AP540" s="171">
        <f t="shared" si="152"/>
        <v>24.009947030326543</v>
      </c>
      <c r="AQ540" s="172" t="str">
        <f t="shared" si="153"/>
        <v>n/a</v>
      </c>
      <c r="AR540" s="157">
        <f>INDEX([1]Historical!$C$7:$C$1231,MATCH(B540,[1]Historical!$B$7:$B$1253,0))*IF(AH540="n/a",1.03,IF(AH540&lt;0,1.01,IF(AH540&gt;10,1.1,(1+AH540/100))))</f>
        <v>0.43259999999999998</v>
      </c>
      <c r="AS540" s="166">
        <f t="shared" si="154"/>
        <v>0.44557799999999997</v>
      </c>
      <c r="AT540" s="166">
        <f t="shared" si="159"/>
        <v>0.45894533999999998</v>
      </c>
      <c r="AU540" s="166">
        <f t="shared" si="159"/>
        <v>0.47271370019999998</v>
      </c>
      <c r="AV540" s="166">
        <f t="shared" si="159"/>
        <v>0.48689511120599999</v>
      </c>
      <c r="AW540" s="157">
        <f t="shared" si="156"/>
        <v>2.2967321514059997</v>
      </c>
      <c r="AX540" s="173">
        <f t="shared" si="157"/>
        <v>10.322391691712358</v>
      </c>
      <c r="AY540" s="174" t="s">
        <v>95</v>
      </c>
      <c r="AZ540" s="169" t="s">
        <v>95</v>
      </c>
      <c r="BA540" s="169" t="s">
        <v>95</v>
      </c>
      <c r="BB540" s="169" t="s">
        <v>95</v>
      </c>
      <c r="BC540" s="169" t="s">
        <v>95</v>
      </c>
      <c r="BD540" s="100" t="s">
        <v>932</v>
      </c>
      <c r="BE540" s="77">
        <v>2008</v>
      </c>
      <c r="BF540" s="77">
        <f t="shared" si="158"/>
        <v>2</v>
      </c>
      <c r="BG540" s="175" t="s">
        <v>95</v>
      </c>
      <c r="BH540" t="s">
        <v>939</v>
      </c>
      <c r="BI540" t="s">
        <v>940</v>
      </c>
      <c r="BJ540"/>
      <c r="BK540"/>
      <c r="BL540"/>
    </row>
    <row r="541" spans="1:64" s="112" customFormat="1" ht="12.75" customHeight="1" x14ac:dyDescent="0.2">
      <c r="A541" s="112" t="s">
        <v>1174</v>
      </c>
      <c r="B541" s="153" t="s">
        <v>1175</v>
      </c>
      <c r="C541" s="154" t="s">
        <v>100</v>
      </c>
      <c r="D541" s="154" t="s">
        <v>991</v>
      </c>
      <c r="E541" s="155">
        <v>8</v>
      </c>
      <c r="F541" s="298">
        <v>586</v>
      </c>
      <c r="G541" s="298" t="s">
        <v>88</v>
      </c>
      <c r="H541" s="298" t="s">
        <v>88</v>
      </c>
      <c r="I541" s="156">
        <v>59.38</v>
      </c>
      <c r="J541" s="157">
        <f t="shared" si="144"/>
        <v>3.6375884136072756</v>
      </c>
      <c r="K541" s="158">
        <v>0.54</v>
      </c>
      <c r="L541" s="126">
        <v>4</v>
      </c>
      <c r="M541" s="82">
        <f t="shared" si="145"/>
        <v>2.16</v>
      </c>
      <c r="N541" s="159" t="s">
        <v>1176</v>
      </c>
      <c r="O541" s="160">
        <v>0.53</v>
      </c>
      <c r="P541" s="161">
        <v>44642</v>
      </c>
      <c r="Q541" s="161">
        <v>44657</v>
      </c>
      <c r="R541" s="82">
        <f t="shared" si="146"/>
        <v>1.8867924528301903</v>
      </c>
      <c r="S541" s="162">
        <f>IF(INDEX([1]Historical!$D$7:$D$1229,MATCH(B541,[1]Historical!$B$7:$B$1253,0))=0,"n/a",(INDEX([1]Historical!$C$7:$C$1231,MATCH(B541,[1]Historical!$B$7:$B$1253,0))/INDEX([1]Historical!$D$7:$D$1229,MATCH(B541,[1]Historical!$B$7:$B$1253,0))-1)*100)</f>
        <v>2.4271844660194164</v>
      </c>
      <c r="T541" s="162">
        <f>IF(INDEX([1]Historical!$F$7:$F$1222,MATCH(B541,[1]Historical!$B$7:$B$1253,0))=0,"n/a",((INDEX([1]Historical!$C$7:$C$1231,MATCH(B541,[1]Historical!$B$7:$B$1253,0))/INDEX([1]Historical!$F$7:$F$1222,MATCH(B541,[1]Historical!$B$7:$B$1253,0)))^(1/3)-1)*100)</f>
        <v>5.4394948834225909</v>
      </c>
      <c r="U541" s="162">
        <f>IF(INDEX([1]Historical!$H$7:$H$1222,MATCH(B541,[1]Historical!$B$7:$B$1253,0))=0,"n/a",((INDEX([1]Historical!$C$7:$C$1231,MATCH(B541,[1]Historical!$B$7:$B$1253,0))/INDEX([1]Historical!$H$7:$H$1222,MATCH(B541,[1]Historical!$B$7:$B$1253,0)))^(1/5)-1)*100)</f>
        <v>27.755072617640366</v>
      </c>
      <c r="V541" s="162" t="str">
        <f>IF(INDEX([1]Historical!$N$7:$N$1222,MATCH(B541,[1]Historical!$B$7:$B$1253,0))=0,"n/a",((INDEX([1]Historical!$C$7:$C$1231,MATCH(B541,[1]Historical!$B$7:$B$1253,0))/INDEX([1]Historical!$N$7:$N$1222,MATCH(B541,[1]Historical!$B$7:$B$1253,0)))^(1/10)-1)*100)</f>
        <v>n/a</v>
      </c>
      <c r="W541" s="163" t="str">
        <f t="shared" si="147"/>
        <v>n/a</v>
      </c>
      <c r="X541" s="164">
        <f t="shared" si="148"/>
        <v>2.1187078334076612</v>
      </c>
      <c r="Y541" s="178"/>
      <c r="Z541" s="157">
        <f t="shared" si="149"/>
        <v>82.44274809160305</v>
      </c>
      <c r="AA541" s="166">
        <f t="shared" si="150"/>
        <v>22.664122137404579</v>
      </c>
      <c r="AB541" s="126">
        <v>12</v>
      </c>
      <c r="AC541" s="167">
        <v>2.62</v>
      </c>
      <c r="AD541" s="167">
        <v>2.87</v>
      </c>
      <c r="AE541" s="167">
        <v>2.92</v>
      </c>
      <c r="AF541" s="167">
        <v>8.25</v>
      </c>
      <c r="AG541" s="167">
        <v>35.4</v>
      </c>
      <c r="AH541" s="167">
        <v>68.400000000000006</v>
      </c>
      <c r="AI541" s="167">
        <v>5.26</v>
      </c>
      <c r="AJ541" s="167">
        <v>13.100000000000001</v>
      </c>
      <c r="AK541" s="167">
        <v>7.89</v>
      </c>
      <c r="AL541" s="168">
        <v>17900</v>
      </c>
      <c r="AM541" s="169">
        <v>0.4</v>
      </c>
      <c r="AN541" s="167">
        <v>6.02</v>
      </c>
      <c r="AO541" s="170">
        <f t="shared" si="151"/>
        <v>8.7285388938430621</v>
      </c>
      <c r="AP541" s="171">
        <f t="shared" si="152"/>
        <v>31.392661031247641</v>
      </c>
      <c r="AQ541" s="172">
        <f t="shared" si="153"/>
        <v>188.27379549741156</v>
      </c>
      <c r="AR541" s="157">
        <f>INDEX([1]Historical!$C$7:$C$1231,MATCH(B541,[1]Historical!$B$7:$B$1253,0))*IF(AH541="n/a",1.03,IF(AH541&lt;0,1.01,IF(AH541&gt;10,1.1,(1+AH541/100))))</f>
        <v>2.3210000000000002</v>
      </c>
      <c r="AS541" s="166">
        <f t="shared" si="154"/>
        <v>2.4430846000000002</v>
      </c>
      <c r="AT541" s="166">
        <f t="shared" si="159"/>
        <v>2.6358439749400002</v>
      </c>
      <c r="AU541" s="166">
        <f t="shared" si="159"/>
        <v>2.843812064562766</v>
      </c>
      <c r="AV541" s="166">
        <f t="shared" si="159"/>
        <v>3.068188836456768</v>
      </c>
      <c r="AW541" s="157">
        <f t="shared" si="156"/>
        <v>13.311929475959534</v>
      </c>
      <c r="AX541" s="173">
        <f t="shared" si="157"/>
        <v>22.418203900234985</v>
      </c>
      <c r="AY541" s="174">
        <v>0.96</v>
      </c>
      <c r="AZ541" s="169">
        <v>27.21</v>
      </c>
      <c r="BA541" s="169">
        <v>-3.9</v>
      </c>
      <c r="BB541" s="169">
        <v>3.9800000000000004</v>
      </c>
      <c r="BC541" s="169">
        <v>7.06</v>
      </c>
      <c r="BD541" s="100"/>
      <c r="BE541" s="77">
        <v>2015</v>
      </c>
      <c r="BF541" s="77">
        <f t="shared" si="158"/>
        <v>1</v>
      </c>
      <c r="BG541" s="175">
        <v>3.5999999999999996</v>
      </c>
      <c r="BH541" t="s">
        <v>939</v>
      </c>
      <c r="BI541" t="s">
        <v>940</v>
      </c>
    </row>
    <row r="542" spans="1:64" s="112" customFormat="1" ht="12.75" customHeight="1" x14ac:dyDescent="0.2">
      <c r="A542" s="176" t="s">
        <v>1597</v>
      </c>
      <c r="B542" s="153" t="s">
        <v>446</v>
      </c>
      <c r="C542" s="154" t="s">
        <v>94</v>
      </c>
      <c r="D542" s="154" t="s">
        <v>1022</v>
      </c>
      <c r="E542" s="155">
        <v>18</v>
      </c>
      <c r="F542" s="298">
        <v>222</v>
      </c>
      <c r="G542" s="298" t="s">
        <v>104</v>
      </c>
      <c r="H542" s="298" t="s">
        <v>104</v>
      </c>
      <c r="I542" s="156">
        <v>80.510000000000005</v>
      </c>
      <c r="J542" s="157">
        <f t="shared" si="144"/>
        <v>3.0803626878648611</v>
      </c>
      <c r="K542" s="158">
        <v>0.62</v>
      </c>
      <c r="L542" s="126">
        <v>4</v>
      </c>
      <c r="M542" s="82">
        <f t="shared" si="145"/>
        <v>2.48</v>
      </c>
      <c r="N542" s="159" t="s">
        <v>186</v>
      </c>
      <c r="O542" s="160">
        <v>0.57999999999999996</v>
      </c>
      <c r="P542" s="161">
        <v>44792</v>
      </c>
      <c r="Q542" s="161">
        <v>44820</v>
      </c>
      <c r="R542" s="82">
        <f t="shared" si="146"/>
        <v>6.8965517241379377</v>
      </c>
      <c r="S542" s="162">
        <f>IF(INDEX([1]Historical!$D$7:$D$1229,MATCH(B542,[1]Historical!$B$7:$B$1253,0))=0,"n/a",(INDEX([1]Historical!$C$7:$C$1231,MATCH(B542,[1]Historical!$B$7:$B$1253,0))/INDEX([1]Historical!$D$7:$D$1229,MATCH(B542,[1]Historical!$B$7:$B$1253,0))-1)*100)</f>
        <v>1.7857142857142572</v>
      </c>
      <c r="T542" s="162">
        <f>IF(INDEX([1]Historical!$F$7:$F$1222,MATCH(B542,[1]Historical!$B$7:$B$1253,0))=0,"n/a",((INDEX([1]Historical!$C$7:$C$1231,MATCH(B542,[1]Historical!$B$7:$B$1253,0))/INDEX([1]Historical!$F$7:$F$1222,MATCH(B542,[1]Historical!$B$7:$B$1253,0)))^(1/3)-1)*100)</f>
        <v>2.45496171190136</v>
      </c>
      <c r="U542" s="162">
        <f>IF(INDEX([1]Historical!$H$7:$H$1222,MATCH(B542,[1]Historical!$B$7:$B$1253,0))=0,"n/a",((INDEX([1]Historical!$C$7:$C$1231,MATCH(B542,[1]Historical!$B$7:$B$1253,0))/INDEX([1]Historical!$H$7:$H$1222,MATCH(B542,[1]Historical!$B$7:$B$1253,0)))^(1/5)-1)*100)</f>
        <v>6.0467064942837823</v>
      </c>
      <c r="V542" s="162">
        <f>IF(INDEX([1]Historical!$N$7:$N$1222,MATCH(B542,[1]Historical!$B$7:$B$1253,0))=0,"n/a",((INDEX([1]Historical!$C$7:$C$1231,MATCH(B542,[1]Historical!$B$7:$B$1253,0))/INDEX([1]Historical!$N$7:$N$1222,MATCH(B542,[1]Historical!$B$7:$B$1253,0)))^(1/10)-1)*100)</f>
        <v>7.3672136029840241</v>
      </c>
      <c r="W542" s="163">
        <f t="shared" si="147"/>
        <v>0.82075894905973923</v>
      </c>
      <c r="X542" s="164">
        <f t="shared" si="148"/>
        <v>0.41991017321415158</v>
      </c>
      <c r="Y542" s="220"/>
      <c r="Z542" s="157">
        <f t="shared" si="149"/>
        <v>15.261538461538462</v>
      </c>
      <c r="AA542" s="166">
        <f t="shared" si="150"/>
        <v>4.9544615384615387</v>
      </c>
      <c r="AB542" s="126">
        <v>12</v>
      </c>
      <c r="AC542" s="167">
        <v>16.25</v>
      </c>
      <c r="AD542" s="167" t="s">
        <v>95</v>
      </c>
      <c r="AE542" s="167">
        <v>0.36</v>
      </c>
      <c r="AF542" s="167">
        <v>1.35</v>
      </c>
      <c r="AG542" s="167">
        <v>29.5</v>
      </c>
      <c r="AH542" s="167">
        <v>661.7</v>
      </c>
      <c r="AI542" s="167">
        <v>-29.409999999999997</v>
      </c>
      <c r="AJ542" s="167">
        <v>14.399999999999999</v>
      </c>
      <c r="AK542" s="167" t="s">
        <v>95</v>
      </c>
      <c r="AL542" s="168">
        <v>4120</v>
      </c>
      <c r="AM542" s="169">
        <v>0.89999999999999991</v>
      </c>
      <c r="AN542" s="167">
        <v>2.1</v>
      </c>
      <c r="AO542" s="170">
        <f t="shared" si="151"/>
        <v>4.1726076436871047</v>
      </c>
      <c r="AP542" s="171">
        <f t="shared" si="152"/>
        <v>9.1270691821486434</v>
      </c>
      <c r="AQ542" s="172">
        <f t="shared" si="153"/>
        <v>-45.477739196939723</v>
      </c>
      <c r="AR542" s="157">
        <f>INDEX([1]Historical!$C$7:$C$1231,MATCH(B542,[1]Historical!$B$7:$B$1253,0))*IF(AH542="n/a",1.03,IF(AH542&lt;0,1.01,IF(AH542&gt;10,1.1,(1+AH542/100))))</f>
        <v>2.508</v>
      </c>
      <c r="AS542" s="166">
        <f t="shared" si="154"/>
        <v>2.53308</v>
      </c>
      <c r="AT542" s="166">
        <f t="shared" si="159"/>
        <v>2.6090724000000001</v>
      </c>
      <c r="AU542" s="166">
        <f t="shared" si="159"/>
        <v>2.6873445720000002</v>
      </c>
      <c r="AV542" s="166">
        <f t="shared" si="159"/>
        <v>2.7679649091600003</v>
      </c>
      <c r="AW542" s="157">
        <f t="shared" si="156"/>
        <v>13.10546188116</v>
      </c>
      <c r="AX542" s="173">
        <f t="shared" si="157"/>
        <v>16.278054752403428</v>
      </c>
      <c r="AY542" s="174">
        <v>1.59</v>
      </c>
      <c r="AZ542" s="169">
        <v>30.470000000000002</v>
      </c>
      <c r="BA542" s="169">
        <v>-9.91</v>
      </c>
      <c r="BB542" s="169">
        <v>4.79</v>
      </c>
      <c r="BC542" s="169">
        <v>6.16</v>
      </c>
      <c r="BD542" s="100"/>
      <c r="BE542" s="77">
        <v>2005</v>
      </c>
      <c r="BF542" s="77">
        <f t="shared" si="158"/>
        <v>2</v>
      </c>
      <c r="BG542" s="175">
        <v>5.8000000000000007</v>
      </c>
      <c r="BH542" t="s">
        <v>939</v>
      </c>
      <c r="BI542" t="s">
        <v>940</v>
      </c>
      <c r="BJ542"/>
      <c r="BK542"/>
      <c r="BL542"/>
    </row>
    <row r="543" spans="1:64" s="112" customFormat="1" ht="12.75" customHeight="1" x14ac:dyDescent="0.2">
      <c r="A543" s="176" t="s">
        <v>1598</v>
      </c>
      <c r="B543" s="153" t="s">
        <v>436</v>
      </c>
      <c r="C543" s="154" t="s">
        <v>94</v>
      </c>
      <c r="D543" s="154" t="s">
        <v>943</v>
      </c>
      <c r="E543" s="155">
        <v>22</v>
      </c>
      <c r="F543" s="298">
        <v>161</v>
      </c>
      <c r="G543" s="298" t="s">
        <v>88</v>
      </c>
      <c r="H543" s="298" t="s">
        <v>88</v>
      </c>
      <c r="I543" s="156">
        <v>65.33</v>
      </c>
      <c r="J543" s="157">
        <f t="shared" si="144"/>
        <v>1.653145568651462</v>
      </c>
      <c r="K543" s="158">
        <v>0.27</v>
      </c>
      <c r="L543" s="126">
        <v>4</v>
      </c>
      <c r="M543" s="82">
        <f t="shared" si="145"/>
        <v>1.08</v>
      </c>
      <c r="N543" s="159" t="s">
        <v>319</v>
      </c>
      <c r="O543" s="160">
        <v>0.25</v>
      </c>
      <c r="P543" s="161">
        <v>44796</v>
      </c>
      <c r="Q543" s="161">
        <v>44818</v>
      </c>
      <c r="R543" s="82">
        <f t="shared" si="146"/>
        <v>8.0000000000000071</v>
      </c>
      <c r="S543" s="162">
        <f>IF(INDEX([1]Historical!$D$7:$D$1229,MATCH(B543,[1]Historical!$B$7:$B$1253,0))=0,"n/a",(INDEX([1]Historical!$C$7:$C$1231,MATCH(B543,[1]Historical!$B$7:$B$1253,0))/INDEX([1]Historical!$D$7:$D$1229,MATCH(B543,[1]Historical!$B$7:$B$1253,0))-1)*100)</f>
        <v>11.904761904761907</v>
      </c>
      <c r="T543" s="162">
        <f>IF(INDEX([1]Historical!$F$7:$F$1222,MATCH(B543,[1]Historical!$B$7:$B$1253,0))=0,"n/a",((INDEX([1]Historical!$C$7:$C$1231,MATCH(B543,[1]Historical!$B$7:$B$1253,0))/INDEX([1]Historical!$F$7:$F$1222,MATCH(B543,[1]Historical!$B$7:$B$1253,0)))^(1/3)-1)*100)</f>
        <v>10.325677865290107</v>
      </c>
      <c r="U543" s="162">
        <f>IF(INDEX([1]Historical!$H$7:$H$1222,MATCH(B543,[1]Historical!$B$7:$B$1253,0))=0,"n/a",((INDEX([1]Historical!$C$7:$C$1231,MATCH(B543,[1]Historical!$B$7:$B$1253,0))/INDEX([1]Historical!$H$7:$H$1222,MATCH(B543,[1]Historical!$B$7:$B$1253,0)))^(1/5)-1)*100)</f>
        <v>7.3289260123837519</v>
      </c>
      <c r="V543" s="162">
        <f>IF(INDEX([1]Historical!$N$7:$N$1222,MATCH(B543,[1]Historical!$B$7:$B$1253,0))=0,"n/a",((INDEX([1]Historical!$C$7:$C$1231,MATCH(B543,[1]Historical!$B$7:$B$1253,0))/INDEX([1]Historical!$N$7:$N$1222,MATCH(B543,[1]Historical!$B$7:$B$1253,0)))^(1/10)-1)*100)</f>
        <v>8.0099735348794674</v>
      </c>
      <c r="W543" s="163">
        <f t="shared" si="147"/>
        <v>0.91497505958913705</v>
      </c>
      <c r="X543" s="164">
        <f t="shared" si="148"/>
        <v>0.74784959310038279</v>
      </c>
      <c r="Y543" s="234" t="s">
        <v>1177</v>
      </c>
      <c r="Z543" s="157">
        <f t="shared" si="149"/>
        <v>40.909090909090914</v>
      </c>
      <c r="AA543" s="166">
        <f t="shared" si="150"/>
        <v>24.746212121212121</v>
      </c>
      <c r="AB543" s="126">
        <v>12</v>
      </c>
      <c r="AC543" s="167">
        <v>2.64</v>
      </c>
      <c r="AD543" s="167">
        <v>2.08</v>
      </c>
      <c r="AE543" s="167">
        <v>4.51</v>
      </c>
      <c r="AF543" s="167">
        <v>5.87</v>
      </c>
      <c r="AG543" s="167">
        <v>25.6</v>
      </c>
      <c r="AH543" s="167">
        <v>-15.4</v>
      </c>
      <c r="AI543" s="167">
        <v>-8.51</v>
      </c>
      <c r="AJ543" s="167">
        <v>9.8000000000000007</v>
      </c>
      <c r="AK543" s="167">
        <v>12</v>
      </c>
      <c r="AL543" s="168">
        <v>7070</v>
      </c>
      <c r="AM543" s="169">
        <v>14.299999999999999</v>
      </c>
      <c r="AN543" s="167">
        <v>0.54</v>
      </c>
      <c r="AO543" s="170">
        <f t="shared" si="151"/>
        <v>-15.764140540176907</v>
      </c>
      <c r="AP543" s="171">
        <f t="shared" si="152"/>
        <v>8.9820715810352141</v>
      </c>
      <c r="AQ543" s="172">
        <f t="shared" si="153"/>
        <v>154.08683130992412</v>
      </c>
      <c r="AR543" s="157">
        <f>INDEX([1]Historical!$C$7:$C$1231,MATCH(B543,[1]Historical!$B$7:$B$1253,0))*IF(AH543="n/a",1.03,IF(AH543&lt;0,1.01,IF(AH543&gt;10,1.1,(1+AH543/100))))</f>
        <v>0.94939999999999991</v>
      </c>
      <c r="AS543" s="166">
        <f t="shared" si="154"/>
        <v>0.95889399999999991</v>
      </c>
      <c r="AT543" s="166">
        <f t="shared" si="159"/>
        <v>1.0547834</v>
      </c>
      <c r="AU543" s="166">
        <f t="shared" si="159"/>
        <v>1.1602617400000002</v>
      </c>
      <c r="AV543" s="166">
        <f t="shared" si="159"/>
        <v>1.2762879140000003</v>
      </c>
      <c r="AW543" s="157">
        <f t="shared" si="156"/>
        <v>5.3996270539999998</v>
      </c>
      <c r="AX543" s="173">
        <f t="shared" si="157"/>
        <v>8.2651569784172665</v>
      </c>
      <c r="AY543" s="174">
        <v>1.01</v>
      </c>
      <c r="AZ543" s="169">
        <v>34.29</v>
      </c>
      <c r="BA543" s="169">
        <v>-14.24</v>
      </c>
      <c r="BB543" s="169">
        <v>-0.18</v>
      </c>
      <c r="BC543" s="169">
        <v>5.37</v>
      </c>
      <c r="BD543" s="100"/>
      <c r="BE543" s="77">
        <v>2001</v>
      </c>
      <c r="BF543" s="77">
        <f t="shared" si="158"/>
        <v>3</v>
      </c>
      <c r="BG543" s="175">
        <v>9.1</v>
      </c>
      <c r="BH543" t="s">
        <v>939</v>
      </c>
      <c r="BI543" t="s">
        <v>940</v>
      </c>
      <c r="BJ543"/>
      <c r="BK543"/>
      <c r="BL543"/>
    </row>
    <row r="544" spans="1:64" s="112" customFormat="1" ht="12.75" customHeight="1" x14ac:dyDescent="0.2">
      <c r="A544" s="112" t="s">
        <v>1599</v>
      </c>
      <c r="B544" s="153" t="s">
        <v>433</v>
      </c>
      <c r="C544" s="154" t="s">
        <v>90</v>
      </c>
      <c r="D544" s="154" t="s">
        <v>969</v>
      </c>
      <c r="E544" s="155">
        <v>24</v>
      </c>
      <c r="F544" s="298">
        <v>150</v>
      </c>
      <c r="G544" s="298" t="s">
        <v>30</v>
      </c>
      <c r="H544" s="298" t="s">
        <v>104</v>
      </c>
      <c r="I544" s="156">
        <v>46.35</v>
      </c>
      <c r="J544" s="157">
        <f t="shared" si="144"/>
        <v>2.942826321467098</v>
      </c>
      <c r="K544" s="209">
        <v>0.34100000000000003</v>
      </c>
      <c r="L544" s="126">
        <v>4</v>
      </c>
      <c r="M544" s="82">
        <f t="shared" si="145"/>
        <v>1.3640000000000001</v>
      </c>
      <c r="N544" s="159" t="s">
        <v>296</v>
      </c>
      <c r="O544" s="210">
        <v>0.308</v>
      </c>
      <c r="P544" s="161">
        <v>44637</v>
      </c>
      <c r="Q544" s="161">
        <v>44666</v>
      </c>
      <c r="R544" s="82">
        <f t="shared" si="146"/>
        <v>10.714285714285724</v>
      </c>
      <c r="S544" s="162">
        <f>IF(INDEX([1]Historical!$D$7:$D$1229,MATCH(B544,[1]Historical!$B$7:$B$1253,0))=0,"n/a",(INDEX([1]Historical!$C$7:$C$1231,MATCH(B544,[1]Historical!$B$7:$B$1253,0))/INDEX([1]Historical!$D$7:$D$1229,MATCH(B544,[1]Historical!$B$7:$B$1253,0))-1)*100)</f>
        <v>7.8431372549019551</v>
      </c>
      <c r="T544" s="162">
        <f>IF(INDEX([1]Historical!$F$7:$F$1222,MATCH(B544,[1]Historical!$B$7:$B$1253,0))=0,"n/a",((INDEX([1]Historical!$C$7:$C$1231,MATCH(B544,[1]Historical!$B$7:$B$1253,0))/INDEX([1]Historical!$F$7:$F$1222,MATCH(B544,[1]Historical!$B$7:$B$1253,0)))^(1/3)-1)*100)</f>
        <v>8.5503957932088639</v>
      </c>
      <c r="U544" s="162">
        <f>IF(INDEX([1]Historical!$H$7:$H$1222,MATCH(B544,[1]Historical!$B$7:$B$1253,0))=0,"n/a",((INDEX([1]Historical!$C$7:$C$1231,MATCH(B544,[1]Historical!$B$7:$B$1253,0))/INDEX([1]Historical!$H$7:$H$1222,MATCH(B544,[1]Historical!$B$7:$B$1253,0)))^(1/5)-1)*100)</f>
        <v>8.2510688249816333</v>
      </c>
      <c r="V544" s="162">
        <f>IF(INDEX([1]Historical!$N$7:$N$1222,MATCH(B544,[1]Historical!$B$7:$B$1253,0))=0,"n/a",((INDEX([1]Historical!$C$7:$C$1231,MATCH(B544,[1]Historical!$B$7:$B$1253,0))/INDEX([1]Historical!$N$7:$N$1222,MATCH(B544,[1]Historical!$B$7:$B$1253,0)))^(1/10)-1)*100)</f>
        <v>7.1773462536293131</v>
      </c>
      <c r="W544" s="163">
        <f t="shared" si="147"/>
        <v>1.149598825723279</v>
      </c>
      <c r="X544" s="164">
        <f t="shared" si="148"/>
        <v>0.59790353804214735</v>
      </c>
      <c r="Y544" s="249"/>
      <c r="Z544" s="157">
        <f t="shared" si="149"/>
        <v>29.021276595744684</v>
      </c>
      <c r="AA544" s="166">
        <f t="shared" si="150"/>
        <v>9.8617021276595747</v>
      </c>
      <c r="AB544" s="126">
        <v>12</v>
      </c>
      <c r="AC544" s="167">
        <v>4.7</v>
      </c>
      <c r="AD544" s="167">
        <v>1</v>
      </c>
      <c r="AE544" s="167">
        <v>3.71</v>
      </c>
      <c r="AF544" s="167">
        <v>1.1200000000000001</v>
      </c>
      <c r="AG544" s="167">
        <v>11.5</v>
      </c>
      <c r="AH544" s="167">
        <v>5.8000000000000007</v>
      </c>
      <c r="AI544" s="167">
        <v>-2.44</v>
      </c>
      <c r="AJ544" s="167">
        <v>13.8</v>
      </c>
      <c r="AK544" s="167">
        <v>10</v>
      </c>
      <c r="AL544" s="168">
        <v>897.09</v>
      </c>
      <c r="AM544" s="169">
        <v>1.9</v>
      </c>
      <c r="AN544" s="167">
        <v>0</v>
      </c>
      <c r="AO544" s="170">
        <f t="shared" si="151"/>
        <v>1.3321930187891571</v>
      </c>
      <c r="AP544" s="171">
        <f t="shared" si="152"/>
        <v>11.193895146448732</v>
      </c>
      <c r="AQ544" s="172">
        <f t="shared" si="153"/>
        <v>-29.93619928798633</v>
      </c>
      <c r="AR544" s="157">
        <f>INDEX([1]Historical!$C$7:$C$1231,MATCH(B544,[1]Historical!$B$7:$B$1253,0))*IF(AH544="n/a",1.03,IF(AH544&lt;0,1.01,IF(AH544&gt;10,1.1,(1+AH544/100))))</f>
        <v>1.2801800000000001</v>
      </c>
      <c r="AS544" s="166">
        <f t="shared" si="154"/>
        <v>1.2929818000000002</v>
      </c>
      <c r="AT544" s="166">
        <f t="shared" si="159"/>
        <v>1.4222799800000003</v>
      </c>
      <c r="AU544" s="166">
        <f t="shared" si="159"/>
        <v>1.5645079780000004</v>
      </c>
      <c r="AV544" s="166">
        <f t="shared" si="159"/>
        <v>1.7209587758000007</v>
      </c>
      <c r="AW544" s="157">
        <f t="shared" si="156"/>
        <v>7.2809085338000017</v>
      </c>
      <c r="AX544" s="173">
        <f t="shared" si="157"/>
        <v>15.708540525997847</v>
      </c>
      <c r="AY544" s="174">
        <v>0.6</v>
      </c>
      <c r="AZ544" s="169">
        <v>21.43</v>
      </c>
      <c r="BA544" s="169">
        <v>-19.559999999999999</v>
      </c>
      <c r="BB544" s="169">
        <v>11.61</v>
      </c>
      <c r="BC544" s="169">
        <v>3.11</v>
      </c>
      <c r="BD544" s="100"/>
      <c r="BE544" s="77">
        <v>1999</v>
      </c>
      <c r="BF544" s="77">
        <f t="shared" si="158"/>
        <v>3</v>
      </c>
      <c r="BG544" s="175">
        <v>1.6</v>
      </c>
      <c r="BH544" t="s">
        <v>939</v>
      </c>
      <c r="BI544" t="s">
        <v>940</v>
      </c>
      <c r="BJ544"/>
      <c r="BK544"/>
      <c r="BL544"/>
    </row>
    <row r="545" spans="1:64" s="112" customFormat="1" ht="12.75" customHeight="1" x14ac:dyDescent="0.2">
      <c r="A545" s="176" t="s">
        <v>1600</v>
      </c>
      <c r="B545" s="153" t="s">
        <v>869</v>
      </c>
      <c r="C545" s="154" t="s">
        <v>947</v>
      </c>
      <c r="D545" s="154" t="s">
        <v>948</v>
      </c>
      <c r="E545" s="155">
        <v>8</v>
      </c>
      <c r="F545" s="298">
        <v>574</v>
      </c>
      <c r="G545" s="298" t="s">
        <v>88</v>
      </c>
      <c r="H545" s="298" t="s">
        <v>88</v>
      </c>
      <c r="I545" s="156">
        <v>60.51</v>
      </c>
      <c r="J545" s="157">
        <f t="shared" si="144"/>
        <v>4.1315485043794418</v>
      </c>
      <c r="K545" s="158">
        <v>0.625</v>
      </c>
      <c r="L545" s="126">
        <v>4</v>
      </c>
      <c r="M545" s="82">
        <f t="shared" si="145"/>
        <v>2.5</v>
      </c>
      <c r="N545" s="159" t="s">
        <v>115</v>
      </c>
      <c r="O545" s="160">
        <v>0.59499999999999997</v>
      </c>
      <c r="P545" s="161">
        <v>44545</v>
      </c>
      <c r="Q545" s="161">
        <v>44566</v>
      </c>
      <c r="R545" s="82">
        <f t="shared" si="146"/>
        <v>5.0420168067226943</v>
      </c>
      <c r="S545" s="162">
        <f>IF(INDEX([1]Historical!$D$7:$D$1229,MATCH(B545,[1]Historical!$B$7:$B$1253,0))=0,"n/a",(INDEX([1]Historical!$C$7:$C$1231,MATCH(B545,[1]Historical!$B$7:$B$1253,0))/INDEX([1]Historical!$D$7:$D$1229,MATCH(B545,[1]Historical!$B$7:$B$1253,0))-1)*100)</f>
        <v>1.26050420168069</v>
      </c>
      <c r="T545" s="162">
        <f>IF(INDEX([1]Historical!$F$7:$F$1222,MATCH(B545,[1]Historical!$B$7:$B$1253,0))=0,"n/a",((INDEX([1]Historical!$C$7:$C$1231,MATCH(B545,[1]Historical!$B$7:$B$1253,0))/INDEX([1]Historical!$F$7:$F$1222,MATCH(B545,[1]Historical!$B$7:$B$1253,0)))^(1/3)-1)*100)</f>
        <v>2.7751271406612599</v>
      </c>
      <c r="U545" s="162">
        <f>IF(INDEX([1]Historical!$H$7:$H$1222,MATCH(B545,[1]Historical!$B$7:$B$1253,0))=0,"n/a",((INDEX([1]Historical!$C$7:$C$1231,MATCH(B545,[1]Historical!$B$7:$B$1253,0))/INDEX([1]Historical!$H$7:$H$1222,MATCH(B545,[1]Historical!$B$7:$B$1253,0)))^(1/5)-1)*100)</f>
        <v>3.8000133533338865</v>
      </c>
      <c r="V545" s="162">
        <f>IF(INDEX([1]Historical!$N$7:$N$1222,MATCH(B545,[1]Historical!$B$7:$B$1253,0))=0,"n/a",((INDEX([1]Historical!$C$7:$C$1231,MATCH(B545,[1]Historical!$B$7:$B$1253,0))/INDEX([1]Historical!$N$7:$N$1222,MATCH(B545,[1]Historical!$B$7:$B$1253,0)))^(1/10)-1)*100)</f>
        <v>2.6796858845336446</v>
      </c>
      <c r="W545" s="163">
        <f t="shared" si="147"/>
        <v>1.4180816398169804</v>
      </c>
      <c r="X545" s="164">
        <f t="shared" si="148"/>
        <v>0.4578329341366128</v>
      </c>
      <c r="Y545" s="288"/>
      <c r="Z545" s="157">
        <f t="shared" si="149"/>
        <v>88.339222614840978</v>
      </c>
      <c r="AA545" s="166">
        <f t="shared" si="150"/>
        <v>21.381625441696112</v>
      </c>
      <c r="AB545" s="126">
        <v>12</v>
      </c>
      <c r="AC545" s="167">
        <v>2.83</v>
      </c>
      <c r="AD545" s="167">
        <v>40.96</v>
      </c>
      <c r="AE545" s="167">
        <v>8.26</v>
      </c>
      <c r="AF545" s="167">
        <v>1.68</v>
      </c>
      <c r="AG545" s="167">
        <v>8</v>
      </c>
      <c r="AH545" s="167">
        <v>699.30000000000007</v>
      </c>
      <c r="AI545" s="167">
        <v>-17.05</v>
      </c>
      <c r="AJ545" s="167">
        <v>8.3000000000000007</v>
      </c>
      <c r="AK545" s="167">
        <v>0.52</v>
      </c>
      <c r="AL545" s="168">
        <v>10000</v>
      </c>
      <c r="AM545" s="169">
        <v>0.4</v>
      </c>
      <c r="AN545" s="167">
        <v>0.61</v>
      </c>
      <c r="AO545" s="170">
        <f t="shared" si="151"/>
        <v>-13.450063583982784</v>
      </c>
      <c r="AP545" s="171">
        <f t="shared" si="152"/>
        <v>7.9315618577133282</v>
      </c>
      <c r="AQ545" s="172">
        <f t="shared" si="153"/>
        <v>26.352471271702594</v>
      </c>
      <c r="AR545" s="157">
        <f>INDEX([1]Historical!$C$7:$C$1231,MATCH(B545,[1]Historical!$B$7:$B$1253,0))*IF(AH545="n/a",1.03,IF(AH545&lt;0,1.01,IF(AH545&gt;10,1.1,(1+AH545/100))))</f>
        <v>2.6510000000000002</v>
      </c>
      <c r="AS545" s="166">
        <f t="shared" si="154"/>
        <v>2.6775100000000003</v>
      </c>
      <c r="AT545" s="166">
        <f t="shared" si="159"/>
        <v>2.6914330520000007</v>
      </c>
      <c r="AU545" s="166">
        <f t="shared" si="159"/>
        <v>2.7054285038704009</v>
      </c>
      <c r="AV545" s="166">
        <f t="shared" si="159"/>
        <v>2.7194967320905272</v>
      </c>
      <c r="AW545" s="157">
        <f t="shared" si="156"/>
        <v>13.444868287960929</v>
      </c>
      <c r="AX545" s="173">
        <f t="shared" si="157"/>
        <v>22.219250186681425</v>
      </c>
      <c r="AY545" s="174">
        <v>1.1100000000000001</v>
      </c>
      <c r="AZ545" s="169">
        <v>16.43</v>
      </c>
      <c r="BA545" s="169">
        <v>-23.189999999999998</v>
      </c>
      <c r="BB545" s="169">
        <v>4.49</v>
      </c>
      <c r="BC545" s="169">
        <v>-5.93</v>
      </c>
      <c r="BD545" s="100"/>
      <c r="BE545" s="77">
        <v>2014</v>
      </c>
      <c r="BF545" s="77">
        <f t="shared" si="158"/>
        <v>1</v>
      </c>
      <c r="BG545" s="175">
        <v>4.5</v>
      </c>
      <c r="BH545" t="s">
        <v>939</v>
      </c>
      <c r="BI545" t="s">
        <v>945</v>
      </c>
    </row>
    <row r="546" spans="1:64" s="112" customFormat="1" x14ac:dyDescent="0.2">
      <c r="A546" s="205" t="s">
        <v>1601</v>
      </c>
      <c r="B546" s="153" t="s">
        <v>919</v>
      </c>
      <c r="C546" s="154" t="s">
        <v>947</v>
      </c>
      <c r="D546" s="154" t="s">
        <v>948</v>
      </c>
      <c r="E546" s="155">
        <v>9</v>
      </c>
      <c r="F546" s="298">
        <v>539</v>
      </c>
      <c r="G546" s="298" t="s">
        <v>88</v>
      </c>
      <c r="H546" s="298" t="s">
        <v>88</v>
      </c>
      <c r="I546" s="156">
        <v>55.28</v>
      </c>
      <c r="J546" s="157">
        <f t="shared" si="144"/>
        <v>2.2793053545586108</v>
      </c>
      <c r="K546" s="158">
        <v>0.315</v>
      </c>
      <c r="L546" s="126">
        <v>4</v>
      </c>
      <c r="M546" s="82">
        <f t="shared" si="145"/>
        <v>1.26</v>
      </c>
      <c r="N546" s="159" t="s">
        <v>164</v>
      </c>
      <c r="O546" s="160">
        <v>0.24</v>
      </c>
      <c r="P546" s="161">
        <v>44650</v>
      </c>
      <c r="Q546" s="161">
        <v>44666</v>
      </c>
      <c r="R546" s="82">
        <f t="shared" si="146"/>
        <v>31.250000000000007</v>
      </c>
      <c r="S546" s="162">
        <f>IF(INDEX([1]Historical!$D$7:$D$1229,MATCH(B546,[1]Historical!$B$7:$B$1253,0))=0,"n/a",(INDEX([1]Historical!$C$7:$C$1231,MATCH(B546,[1]Historical!$B$7:$B$1253,0))/INDEX([1]Historical!$D$7:$D$1229,MATCH(B546,[1]Historical!$B$7:$B$1253,0))-1)*100)</f>
        <v>12.650602409638555</v>
      </c>
      <c r="T546" s="162">
        <f>IF(INDEX([1]Historical!$F$7:$F$1222,MATCH(B546,[1]Historical!$B$7:$B$1253,0))=0,"n/a",((INDEX([1]Historical!$C$7:$C$1231,MATCH(B546,[1]Historical!$B$7:$B$1253,0))/INDEX([1]Historical!$F$7:$F$1222,MATCH(B546,[1]Historical!$B$7:$B$1253,0)))^(1/3)-1)*100)</f>
        <v>14.369581297426315</v>
      </c>
      <c r="U546" s="162">
        <f>IF(INDEX([1]Historical!$H$7:$H$1222,MATCH(B546,[1]Historical!$B$7:$B$1253,0))=0,"n/a",((INDEX([1]Historical!$C$7:$C$1231,MATCH(B546,[1]Historical!$B$7:$B$1253,0))/INDEX([1]Historical!$H$7:$H$1222,MATCH(B546,[1]Historical!$B$7:$B$1253,0)))^(1/5)-1)*100)</f>
        <v>11.604979032010498</v>
      </c>
      <c r="V546" s="162" t="str">
        <f>IF(INDEX([1]Historical!$N$7:$N$1222,MATCH(B546,[1]Historical!$B$7:$B$1253,0))=0,"n/a",((INDEX([1]Historical!$C$7:$C$1231,MATCH(B546,[1]Historical!$B$7:$B$1253,0))/INDEX([1]Historical!$N$7:$N$1222,MATCH(B546,[1]Historical!$B$7:$B$1253,0)))^(1/10)-1)*100)</f>
        <v>n/a</v>
      </c>
      <c r="W546" s="163" t="str">
        <f t="shared" si="147"/>
        <v>n/a</v>
      </c>
      <c r="X546" s="164">
        <f t="shared" si="148"/>
        <v>0.67865374456201732</v>
      </c>
      <c r="Y546" s="178"/>
      <c r="Z546" s="157">
        <f t="shared" si="149"/>
        <v>135.48387096774192</v>
      </c>
      <c r="AA546" s="166">
        <f t="shared" si="150"/>
        <v>59.44086021505376</v>
      </c>
      <c r="AB546" s="126">
        <v>12</v>
      </c>
      <c r="AC546" s="167">
        <v>0.93</v>
      </c>
      <c r="AD546" s="167">
        <v>5.95</v>
      </c>
      <c r="AE546" s="167">
        <v>17.11</v>
      </c>
      <c r="AF546" s="167">
        <v>1.58</v>
      </c>
      <c r="AG546" s="167">
        <v>2.9000000000000004</v>
      </c>
      <c r="AH546" s="167">
        <v>57.599999999999994</v>
      </c>
      <c r="AI546" s="167">
        <v>21.51</v>
      </c>
      <c r="AJ546" s="167">
        <v>17.100000000000001</v>
      </c>
      <c r="AK546" s="167">
        <v>10</v>
      </c>
      <c r="AL546" s="168">
        <v>10020</v>
      </c>
      <c r="AM546" s="169">
        <v>0.1</v>
      </c>
      <c r="AN546" s="167">
        <v>0</v>
      </c>
      <c r="AO546" s="170">
        <f t="shared" si="151"/>
        <v>-45.556575828484654</v>
      </c>
      <c r="AP546" s="171">
        <f t="shared" si="152"/>
        <v>13.884284386569108</v>
      </c>
      <c r="AQ546" s="172">
        <f t="shared" si="153"/>
        <v>104.30539138998643</v>
      </c>
      <c r="AR546" s="157">
        <f>INDEX([1]Historical!$C$7:$C$1231,MATCH(B546,[1]Historical!$B$7:$B$1253,0))*IF(AH546="n/a",1.03,IF(AH546&lt;0,1.01,IF(AH546&gt;10,1.1,(1+AH546/100))))</f>
        <v>1.0285000000000002</v>
      </c>
      <c r="AS546" s="166">
        <f t="shared" si="154"/>
        <v>1.1313500000000003</v>
      </c>
      <c r="AT546" s="166">
        <f t="shared" si="159"/>
        <v>1.2444850000000005</v>
      </c>
      <c r="AU546" s="166">
        <f t="shared" si="159"/>
        <v>1.3689335000000007</v>
      </c>
      <c r="AV546" s="166">
        <f t="shared" si="159"/>
        <v>1.5058268500000009</v>
      </c>
      <c r="AW546" s="157">
        <f t="shared" si="156"/>
        <v>6.2790953500000031</v>
      </c>
      <c r="AX546" s="173">
        <f t="shared" si="157"/>
        <v>11.358710835745303</v>
      </c>
      <c r="AY546" s="174">
        <v>0.85</v>
      </c>
      <c r="AZ546" s="169">
        <v>13.420000000000002</v>
      </c>
      <c r="BA546" s="169">
        <v>-34.72</v>
      </c>
      <c r="BB546" s="169">
        <v>-3.38</v>
      </c>
      <c r="BC546" s="169">
        <v>-15.76</v>
      </c>
      <c r="BD546" s="100"/>
      <c r="BE546" s="77">
        <v>2014</v>
      </c>
      <c r="BF546" s="77">
        <f t="shared" si="158"/>
        <v>1</v>
      </c>
      <c r="BG546" s="175">
        <v>2</v>
      </c>
      <c r="BH546" t="s">
        <v>939</v>
      </c>
      <c r="BI546" t="s">
        <v>945</v>
      </c>
    </row>
    <row r="547" spans="1:64" s="112" customFormat="1" ht="12.75" customHeight="1" x14ac:dyDescent="0.2">
      <c r="A547" s="176" t="s">
        <v>1602</v>
      </c>
      <c r="B547" s="153" t="s">
        <v>829</v>
      </c>
      <c r="C547" s="154" t="s">
        <v>90</v>
      </c>
      <c r="D547" s="154" t="s">
        <v>969</v>
      </c>
      <c r="E547" s="155">
        <v>10</v>
      </c>
      <c r="F547" s="298">
        <v>502</v>
      </c>
      <c r="G547" s="298" t="s">
        <v>104</v>
      </c>
      <c r="H547" s="298" t="s">
        <v>104</v>
      </c>
      <c r="I547" s="156">
        <v>21.95</v>
      </c>
      <c r="J547" s="157">
        <f t="shared" si="144"/>
        <v>3.6446469248291575</v>
      </c>
      <c r="K547" s="158">
        <v>0.2</v>
      </c>
      <c r="L547" s="126">
        <v>4</v>
      </c>
      <c r="M547" s="82">
        <f t="shared" si="145"/>
        <v>0.8</v>
      </c>
      <c r="N547" s="159" t="s">
        <v>628</v>
      </c>
      <c r="O547" s="160">
        <v>0.17</v>
      </c>
      <c r="P547" s="161">
        <v>44805</v>
      </c>
      <c r="Q547" s="161">
        <v>44837</v>
      </c>
      <c r="R547" s="82">
        <f t="shared" si="146"/>
        <v>17.647058823529409</v>
      </c>
      <c r="S547" s="162">
        <f>IF(INDEX([1]Historical!$D$7:$D$1229,MATCH(B547,[1]Historical!$B$7:$B$1253,0))=0,"n/a",(INDEX([1]Historical!$C$7:$C$1231,MATCH(B547,[1]Historical!$B$7:$B$1253,0))/INDEX([1]Historical!$D$7:$D$1229,MATCH(B547,[1]Historical!$B$7:$B$1253,0))-1)*100)</f>
        <v>2.4193548387096753</v>
      </c>
      <c r="T547" s="162">
        <f>IF(INDEX([1]Historical!$F$7:$F$1222,MATCH(B547,[1]Historical!$B$7:$B$1253,0))=0,"n/a",((INDEX([1]Historical!$C$7:$C$1231,MATCH(B547,[1]Historical!$B$7:$B$1253,0))/INDEX([1]Historical!$F$7:$F$1222,MATCH(B547,[1]Historical!$B$7:$B$1253,0)))^(1/3)-1)*100)</f>
        <v>15.699093477071235</v>
      </c>
      <c r="U547" s="162">
        <f>IF(INDEX([1]Historical!$H$7:$H$1222,MATCH(B547,[1]Historical!$B$7:$B$1253,0))=0,"n/a",((INDEX([1]Historical!$C$7:$C$1231,MATCH(B547,[1]Historical!$B$7:$B$1253,0))/INDEX([1]Historical!$H$7:$H$1222,MATCH(B547,[1]Historical!$B$7:$B$1253,0)))^(1/5)-1)*100)</f>
        <v>20.494366667930453</v>
      </c>
      <c r="V547" s="162">
        <f>IF(INDEX([1]Historical!$N$7:$N$1222,MATCH(B547,[1]Historical!$B$7:$B$1253,0))=0,"n/a",((INDEX([1]Historical!$C$7:$C$1231,MATCH(B547,[1]Historical!$B$7:$B$1253,0))/INDEX([1]Historical!$N$7:$N$1222,MATCH(B547,[1]Historical!$B$7:$B$1253,0)))^(1/10)-1)*100)</f>
        <v>31.84734030467682</v>
      </c>
      <c r="W547" s="163">
        <f t="shared" si="147"/>
        <v>0.64351893978791164</v>
      </c>
      <c r="X547" s="164">
        <f t="shared" si="148"/>
        <v>0.8684053672851888</v>
      </c>
      <c r="Y547" s="180"/>
      <c r="Z547" s="157">
        <f t="shared" si="149"/>
        <v>39.800995024875633</v>
      </c>
      <c r="AA547" s="166">
        <f t="shared" si="150"/>
        <v>10.920398009950249</v>
      </c>
      <c r="AB547" s="126">
        <v>12</v>
      </c>
      <c r="AC547" s="167">
        <v>2.0099999999999998</v>
      </c>
      <c r="AD547" s="167" t="s">
        <v>95</v>
      </c>
      <c r="AE547" s="167">
        <v>4.37</v>
      </c>
      <c r="AF547" s="167">
        <v>1.37</v>
      </c>
      <c r="AG547" s="167">
        <v>14.499999999999998</v>
      </c>
      <c r="AH547" s="167">
        <v>141.9</v>
      </c>
      <c r="AI547" s="167">
        <v>10.27</v>
      </c>
      <c r="AJ547" s="167">
        <v>23.599999999999998</v>
      </c>
      <c r="AK547" s="167">
        <v>-0.88</v>
      </c>
      <c r="AL547" s="168">
        <v>20130</v>
      </c>
      <c r="AM547" s="169">
        <v>0.51</v>
      </c>
      <c r="AN547" s="167">
        <v>0.16</v>
      </c>
      <c r="AO547" s="170">
        <f t="shared" si="151"/>
        <v>13.218615582809361</v>
      </c>
      <c r="AP547" s="171">
        <f t="shared" si="152"/>
        <v>24.139013592759611</v>
      </c>
      <c r="AQ547" s="172">
        <f t="shared" si="153"/>
        <v>-18.456704687000535</v>
      </c>
      <c r="AR547" s="157">
        <f>INDEX([1]Historical!$C$7:$C$1231,MATCH(B547,[1]Historical!$B$7:$B$1253,0))*IF(AH547="n/a",1.03,IF(AH547&lt;0,1.01,IF(AH547&gt;10,1.1,(1+AH547/100))))</f>
        <v>0.69850000000000012</v>
      </c>
      <c r="AS547" s="166">
        <f t="shared" si="154"/>
        <v>0.7683500000000002</v>
      </c>
      <c r="AT547" s="166">
        <f t="shared" si="159"/>
        <v>0.77603350000000015</v>
      </c>
      <c r="AU547" s="166">
        <f t="shared" si="159"/>
        <v>0.78379383500000022</v>
      </c>
      <c r="AV547" s="166">
        <f t="shared" si="159"/>
        <v>0.79163177335000023</v>
      </c>
      <c r="AW547" s="157">
        <f t="shared" si="156"/>
        <v>3.8183091083500007</v>
      </c>
      <c r="AX547" s="173">
        <f t="shared" si="157"/>
        <v>17.395485687243738</v>
      </c>
      <c r="AY547" s="174">
        <v>1.25</v>
      </c>
      <c r="AZ547" s="169">
        <v>21.88</v>
      </c>
      <c r="BA547" s="169">
        <v>-14.16</v>
      </c>
      <c r="BB547" s="169">
        <v>3.15</v>
      </c>
      <c r="BC547" s="169">
        <v>1.83</v>
      </c>
      <c r="BD547" s="100"/>
      <c r="BE547" s="77">
        <v>2013</v>
      </c>
      <c r="BF547" s="77">
        <f t="shared" si="158"/>
        <v>1</v>
      </c>
      <c r="BG547" s="175">
        <v>1.4000000000000001</v>
      </c>
      <c r="BH547" t="s">
        <v>939</v>
      </c>
      <c r="BI547" t="s">
        <v>940</v>
      </c>
      <c r="BJ547"/>
      <c r="BK547"/>
      <c r="BL547"/>
    </row>
    <row r="548" spans="1:64" s="112" customFormat="1" ht="12.75" customHeight="1" x14ac:dyDescent="0.2">
      <c r="A548" s="112" t="s">
        <v>1603</v>
      </c>
      <c r="B548" s="153" t="s">
        <v>431</v>
      </c>
      <c r="C548" s="154" t="s">
        <v>90</v>
      </c>
      <c r="D548" s="154" t="s">
        <v>110</v>
      </c>
      <c r="E548" s="155">
        <v>14</v>
      </c>
      <c r="F548" s="298">
        <v>267</v>
      </c>
      <c r="G548" s="298" t="s">
        <v>88</v>
      </c>
      <c r="H548" s="298" t="s">
        <v>88</v>
      </c>
      <c r="I548" s="156">
        <v>147.16999999999999</v>
      </c>
      <c r="J548" s="157">
        <f t="shared" si="144"/>
        <v>2.1743561867228376</v>
      </c>
      <c r="K548" s="158">
        <v>0.8</v>
      </c>
      <c r="L548" s="126">
        <v>4</v>
      </c>
      <c r="M548" s="82">
        <f t="shared" si="145"/>
        <v>3.2</v>
      </c>
      <c r="N548" s="159" t="s">
        <v>188</v>
      </c>
      <c r="O548" s="160">
        <v>0.73</v>
      </c>
      <c r="P548" s="161">
        <v>44788</v>
      </c>
      <c r="Q548" s="161">
        <v>44803</v>
      </c>
      <c r="R548" s="82">
        <f t="shared" si="146"/>
        <v>9.5890410958904209</v>
      </c>
      <c r="S548" s="162">
        <f>IF(INDEX([1]Historical!$D$7:$D$1229,MATCH(B548,[1]Historical!$B$7:$B$1253,0))=0,"n/a",(INDEX([1]Historical!$C$7:$C$1231,MATCH(B548,[1]Historical!$B$7:$B$1253,0))/INDEX([1]Historical!$D$7:$D$1229,MATCH(B548,[1]Historical!$B$7:$B$1253,0))-1)*100)</f>
        <v>2.1428571428571352</v>
      </c>
      <c r="T548" s="162">
        <f>IF(INDEX([1]Historical!$F$7:$F$1222,MATCH(B548,[1]Historical!$B$7:$B$1253,0))=0,"n/a",((INDEX([1]Historical!$C$7:$C$1231,MATCH(B548,[1]Historical!$B$7:$B$1253,0))/INDEX([1]Historical!$F$7:$F$1222,MATCH(B548,[1]Historical!$B$7:$B$1253,0)))^(1/3)-1)*100)</f>
        <v>9.1392883061105721</v>
      </c>
      <c r="U548" s="162">
        <f>IF(INDEX([1]Historical!$H$7:$H$1222,MATCH(B548,[1]Historical!$B$7:$B$1253,0))=0,"n/a",((INDEX([1]Historical!$C$7:$C$1231,MATCH(B548,[1]Historical!$B$7:$B$1253,0))/INDEX([1]Historical!$H$7:$H$1222,MATCH(B548,[1]Historical!$B$7:$B$1253,0)))^(1/5)-1)*100)</f>
        <v>12.888132073019754</v>
      </c>
      <c r="V548" s="162">
        <f>IF(INDEX([1]Historical!$N$7:$N$1222,MATCH(B548,[1]Historical!$B$7:$B$1253,0))=0,"n/a",((INDEX([1]Historical!$C$7:$C$1231,MATCH(B548,[1]Historical!$B$7:$B$1253,0))/INDEX([1]Historical!$N$7:$N$1222,MATCH(B548,[1]Historical!$B$7:$B$1253,0)))^(1/10)-1)*100)</f>
        <v>16.90187536807737</v>
      </c>
      <c r="W548" s="163">
        <f t="shared" si="147"/>
        <v>0.76252674879863414</v>
      </c>
      <c r="X548" s="164" t="str">
        <f t="shared" si="148"/>
        <v>n/a</v>
      </c>
      <c r="Y548" s="180"/>
      <c r="Z548" s="157">
        <f t="shared" si="149"/>
        <v>81.84143222506394</v>
      </c>
      <c r="AA548" s="166">
        <f t="shared" si="150"/>
        <v>37.63938618925831</v>
      </c>
      <c r="AB548" s="126">
        <v>12</v>
      </c>
      <c r="AC548" s="167">
        <v>3.91</v>
      </c>
      <c r="AD548" s="167" t="s">
        <v>95</v>
      </c>
      <c r="AE548" s="167">
        <v>0.6</v>
      </c>
      <c r="AF548" s="167">
        <v>1.7</v>
      </c>
      <c r="AG548" s="167">
        <v>2.6</v>
      </c>
      <c r="AH548" s="167">
        <v>43.3</v>
      </c>
      <c r="AI548" s="167">
        <v>20.03</v>
      </c>
      <c r="AJ548" s="167">
        <v>-3.5000000000000004</v>
      </c>
      <c r="AK548" s="167" t="s">
        <v>95</v>
      </c>
      <c r="AL548" s="168">
        <v>9750</v>
      </c>
      <c r="AM548" s="169">
        <v>0.2</v>
      </c>
      <c r="AN548" s="167">
        <v>0.65</v>
      </c>
      <c r="AO548" s="170">
        <f t="shared" si="151"/>
        <v>-22.576897929515717</v>
      </c>
      <c r="AP548" s="171">
        <f t="shared" si="152"/>
        <v>15.062488259742592</v>
      </c>
      <c r="AQ548" s="172">
        <f t="shared" si="153"/>
        <v>68.637621374932721</v>
      </c>
      <c r="AR548" s="157">
        <f>INDEX([1]Historical!$C$7:$C$1231,MATCH(B548,[1]Historical!$B$7:$B$1253,0))*IF(AH548="n/a",1.03,IF(AH548&lt;0,1.01,IF(AH548&gt;10,1.1,(1+AH548/100))))</f>
        <v>3.1459999999999999</v>
      </c>
      <c r="AS548" s="166">
        <f t="shared" si="154"/>
        <v>3.4606000000000003</v>
      </c>
      <c r="AT548" s="166">
        <f t="shared" si="159"/>
        <v>3.5644180000000003</v>
      </c>
      <c r="AU548" s="166">
        <f t="shared" si="159"/>
        <v>3.6713505400000006</v>
      </c>
      <c r="AV548" s="166">
        <f t="shared" si="159"/>
        <v>3.7814910562000006</v>
      </c>
      <c r="AW548" s="157">
        <f t="shared" si="156"/>
        <v>17.623859596200003</v>
      </c>
      <c r="AX548" s="173">
        <f t="shared" si="157"/>
        <v>11.97517129591629</v>
      </c>
      <c r="AY548" s="174">
        <v>0.92</v>
      </c>
      <c r="AZ548" s="169">
        <v>56.03</v>
      </c>
      <c r="BA548" s="169">
        <v>-1.06</v>
      </c>
      <c r="BB548" s="169">
        <v>12.35</v>
      </c>
      <c r="BC548" s="169">
        <v>23.93</v>
      </c>
      <c r="BD548" s="100"/>
      <c r="BE548" s="77">
        <v>2009</v>
      </c>
      <c r="BF548" s="77">
        <f t="shared" si="158"/>
        <v>1</v>
      </c>
      <c r="BG548" s="175">
        <v>0.3</v>
      </c>
      <c r="BH548" t="s">
        <v>939</v>
      </c>
      <c r="BI548" t="s">
        <v>940</v>
      </c>
      <c r="BJ548"/>
      <c r="BK548"/>
      <c r="BL548"/>
    </row>
    <row r="549" spans="1:64" s="112" customFormat="1" ht="12.75" customHeight="1" x14ac:dyDescent="0.2">
      <c r="A549" s="176" t="s">
        <v>1604</v>
      </c>
      <c r="B549" s="153" t="s">
        <v>435</v>
      </c>
      <c r="C549" s="154" t="s">
        <v>117</v>
      </c>
      <c r="D549" s="154" t="s">
        <v>979</v>
      </c>
      <c r="E549" s="155">
        <v>18</v>
      </c>
      <c r="F549" s="298">
        <v>209</v>
      </c>
      <c r="G549" s="298" t="s">
        <v>30</v>
      </c>
      <c r="H549" s="298" t="s">
        <v>30</v>
      </c>
      <c r="I549" s="156">
        <v>21.26</v>
      </c>
      <c r="J549" s="157">
        <f t="shared" si="144"/>
        <v>3.6688617121354654</v>
      </c>
      <c r="K549" s="158">
        <v>0.19500000000000001</v>
      </c>
      <c r="L549" s="126">
        <v>4</v>
      </c>
      <c r="M549" s="82">
        <f t="shared" si="145"/>
        <v>0.78</v>
      </c>
      <c r="N549" s="159" t="s">
        <v>201</v>
      </c>
      <c r="O549" s="160">
        <v>0.185</v>
      </c>
      <c r="P549" s="161">
        <v>44575</v>
      </c>
      <c r="Q549" s="161">
        <v>44593</v>
      </c>
      <c r="R549" s="82">
        <f t="shared" si="146"/>
        <v>5.4054054054054106</v>
      </c>
      <c r="S549" s="162">
        <f>IF(INDEX([1]Historical!$D$7:$D$1229,MATCH(B549,[1]Historical!$B$7:$B$1253,0))=0,"n/a",(INDEX([1]Historical!$C$7:$C$1231,MATCH(B549,[1]Historical!$B$7:$B$1253,0))/INDEX([1]Historical!$D$7:$D$1229,MATCH(B549,[1]Historical!$B$7:$B$1253,0))-1)*100)</f>
        <v>5.7142857142857162</v>
      </c>
      <c r="T549" s="162">
        <f>IF(INDEX([1]Historical!$F$7:$F$1222,MATCH(B549,[1]Historical!$B$7:$B$1253,0))=0,"n/a",((INDEX([1]Historical!$C$7:$C$1231,MATCH(B549,[1]Historical!$B$7:$B$1253,0))/INDEX([1]Historical!$F$7:$F$1222,MATCH(B549,[1]Historical!$B$7:$B$1253,0)))^(1/3)-1)*100)</f>
        <v>6.0750740000032</v>
      </c>
      <c r="U549" s="162">
        <f>IF(INDEX([1]Historical!$H$7:$H$1222,MATCH(B549,[1]Historical!$B$7:$B$1253,0))=0,"n/a",((INDEX([1]Historical!$C$7:$C$1231,MATCH(B549,[1]Historical!$B$7:$B$1253,0))/INDEX([1]Historical!$H$7:$H$1222,MATCH(B549,[1]Historical!$B$7:$B$1253,0)))^(1/5)-1)*100)</f>
        <v>6.5044102740563714</v>
      </c>
      <c r="V549" s="162">
        <f>IF(INDEX([1]Historical!$N$7:$N$1222,MATCH(B549,[1]Historical!$B$7:$B$1253,0))=0,"n/a",((INDEX([1]Historical!$C$7:$C$1231,MATCH(B549,[1]Historical!$B$7:$B$1253,0))/INDEX([1]Historical!$N$7:$N$1222,MATCH(B549,[1]Historical!$B$7:$B$1253,0)))^(1/10)-1)*100)</f>
        <v>5.0222713332693569</v>
      </c>
      <c r="W549" s="163">
        <f t="shared" si="147"/>
        <v>1.295113274937733</v>
      </c>
      <c r="X549" s="164">
        <f t="shared" si="148"/>
        <v>0.76522473812427894</v>
      </c>
      <c r="Y549" s="219"/>
      <c r="Z549" s="157" t="str">
        <f t="shared" si="149"/>
        <v>n/a</v>
      </c>
      <c r="AA549" s="166" t="str">
        <f t="shared" si="150"/>
        <v>n/a</v>
      </c>
      <c r="AB549" s="126">
        <v>9</v>
      </c>
      <c r="AC549" s="167">
        <v>-2.4</v>
      </c>
      <c r="AD549" s="167" t="s">
        <v>95</v>
      </c>
      <c r="AE549" s="167">
        <v>2.48</v>
      </c>
      <c r="AF549" s="167">
        <v>1.98</v>
      </c>
      <c r="AG549" s="167">
        <v>-19.7</v>
      </c>
      <c r="AH549" s="167">
        <v>-5.7</v>
      </c>
      <c r="AI549" s="167">
        <v>18.809999999999999</v>
      </c>
      <c r="AJ549" s="167">
        <v>8.5</v>
      </c>
      <c r="AK549" s="167" t="s">
        <v>95</v>
      </c>
      <c r="AL549" s="168">
        <v>206.65</v>
      </c>
      <c r="AM549" s="169">
        <v>3.6999999999999997</v>
      </c>
      <c r="AN549" s="167">
        <v>1.24</v>
      </c>
      <c r="AO549" s="170" t="str">
        <f t="shared" si="151"/>
        <v>n/a</v>
      </c>
      <c r="AP549" s="171">
        <f t="shared" si="152"/>
        <v>10.173271986191837</v>
      </c>
      <c r="AQ549" s="172" t="str">
        <f t="shared" si="153"/>
        <v>n/a</v>
      </c>
      <c r="AR549" s="157">
        <f>INDEX([1]Historical!$C$7:$C$1231,MATCH(B549,[1]Historical!$B$7:$B$1253,0))*IF(AH549="n/a",1.03,IF(AH549&lt;0,1.01,IF(AH549&gt;10,1.1,(1+AH549/100))))</f>
        <v>0.74739999999999995</v>
      </c>
      <c r="AS549" s="166">
        <f t="shared" si="154"/>
        <v>0.82213999999999998</v>
      </c>
      <c r="AT549" s="166">
        <f t="shared" si="159"/>
        <v>0.84680420000000001</v>
      </c>
      <c r="AU549" s="166">
        <f t="shared" si="159"/>
        <v>0.87220832599999998</v>
      </c>
      <c r="AV549" s="166">
        <f t="shared" si="159"/>
        <v>0.89837457578000002</v>
      </c>
      <c r="AW549" s="157">
        <f t="shared" si="156"/>
        <v>4.1869271017800003</v>
      </c>
      <c r="AX549" s="173">
        <f t="shared" si="157"/>
        <v>19.693918634901223</v>
      </c>
      <c r="AY549" s="174">
        <v>-0.18</v>
      </c>
      <c r="AZ549" s="169">
        <v>18.07</v>
      </c>
      <c r="BA549" s="169">
        <v>-14.940000000000001</v>
      </c>
      <c r="BB549" s="169">
        <v>-0.67</v>
      </c>
      <c r="BC549" s="169">
        <v>1.1100000000000001</v>
      </c>
      <c r="BD549" s="100"/>
      <c r="BE549" s="77">
        <v>2004</v>
      </c>
      <c r="BF549" s="77">
        <f t="shared" si="158"/>
        <v>2</v>
      </c>
      <c r="BG549" s="175">
        <v>-6.7</v>
      </c>
      <c r="BH549" t="s">
        <v>939</v>
      </c>
      <c r="BI549" t="s">
        <v>940</v>
      </c>
      <c r="BJ549"/>
      <c r="BK549"/>
      <c r="BL549"/>
    </row>
    <row r="550" spans="1:64" s="112" customFormat="1" ht="12.75" customHeight="1" x14ac:dyDescent="0.2">
      <c r="A550" s="176" t="s">
        <v>1605</v>
      </c>
      <c r="B550" s="239" t="s">
        <v>442</v>
      </c>
      <c r="C550" s="154" t="s">
        <v>96</v>
      </c>
      <c r="D550" s="154" t="s">
        <v>956</v>
      </c>
      <c r="E550" s="155">
        <v>21</v>
      </c>
      <c r="F550" s="298">
        <v>163</v>
      </c>
      <c r="G550" s="298" t="s">
        <v>88</v>
      </c>
      <c r="H550" s="298" t="s">
        <v>88</v>
      </c>
      <c r="I550" s="156">
        <v>94.96</v>
      </c>
      <c r="J550" s="157">
        <f t="shared" si="144"/>
        <v>1.4743049705139006</v>
      </c>
      <c r="K550" s="158">
        <v>0.35</v>
      </c>
      <c r="L550" s="126">
        <v>4</v>
      </c>
      <c r="M550" s="82">
        <f t="shared" si="145"/>
        <v>1.4</v>
      </c>
      <c r="N550" s="159" t="s">
        <v>709</v>
      </c>
      <c r="O550" s="160">
        <v>0.3</v>
      </c>
      <c r="P550" s="161">
        <v>44567</v>
      </c>
      <c r="Q550" s="161">
        <v>44582</v>
      </c>
      <c r="R550" s="82">
        <f t="shared" si="146"/>
        <v>16.666666666666664</v>
      </c>
      <c r="S550" s="162">
        <f>IF(INDEX([1]Historical!$D$7:$D$1229,MATCH(B550,[1]Historical!$B$7:$B$1253,0))=0,"n/a",(INDEX([1]Historical!$C$7:$C$1231,MATCH(B550,[1]Historical!$B$7:$B$1253,0))/INDEX([1]Historical!$D$7:$D$1229,MATCH(B550,[1]Historical!$B$7:$B$1253,0))-1)*100)</f>
        <v>7.1428571428571397</v>
      </c>
      <c r="T550" s="162">
        <f>IF(INDEX([1]Historical!$F$7:$F$1222,MATCH(B550,[1]Historical!$B$7:$B$1253,0))=0,"n/a",((INDEX([1]Historical!$C$7:$C$1231,MATCH(B550,[1]Historical!$B$7:$B$1253,0))/INDEX([1]Historical!$F$7:$F$1222,MATCH(B550,[1]Historical!$B$7:$B$1253,0)))^(1/3)-1)*100)</f>
        <v>6.2658569182611146</v>
      </c>
      <c r="U550" s="162">
        <f>IF(INDEX([1]Historical!$H$7:$H$1222,MATCH(B550,[1]Historical!$B$7:$B$1253,0))=0,"n/a",((INDEX([1]Historical!$C$7:$C$1231,MATCH(B550,[1]Historical!$B$7:$B$1253,0))/INDEX([1]Historical!$H$7:$H$1222,MATCH(B550,[1]Historical!$B$7:$B$1253,0)))^(1/5)-1)*100)</f>
        <v>5.4577943305794463</v>
      </c>
      <c r="V550" s="162">
        <f>IF(INDEX([1]Historical!$N$7:$N$1222,MATCH(B550,[1]Historical!$B$7:$B$1253,0))=0,"n/a",((INDEX([1]Historical!$C$7:$C$1231,MATCH(B550,[1]Historical!$B$7:$B$1253,0))/INDEX([1]Historical!$N$7:$N$1222,MATCH(B550,[1]Historical!$B$7:$B$1253,0)))^(1/10)-1)*100)</f>
        <v>10.553591780423055</v>
      </c>
      <c r="W550" s="163">
        <f t="shared" si="147"/>
        <v>0.51715041136077211</v>
      </c>
      <c r="X550" s="164">
        <f t="shared" si="148"/>
        <v>0.86631656040943594</v>
      </c>
      <c r="Y550" s="165"/>
      <c r="Z550" s="157">
        <f t="shared" si="149"/>
        <v>33.412887828162283</v>
      </c>
      <c r="AA550" s="166">
        <f t="shared" si="150"/>
        <v>22.663484486873504</v>
      </c>
      <c r="AB550" s="126">
        <v>6</v>
      </c>
      <c r="AC550" s="167">
        <v>4.1900000000000004</v>
      </c>
      <c r="AD550" s="167">
        <v>18.440000000000001</v>
      </c>
      <c r="AE550" s="167">
        <v>9.7799999999999994</v>
      </c>
      <c r="AF550" s="167">
        <v>2.36</v>
      </c>
      <c r="AG550" s="167">
        <v>10.5</v>
      </c>
      <c r="AH550" s="179">
        <v>-54.300000000000004</v>
      </c>
      <c r="AI550" s="179">
        <v>13.170000000000002</v>
      </c>
      <c r="AJ550" s="167">
        <v>6.3</v>
      </c>
      <c r="AK550" s="167">
        <v>1.25</v>
      </c>
      <c r="AL550" s="168">
        <v>6370</v>
      </c>
      <c r="AM550" s="169">
        <v>0.2</v>
      </c>
      <c r="AN550" s="167">
        <v>0</v>
      </c>
      <c r="AO550" s="170">
        <f t="shared" si="151"/>
        <v>-15.731385185780157</v>
      </c>
      <c r="AP550" s="171">
        <f t="shared" si="152"/>
        <v>6.9320993010933467</v>
      </c>
      <c r="AQ550" s="172">
        <f t="shared" si="153"/>
        <v>54.18001511800199</v>
      </c>
      <c r="AR550" s="157">
        <f>INDEX([1]Historical!$C$7:$C$1231,MATCH(B550,[1]Historical!$B$7:$B$1253,0))*IF(AH550="n/a",1.03,IF(AH550&lt;0,1.01,IF(AH550&gt;10,1.1,(1+AH550/100))))</f>
        <v>1.212</v>
      </c>
      <c r="AS550" s="166">
        <f t="shared" si="154"/>
        <v>1.3332000000000002</v>
      </c>
      <c r="AT550" s="166">
        <f t="shared" si="159"/>
        <v>1.3498650000000001</v>
      </c>
      <c r="AU550" s="166">
        <f t="shared" si="159"/>
        <v>1.3667383125000001</v>
      </c>
      <c r="AV550" s="166">
        <f t="shared" si="159"/>
        <v>1.3838225414062499</v>
      </c>
      <c r="AW550" s="157">
        <f t="shared" si="156"/>
        <v>6.6456258539062505</v>
      </c>
      <c r="AX550" s="173">
        <f t="shared" si="157"/>
        <v>6.9983423061354788</v>
      </c>
      <c r="AY550" s="174">
        <v>0.6</v>
      </c>
      <c r="AZ550" s="169">
        <v>12.33</v>
      </c>
      <c r="BA550" s="169">
        <v>-35.709999999999994</v>
      </c>
      <c r="BB550" s="169">
        <v>0.96</v>
      </c>
      <c r="BC550" s="169">
        <v>-14.97</v>
      </c>
      <c r="BD550" s="100"/>
      <c r="BE550" s="77">
        <v>2002</v>
      </c>
      <c r="BF550" s="77">
        <f t="shared" si="158"/>
        <v>2</v>
      </c>
      <c r="BG550" s="175">
        <v>9.8000000000000007</v>
      </c>
      <c r="BH550" t="s">
        <v>939</v>
      </c>
      <c r="BI550" t="s">
        <v>940</v>
      </c>
      <c r="BJ550"/>
      <c r="BK550"/>
      <c r="BL550"/>
    </row>
    <row r="551" spans="1:64" s="112" customFormat="1" ht="12.75" customHeight="1" x14ac:dyDescent="0.2">
      <c r="A551" s="176" t="s">
        <v>439</v>
      </c>
      <c r="B551" s="239" t="s">
        <v>440</v>
      </c>
      <c r="C551" s="154" t="s">
        <v>94</v>
      </c>
      <c r="D551" s="154" t="s">
        <v>1031</v>
      </c>
      <c r="E551" s="155">
        <v>19</v>
      </c>
      <c r="F551" s="298">
        <v>193</v>
      </c>
      <c r="G551" s="298" t="s">
        <v>88</v>
      </c>
      <c r="H551" s="298" t="s">
        <v>88</v>
      </c>
      <c r="I551" s="156">
        <v>76.459999999999994</v>
      </c>
      <c r="J551" s="157">
        <f t="shared" si="144"/>
        <v>2.2495422443107511</v>
      </c>
      <c r="K551" s="158">
        <v>0.43</v>
      </c>
      <c r="L551" s="126">
        <v>4</v>
      </c>
      <c r="M551" s="82">
        <f t="shared" si="145"/>
        <v>1.72</v>
      </c>
      <c r="N551" s="159" t="s">
        <v>167</v>
      </c>
      <c r="O551" s="160">
        <v>0.38</v>
      </c>
      <c r="P551" s="161">
        <v>44616</v>
      </c>
      <c r="Q551" s="161">
        <v>44635</v>
      </c>
      <c r="R551" s="82">
        <f t="shared" si="146"/>
        <v>13.157894736842103</v>
      </c>
      <c r="S551" s="162">
        <f>IF(INDEX([1]Historical!$D$7:$D$1229,MATCH(B551,[1]Historical!$B$7:$B$1253,0))=0,"n/a",(INDEX([1]Historical!$C$7:$C$1231,MATCH(B551,[1]Historical!$B$7:$B$1253,0))/INDEX([1]Historical!$D$7:$D$1229,MATCH(B551,[1]Historical!$B$7:$B$1253,0))-1)*100)</f>
        <v>11.764705882352944</v>
      </c>
      <c r="T551" s="162">
        <f>IF(INDEX([1]Historical!$F$7:$F$1222,MATCH(B551,[1]Historical!$B$7:$B$1253,0))=0,"n/a",((INDEX([1]Historical!$C$7:$C$1231,MATCH(B551,[1]Historical!$B$7:$B$1253,0))/INDEX([1]Historical!$F$7:$F$1222,MATCH(B551,[1]Historical!$B$7:$B$1253,0)))^(1/3)-1)*100)</f>
        <v>10.715524489384997</v>
      </c>
      <c r="U551" s="162">
        <f>IF(INDEX([1]Historical!$H$7:$H$1222,MATCH(B551,[1]Historical!$B$7:$B$1253,0))=0,"n/a",((INDEX([1]Historical!$C$7:$C$1231,MATCH(B551,[1]Historical!$B$7:$B$1253,0))/INDEX([1]Historical!$H$7:$H$1222,MATCH(B551,[1]Historical!$B$7:$B$1253,0)))^(1/5)-1)*100)</f>
        <v>11.550670014054099</v>
      </c>
      <c r="V551" s="162">
        <f>IF(INDEX([1]Historical!$N$7:$N$1222,MATCH(B551,[1]Historical!$B$7:$B$1253,0))=0,"n/a",((INDEX([1]Historical!$C$7:$C$1231,MATCH(B551,[1]Historical!$B$7:$B$1253,0))/INDEX([1]Historical!$N$7:$N$1222,MATCH(B551,[1]Historical!$B$7:$B$1253,0)))^(1/10)-1)*100)</f>
        <v>10.500834061722086</v>
      </c>
      <c r="W551" s="163">
        <f t="shared" si="147"/>
        <v>1.0999764348394858</v>
      </c>
      <c r="X551" s="164">
        <f t="shared" si="148"/>
        <v>0.77004466760360657</v>
      </c>
      <c r="Y551" s="153"/>
      <c r="Z551" s="157">
        <f t="shared" si="149"/>
        <v>27.876823338735818</v>
      </c>
      <c r="AA551" s="166">
        <f t="shared" si="150"/>
        <v>12.392220421393841</v>
      </c>
      <c r="AB551" s="126">
        <v>12</v>
      </c>
      <c r="AC551" s="167">
        <v>6.17</v>
      </c>
      <c r="AD551" s="167">
        <v>0.41</v>
      </c>
      <c r="AE551" s="167">
        <v>1.1299999999999999</v>
      </c>
      <c r="AF551" s="167">
        <v>5.76</v>
      </c>
      <c r="AG551" s="167">
        <v>46.7</v>
      </c>
      <c r="AH551" s="167">
        <v>98.3</v>
      </c>
      <c r="AI551" s="167">
        <v>-8.66</v>
      </c>
      <c r="AJ551" s="167">
        <v>15</v>
      </c>
      <c r="AK551" s="167">
        <v>31</v>
      </c>
      <c r="AL551" s="168">
        <v>8189.9999999999991</v>
      </c>
      <c r="AM551" s="169">
        <v>0.70000000000000007</v>
      </c>
      <c r="AN551" s="167">
        <v>0</v>
      </c>
      <c r="AO551" s="170">
        <f t="shared" si="151"/>
        <v>1.4079918369710089</v>
      </c>
      <c r="AP551" s="171">
        <f t="shared" si="152"/>
        <v>13.80021225836485</v>
      </c>
      <c r="AQ551" s="172">
        <f t="shared" si="153"/>
        <v>78.112560699037275</v>
      </c>
      <c r="AR551" s="157">
        <f>INDEX([1]Historical!$C$7:$C$1231,MATCH(B551,[1]Historical!$B$7:$B$1253,0))*IF(AH551="n/a",1.03,IF(AH551&lt;0,1.01,IF(AH551&gt;10,1.1,(1+AH551/100))))</f>
        <v>1.6720000000000002</v>
      </c>
      <c r="AS551" s="166">
        <f t="shared" si="154"/>
        <v>1.6887200000000002</v>
      </c>
      <c r="AT551" s="166">
        <f t="shared" ref="AT551:AV566" si="160">IF($AK551="n/a",1.03*AS551,IF($AK551&lt;0,1.01*AS551,IF($AK551&gt;10,1.1*AS551,(1+$AK551/100)*AS551)))</f>
        <v>1.8575920000000004</v>
      </c>
      <c r="AU551" s="166">
        <f t="shared" si="160"/>
        <v>2.0433512000000005</v>
      </c>
      <c r="AV551" s="166">
        <f t="shared" si="160"/>
        <v>2.2476863200000006</v>
      </c>
      <c r="AW551" s="157">
        <f t="shared" si="156"/>
        <v>9.5093495200000007</v>
      </c>
      <c r="AX551" s="173">
        <f t="shared" si="157"/>
        <v>12.437025268114049</v>
      </c>
      <c r="AY551" s="174">
        <v>1.32</v>
      </c>
      <c r="AZ551" s="169">
        <v>16.91</v>
      </c>
      <c r="BA551" s="169">
        <v>-39.21</v>
      </c>
      <c r="BB551" s="169">
        <v>-1.6400000000000001</v>
      </c>
      <c r="BC551" s="169">
        <v>-18.29</v>
      </c>
      <c r="BD551" s="100"/>
      <c r="BE551" s="77">
        <v>2004</v>
      </c>
      <c r="BF551" s="77">
        <f t="shared" si="158"/>
        <v>2</v>
      </c>
      <c r="BG551" s="175">
        <v>22.3</v>
      </c>
      <c r="BH551" t="s">
        <v>939</v>
      </c>
      <c r="BI551" t="s">
        <v>940</v>
      </c>
      <c r="BJ551"/>
      <c r="BK551"/>
      <c r="BL551"/>
    </row>
    <row r="552" spans="1:64" s="112" customFormat="1" x14ac:dyDescent="0.2">
      <c r="A552" s="176" t="s">
        <v>1606</v>
      </c>
      <c r="B552" s="239" t="s">
        <v>774</v>
      </c>
      <c r="C552" s="154" t="s">
        <v>90</v>
      </c>
      <c r="D552" s="154" t="s">
        <v>972</v>
      </c>
      <c r="E552" s="155">
        <v>10</v>
      </c>
      <c r="F552" s="298">
        <v>458</v>
      </c>
      <c r="G552" s="298" t="s">
        <v>88</v>
      </c>
      <c r="H552" s="298" t="s">
        <v>88</v>
      </c>
      <c r="I552" s="156">
        <v>118.14</v>
      </c>
      <c r="J552" s="157">
        <f t="shared" si="144"/>
        <v>1.1511765701709837</v>
      </c>
      <c r="K552" s="158">
        <v>0.34</v>
      </c>
      <c r="L552" s="126">
        <v>4</v>
      </c>
      <c r="M552" s="82">
        <f t="shared" si="145"/>
        <v>1.36</v>
      </c>
      <c r="N552" s="159" t="s">
        <v>443</v>
      </c>
      <c r="O552" s="226">
        <v>0.26</v>
      </c>
      <c r="P552" s="161">
        <v>44564</v>
      </c>
      <c r="Q552" s="161">
        <v>44579</v>
      </c>
      <c r="R552" s="82">
        <f t="shared" si="146"/>
        <v>30.769230769230777</v>
      </c>
      <c r="S552" s="162">
        <f>IF(INDEX([1]Historical!$D$7:$D$1229,MATCH(B552,[1]Historical!$B$7:$B$1253,0))=0,"n/a",(INDEX([1]Historical!$C$7:$C$1231,MATCH(B552,[1]Historical!$B$7:$B$1253,0))/INDEX([1]Historical!$D$7:$D$1229,MATCH(B552,[1]Historical!$B$7:$B$1253,0))-1)*100)</f>
        <v>5.4054054054054168</v>
      </c>
      <c r="T552" s="162">
        <f>IF(INDEX([1]Historical!$F$7:$F$1222,MATCH(B552,[1]Historical!$B$7:$B$1253,0))=0,"n/a",((INDEX([1]Historical!$C$7:$C$1231,MATCH(B552,[1]Historical!$B$7:$B$1253,0))/INDEX([1]Historical!$F$7:$F$1222,MATCH(B552,[1]Historical!$B$7:$B$1253,0)))^(1/3)-1)*100)</f>
        <v>12.351093677423597</v>
      </c>
      <c r="U552" s="162">
        <f>IF(INDEX([1]Historical!$H$7:$H$1222,MATCH(B552,[1]Historical!$B$7:$B$1253,0))=0,"n/a",((INDEX([1]Historical!$C$7:$C$1231,MATCH(B552,[1]Historical!$B$7:$B$1253,0))/INDEX([1]Historical!$H$7:$H$1222,MATCH(B552,[1]Historical!$B$7:$B$1253,0)))^(1/5)-1)*100)</f>
        <v>14.289655141156077</v>
      </c>
      <c r="V552" s="162">
        <f>IF(INDEX([1]Historical!$N$7:$N$1222,MATCH(B552,[1]Historical!$B$7:$B$1253,0))=0,"n/a",((INDEX([1]Historical!$C$7:$C$1231,MATCH(B552,[1]Historical!$B$7:$B$1253,0))/INDEX([1]Historical!$N$7:$N$1222,MATCH(B552,[1]Historical!$B$7:$B$1253,0)))^(1/10)-1)*100)</f>
        <v>11.612317403390438</v>
      </c>
      <c r="W552" s="163">
        <f t="shared" si="147"/>
        <v>1.2305601582147538</v>
      </c>
      <c r="X552" s="164">
        <f t="shared" si="148"/>
        <v>0.64367815951153506</v>
      </c>
      <c r="Y552" s="218" t="s">
        <v>995</v>
      </c>
      <c r="Z552" s="157">
        <f t="shared" si="149"/>
        <v>19.484240687679083</v>
      </c>
      <c r="AA552" s="166">
        <f t="shared" si="150"/>
        <v>16.925501432664756</v>
      </c>
      <c r="AB552" s="126">
        <v>9</v>
      </c>
      <c r="AC552" s="167">
        <v>6.98</v>
      </c>
      <c r="AD552" s="167">
        <v>0.99</v>
      </c>
      <c r="AE552" s="167">
        <v>2.17</v>
      </c>
      <c r="AF552" s="167">
        <v>2.67</v>
      </c>
      <c r="AG552" s="167">
        <v>17.299999999999997</v>
      </c>
      <c r="AH552" s="167">
        <v>71</v>
      </c>
      <c r="AI552" s="167">
        <v>13.58</v>
      </c>
      <c r="AJ552" s="167">
        <v>22.2</v>
      </c>
      <c r="AK552" s="167">
        <v>17.260000000000002</v>
      </c>
      <c r="AL552" s="168">
        <v>24510</v>
      </c>
      <c r="AM552" s="169">
        <v>0.1</v>
      </c>
      <c r="AN552" s="167">
        <v>5.72</v>
      </c>
      <c r="AO552" s="170">
        <f t="shared" si="151"/>
        <v>-1.4846697213376956</v>
      </c>
      <c r="AP552" s="171">
        <f t="shared" si="152"/>
        <v>15.440831711327061</v>
      </c>
      <c r="AQ552" s="172">
        <f t="shared" si="153"/>
        <v>41.721305267634953</v>
      </c>
      <c r="AR552" s="157">
        <f>INDEX([1]Historical!$C$7:$C$1231,MATCH(B552,[1]Historical!$B$7:$B$1253,0))*IF(AH552="n/a",1.03,IF(AH552&lt;0,1.01,IF(AH552&gt;10,1.1,(1+AH552/100))))</f>
        <v>1.1440000000000001</v>
      </c>
      <c r="AS552" s="166">
        <f t="shared" si="154"/>
        <v>1.2584000000000002</v>
      </c>
      <c r="AT552" s="166">
        <f t="shared" si="160"/>
        <v>1.3842400000000004</v>
      </c>
      <c r="AU552" s="166">
        <f t="shared" si="160"/>
        <v>1.5226640000000005</v>
      </c>
      <c r="AV552" s="166">
        <f t="shared" si="160"/>
        <v>1.6749304000000007</v>
      </c>
      <c r="AW552" s="157">
        <f t="shared" si="156"/>
        <v>6.9842344000000018</v>
      </c>
      <c r="AX552" s="173">
        <f t="shared" si="157"/>
        <v>5.9118286778398526</v>
      </c>
      <c r="AY552" s="174">
        <v>1.06</v>
      </c>
      <c r="AZ552" s="169">
        <v>39.22</v>
      </c>
      <c r="BA552" s="169">
        <v>-1.32</v>
      </c>
      <c r="BB552" s="169">
        <v>12.17</v>
      </c>
      <c r="BC552" s="169">
        <v>15.98</v>
      </c>
      <c r="BD552" s="100"/>
      <c r="BE552" s="77">
        <v>2013</v>
      </c>
      <c r="BF552" s="77">
        <f t="shared" si="158"/>
        <v>1</v>
      </c>
      <c r="BG552" s="175">
        <v>2.1</v>
      </c>
      <c r="BH552" t="s">
        <v>939</v>
      </c>
      <c r="BI552" t="s">
        <v>940</v>
      </c>
      <c r="BJ552"/>
      <c r="BK552"/>
      <c r="BL552"/>
    </row>
    <row r="553" spans="1:64" s="112" customFormat="1" ht="12.75" customHeight="1" x14ac:dyDescent="0.2">
      <c r="A553" s="112" t="s">
        <v>437</v>
      </c>
      <c r="B553" s="239" t="s">
        <v>438</v>
      </c>
      <c r="C553" s="154" t="s">
        <v>90</v>
      </c>
      <c r="D553" s="154" t="s">
        <v>110</v>
      </c>
      <c r="E553" s="155">
        <v>47</v>
      </c>
      <c r="F553" s="298">
        <v>54</v>
      </c>
      <c r="G553" s="298" t="s">
        <v>30</v>
      </c>
      <c r="H553" s="298" t="s">
        <v>30</v>
      </c>
      <c r="I553" s="167">
        <v>130.07</v>
      </c>
      <c r="J553" s="157">
        <f t="shared" si="144"/>
        <v>0.79956946259706319</v>
      </c>
      <c r="K553" s="158">
        <v>0.26</v>
      </c>
      <c r="L553" s="126">
        <v>4</v>
      </c>
      <c r="M553" s="82">
        <f t="shared" si="145"/>
        <v>1.04</v>
      </c>
      <c r="N553" s="159" t="s">
        <v>231</v>
      </c>
      <c r="O553" s="160">
        <v>0.25</v>
      </c>
      <c r="P553" s="161">
        <v>44708</v>
      </c>
      <c r="Q553" s="161">
        <v>44733</v>
      </c>
      <c r="R553" s="82">
        <f t="shared" si="146"/>
        <v>4.0000000000000036</v>
      </c>
      <c r="S553" s="162">
        <f>IF(INDEX([1]Historical!$D$7:$D$1229,MATCH(B553,[1]Historical!$B$7:$B$1253,0))=0,"n/a",(INDEX([1]Historical!$C$7:$C$1231,MATCH(B553,[1]Historical!$B$7:$B$1253,0))/INDEX([1]Historical!$D$7:$D$1229,MATCH(B553,[1]Historical!$B$7:$B$1253,0))-1)*100)</f>
        <v>4.2105263157894868</v>
      </c>
      <c r="T553" s="162">
        <f>IF(INDEX([1]Historical!$F$7:$F$1222,MATCH(B553,[1]Historical!$B$7:$B$1253,0))=0,"n/a",((INDEX([1]Historical!$C$7:$C$1231,MATCH(B553,[1]Historical!$B$7:$B$1253,0))/INDEX([1]Historical!$F$7:$F$1222,MATCH(B553,[1]Historical!$B$7:$B$1253,0)))^(1/3)-1)*100)</f>
        <v>4.4011575622509014</v>
      </c>
      <c r="U553" s="162">
        <f>IF(INDEX([1]Historical!$H$7:$H$1222,MATCH(B553,[1]Historical!$B$7:$B$1253,0))=0,"n/a",((INDEX([1]Historical!$C$7:$C$1231,MATCH(B553,[1]Historical!$B$7:$B$1253,0))/INDEX([1]Historical!$H$7:$H$1222,MATCH(B553,[1]Historical!$B$7:$B$1253,0)))^(1/5)-1)*100)</f>
        <v>4.6168455012877585</v>
      </c>
      <c r="V553" s="162">
        <f>IF(INDEX([1]Historical!$N$7:$N$1222,MATCH(B553,[1]Historical!$B$7:$B$1253,0))=0,"n/a",((INDEX([1]Historical!$C$7:$C$1231,MATCH(B553,[1]Historical!$B$7:$B$1253,0))/INDEX([1]Historical!$N$7:$N$1222,MATCH(B553,[1]Historical!$B$7:$B$1253,0)))^(1/10)-1)*100)</f>
        <v>5.2232769641770593</v>
      </c>
      <c r="W553" s="163">
        <f t="shared" si="147"/>
        <v>0.88389827553690792</v>
      </c>
      <c r="X553" s="164">
        <f t="shared" si="148"/>
        <v>0.24557688836637012</v>
      </c>
      <c r="Y553" s="295"/>
      <c r="Z553" s="157">
        <f t="shared" si="149"/>
        <v>8.1825334382376074</v>
      </c>
      <c r="AA553" s="166">
        <f t="shared" si="150"/>
        <v>10.233674272226592</v>
      </c>
      <c r="AB553" s="126">
        <v>12</v>
      </c>
      <c r="AC553" s="167">
        <v>12.71</v>
      </c>
      <c r="AD553" s="167">
        <v>1.03</v>
      </c>
      <c r="AE553" s="167">
        <v>3.45</v>
      </c>
      <c r="AF553" s="167">
        <v>4.2</v>
      </c>
      <c r="AG553" s="167">
        <v>48.199999999999996</v>
      </c>
      <c r="AH553" s="167">
        <v>76.5</v>
      </c>
      <c r="AI553" s="167">
        <v>-1.01</v>
      </c>
      <c r="AJ553" s="167">
        <v>18.8</v>
      </c>
      <c r="AK553" s="167">
        <v>9.8000000000000007</v>
      </c>
      <c r="AL553" s="168">
        <v>5730</v>
      </c>
      <c r="AM553" s="169">
        <v>1.0999999999999999</v>
      </c>
      <c r="AN553" s="167">
        <v>0.14000000000000001</v>
      </c>
      <c r="AO553" s="170">
        <f t="shared" si="151"/>
        <v>-4.8172593083417707</v>
      </c>
      <c r="AP553" s="171">
        <f t="shared" si="152"/>
        <v>5.4164149638848214</v>
      </c>
      <c r="AQ553" s="172">
        <f t="shared" si="153"/>
        <v>38.213091425847367</v>
      </c>
      <c r="AR553" s="157">
        <f>INDEX([1]Historical!$C$7:$C$1231,MATCH(B553,[1]Historical!$B$7:$B$1253,0))*IF(AH553="n/a",1.03,IF(AH553&lt;0,1.01,IF(AH553&gt;10,1.1,(1+AH553/100))))</f>
        <v>1.089</v>
      </c>
      <c r="AS553" s="166">
        <f t="shared" si="154"/>
        <v>1.09989</v>
      </c>
      <c r="AT553" s="166">
        <f t="shared" si="160"/>
        <v>1.2076792200000002</v>
      </c>
      <c r="AU553" s="166">
        <f t="shared" si="160"/>
        <v>1.3260317835600002</v>
      </c>
      <c r="AV553" s="166">
        <f t="shared" si="160"/>
        <v>1.4559828983488803</v>
      </c>
      <c r="AW553" s="157">
        <f t="shared" si="156"/>
        <v>6.1785839019088806</v>
      </c>
      <c r="AX553" s="173">
        <f t="shared" si="157"/>
        <v>4.7501990481347587</v>
      </c>
      <c r="AY553" s="174">
        <v>0.43</v>
      </c>
      <c r="AZ553" s="169">
        <v>35.18</v>
      </c>
      <c r="BA553" s="169">
        <v>0.65</v>
      </c>
      <c r="BB553" s="169">
        <v>17.299999999999997</v>
      </c>
      <c r="BC553" s="169">
        <v>17.39</v>
      </c>
      <c r="BD553" s="100"/>
      <c r="BE553" s="77">
        <v>1976</v>
      </c>
      <c r="BF553" s="77">
        <f t="shared" si="158"/>
        <v>5</v>
      </c>
      <c r="BG553" s="175">
        <v>12.5</v>
      </c>
      <c r="BH553" t="s">
        <v>939</v>
      </c>
      <c r="BI553" t="s">
        <v>940</v>
      </c>
      <c r="BJ553"/>
      <c r="BK553"/>
      <c r="BL553"/>
    </row>
    <row r="554" spans="1:64" s="112" customFormat="1" ht="12.75" customHeight="1" x14ac:dyDescent="0.2">
      <c r="A554" s="176" t="s">
        <v>1607</v>
      </c>
      <c r="B554" s="239" t="s">
        <v>868</v>
      </c>
      <c r="C554" s="154" t="s">
        <v>947</v>
      </c>
      <c r="D554" s="154" t="s">
        <v>999</v>
      </c>
      <c r="E554" s="155">
        <v>8</v>
      </c>
      <c r="F554" s="298">
        <v>565</v>
      </c>
      <c r="G554" s="298" t="s">
        <v>88</v>
      </c>
      <c r="H554" s="298" t="s">
        <v>88</v>
      </c>
      <c r="I554" s="156">
        <v>19.46</v>
      </c>
      <c r="J554" s="157">
        <f t="shared" si="144"/>
        <v>4.7276464542651597</v>
      </c>
      <c r="K554" s="158">
        <v>0.23</v>
      </c>
      <c r="L554" s="126">
        <v>4</v>
      </c>
      <c r="M554" s="82">
        <f t="shared" si="145"/>
        <v>0.92</v>
      </c>
      <c r="N554" s="159" t="s">
        <v>668</v>
      </c>
      <c r="O554" s="160">
        <v>0.22</v>
      </c>
      <c r="P554" s="182">
        <v>44257</v>
      </c>
      <c r="Q554" s="182">
        <v>44272</v>
      </c>
      <c r="R554" s="82">
        <f t="shared" si="146"/>
        <v>4.5454545454545494</v>
      </c>
      <c r="S554" s="162">
        <f>IF(INDEX([1]Historical!$D$7:$D$1229,MATCH(B554,[1]Historical!$B$7:$B$1253,0))=0,"n/a",(INDEX([1]Historical!$C$7:$C$1231,MATCH(B554,[1]Historical!$B$7:$B$1253,0))/INDEX([1]Historical!$D$7:$D$1229,MATCH(B554,[1]Historical!$B$7:$B$1253,0))-1)*100)</f>
        <v>4.5454545454545414</v>
      </c>
      <c r="T554" s="162">
        <f>IF(INDEX([1]Historical!$F$7:$F$1222,MATCH(B554,[1]Historical!$B$7:$B$1253,0))=0,"n/a",((INDEX([1]Historical!$C$7:$C$1231,MATCH(B554,[1]Historical!$B$7:$B$1253,0))/INDEX([1]Historical!$F$7:$F$1222,MATCH(B554,[1]Historical!$B$7:$B$1253,0)))^(1/3)-1)*100)</f>
        <v>4.7689553171647248</v>
      </c>
      <c r="U554" s="162">
        <f>IF(INDEX([1]Historical!$H$7:$H$1222,MATCH(B554,[1]Historical!$B$7:$B$1253,0))=0,"n/a",((INDEX([1]Historical!$C$7:$C$1231,MATCH(B554,[1]Historical!$B$7:$B$1253,0))/INDEX([1]Historical!$H$7:$H$1222,MATCH(B554,[1]Historical!$B$7:$B$1253,0)))^(1/5)-1)*100)</f>
        <v>8.9249364912943783</v>
      </c>
      <c r="V554" s="162" t="str">
        <f>IF(INDEX([1]Historical!$N$7:$N$1222,MATCH(B554,[1]Historical!$B$7:$B$1253,0))=0,"n/a",((INDEX([1]Historical!$C$7:$C$1231,MATCH(B554,[1]Historical!$B$7:$B$1253,0))/INDEX([1]Historical!$N$7:$N$1222,MATCH(B554,[1]Historical!$B$7:$B$1253,0)))^(1/10)-1)*100)</f>
        <v>n/a</v>
      </c>
      <c r="W554" s="163" t="str">
        <f t="shared" si="147"/>
        <v>n/a</v>
      </c>
      <c r="X554" s="164" t="str">
        <f t="shared" si="148"/>
        <v>n/a</v>
      </c>
      <c r="Y554" s="212"/>
      <c r="Z554" s="157" t="str">
        <f t="shared" si="149"/>
        <v>n/a</v>
      </c>
      <c r="AA554" s="166" t="str">
        <f t="shared" si="150"/>
        <v>n/a</v>
      </c>
      <c r="AB554" s="126">
        <v>12</v>
      </c>
      <c r="AC554" s="167">
        <v>-0.8</v>
      </c>
      <c r="AD554" s="167" t="s">
        <v>95</v>
      </c>
      <c r="AE554" s="167">
        <v>0.99</v>
      </c>
      <c r="AF554" s="167">
        <v>0.73</v>
      </c>
      <c r="AG554" s="167">
        <v>-2.9000000000000004</v>
      </c>
      <c r="AH554" s="167">
        <v>-236.10000000000002</v>
      </c>
      <c r="AI554" s="167">
        <v>2.4500000000000002</v>
      </c>
      <c r="AJ554" s="167">
        <v>-21.7</v>
      </c>
      <c r="AK554" s="167" t="s">
        <v>95</v>
      </c>
      <c r="AL554" s="168">
        <v>360.48</v>
      </c>
      <c r="AM554" s="169">
        <v>10.9</v>
      </c>
      <c r="AN554" s="167">
        <v>0.89</v>
      </c>
      <c r="AO554" s="170" t="str">
        <f t="shared" si="151"/>
        <v>n/a</v>
      </c>
      <c r="AP554" s="171">
        <f t="shared" si="152"/>
        <v>13.652582945559537</v>
      </c>
      <c r="AQ554" s="172" t="str">
        <f t="shared" si="153"/>
        <v>n/a</v>
      </c>
      <c r="AR554" s="157">
        <f>INDEX([1]Historical!$C$7:$C$1231,MATCH(B554,[1]Historical!$B$7:$B$1253,0))*IF(AH554="n/a",1.03,IF(AH554&lt;0,1.01,IF(AH554&gt;10,1.1,(1+AH554/100))))</f>
        <v>0.92920000000000003</v>
      </c>
      <c r="AS554" s="166">
        <f t="shared" si="154"/>
        <v>0.95196539999999996</v>
      </c>
      <c r="AT554" s="166">
        <f t="shared" si="160"/>
        <v>0.98052436200000004</v>
      </c>
      <c r="AU554" s="166">
        <f t="shared" si="160"/>
        <v>1.00994009286</v>
      </c>
      <c r="AV554" s="166">
        <f t="shared" si="160"/>
        <v>1.0402382956458001</v>
      </c>
      <c r="AW554" s="157">
        <f t="shared" si="156"/>
        <v>4.9118681505057999</v>
      </c>
      <c r="AX554" s="173">
        <f t="shared" si="157"/>
        <v>25.240843527779035</v>
      </c>
      <c r="AY554" s="174">
        <v>1.28</v>
      </c>
      <c r="AZ554" s="169">
        <v>9.7000000000000011</v>
      </c>
      <c r="BA554" s="169">
        <v>-40.58</v>
      </c>
      <c r="BB554" s="169">
        <v>-4.99</v>
      </c>
      <c r="BC554" s="169">
        <v>-21.87</v>
      </c>
      <c r="BD554" s="100"/>
      <c r="BE554" s="77">
        <v>2014</v>
      </c>
      <c r="BF554" s="77">
        <f t="shared" si="158"/>
        <v>1</v>
      </c>
      <c r="BG554" s="175">
        <v>-1.9</v>
      </c>
      <c r="BH554" t="s">
        <v>939</v>
      </c>
      <c r="BI554" t="s">
        <v>940</v>
      </c>
    </row>
    <row r="555" spans="1:64" s="112" customFormat="1" ht="12.75" customHeight="1" x14ac:dyDescent="0.2">
      <c r="A555" s="176" t="s">
        <v>732</v>
      </c>
      <c r="B555" s="239" t="s">
        <v>733</v>
      </c>
      <c r="C555" s="154" t="s">
        <v>137</v>
      </c>
      <c r="D555" s="154" t="s">
        <v>946</v>
      </c>
      <c r="E555" s="155">
        <v>11</v>
      </c>
      <c r="F555" s="298">
        <v>436</v>
      </c>
      <c r="G555" s="298" t="s">
        <v>88</v>
      </c>
      <c r="H555" s="298" t="s">
        <v>88</v>
      </c>
      <c r="I555" s="156">
        <v>223.69</v>
      </c>
      <c r="J555" s="157">
        <f t="shared" si="144"/>
        <v>0.78680316509455051</v>
      </c>
      <c r="K555" s="158">
        <v>0.44</v>
      </c>
      <c r="L555" s="126">
        <v>4</v>
      </c>
      <c r="M555" s="82">
        <f t="shared" si="145"/>
        <v>1.76</v>
      </c>
      <c r="N555" s="159" t="s">
        <v>668</v>
      </c>
      <c r="O555" s="160">
        <v>0.42</v>
      </c>
      <c r="P555" s="161">
        <v>44790</v>
      </c>
      <c r="Q555" s="161">
        <v>44826</v>
      </c>
      <c r="R555" s="82">
        <f t="shared" si="146"/>
        <v>4.7619047619047663</v>
      </c>
      <c r="S555" s="162">
        <f>IF(INDEX([1]Historical!$D$7:$D$1229,MATCH(B555,[1]Historical!$B$7:$B$1253,0))=0,"n/a",(INDEX([1]Historical!$C$7:$C$1231,MATCH(B555,[1]Historical!$B$7:$B$1253,0))/INDEX([1]Historical!$D$7:$D$1229,MATCH(B555,[1]Historical!$B$7:$B$1253,0))-1)*100)</f>
        <v>3.8461538461538547</v>
      </c>
      <c r="T555" s="162">
        <f>IF(INDEX([1]Historical!$F$7:$F$1222,MATCH(B555,[1]Historical!$B$7:$B$1253,0))=0,"n/a",((INDEX([1]Historical!$C$7:$C$1231,MATCH(B555,[1]Historical!$B$7:$B$1253,0))/INDEX([1]Historical!$F$7:$F$1222,MATCH(B555,[1]Historical!$B$7:$B$1253,0)))^(1/3)-1)*100)</f>
        <v>4.0041911525952045</v>
      </c>
      <c r="U555" s="162">
        <f>IF(INDEX([1]Historical!$H$7:$H$1222,MATCH(B555,[1]Historical!$B$7:$B$1253,0))=0,"n/a",((INDEX([1]Historical!$C$7:$C$1231,MATCH(B555,[1]Historical!$B$7:$B$1253,0))/INDEX([1]Historical!$H$7:$H$1222,MATCH(B555,[1]Historical!$B$7:$B$1253,0)))^(1/5)-1)*100)</f>
        <v>5.1547496797280434</v>
      </c>
      <c r="V555" s="162" t="str">
        <f>IF(INDEX([1]Historical!$N$7:$N$1222,MATCH(B555,[1]Historical!$B$7:$B$1253,0))=0,"n/a",((INDEX([1]Historical!$C$7:$C$1231,MATCH(B555,[1]Historical!$B$7:$B$1253,0))/INDEX([1]Historical!$N$7:$N$1222,MATCH(B555,[1]Historical!$B$7:$B$1253,0)))^(1/10)-1)*100)</f>
        <v>n/a</v>
      </c>
      <c r="W555" s="163" t="str">
        <f t="shared" si="147"/>
        <v>n/a</v>
      </c>
      <c r="X555" s="164">
        <f t="shared" si="148"/>
        <v>0.3014473496916984</v>
      </c>
      <c r="Y555" s="180"/>
      <c r="Z555" s="157">
        <f t="shared" si="149"/>
        <v>32.897196261682247</v>
      </c>
      <c r="AA555" s="166">
        <f t="shared" si="150"/>
        <v>41.811214953271033</v>
      </c>
      <c r="AB555" s="126">
        <v>6</v>
      </c>
      <c r="AC555" s="167">
        <v>5.35</v>
      </c>
      <c r="AD555" s="167">
        <v>1.7</v>
      </c>
      <c r="AE555" s="167">
        <v>9.39</v>
      </c>
      <c r="AF555" s="167">
        <v>9.33</v>
      </c>
      <c r="AG555" s="167">
        <v>23.799999999999997</v>
      </c>
      <c r="AH555" s="167">
        <v>63.6</v>
      </c>
      <c r="AI555" s="167">
        <v>13.059999999999999</v>
      </c>
      <c r="AJ555" s="167">
        <v>17.100000000000001</v>
      </c>
      <c r="AK555" s="167">
        <v>24</v>
      </c>
      <c r="AL555" s="168">
        <v>34020</v>
      </c>
      <c r="AM555" s="169">
        <v>0.5</v>
      </c>
      <c r="AN555" s="167">
        <v>0.23</v>
      </c>
      <c r="AO555" s="170">
        <f t="shared" si="151"/>
        <v>-35.869662108448438</v>
      </c>
      <c r="AP555" s="171">
        <f t="shared" si="152"/>
        <v>5.9415528448225938</v>
      </c>
      <c r="AQ555" s="172">
        <f t="shared" si="153"/>
        <v>316.38584430737302</v>
      </c>
      <c r="AR555" s="157">
        <f>INDEX([1]Historical!$C$7:$C$1231,MATCH(B555,[1]Historical!$B$7:$B$1253,0))*IF(AH555="n/a",1.03,IF(AH555&lt;0,1.01,IF(AH555&gt;10,1.1,(1+AH555/100))))</f>
        <v>1.7820000000000003</v>
      </c>
      <c r="AS555" s="166">
        <f t="shared" si="154"/>
        <v>1.9602000000000004</v>
      </c>
      <c r="AT555" s="166">
        <f t="shared" si="160"/>
        <v>2.1562200000000007</v>
      </c>
      <c r="AU555" s="166">
        <f t="shared" si="160"/>
        <v>2.3718420000000009</v>
      </c>
      <c r="AV555" s="166">
        <f t="shared" si="160"/>
        <v>2.6090262000000011</v>
      </c>
      <c r="AW555" s="157">
        <f t="shared" si="156"/>
        <v>10.879288200000003</v>
      </c>
      <c r="AX555" s="173">
        <f t="shared" si="157"/>
        <v>4.8635559032589759</v>
      </c>
      <c r="AY555" s="174">
        <v>0.49</v>
      </c>
      <c r="AZ555" s="169">
        <v>18.099999999999998</v>
      </c>
      <c r="BA555" s="169">
        <v>-18.84</v>
      </c>
      <c r="BB555" s="169">
        <v>0.37</v>
      </c>
      <c r="BC555" s="169">
        <v>-1.1199999999999999</v>
      </c>
      <c r="BD555" s="100"/>
      <c r="BE555" s="77">
        <v>2012</v>
      </c>
      <c r="BF555" s="77">
        <f t="shared" si="158"/>
        <v>1</v>
      </c>
      <c r="BG555" s="175">
        <v>15.8</v>
      </c>
      <c r="BH555" t="s">
        <v>939</v>
      </c>
      <c r="BI555" t="s">
        <v>940</v>
      </c>
      <c r="BJ555"/>
      <c r="BK555"/>
      <c r="BL555"/>
    </row>
    <row r="556" spans="1:64" s="112" customFormat="1" ht="12.75" customHeight="1" x14ac:dyDescent="0.2">
      <c r="A556" s="112" t="s">
        <v>1608</v>
      </c>
      <c r="B556" s="239" t="s">
        <v>432</v>
      </c>
      <c r="C556" s="154" t="s">
        <v>90</v>
      </c>
      <c r="D556" s="154" t="s">
        <v>110</v>
      </c>
      <c r="E556" s="155">
        <v>27</v>
      </c>
      <c r="F556" s="298">
        <v>131</v>
      </c>
      <c r="G556" s="298" t="s">
        <v>88</v>
      </c>
      <c r="H556" s="298" t="s">
        <v>88</v>
      </c>
      <c r="I556" s="167">
        <v>154.68</v>
      </c>
      <c r="J556" s="157">
        <f t="shared" si="144"/>
        <v>0.95681406775277988</v>
      </c>
      <c r="K556" s="209">
        <v>0.37</v>
      </c>
      <c r="L556" s="126">
        <v>4</v>
      </c>
      <c r="M556" s="82">
        <f t="shared" si="145"/>
        <v>1.48</v>
      </c>
      <c r="N556" s="159" t="s">
        <v>628</v>
      </c>
      <c r="O556" s="210">
        <v>0.36</v>
      </c>
      <c r="P556" s="161">
        <v>44634</v>
      </c>
      <c r="Q556" s="161">
        <v>44651</v>
      </c>
      <c r="R556" s="82">
        <f t="shared" si="146"/>
        <v>2.7777777777777803</v>
      </c>
      <c r="S556" s="162">
        <f>IF(INDEX([1]Historical!$D$7:$D$1229,MATCH(B556,[1]Historical!$B$7:$B$1253,0))=0,"n/a",(INDEX([1]Historical!$C$7:$C$1231,MATCH(B556,[1]Historical!$B$7:$B$1253,0))/INDEX([1]Historical!$D$7:$D$1229,MATCH(B556,[1]Historical!$B$7:$B$1253,0))-1)*100)</f>
        <v>2.8571428571428692</v>
      </c>
      <c r="T556" s="162">
        <f>IF(INDEX([1]Historical!$F$7:$F$1222,MATCH(B556,[1]Historical!$B$7:$B$1253,0))=0,"n/a",((INDEX([1]Historical!$C$7:$C$1231,MATCH(B556,[1]Historical!$B$7:$B$1253,0))/INDEX([1]Historical!$F$7:$F$1222,MATCH(B556,[1]Historical!$B$7:$B$1253,0)))^(1/3)-1)*100)</f>
        <v>2.9428498400178693</v>
      </c>
      <c r="U556" s="162">
        <f>IF(INDEX([1]Historical!$H$7:$H$1222,MATCH(B556,[1]Historical!$B$7:$B$1253,0))=0,"n/a",((INDEX([1]Historical!$C$7:$C$1231,MATCH(B556,[1]Historical!$B$7:$B$1253,0))/INDEX([1]Historical!$H$7:$H$1222,MATCH(B556,[1]Historical!$B$7:$B$1253,0)))^(1/5)-1)*100)</f>
        <v>3.0358033101851145</v>
      </c>
      <c r="V556" s="162">
        <f>IF(INDEX([1]Historical!$N$7:$N$1222,MATCH(B556,[1]Historical!$B$7:$B$1253,0))=0,"n/a",((INDEX([1]Historical!$C$7:$C$1231,MATCH(B556,[1]Historical!$B$7:$B$1253,0))/INDEX([1]Historical!$N$7:$N$1222,MATCH(B556,[1]Historical!$B$7:$B$1253,0)))^(1/10)-1)*100)</f>
        <v>3.3077529462111066</v>
      </c>
      <c r="W556" s="163">
        <f t="shared" si="147"/>
        <v>0.91778417540599611</v>
      </c>
      <c r="X556" s="164" t="str">
        <f t="shared" si="148"/>
        <v>n/a</v>
      </c>
      <c r="Y556" s="178" t="s">
        <v>165</v>
      </c>
      <c r="Z556" s="157" t="str">
        <f t="shared" si="149"/>
        <v>n/a</v>
      </c>
      <c r="AA556" s="166" t="str">
        <f t="shared" si="150"/>
        <v>n/a</v>
      </c>
      <c r="AB556" s="126">
        <v>12</v>
      </c>
      <c r="AC556" s="167">
        <v>-21.67</v>
      </c>
      <c r="AD556" s="167" t="s">
        <v>95</v>
      </c>
      <c r="AE556" s="167">
        <v>1.36</v>
      </c>
      <c r="AF556" s="167">
        <v>1.34</v>
      </c>
      <c r="AG556" s="167">
        <v>-17.299999999999997</v>
      </c>
      <c r="AH556" s="179">
        <v>-110.3</v>
      </c>
      <c r="AI556" s="179">
        <v>241.85</v>
      </c>
      <c r="AJ556" s="167">
        <v>-16.400000000000002</v>
      </c>
      <c r="AK556" s="167" t="s">
        <v>95</v>
      </c>
      <c r="AL556" s="168">
        <v>6500</v>
      </c>
      <c r="AM556" s="169">
        <v>0.1</v>
      </c>
      <c r="AN556" s="167">
        <v>0.23</v>
      </c>
      <c r="AO556" s="170" t="str">
        <f t="shared" si="151"/>
        <v>n/a</v>
      </c>
      <c r="AP556" s="171">
        <f t="shared" si="152"/>
        <v>3.9926173779378944</v>
      </c>
      <c r="AQ556" s="172" t="str">
        <f t="shared" si="153"/>
        <v>n/a</v>
      </c>
      <c r="AR556" s="157">
        <f>INDEX([1]Historical!$C$7:$C$1231,MATCH(B556,[1]Historical!$B$7:$B$1253,0))*IF(AH556="n/a",1.03,IF(AH556&lt;0,1.01,IF(AH556&gt;10,1.1,(1+AH556/100))))</f>
        <v>1.4543999999999999</v>
      </c>
      <c r="AS556" s="166">
        <f t="shared" si="154"/>
        <v>1.5998399999999999</v>
      </c>
      <c r="AT556" s="166">
        <f t="shared" si="160"/>
        <v>1.6478352000000001</v>
      </c>
      <c r="AU556" s="166">
        <f t="shared" si="160"/>
        <v>1.6972702560000001</v>
      </c>
      <c r="AV556" s="166">
        <f t="shared" si="160"/>
        <v>1.7481883636800002</v>
      </c>
      <c r="AW556" s="157">
        <f t="shared" si="156"/>
        <v>8.1475338196800013</v>
      </c>
      <c r="AX556" s="173">
        <f t="shared" si="157"/>
        <v>5.2673479568657884</v>
      </c>
      <c r="AY556" s="174">
        <v>0.34</v>
      </c>
      <c r="AZ556" s="169">
        <v>24.560000000000002</v>
      </c>
      <c r="BA556" s="169">
        <v>-11.379999999999999</v>
      </c>
      <c r="BB556" s="169">
        <v>10.43</v>
      </c>
      <c r="BC556" s="169">
        <v>5.34</v>
      </c>
      <c r="BD556" s="100"/>
      <c r="BE556" s="77">
        <v>1996</v>
      </c>
      <c r="BF556" s="77">
        <f t="shared" si="158"/>
        <v>3</v>
      </c>
      <c r="BG556" s="175">
        <v>-2.8000000000000003</v>
      </c>
      <c r="BH556" t="s">
        <v>939</v>
      </c>
      <c r="BI556" t="s">
        <v>940</v>
      </c>
      <c r="BJ556"/>
      <c r="BK556"/>
      <c r="BL556"/>
    </row>
    <row r="557" spans="1:64" s="112" customFormat="1" ht="12.75" customHeight="1" x14ac:dyDescent="0.2">
      <c r="A557" s="112" t="s">
        <v>1609</v>
      </c>
      <c r="B557" s="239" t="s">
        <v>550</v>
      </c>
      <c r="C557" s="154" t="s">
        <v>94</v>
      </c>
      <c r="D557" s="154" t="s">
        <v>1048</v>
      </c>
      <c r="E557" s="155">
        <v>13</v>
      </c>
      <c r="F557" s="298">
        <v>315</v>
      </c>
      <c r="G557" s="298" t="s">
        <v>30</v>
      </c>
      <c r="H557" s="298" t="s">
        <v>104</v>
      </c>
      <c r="I557" s="156">
        <v>255.3</v>
      </c>
      <c r="J557" s="157">
        <f t="shared" si="144"/>
        <v>1.8488053270661966</v>
      </c>
      <c r="K557" s="158">
        <v>1.18</v>
      </c>
      <c r="L557" s="126">
        <v>4</v>
      </c>
      <c r="M557" s="82">
        <f t="shared" si="145"/>
        <v>4.72</v>
      </c>
      <c r="N557" s="159" t="s">
        <v>140</v>
      </c>
      <c r="O557" s="160">
        <v>1.1200000000000001</v>
      </c>
      <c r="P557" s="161">
        <v>44875</v>
      </c>
      <c r="Q557" s="161">
        <v>44907</v>
      </c>
      <c r="R557" s="82">
        <f t="shared" si="146"/>
        <v>5.3571428571428417</v>
      </c>
      <c r="S557" s="162">
        <f>IF(INDEX([1]Historical!$D$7:$D$1229,MATCH(B557,[1]Historical!$B$7:$B$1253,0))=0,"n/a",(INDEX([1]Historical!$C$7:$C$1231,MATCH(B557,[1]Historical!$B$7:$B$1253,0))/INDEX([1]Historical!$D$7:$D$1229,MATCH(B557,[1]Historical!$B$7:$B$1253,0))-1)*100)</f>
        <v>4.8426150121065437</v>
      </c>
      <c r="T557" s="162">
        <f>IF(INDEX([1]Historical!$F$7:$F$1222,MATCH(B557,[1]Historical!$B$7:$B$1253,0))=0,"n/a",((INDEX([1]Historical!$C$7:$C$1231,MATCH(B557,[1]Historical!$B$7:$B$1253,0))/INDEX([1]Historical!$F$7:$F$1222,MATCH(B557,[1]Historical!$B$7:$B$1253,0)))^(1/3)-1)*100)</f>
        <v>5.9083303049897173</v>
      </c>
      <c r="U557" s="162">
        <f>IF(INDEX([1]Historical!$H$7:$H$1222,MATCH(B557,[1]Historical!$B$7:$B$1253,0))=0,"n/a",((INDEX([1]Historical!$C$7:$C$1231,MATCH(B557,[1]Historical!$B$7:$B$1253,0))/INDEX([1]Historical!$H$7:$H$1222,MATCH(B557,[1]Historical!$B$7:$B$1253,0)))^(1/5)-1)*100)</f>
        <v>8.0876209984477967</v>
      </c>
      <c r="V557" s="162">
        <f>IF(INDEX([1]Historical!$N$7:$N$1222,MATCH(B557,[1]Historical!$B$7:$B$1253,0))=0,"n/a",((INDEX([1]Historical!$C$7:$C$1231,MATCH(B557,[1]Historical!$B$7:$B$1253,0))/INDEX([1]Historical!$N$7:$N$1222,MATCH(B557,[1]Historical!$B$7:$B$1253,0)))^(1/10)-1)*100)</f>
        <v>10.819355434766752</v>
      </c>
      <c r="W557" s="163">
        <f t="shared" si="147"/>
        <v>0.74751412385059079</v>
      </c>
      <c r="X557" s="164">
        <f t="shared" si="148"/>
        <v>0.51187474673720235</v>
      </c>
      <c r="Y557" s="249"/>
      <c r="Z557" s="157">
        <f t="shared" si="149"/>
        <v>82.373472949389168</v>
      </c>
      <c r="AA557" s="166">
        <f t="shared" si="150"/>
        <v>44.554973821989527</v>
      </c>
      <c r="AB557" s="126">
        <v>9</v>
      </c>
      <c r="AC557" s="167">
        <v>5.73</v>
      </c>
      <c r="AD557" s="167">
        <v>5.12</v>
      </c>
      <c r="AE557" s="167">
        <v>3.83</v>
      </c>
      <c r="AF557" s="167">
        <v>12.47</v>
      </c>
      <c r="AG557" s="167">
        <v>27</v>
      </c>
      <c r="AH557" s="167">
        <v>32.1</v>
      </c>
      <c r="AI557" s="167">
        <v>15.64</v>
      </c>
      <c r="AJ557" s="167">
        <v>15.8</v>
      </c>
      <c r="AK557" s="167">
        <v>8.77</v>
      </c>
      <c r="AL557" s="168">
        <v>28470</v>
      </c>
      <c r="AM557" s="213">
        <v>0.16</v>
      </c>
      <c r="AN557" s="167">
        <v>1.7</v>
      </c>
      <c r="AO557" s="170">
        <f t="shared" si="151"/>
        <v>-34.618547496475536</v>
      </c>
      <c r="AP557" s="171">
        <f t="shared" si="152"/>
        <v>9.9364263255139935</v>
      </c>
      <c r="AQ557" s="172">
        <f t="shared" si="153"/>
        <v>396.92410489606937</v>
      </c>
      <c r="AR557" s="157">
        <f>INDEX([1]Historical!$C$7:$C$1231,MATCH(B557,[1]Historical!$B$7:$B$1253,0))*IF(AH557="n/a",1.03,IF(AH557&lt;0,1.01,IF(AH557&gt;10,1.1,(1+AH557/100))))</f>
        <v>4.7630000000000008</v>
      </c>
      <c r="AS557" s="166">
        <f t="shared" si="154"/>
        <v>5.239300000000001</v>
      </c>
      <c r="AT557" s="166">
        <f t="shared" si="160"/>
        <v>5.6987866100000009</v>
      </c>
      <c r="AU557" s="166">
        <f t="shared" si="160"/>
        <v>6.1985701956970001</v>
      </c>
      <c r="AV557" s="166">
        <f t="shared" si="160"/>
        <v>6.7421848018596267</v>
      </c>
      <c r="AW557" s="157">
        <f t="shared" si="156"/>
        <v>28.641841607556628</v>
      </c>
      <c r="AX557" s="173">
        <f t="shared" si="157"/>
        <v>11.218896046829858</v>
      </c>
      <c r="AY557" s="174">
        <v>1.45</v>
      </c>
      <c r="AZ557" s="169">
        <v>34.31</v>
      </c>
      <c r="BA557" s="169">
        <v>-28.08</v>
      </c>
      <c r="BB557" s="169">
        <v>8.4500000000000011</v>
      </c>
      <c r="BC557" s="169">
        <v>4.8099999999999996</v>
      </c>
      <c r="BD557" s="100"/>
      <c r="BE557" s="77">
        <v>2010</v>
      </c>
      <c r="BF557" s="77">
        <f t="shared" si="158"/>
        <v>1</v>
      </c>
      <c r="BG557" s="175">
        <v>6.2</v>
      </c>
      <c r="BH557" t="s">
        <v>939</v>
      </c>
      <c r="BI557" t="s">
        <v>940</v>
      </c>
      <c r="BJ557"/>
      <c r="BK557"/>
      <c r="BL557"/>
    </row>
    <row r="558" spans="1:64" s="112" customFormat="1" ht="12.75" customHeight="1" x14ac:dyDescent="0.2">
      <c r="A558" s="176" t="s">
        <v>1610</v>
      </c>
      <c r="B558" s="239" t="s">
        <v>441</v>
      </c>
      <c r="C558" s="154" t="s">
        <v>94</v>
      </c>
      <c r="D558" s="154" t="s">
        <v>1033</v>
      </c>
      <c r="E558" s="155">
        <v>29</v>
      </c>
      <c r="F558" s="298">
        <v>107</v>
      </c>
      <c r="G558" s="298" t="s">
        <v>88</v>
      </c>
      <c r="H558" s="298" t="s">
        <v>88</v>
      </c>
      <c r="I558" s="167">
        <v>414.54</v>
      </c>
      <c r="J558" s="157">
        <f t="shared" si="144"/>
        <v>0.59825348579147963</v>
      </c>
      <c r="K558" s="209">
        <v>0.62</v>
      </c>
      <c r="L558" s="126">
        <v>4</v>
      </c>
      <c r="M558" s="82">
        <f t="shared" si="145"/>
        <v>2.48</v>
      </c>
      <c r="N558" s="159" t="s">
        <v>141</v>
      </c>
      <c r="O558" s="210">
        <v>0.5625</v>
      </c>
      <c r="P558" s="161">
        <v>44568</v>
      </c>
      <c r="Q558" s="161">
        <v>44585</v>
      </c>
      <c r="R558" s="82">
        <f t="shared" si="146"/>
        <v>10.222222222222221</v>
      </c>
      <c r="S558" s="162">
        <f>IF(INDEX([1]Historical!$D$7:$D$1229,MATCH(B558,[1]Historical!$B$7:$B$1253,0))=0,"n/a",(INDEX([1]Historical!$C$7:$C$1231,MATCH(B558,[1]Historical!$B$7:$B$1253,0))/INDEX([1]Historical!$D$7:$D$1229,MATCH(B558,[1]Historical!$B$7:$B$1253,0))-1)*100)</f>
        <v>9.7560975609756184</v>
      </c>
      <c r="T558" s="162">
        <f>IF(INDEX([1]Historical!$F$7:$F$1222,MATCH(B558,[1]Historical!$B$7:$B$1253,0))=0,"n/a",((INDEX([1]Historical!$C$7:$C$1231,MATCH(B558,[1]Historical!$B$7:$B$1253,0))/INDEX([1]Historical!$F$7:$F$1222,MATCH(B558,[1]Historical!$B$7:$B$1253,0)))^(1/3)-1)*100)</f>
        <v>10.891823393038823</v>
      </c>
      <c r="U558" s="162">
        <f>IF(INDEX([1]Historical!$H$7:$H$1222,MATCH(B558,[1]Historical!$B$7:$B$1253,0))=0,"n/a",((INDEX([1]Historical!$C$7:$C$1231,MATCH(B558,[1]Historical!$B$7:$B$1253,0))/INDEX([1]Historical!$H$7:$H$1222,MATCH(B558,[1]Historical!$B$7:$B$1253,0)))^(1/5)-1)*100)</f>
        <v>13.396657763302722</v>
      </c>
      <c r="V558" s="162">
        <f>IF(INDEX([1]Historical!$N$7:$N$1222,MATCH(B558,[1]Historical!$B$7:$B$1253,0))=0,"n/a",((INDEX([1]Historical!$C$7:$C$1231,MATCH(B558,[1]Historical!$B$7:$B$1253,0))/INDEX([1]Historical!$N$7:$N$1222,MATCH(B558,[1]Historical!$B$7:$B$1253,0)))^(1/10)-1)*100)</f>
        <v>17.726161561467912</v>
      </c>
      <c r="W558" s="163">
        <f t="shared" si="147"/>
        <v>0.75575627113901467</v>
      </c>
      <c r="X558" s="164">
        <f t="shared" si="148"/>
        <v>1.7862210351070296</v>
      </c>
      <c r="Y558" s="219"/>
      <c r="Z558" s="157">
        <f t="shared" si="149"/>
        <v>28.213879408418663</v>
      </c>
      <c r="AA558" s="166">
        <f t="shared" si="150"/>
        <v>47.160409556314001</v>
      </c>
      <c r="AB558" s="126">
        <v>12</v>
      </c>
      <c r="AC558" s="167">
        <v>8.7899999999999991</v>
      </c>
      <c r="AD558" s="167">
        <v>4.38</v>
      </c>
      <c r="AE558" s="167">
        <v>7.78</v>
      </c>
      <c r="AF558" s="167">
        <v>3.19</v>
      </c>
      <c r="AG558" s="167">
        <v>23</v>
      </c>
      <c r="AH558" s="167">
        <v>18.099999999999998</v>
      </c>
      <c r="AI558" s="167">
        <v>11.87</v>
      </c>
      <c r="AJ558" s="167">
        <v>7.5</v>
      </c>
      <c r="AK558" s="167">
        <v>10.75</v>
      </c>
      <c r="AL558" s="168">
        <v>42440</v>
      </c>
      <c r="AM558" s="169">
        <v>0.3</v>
      </c>
      <c r="AN558" s="167">
        <v>0.54</v>
      </c>
      <c r="AO558" s="170">
        <f t="shared" si="151"/>
        <v>-33.165498307219799</v>
      </c>
      <c r="AP558" s="171">
        <f t="shared" si="152"/>
        <v>13.994911249094201</v>
      </c>
      <c r="AQ558" s="172">
        <f t="shared" si="153"/>
        <v>158.57877070602825</v>
      </c>
      <c r="AR558" s="157">
        <f>INDEX([1]Historical!$C$7:$C$1231,MATCH(B558,[1]Historical!$B$7:$B$1253,0))*IF(AH558="n/a",1.03,IF(AH558&lt;0,1.01,IF(AH558&gt;10,1.1,(1+AH558/100))))</f>
        <v>2.4750000000000001</v>
      </c>
      <c r="AS558" s="166">
        <f t="shared" si="154"/>
        <v>2.7225000000000001</v>
      </c>
      <c r="AT558" s="166">
        <f t="shared" si="160"/>
        <v>2.9947500000000002</v>
      </c>
      <c r="AU558" s="166">
        <f t="shared" si="160"/>
        <v>3.2942250000000004</v>
      </c>
      <c r="AV558" s="166">
        <f t="shared" si="160"/>
        <v>3.6236475000000006</v>
      </c>
      <c r="AW558" s="157">
        <f t="shared" si="156"/>
        <v>15.110122500000001</v>
      </c>
      <c r="AX558" s="173">
        <f t="shared" si="157"/>
        <v>3.6450336517585757</v>
      </c>
      <c r="AY558" s="174">
        <v>1.06</v>
      </c>
      <c r="AZ558" s="169">
        <v>16.37</v>
      </c>
      <c r="BA558" s="169">
        <v>-17.349999999999998</v>
      </c>
      <c r="BB558" s="169">
        <v>6.9099999999999993</v>
      </c>
      <c r="BC558" s="169">
        <v>-2.11</v>
      </c>
      <c r="BD558" s="100"/>
      <c r="BE558" s="77">
        <v>1994</v>
      </c>
      <c r="BF558" s="77">
        <f t="shared" si="158"/>
        <v>3</v>
      </c>
      <c r="BG558" s="175">
        <v>11.700000000000001</v>
      </c>
      <c r="BH558" t="s">
        <v>939</v>
      </c>
      <c r="BI558" t="s">
        <v>940</v>
      </c>
      <c r="BJ558"/>
      <c r="BK558"/>
      <c r="BL558"/>
    </row>
    <row r="559" spans="1:64" s="112" customFormat="1" ht="12.75" customHeight="1" x14ac:dyDescent="0.2">
      <c r="A559" s="112" t="s">
        <v>444</v>
      </c>
      <c r="B559" s="239" t="s">
        <v>445</v>
      </c>
      <c r="C559" s="154" t="s">
        <v>96</v>
      </c>
      <c r="D559" s="154" t="s">
        <v>911</v>
      </c>
      <c r="E559" s="155">
        <v>49</v>
      </c>
      <c r="F559" s="298">
        <v>48</v>
      </c>
      <c r="G559" s="298" t="s">
        <v>30</v>
      </c>
      <c r="H559" s="298" t="s">
        <v>30</v>
      </c>
      <c r="I559" s="167">
        <v>94.57</v>
      </c>
      <c r="J559" s="157">
        <f t="shared" si="144"/>
        <v>1.776461880088823</v>
      </c>
      <c r="K559" s="158">
        <v>0.42</v>
      </c>
      <c r="L559" s="126">
        <v>4</v>
      </c>
      <c r="M559" s="82">
        <f t="shared" si="145"/>
        <v>1.68</v>
      </c>
      <c r="N559" s="159" t="s">
        <v>190</v>
      </c>
      <c r="O559" s="160">
        <v>0.4</v>
      </c>
      <c r="P559" s="161">
        <v>44848</v>
      </c>
      <c r="Q559" s="161">
        <v>44865</v>
      </c>
      <c r="R559" s="82">
        <f t="shared" si="146"/>
        <v>4.9999999999999902</v>
      </c>
      <c r="S559" s="162">
        <f>IF(INDEX([1]Historical!$D$7:$D$1229,MATCH(B559,[1]Historical!$B$7:$B$1253,0))=0,"n/a",(INDEX([1]Historical!$C$7:$C$1231,MATCH(B559,[1]Historical!$B$7:$B$1253,0))/INDEX([1]Historical!$D$7:$D$1229,MATCH(B559,[1]Historical!$B$7:$B$1253,0))-1)*100)</f>
        <v>5.4794520547945202</v>
      </c>
      <c r="T559" s="162">
        <f>IF(INDEX([1]Historical!$F$7:$F$1222,MATCH(B559,[1]Historical!$B$7:$B$1253,0))=0,"n/a",((INDEX([1]Historical!$C$7:$C$1231,MATCH(B559,[1]Historical!$B$7:$B$1253,0))/INDEX([1]Historical!$F$7:$F$1222,MATCH(B559,[1]Historical!$B$7:$B$1253,0)))^(1/3)-1)*100)</f>
        <v>5.539850599236229</v>
      </c>
      <c r="U559" s="162">
        <f>IF(INDEX([1]Historical!$H$7:$H$1222,MATCH(B559,[1]Historical!$B$7:$B$1253,0))=0,"n/a",((INDEX([1]Historical!$C$7:$C$1231,MATCH(B559,[1]Historical!$B$7:$B$1253,0))/INDEX([1]Historical!$H$7:$H$1222,MATCH(B559,[1]Historical!$B$7:$B$1253,0)))^(1/5)-1)*100)</f>
        <v>6.481372328946744</v>
      </c>
      <c r="V559" s="162">
        <f>IF(INDEX([1]Historical!$N$7:$N$1222,MATCH(B559,[1]Historical!$B$7:$B$1253,0))=0,"n/a",((INDEX([1]Historical!$C$7:$C$1231,MATCH(B559,[1]Historical!$B$7:$B$1253,0))/INDEX([1]Historical!$N$7:$N$1222,MATCH(B559,[1]Historical!$B$7:$B$1253,0)))^(1/10)-1)*100)</f>
        <v>6.185789690043908</v>
      </c>
      <c r="W559" s="163">
        <f t="shared" si="147"/>
        <v>1.0477841397321637</v>
      </c>
      <c r="X559" s="164">
        <f t="shared" si="148"/>
        <v>0.28552301008575964</v>
      </c>
      <c r="Y559" s="181"/>
      <c r="Z559" s="157">
        <f t="shared" si="149"/>
        <v>41.379310344827594</v>
      </c>
      <c r="AA559" s="166">
        <f t="shared" si="150"/>
        <v>23.293103448275861</v>
      </c>
      <c r="AB559" s="126">
        <v>5</v>
      </c>
      <c r="AC559" s="167">
        <v>4.0599999999999996</v>
      </c>
      <c r="AD559" s="167">
        <v>1.1100000000000001</v>
      </c>
      <c r="AE559" s="167">
        <v>1.71</v>
      </c>
      <c r="AF559" s="167">
        <v>6.07</v>
      </c>
      <c r="AG559" s="167" t="s">
        <v>95</v>
      </c>
      <c r="AH559" s="167">
        <v>-1.9</v>
      </c>
      <c r="AI559" s="167">
        <v>12.91</v>
      </c>
      <c r="AJ559" s="167">
        <v>22.7</v>
      </c>
      <c r="AK559" s="167">
        <v>20.990000000000002</v>
      </c>
      <c r="AL559" s="168">
        <v>11990</v>
      </c>
      <c r="AM559" s="169">
        <v>1.2</v>
      </c>
      <c r="AN559" s="167">
        <v>1.42</v>
      </c>
      <c r="AO559" s="170">
        <f t="shared" si="151"/>
        <v>-15.035269239240295</v>
      </c>
      <c r="AP559" s="171">
        <f t="shared" si="152"/>
        <v>8.2578342090355665</v>
      </c>
      <c r="AQ559" s="172">
        <f t="shared" si="153"/>
        <v>150.67831349807176</v>
      </c>
      <c r="AR559" s="157">
        <f>INDEX([1]Historical!$C$7:$C$1231,MATCH(B559,[1]Historical!$B$7:$B$1253,0))*IF(AH559="n/a",1.03,IF(AH559&lt;0,1.01,IF(AH559&gt;10,1.1,(1+AH559/100))))</f>
        <v>1.5554000000000001</v>
      </c>
      <c r="AS559" s="166">
        <f t="shared" si="154"/>
        <v>1.7109400000000003</v>
      </c>
      <c r="AT559" s="166">
        <f t="shared" si="160"/>
        <v>1.8820340000000004</v>
      </c>
      <c r="AU559" s="166">
        <f t="shared" si="160"/>
        <v>2.0702374000000008</v>
      </c>
      <c r="AV559" s="166">
        <f t="shared" si="160"/>
        <v>2.2772611400000011</v>
      </c>
      <c r="AW559" s="157">
        <f t="shared" si="156"/>
        <v>9.4958725400000024</v>
      </c>
      <c r="AX559" s="173">
        <f t="shared" si="157"/>
        <v>10.041104515173949</v>
      </c>
      <c r="AY559" s="174">
        <v>0.96</v>
      </c>
      <c r="AZ559" s="169">
        <v>26.85</v>
      </c>
      <c r="BA559" s="169">
        <v>-6.81</v>
      </c>
      <c r="BB559" s="169">
        <v>3.7699999999999996</v>
      </c>
      <c r="BC559" s="169">
        <v>9.43</v>
      </c>
      <c r="BD559" s="100"/>
      <c r="BE559" s="77">
        <v>1975</v>
      </c>
      <c r="BF559" s="77">
        <f t="shared" si="158"/>
        <v>5</v>
      </c>
      <c r="BG559" s="175" t="s">
        <v>95</v>
      </c>
      <c r="BH559" t="s">
        <v>939</v>
      </c>
      <c r="BI559" t="s">
        <v>940</v>
      </c>
      <c r="BJ559"/>
      <c r="BK559"/>
      <c r="BL559"/>
    </row>
    <row r="560" spans="1:64" s="112" customFormat="1" ht="12.75" customHeight="1" x14ac:dyDescent="0.2">
      <c r="A560" s="176" t="s">
        <v>1738</v>
      </c>
      <c r="B560" s="239" t="s">
        <v>1739</v>
      </c>
      <c r="C560" s="154" t="s">
        <v>94</v>
      </c>
      <c r="D560" s="154" t="s">
        <v>1048</v>
      </c>
      <c r="E560" s="155">
        <v>18</v>
      </c>
      <c r="F560" s="298">
        <v>218</v>
      </c>
      <c r="G560" s="298" t="s">
        <v>88</v>
      </c>
      <c r="H560" s="298" t="s">
        <v>88</v>
      </c>
      <c r="I560" s="156">
        <v>126.54</v>
      </c>
      <c r="J560" s="157">
        <f t="shared" si="144"/>
        <v>1.1063695274221588</v>
      </c>
      <c r="K560" s="158">
        <v>0.35</v>
      </c>
      <c r="L560" s="126">
        <v>4</v>
      </c>
      <c r="M560" s="82">
        <f t="shared" si="145"/>
        <v>1.4</v>
      </c>
      <c r="N560" s="159" t="s">
        <v>634</v>
      </c>
      <c r="O560" s="160">
        <v>0.33</v>
      </c>
      <c r="P560" s="161">
        <v>44741</v>
      </c>
      <c r="Q560" s="161">
        <v>44756</v>
      </c>
      <c r="R560" s="82">
        <f t="shared" si="146"/>
        <v>6.060606060606049</v>
      </c>
      <c r="S560" s="162">
        <f>IF(INDEX([1]Historical!$D$7:$D$1229,MATCH(B560,[1]Historical!$B$7:$B$1253,0))=0,"n/a",(INDEX([1]Historical!$C$7:$C$1231,MATCH(B560,[1]Historical!$B$7:$B$1253,0))/INDEX([1]Historical!$D$7:$D$1229,MATCH(B560,[1]Historical!$B$7:$B$1253,0))-1)*100)</f>
        <v>5.0000000000000044</v>
      </c>
      <c r="T560" s="162">
        <f>IF(INDEX([1]Historical!$F$7:$F$1222,MATCH(B560,[1]Historical!$B$7:$B$1253,0))=0,"n/a",((INDEX([1]Historical!$C$7:$C$1231,MATCH(B560,[1]Historical!$B$7:$B$1253,0))/INDEX([1]Historical!$F$7:$F$1222,MATCH(B560,[1]Historical!$B$7:$B$1253,0)))^(1/3)-1)*100)</f>
        <v>5.2726599609396407</v>
      </c>
      <c r="U560" s="162">
        <f>IF(INDEX([1]Historical!$H$7:$H$1222,MATCH(B560,[1]Historical!$B$7:$B$1253,0))=0,"n/a",((INDEX([1]Historical!$C$7:$C$1231,MATCH(B560,[1]Historical!$B$7:$B$1253,0))/INDEX([1]Historical!$H$7:$H$1222,MATCH(B560,[1]Historical!$B$7:$B$1253,0)))^(1/5)-1)*100)</f>
        <v>6.0348285026669224</v>
      </c>
      <c r="V560" s="162">
        <f>IF(INDEX([1]Historical!$N$7:$N$1222,MATCH(B560,[1]Historical!$B$7:$B$1253,0))=0,"n/a",((INDEX([1]Historical!$C$7:$C$1231,MATCH(B560,[1]Historical!$B$7:$B$1253,0))/INDEX([1]Historical!$N$7:$N$1222,MATCH(B560,[1]Historical!$B$7:$B$1253,0)))^(1/10)-1)*100)</f>
        <v>6.0540481614018704</v>
      </c>
      <c r="W560" s="163">
        <f t="shared" si="147"/>
        <v>0.99682532113677513</v>
      </c>
      <c r="X560" s="164" t="str">
        <f t="shared" si="148"/>
        <v>n/a</v>
      </c>
      <c r="Y560" s="220"/>
      <c r="Z560" s="157">
        <f t="shared" si="149"/>
        <v>25.044722719141323</v>
      </c>
      <c r="AA560" s="166">
        <f t="shared" si="150"/>
        <v>22.636851520572453</v>
      </c>
      <c r="AB560" s="126">
        <v>12</v>
      </c>
      <c r="AC560" s="167">
        <v>5.59</v>
      </c>
      <c r="AD560" s="167">
        <v>2.57</v>
      </c>
      <c r="AE560" s="167">
        <v>1.86</v>
      </c>
      <c r="AF560" s="167">
        <v>1.42</v>
      </c>
      <c r="AG560" s="167">
        <v>6.1</v>
      </c>
      <c r="AH560" s="167">
        <v>-5.2</v>
      </c>
      <c r="AI560" s="167">
        <v>7.41</v>
      </c>
      <c r="AJ560" s="167">
        <v>-0.5</v>
      </c>
      <c r="AK560" s="167">
        <v>9.3000000000000007</v>
      </c>
      <c r="AL560" s="168">
        <v>8830</v>
      </c>
      <c r="AM560" s="169">
        <v>0.4</v>
      </c>
      <c r="AN560" s="167">
        <v>0.34</v>
      </c>
      <c r="AO560" s="170">
        <f t="shared" si="151"/>
        <v>-15.495653490483372</v>
      </c>
      <c r="AP560" s="171">
        <f t="shared" si="152"/>
        <v>7.1411980300890807</v>
      </c>
      <c r="AQ560" s="172">
        <f t="shared" si="153"/>
        <v>19.525597740424306</v>
      </c>
      <c r="AR560" s="157">
        <f>INDEX([1]Historical!$C$7:$C$1231,MATCH(B560,[1]Historical!$B$7:$B$1253,0))*IF(AH560="n/a",1.03,IF(AH560&lt;0,1.01,IF(AH560&gt;10,1.1,(1+AH560/100))))</f>
        <v>1.2726</v>
      </c>
      <c r="AS560" s="166">
        <f t="shared" si="154"/>
        <v>1.3668996600000001</v>
      </c>
      <c r="AT560" s="166">
        <f t="shared" si="160"/>
        <v>1.4940213283800001</v>
      </c>
      <c r="AU560" s="166">
        <f t="shared" si="160"/>
        <v>1.6329653119193401</v>
      </c>
      <c r="AV560" s="166">
        <f t="shared" si="160"/>
        <v>1.7848310859278387</v>
      </c>
      <c r="AW560" s="157">
        <f t="shared" si="156"/>
        <v>7.5513173862271801</v>
      </c>
      <c r="AX560" s="173">
        <f t="shared" si="157"/>
        <v>5.9675338914392126</v>
      </c>
      <c r="AY560" s="174">
        <v>1.1100000000000001</v>
      </c>
      <c r="AZ560" s="169">
        <v>16.86</v>
      </c>
      <c r="BA560" s="169">
        <v>-28.470000000000002</v>
      </c>
      <c r="BB560" s="169">
        <v>-12.540000000000001</v>
      </c>
      <c r="BC560" s="169">
        <v>-9.73</v>
      </c>
      <c r="BD560" s="100"/>
      <c r="BE560" s="77">
        <v>2005</v>
      </c>
      <c r="BF560" s="77">
        <f t="shared" si="158"/>
        <v>2</v>
      </c>
      <c r="BG560" s="175">
        <v>3.6999999999999997</v>
      </c>
      <c r="BH560" t="s">
        <v>939</v>
      </c>
      <c r="BI560" t="s">
        <v>940</v>
      </c>
      <c r="BJ560"/>
      <c r="BK560"/>
      <c r="BL560"/>
    </row>
    <row r="561" spans="1:64" s="112" customFormat="1" ht="12.75" customHeight="1" x14ac:dyDescent="0.2">
      <c r="A561" s="112" t="s">
        <v>603</v>
      </c>
      <c r="B561" s="239" t="s">
        <v>602</v>
      </c>
      <c r="C561" s="154" t="s">
        <v>96</v>
      </c>
      <c r="D561" s="154" t="s">
        <v>956</v>
      </c>
      <c r="E561" s="155">
        <v>12</v>
      </c>
      <c r="F561" s="298">
        <v>348</v>
      </c>
      <c r="G561" s="298" t="s">
        <v>88</v>
      </c>
      <c r="H561" s="298" t="s">
        <v>88</v>
      </c>
      <c r="I561" s="156">
        <v>201.48</v>
      </c>
      <c r="J561" s="157">
        <f t="shared" si="144"/>
        <v>1.7371451260671036</v>
      </c>
      <c r="K561" s="158">
        <v>0.875</v>
      </c>
      <c r="L561" s="126">
        <v>4</v>
      </c>
      <c r="M561" s="82">
        <f t="shared" si="145"/>
        <v>3.5</v>
      </c>
      <c r="N561" s="159" t="s">
        <v>119</v>
      </c>
      <c r="O561" s="160">
        <v>0.6875</v>
      </c>
      <c r="P561" s="161">
        <v>44630</v>
      </c>
      <c r="Q561" s="161">
        <v>44645</v>
      </c>
      <c r="R561" s="82">
        <f t="shared" si="146"/>
        <v>27.27272727272727</v>
      </c>
      <c r="S561" s="162">
        <f>IF(INDEX([1]Historical!$D$7:$D$1229,MATCH(B561,[1]Historical!$B$7:$B$1253,0))=0,"n/a",(INDEX([1]Historical!$C$7:$C$1231,MATCH(B561,[1]Historical!$B$7:$B$1253,0))/INDEX([1]Historical!$D$7:$D$1229,MATCH(B561,[1]Historical!$B$7:$B$1253,0))-1)*100)</f>
        <v>10.000000000000009</v>
      </c>
      <c r="T561" s="162">
        <f>IF(INDEX([1]Historical!$F$7:$F$1222,MATCH(B561,[1]Historical!$B$7:$B$1253,0))=0,"n/a",((INDEX([1]Historical!$C$7:$C$1231,MATCH(B561,[1]Historical!$B$7:$B$1253,0))/INDEX([1]Historical!$F$7:$F$1222,MATCH(B561,[1]Historical!$B$7:$B$1253,0)))^(1/3)-1)*100)</f>
        <v>11.199004528465784</v>
      </c>
      <c r="U561" s="162">
        <f>IF(INDEX([1]Historical!$H$7:$H$1222,MATCH(B561,[1]Historical!$B$7:$B$1253,0))=0,"n/a",((INDEX([1]Historical!$C$7:$C$1231,MATCH(B561,[1]Historical!$B$7:$B$1253,0))/INDEX([1]Historical!$H$7:$H$1222,MATCH(B561,[1]Historical!$B$7:$B$1253,0)))^(1/5)-1)*100)</f>
        <v>10.756634324829006</v>
      </c>
      <c r="V561" s="162">
        <f>IF(INDEX([1]Historical!$N$7:$N$1222,MATCH(B561,[1]Historical!$B$7:$B$1253,0))=0,"n/a",((INDEX([1]Historical!$C$7:$C$1231,MATCH(B561,[1]Historical!$B$7:$B$1253,0))/INDEX([1]Historical!$N$7:$N$1222,MATCH(B561,[1]Historical!$B$7:$B$1253,0)))^(1/10)-1)*100)</f>
        <v>19.071862174209684</v>
      </c>
      <c r="W561" s="163">
        <f t="shared" si="147"/>
        <v>0.56400545613080644</v>
      </c>
      <c r="X561" s="164">
        <f t="shared" si="148"/>
        <v>0.27231985632478495</v>
      </c>
      <c r="Y561" s="249"/>
      <c r="Z561" s="157">
        <f t="shared" si="149"/>
        <v>11.445389143230871</v>
      </c>
      <c r="AA561" s="166">
        <f t="shared" si="150"/>
        <v>6.5886200130804449</v>
      </c>
      <c r="AB561" s="126">
        <v>12</v>
      </c>
      <c r="AC561" s="167">
        <v>30.58</v>
      </c>
      <c r="AD561" s="167">
        <v>0.38</v>
      </c>
      <c r="AE561" s="167">
        <v>0.69</v>
      </c>
      <c r="AF561" s="167">
        <v>1.79</v>
      </c>
      <c r="AG561" s="167">
        <v>26.400000000000002</v>
      </c>
      <c r="AH561" s="167">
        <v>288.39999999999998</v>
      </c>
      <c r="AI561" s="167">
        <v>-30.97</v>
      </c>
      <c r="AJ561" s="167">
        <v>39.5</v>
      </c>
      <c r="AK561" s="167">
        <v>17.28</v>
      </c>
      <c r="AL561" s="168">
        <v>12050</v>
      </c>
      <c r="AM561" s="169">
        <v>0.4</v>
      </c>
      <c r="AN561" s="167">
        <v>0.24</v>
      </c>
      <c r="AO561" s="170">
        <f t="shared" si="151"/>
        <v>5.9051594378156649</v>
      </c>
      <c r="AP561" s="171">
        <f t="shared" si="152"/>
        <v>12.49377945089611</v>
      </c>
      <c r="AQ561" s="172">
        <f t="shared" si="153"/>
        <v>-27.601013440444731</v>
      </c>
      <c r="AR561" s="157">
        <f>INDEX([1]Historical!$C$7:$C$1231,MATCH(B561,[1]Historical!$B$7:$B$1253,0))*IF(AH561="n/a",1.03,IF(AH561&lt;0,1.01,IF(AH561&gt;10,1.1,(1+AH561/100))))</f>
        <v>3.0250000000000004</v>
      </c>
      <c r="AS561" s="166">
        <f t="shared" si="154"/>
        <v>3.0552500000000005</v>
      </c>
      <c r="AT561" s="166">
        <f t="shared" si="160"/>
        <v>3.3607750000000007</v>
      </c>
      <c r="AU561" s="166">
        <f t="shared" si="160"/>
        <v>3.6968525000000012</v>
      </c>
      <c r="AV561" s="166">
        <f t="shared" si="160"/>
        <v>4.0665377500000019</v>
      </c>
      <c r="AW561" s="157">
        <f t="shared" si="156"/>
        <v>17.204415250000004</v>
      </c>
      <c r="AX561" s="173">
        <f t="shared" si="157"/>
        <v>8.539018885249158</v>
      </c>
      <c r="AY561" s="174">
        <v>0.86</v>
      </c>
      <c r="AZ561" s="169">
        <v>39.200000000000003</v>
      </c>
      <c r="BA561" s="169">
        <v>-4.8099999999999996</v>
      </c>
      <c r="BB561" s="169">
        <v>9.0300000000000011</v>
      </c>
      <c r="BC561" s="169">
        <v>10.489999999999998</v>
      </c>
      <c r="BD561" s="100"/>
      <c r="BE561" s="77">
        <v>2011</v>
      </c>
      <c r="BF561" s="77">
        <f t="shared" si="158"/>
        <v>1</v>
      </c>
      <c r="BG561" s="175">
        <v>17</v>
      </c>
      <c r="BH561" t="s">
        <v>939</v>
      </c>
      <c r="BI561" t="s">
        <v>940</v>
      </c>
      <c r="BJ561"/>
      <c r="BK561"/>
      <c r="BL561"/>
    </row>
    <row r="562" spans="1:64" s="112" customFormat="1" x14ac:dyDescent="0.2">
      <c r="A562" s="176" t="s">
        <v>1611</v>
      </c>
      <c r="B562" s="239" t="s">
        <v>434</v>
      </c>
      <c r="C562" s="154" t="s">
        <v>94</v>
      </c>
      <c r="D562" s="154" t="s">
        <v>943</v>
      </c>
      <c r="E562" s="155">
        <v>20</v>
      </c>
      <c r="F562" s="298">
        <v>184</v>
      </c>
      <c r="G562" s="298" t="s">
        <v>88</v>
      </c>
      <c r="H562" s="298" t="s">
        <v>88</v>
      </c>
      <c r="I562" s="156">
        <v>132.62</v>
      </c>
      <c r="J562" s="157">
        <f t="shared" si="144"/>
        <v>1.4929874830342331</v>
      </c>
      <c r="K562" s="158">
        <v>0.495</v>
      </c>
      <c r="L562" s="126">
        <v>4</v>
      </c>
      <c r="M562" s="82">
        <f t="shared" si="145"/>
        <v>1.98</v>
      </c>
      <c r="N562" s="159" t="s">
        <v>112</v>
      </c>
      <c r="O562" s="160">
        <v>0.46</v>
      </c>
      <c r="P562" s="161">
        <v>44834</v>
      </c>
      <c r="Q562" s="161">
        <v>44848</v>
      </c>
      <c r="R562" s="82">
        <f t="shared" si="146"/>
        <v>7.6086956521739078</v>
      </c>
      <c r="S562" s="162">
        <f>IF(INDEX([1]Historical!$D$7:$D$1229,MATCH(B562,[1]Historical!$B$7:$B$1253,0))=0,"n/a",(INDEX([1]Historical!$C$7:$C$1231,MATCH(B562,[1]Historical!$B$7:$B$1253,0))/INDEX([1]Historical!$D$7:$D$1229,MATCH(B562,[1]Historical!$B$7:$B$1253,0))-1)*100)</f>
        <v>5.7926829268292845</v>
      </c>
      <c r="T562" s="162">
        <f>IF(INDEX([1]Historical!$F$7:$F$1222,MATCH(B562,[1]Historical!$B$7:$B$1253,0))=0,"n/a",((INDEX([1]Historical!$C$7:$C$1231,MATCH(B562,[1]Historical!$B$7:$B$1253,0))/INDEX([1]Historical!$F$7:$F$1222,MATCH(B562,[1]Historical!$B$7:$B$1253,0)))^(1/3)-1)*100)</f>
        <v>7.1585402386951102</v>
      </c>
      <c r="U562" s="162">
        <f>IF(INDEX([1]Historical!$H$7:$H$1222,MATCH(B562,[1]Historical!$B$7:$B$1253,0))=0,"n/a",((INDEX([1]Historical!$C$7:$C$1231,MATCH(B562,[1]Historical!$B$7:$B$1253,0))/INDEX([1]Historical!$H$7:$H$1222,MATCH(B562,[1]Historical!$B$7:$B$1253,0)))^(1/5)-1)*100)</f>
        <v>7.2970865529310203</v>
      </c>
      <c r="V562" s="162">
        <f>IF(INDEX([1]Historical!$N$7:$N$1222,MATCH(B562,[1]Historical!$B$7:$B$1253,0))=0,"n/a",((INDEX([1]Historical!$C$7:$C$1231,MATCH(B562,[1]Historical!$B$7:$B$1253,0))/INDEX([1]Historical!$N$7:$N$1222,MATCH(B562,[1]Historical!$B$7:$B$1253,0)))^(1/10)-1)*100)</f>
        <v>7.7825769099529873</v>
      </c>
      <c r="W562" s="163">
        <f t="shared" si="147"/>
        <v>0.93761830269854674</v>
      </c>
      <c r="X562" s="164">
        <f t="shared" si="148"/>
        <v>0.4099486827489337</v>
      </c>
      <c r="Y562" s="153"/>
      <c r="Z562" s="157">
        <f t="shared" si="149"/>
        <v>43.231441048034938</v>
      </c>
      <c r="AA562" s="166">
        <f t="shared" si="150"/>
        <v>28.956331877729259</v>
      </c>
      <c r="AB562" s="126">
        <v>12</v>
      </c>
      <c r="AC562" s="167">
        <v>4.58</v>
      </c>
      <c r="AD562" s="167">
        <v>2.25</v>
      </c>
      <c r="AE562" s="167">
        <v>3.29</v>
      </c>
      <c r="AF562" s="167">
        <v>4.4400000000000004</v>
      </c>
      <c r="AG562" s="167">
        <v>15.9</v>
      </c>
      <c r="AH562" s="167">
        <v>33.6</v>
      </c>
      <c r="AI562" s="167">
        <v>5.6899999999999995</v>
      </c>
      <c r="AJ562" s="167">
        <v>17.8</v>
      </c>
      <c r="AK562" s="167">
        <v>12.9</v>
      </c>
      <c r="AL562" s="168">
        <v>42540</v>
      </c>
      <c r="AM562" s="169">
        <v>0.11</v>
      </c>
      <c r="AN562" s="167">
        <v>1.23</v>
      </c>
      <c r="AO562" s="170">
        <f t="shared" si="151"/>
        <v>-20.166257841764008</v>
      </c>
      <c r="AP562" s="171">
        <f t="shared" si="152"/>
        <v>8.7900740359652527</v>
      </c>
      <c r="AQ562" s="172">
        <f t="shared" si="153"/>
        <v>139.04078084165002</v>
      </c>
      <c r="AR562" s="157">
        <f>INDEX([1]Historical!$C$7:$C$1231,MATCH(B562,[1]Historical!$B$7:$B$1253,0))*IF(AH562="n/a",1.03,IF(AH562&lt;0,1.01,IF(AH562&gt;10,1.1,(1+AH562/100))))</f>
        <v>1.9085000000000003</v>
      </c>
      <c r="AS562" s="166">
        <f t="shared" si="154"/>
        <v>2.0170936500000001</v>
      </c>
      <c r="AT562" s="166">
        <f t="shared" si="160"/>
        <v>2.2188030150000002</v>
      </c>
      <c r="AU562" s="166">
        <f t="shared" si="160"/>
        <v>2.4406833165000004</v>
      </c>
      <c r="AV562" s="166">
        <f t="shared" si="160"/>
        <v>2.6847516481500007</v>
      </c>
      <c r="AW562" s="157">
        <f t="shared" si="156"/>
        <v>11.269831629650003</v>
      </c>
      <c r="AX562" s="173">
        <f t="shared" si="157"/>
        <v>8.497837150995327</v>
      </c>
      <c r="AY562" s="174">
        <v>0.69</v>
      </c>
      <c r="AZ562" s="169">
        <v>16.77</v>
      </c>
      <c r="BA562" s="169">
        <v>-11.09</v>
      </c>
      <c r="BB562" s="169">
        <v>-5.1100000000000003</v>
      </c>
      <c r="BC562" s="169">
        <v>-0.15</v>
      </c>
      <c r="BD562" s="100"/>
      <c r="BE562" s="77">
        <v>2003</v>
      </c>
      <c r="BF562" s="77">
        <f t="shared" si="158"/>
        <v>2</v>
      </c>
      <c r="BG562" s="175">
        <v>5.5</v>
      </c>
      <c r="BH562" t="s">
        <v>939</v>
      </c>
      <c r="BI562" t="s">
        <v>940</v>
      </c>
      <c r="BJ562"/>
      <c r="BK562"/>
      <c r="BL562"/>
    </row>
    <row r="563" spans="1:64" s="112" customFormat="1" ht="12.75" customHeight="1" x14ac:dyDescent="0.2">
      <c r="A563" s="205" t="s">
        <v>1842</v>
      </c>
      <c r="B563" s="239" t="s">
        <v>1843</v>
      </c>
      <c r="C563" s="154" t="s">
        <v>94</v>
      </c>
      <c r="D563" s="154" t="s">
        <v>962</v>
      </c>
      <c r="E563" s="155">
        <v>5</v>
      </c>
      <c r="F563" s="298">
        <v>715</v>
      </c>
      <c r="G563" s="298" t="s">
        <v>88</v>
      </c>
      <c r="H563" s="298" t="s">
        <v>88</v>
      </c>
      <c r="I563" s="156">
        <v>49.89</v>
      </c>
      <c r="J563" s="157">
        <f t="shared" si="144"/>
        <v>1.683704149128082</v>
      </c>
      <c r="K563" s="158">
        <v>0.21</v>
      </c>
      <c r="L563" s="126">
        <v>4</v>
      </c>
      <c r="M563" s="82">
        <f t="shared" si="145"/>
        <v>0.84</v>
      </c>
      <c r="N563" s="159" t="s">
        <v>151</v>
      </c>
      <c r="O563" s="160">
        <v>0.19</v>
      </c>
      <c r="P563" s="161">
        <v>44784</v>
      </c>
      <c r="Q563" s="161">
        <v>44816</v>
      </c>
      <c r="R563" s="82">
        <f t="shared" si="146"/>
        <v>10.52631578947368</v>
      </c>
      <c r="S563" s="162">
        <f>IF(INDEX([1]Historical!$D$7:$D$1229,MATCH(B563,[1]Historical!$B$7:$B$1253,0))=0,"n/a",(INDEX([1]Historical!$C$7:$C$1231,MATCH(B563,[1]Historical!$B$7:$B$1253,0))/INDEX([1]Historical!$D$7:$D$1229,MATCH(B563,[1]Historical!$B$7:$B$1253,0))-1)*100)</f>
        <v>81.967213114754102</v>
      </c>
      <c r="T563" s="162">
        <f>IF(INDEX([1]Historical!$F$7:$F$1222,MATCH(B563,[1]Historical!$B$7:$B$1253,0))=0,"n/a",((INDEX([1]Historical!$C$7:$C$1231,MATCH(B563,[1]Historical!$B$7:$B$1253,0))/INDEX([1]Historical!$F$7:$F$1222,MATCH(B563,[1]Historical!$B$7:$B$1253,0)))^(1/3)-1)*100)</f>
        <v>66.611092582297644</v>
      </c>
      <c r="U563" s="162" t="str">
        <f>IF(INDEX([1]Historical!$H$7:$H$1222,MATCH(B563,[1]Historical!$B$7:$B$1253,0))=0,"n/a",((INDEX([1]Historical!$C$7:$C$1231,MATCH(B563,[1]Historical!$B$7:$B$1253,0))/INDEX([1]Historical!$H$7:$H$1222,MATCH(B563,[1]Historical!$B$7:$B$1253,0)))^(1/5)-1)*100)</f>
        <v>n/a</v>
      </c>
      <c r="V563" s="162" t="str">
        <f>IF(INDEX([1]Historical!$N$7:$N$1222,MATCH(B563,[1]Historical!$B$7:$B$1253,0))=0,"n/a",((INDEX([1]Historical!$C$7:$C$1231,MATCH(B563,[1]Historical!$B$7:$B$1253,0))/INDEX([1]Historical!$N$7:$N$1222,MATCH(B563,[1]Historical!$B$7:$B$1253,0)))^(1/10)-1)*100)</f>
        <v>n/a</v>
      </c>
      <c r="W563" s="163" t="str">
        <f t="shared" si="147"/>
        <v>n/a</v>
      </c>
      <c r="X563" s="164" t="str">
        <f t="shared" si="148"/>
        <v>n/a</v>
      </c>
      <c r="Y563" s="180"/>
      <c r="Z563" s="157">
        <f t="shared" si="149"/>
        <v>13.354531001589825</v>
      </c>
      <c r="AA563" s="166">
        <f t="shared" si="150"/>
        <v>7.9316375198728144</v>
      </c>
      <c r="AB563" s="126">
        <v>12</v>
      </c>
      <c r="AC563" s="167">
        <v>6.29</v>
      </c>
      <c r="AD563" s="167">
        <v>5.61</v>
      </c>
      <c r="AE563" s="167">
        <v>0.42</v>
      </c>
      <c r="AF563" s="167">
        <v>1.73</v>
      </c>
      <c r="AG563" s="167">
        <v>19.100000000000001</v>
      </c>
      <c r="AH563" s="167">
        <v>104.2</v>
      </c>
      <c r="AI563" s="167">
        <v>-18.72</v>
      </c>
      <c r="AJ563" s="167">
        <v>44.3</v>
      </c>
      <c r="AK563" s="167">
        <v>1.4200000000000002</v>
      </c>
      <c r="AL563" s="168">
        <v>2720</v>
      </c>
      <c r="AM563" s="169">
        <v>1.2</v>
      </c>
      <c r="AN563" s="167">
        <v>0.85</v>
      </c>
      <c r="AO563" s="170" t="str">
        <f t="shared" si="151"/>
        <v>n/a</v>
      </c>
      <c r="AP563" s="171" t="str">
        <f t="shared" si="152"/>
        <v>n/a</v>
      </c>
      <c r="AQ563" s="172">
        <f t="shared" si="153"/>
        <v>-21.906799529508135</v>
      </c>
      <c r="AR563" s="157">
        <f>INDEX([1]Historical!$C$7:$C$1231,MATCH(B563,[1]Historical!$B$7:$B$1253,0))*IF(AH563="n/a",1.03,IF(AH563&lt;0,1.01,IF(AH563&gt;10,1.1,(1+AH563/100))))</f>
        <v>0.81400000000000006</v>
      </c>
      <c r="AS563" s="166">
        <f t="shared" si="154"/>
        <v>0.82214000000000009</v>
      </c>
      <c r="AT563" s="166">
        <f t="shared" si="160"/>
        <v>0.83381438800000007</v>
      </c>
      <c r="AU563" s="166">
        <f t="shared" si="160"/>
        <v>0.84565455230960007</v>
      </c>
      <c r="AV563" s="166">
        <f t="shared" si="160"/>
        <v>0.85766284695239636</v>
      </c>
      <c r="AW563" s="157">
        <f t="shared" si="156"/>
        <v>4.1732717872619967</v>
      </c>
      <c r="AX563" s="173">
        <f t="shared" si="157"/>
        <v>8.3649464567287968</v>
      </c>
      <c r="AY563" s="174">
        <v>1.06</v>
      </c>
      <c r="AZ563" s="169">
        <v>16.78</v>
      </c>
      <c r="BA563" s="169">
        <v>-18.060000000000002</v>
      </c>
      <c r="BB563" s="169">
        <v>5.89</v>
      </c>
      <c r="BC563" s="169">
        <v>0.28999999999999998</v>
      </c>
      <c r="BD563" s="100"/>
      <c r="BE563" s="77">
        <v>2018</v>
      </c>
      <c r="BF563" s="77">
        <f t="shared" si="158"/>
        <v>1</v>
      </c>
      <c r="BG563" s="175">
        <v>9</v>
      </c>
      <c r="BH563" t="s">
        <v>939</v>
      </c>
      <c r="BI563" t="s">
        <v>940</v>
      </c>
    </row>
    <row r="564" spans="1:64" s="112" customFormat="1" ht="12.75" customHeight="1" x14ac:dyDescent="0.2">
      <c r="A564" s="205" t="s">
        <v>1612</v>
      </c>
      <c r="B564" s="239" t="s">
        <v>1178</v>
      </c>
      <c r="C564" s="154" t="s">
        <v>90</v>
      </c>
      <c r="D564" s="154" t="s">
        <v>959</v>
      </c>
      <c r="E564" s="155">
        <v>8</v>
      </c>
      <c r="F564" s="298">
        <v>595</v>
      </c>
      <c r="G564" s="298" t="s">
        <v>88</v>
      </c>
      <c r="H564" s="298" t="s">
        <v>88</v>
      </c>
      <c r="I564" s="156">
        <v>6.74</v>
      </c>
      <c r="J564" s="157">
        <f t="shared" si="144"/>
        <v>3.5608308605341241</v>
      </c>
      <c r="K564" s="158">
        <v>0.06</v>
      </c>
      <c r="L564" s="126">
        <v>4</v>
      </c>
      <c r="M564" s="82">
        <f t="shared" si="145"/>
        <v>0.24</v>
      </c>
      <c r="N564" s="159" t="s">
        <v>141</v>
      </c>
      <c r="O564" s="160">
        <v>5.5E-2</v>
      </c>
      <c r="P564" s="161">
        <v>44749</v>
      </c>
      <c r="Q564" s="161">
        <v>44763</v>
      </c>
      <c r="R564" s="82">
        <f t="shared" si="146"/>
        <v>9.0909090909090864</v>
      </c>
      <c r="S564" s="162">
        <f>IF(INDEX([1]Historical!$D$7:$D$1229,MATCH(B564,[1]Historical!$B$7:$B$1253,0))=0,"n/a",(INDEX([1]Historical!$C$7:$C$1231,MATCH(B564,[1]Historical!$B$7:$B$1253,0))/INDEX([1]Historical!$D$7:$D$1229,MATCH(B564,[1]Historical!$B$7:$B$1253,0))-1)*100)</f>
        <v>2.4999999999999911</v>
      </c>
      <c r="T564" s="162">
        <f>IF(INDEX([1]Historical!$F$7:$F$1222,MATCH(B564,[1]Historical!$B$7:$B$1253,0))=0,"n/a",((INDEX([1]Historical!$C$7:$C$1231,MATCH(B564,[1]Historical!$B$7:$B$1253,0))/INDEX([1]Historical!$F$7:$F$1222,MATCH(B564,[1]Historical!$B$7:$B$1253,0)))^(1/3)-1)*100)</f>
        <v>16.39567313371937</v>
      </c>
      <c r="U564" s="162">
        <f>IF(INDEX([1]Historical!$H$7:$H$1222,MATCH(B564,[1]Historical!$B$7:$B$1253,0))=0,"n/a",((INDEX([1]Historical!$C$7:$C$1231,MATCH(B564,[1]Historical!$B$7:$B$1253,0))/INDEX([1]Historical!$H$7:$H$1222,MATCH(B564,[1]Historical!$B$7:$B$1253,0)))^(1/5)-1)*100)</f>
        <v>21.475985682754171</v>
      </c>
      <c r="V564" s="162" t="str">
        <f>IF(INDEX([1]Historical!$N$7:$N$1222,MATCH(B564,[1]Historical!$B$7:$B$1253,0))=0,"n/a",((INDEX([1]Historical!$C$7:$C$1231,MATCH(B564,[1]Historical!$B$7:$B$1253,0))/INDEX([1]Historical!$N$7:$N$1222,MATCH(B564,[1]Historical!$B$7:$B$1253,0)))^(1/10)-1)*100)</f>
        <v>n/a</v>
      </c>
      <c r="W564" s="163" t="str">
        <f t="shared" si="147"/>
        <v>n/a</v>
      </c>
      <c r="X564" s="164">
        <f t="shared" si="148"/>
        <v>0.87657084419404785</v>
      </c>
      <c r="Y564" s="178"/>
      <c r="Z564" s="157">
        <f t="shared" si="149"/>
        <v>25.531914893617021</v>
      </c>
      <c r="AA564" s="166">
        <f t="shared" si="150"/>
        <v>7.1702127659574471</v>
      </c>
      <c r="AB564" s="126">
        <v>3</v>
      </c>
      <c r="AC564" s="167">
        <v>0.94</v>
      </c>
      <c r="AD564" s="167">
        <v>0.61</v>
      </c>
      <c r="AE564" s="167">
        <v>3.01</v>
      </c>
      <c r="AF564" s="167">
        <v>0.98</v>
      </c>
      <c r="AG564" s="167">
        <v>13.8</v>
      </c>
      <c r="AH564" s="167">
        <v>109.2</v>
      </c>
      <c r="AI564" s="167">
        <v>0</v>
      </c>
      <c r="AJ564" s="167">
        <v>24.5</v>
      </c>
      <c r="AK564" s="167">
        <v>12</v>
      </c>
      <c r="AL564" s="168">
        <v>153.68</v>
      </c>
      <c r="AM564" s="169">
        <v>1.6</v>
      </c>
      <c r="AN564" s="167">
        <v>0</v>
      </c>
      <c r="AO564" s="170">
        <f t="shared" si="151"/>
        <v>17.866603777330848</v>
      </c>
      <c r="AP564" s="171">
        <f t="shared" si="152"/>
        <v>25.036816543288296</v>
      </c>
      <c r="AQ564" s="172">
        <f t="shared" si="153"/>
        <v>-44.115959302067886</v>
      </c>
      <c r="AR564" s="157">
        <f>INDEX([1]Historical!$C$7:$C$1231,MATCH(B564,[1]Historical!$B$7:$B$1253,0))*IF(AH564="n/a",1.03,IF(AH564&lt;0,1.01,IF(AH564&gt;10,1.1,(1+AH564/100))))</f>
        <v>0.22550000000000001</v>
      </c>
      <c r="AS564" s="166">
        <f t="shared" si="154"/>
        <v>0.22550000000000001</v>
      </c>
      <c r="AT564" s="166">
        <f t="shared" si="160"/>
        <v>0.24805000000000002</v>
      </c>
      <c r="AU564" s="166">
        <f t="shared" si="160"/>
        <v>0.27285500000000007</v>
      </c>
      <c r="AV564" s="166">
        <f t="shared" si="160"/>
        <v>0.30014050000000009</v>
      </c>
      <c r="AW564" s="157">
        <f t="shared" si="156"/>
        <v>1.2720455000000002</v>
      </c>
      <c r="AX564" s="173">
        <f t="shared" si="157"/>
        <v>18.873078635014839</v>
      </c>
      <c r="AY564" s="174">
        <v>0.77</v>
      </c>
      <c r="AZ564" s="169">
        <v>10.86</v>
      </c>
      <c r="BA564" s="169">
        <v>-18</v>
      </c>
      <c r="BB564" s="169">
        <v>1.0900000000000001</v>
      </c>
      <c r="BC564" s="169">
        <v>-4.1900000000000004</v>
      </c>
      <c r="BD564" s="100"/>
      <c r="BE564" s="77">
        <v>2015</v>
      </c>
      <c r="BF564" s="77">
        <f t="shared" si="158"/>
        <v>1</v>
      </c>
      <c r="BG564" s="175">
        <v>1.3</v>
      </c>
      <c r="BH564" t="s">
        <v>939</v>
      </c>
      <c r="BI564" t="s">
        <v>940</v>
      </c>
    </row>
    <row r="565" spans="1:64" s="112" customFormat="1" x14ac:dyDescent="0.2">
      <c r="A565" s="205" t="s">
        <v>1806</v>
      </c>
      <c r="B565" s="239" t="s">
        <v>1807</v>
      </c>
      <c r="C565" s="154" t="s">
        <v>90</v>
      </c>
      <c r="D565" s="154" t="s">
        <v>969</v>
      </c>
      <c r="E565" s="155">
        <v>7</v>
      </c>
      <c r="F565" s="298">
        <v>633</v>
      </c>
      <c r="G565" s="298" t="s">
        <v>88</v>
      </c>
      <c r="H565" s="298" t="s">
        <v>88</v>
      </c>
      <c r="I565" s="156">
        <v>92.47</v>
      </c>
      <c r="J565" s="157">
        <f t="shared" si="144"/>
        <v>4.3257272628960743</v>
      </c>
      <c r="K565" s="158">
        <v>1</v>
      </c>
      <c r="L565" s="126">
        <v>4</v>
      </c>
      <c r="M565" s="82">
        <f t="shared" si="145"/>
        <v>4</v>
      </c>
      <c r="N565" s="159" t="s">
        <v>199</v>
      </c>
      <c r="O565" s="160">
        <v>0.94969999999999999</v>
      </c>
      <c r="P565" s="161">
        <v>44767</v>
      </c>
      <c r="Q565" s="161">
        <v>44797</v>
      </c>
      <c r="R565" s="82">
        <f t="shared" si="146"/>
        <v>5.2964093924397186</v>
      </c>
      <c r="S565" s="162">
        <f>IF(INDEX([1]Historical!$D$7:$D$1229,MATCH(B565,[1]Historical!$B$7:$B$1253,0))=0,"n/a",(INDEX([1]Historical!$C$7:$C$1231,MATCH(B565,[1]Historical!$B$7:$B$1253,0))/INDEX([1]Historical!$D$7:$D$1229,MATCH(B565,[1]Historical!$B$7:$B$1253,0))-1)*100)</f>
        <v>7.9740365620394549</v>
      </c>
      <c r="T565" s="162">
        <f>IF(INDEX([1]Historical!$F$7:$F$1222,MATCH(B565,[1]Historical!$B$7:$B$1253,0))=0,"n/a",((INDEX([1]Historical!$C$7:$C$1231,MATCH(B565,[1]Historical!$B$7:$B$1253,0))/INDEX([1]Historical!$F$7:$F$1222,MATCH(B565,[1]Historical!$B$7:$B$1253,0)))^(1/3)-1)*100)</f>
        <v>5.391650882802379</v>
      </c>
      <c r="U565" s="162">
        <f>IF(INDEX([1]Historical!$H$7:$H$1222,MATCH(B565,[1]Historical!$B$7:$B$1253,0))=0,"n/a",((INDEX([1]Historical!$C$7:$C$1231,MATCH(B565,[1]Historical!$B$7:$B$1253,0))/INDEX([1]Historical!$H$7:$H$1222,MATCH(B565,[1]Historical!$B$7:$B$1253,0)))^(1/5)-1)*100)</f>
        <v>7.2130496249805498</v>
      </c>
      <c r="V565" s="162">
        <f>IF(INDEX([1]Historical!$N$7:$N$1222,MATCH(B565,[1]Historical!$B$7:$B$1253,0))=0,"n/a",((INDEX([1]Historical!$C$7:$C$1231,MATCH(B565,[1]Historical!$B$7:$B$1253,0))/INDEX([1]Historical!$N$7:$N$1222,MATCH(B565,[1]Historical!$B$7:$B$1253,0)))^(1/10)-1)*100)</f>
        <v>4.8974817969838602</v>
      </c>
      <c r="W565" s="163">
        <f t="shared" si="147"/>
        <v>1.4728078477847011</v>
      </c>
      <c r="X565" s="164">
        <f t="shared" si="148"/>
        <v>0.70029608009519906</v>
      </c>
      <c r="Y565" s="180" t="s">
        <v>1794</v>
      </c>
      <c r="Z565" s="157">
        <f t="shared" si="149"/>
        <v>49.382716049382722</v>
      </c>
      <c r="AA565" s="166">
        <f t="shared" si="150"/>
        <v>11.41604938271605</v>
      </c>
      <c r="AB565" s="126">
        <v>10</v>
      </c>
      <c r="AC565" s="167">
        <v>8.1</v>
      </c>
      <c r="AD565" s="167">
        <v>1.72</v>
      </c>
      <c r="AE565" s="167">
        <v>5.28</v>
      </c>
      <c r="AF565" s="167">
        <v>1.81</v>
      </c>
      <c r="AG565" s="167">
        <v>16.400000000000002</v>
      </c>
      <c r="AH565" s="167">
        <v>41.4</v>
      </c>
      <c r="AI565" s="167">
        <v>5.76</v>
      </c>
      <c r="AJ565" s="167">
        <v>10.299999999999999</v>
      </c>
      <c r="AK565" s="167">
        <v>6.6000000000000005</v>
      </c>
      <c r="AL565" s="168">
        <v>128139.99999999999</v>
      </c>
      <c r="AM565" s="169">
        <v>0.1</v>
      </c>
      <c r="AN565" s="167">
        <v>3.41</v>
      </c>
      <c r="AO565" s="170">
        <f t="shared" si="151"/>
        <v>0.12272750516057407</v>
      </c>
      <c r="AP565" s="171">
        <f t="shared" si="152"/>
        <v>11.538776887876624</v>
      </c>
      <c r="AQ565" s="172">
        <f t="shared" si="153"/>
        <v>-4.1690159529322424</v>
      </c>
      <c r="AR565" s="157">
        <f>INDEX([1]Historical!$C$7:$C$1231,MATCH(B565,[1]Historical!$B$7:$B$1253,0))*IF(AH565="n/a",1.03,IF(AH565&lt;0,1.01,IF(AH565&gt;10,1.1,(1+AH565/100))))</f>
        <v>3.7877400000000003</v>
      </c>
      <c r="AS565" s="166">
        <f t="shared" si="154"/>
        <v>4.0059138240000003</v>
      </c>
      <c r="AT565" s="166">
        <f t="shared" si="160"/>
        <v>4.2703041363840004</v>
      </c>
      <c r="AU565" s="166">
        <f t="shared" si="160"/>
        <v>4.5521442093853448</v>
      </c>
      <c r="AV565" s="166">
        <f t="shared" si="160"/>
        <v>4.8525857272047777</v>
      </c>
      <c r="AW565" s="157">
        <f t="shared" si="156"/>
        <v>21.468687896974124</v>
      </c>
      <c r="AX565" s="173">
        <f t="shared" si="157"/>
        <v>23.216922133636992</v>
      </c>
      <c r="AY565" s="174">
        <v>0.81</v>
      </c>
      <c r="AZ565" s="169">
        <v>10.57</v>
      </c>
      <c r="BA565" s="169">
        <v>-22.56</v>
      </c>
      <c r="BB565" s="169">
        <v>-0.38</v>
      </c>
      <c r="BC565" s="169">
        <v>-9.09</v>
      </c>
      <c r="BD565" s="100"/>
      <c r="BE565" s="77">
        <v>2016</v>
      </c>
      <c r="BF565" s="77">
        <f t="shared" si="158"/>
        <v>1</v>
      </c>
      <c r="BG565" s="175">
        <v>0.89999999999999991</v>
      </c>
      <c r="BH565" t="s">
        <v>1023</v>
      </c>
      <c r="BI565" t="s">
        <v>940</v>
      </c>
    </row>
    <row r="566" spans="1:64" s="112" customFormat="1" ht="12.75" customHeight="1" x14ac:dyDescent="0.2">
      <c r="A566" s="205" t="s">
        <v>1613</v>
      </c>
      <c r="B566" s="239" t="s">
        <v>1179</v>
      </c>
      <c r="C566" s="154" t="s">
        <v>100</v>
      </c>
      <c r="D566" s="154" t="s">
        <v>989</v>
      </c>
      <c r="E566" s="155">
        <v>8</v>
      </c>
      <c r="F566" s="298">
        <v>627</v>
      </c>
      <c r="G566" s="298" t="s">
        <v>88</v>
      </c>
      <c r="H566" s="298" t="s">
        <v>88</v>
      </c>
      <c r="I566" s="156">
        <v>46.75</v>
      </c>
      <c r="J566" s="157">
        <f t="shared" si="144"/>
        <v>2.3957219251336901</v>
      </c>
      <c r="K566" s="158">
        <v>0.28000000000000003</v>
      </c>
      <c r="L566" s="126">
        <v>4</v>
      </c>
      <c r="M566" s="82">
        <f t="shared" si="145"/>
        <v>1.1200000000000001</v>
      </c>
      <c r="N566" s="159" t="s">
        <v>164</v>
      </c>
      <c r="O566" s="210">
        <v>0.25</v>
      </c>
      <c r="P566" s="161">
        <v>44909</v>
      </c>
      <c r="Q566" s="161">
        <v>44939</v>
      </c>
      <c r="R566" s="82">
        <f t="shared" si="146"/>
        <v>12.000000000000011</v>
      </c>
      <c r="S566" s="162">
        <f>IF(INDEX([1]Historical!$D$7:$D$1229,MATCH(B566,[1]Historical!$B$7:$B$1253,0))=0,"n/a",(INDEX([1]Historical!$C$7:$C$1231,MATCH(B566,[1]Historical!$B$7:$B$1253,0))/INDEX([1]Historical!$D$7:$D$1229,MATCH(B566,[1]Historical!$B$7:$B$1253,0))-1)*100)</f>
        <v>9.9999999999999858</v>
      </c>
      <c r="T566" s="162">
        <f>IF(INDEX([1]Historical!$F$7:$F$1222,MATCH(B566,[1]Historical!$B$7:$B$1253,0))=0,"n/a",((INDEX([1]Historical!$C$7:$C$1231,MATCH(B566,[1]Historical!$B$7:$B$1253,0))/INDEX([1]Historical!$F$7:$F$1222,MATCH(B566,[1]Historical!$B$7:$B$1253,0)))^(1/3)-1)*100)</f>
        <v>24.139010732152034</v>
      </c>
      <c r="U566" s="162">
        <f>IF(INDEX([1]Historical!$H$7:$H$1222,MATCH(B566,[1]Historical!$B$7:$B$1253,0))=0,"n/a",((INDEX([1]Historical!$C$7:$C$1231,MATCH(B566,[1]Historical!$B$7:$B$1253,0))/INDEX([1]Historical!$H$7:$H$1222,MATCH(B566,[1]Historical!$B$7:$B$1253,0)))^(1/5)-1)*100)</f>
        <v>18.601527070796429</v>
      </c>
      <c r="V566" s="162">
        <f>IF(INDEX([1]Historical!$N$7:$N$1222,MATCH(B566,[1]Historical!$B$7:$B$1253,0))=0,"n/a",((INDEX([1]Historical!$C$7:$C$1231,MATCH(B566,[1]Historical!$B$7:$B$1253,0))/INDEX([1]Historical!$N$7:$N$1222,MATCH(B566,[1]Historical!$B$7:$B$1253,0)))^(1/10)-1)*100)</f>
        <v>15.969895987933814</v>
      </c>
      <c r="W566" s="163">
        <f t="shared" si="147"/>
        <v>1.1647869895239746</v>
      </c>
      <c r="X566" s="164">
        <f t="shared" si="148"/>
        <v>0.59240532072600094</v>
      </c>
      <c r="Y566" s="180"/>
      <c r="Z566" s="157">
        <f t="shared" si="149"/>
        <v>12.612612612612612</v>
      </c>
      <c r="AA566" s="166">
        <f t="shared" si="150"/>
        <v>5.2646396396396389</v>
      </c>
      <c r="AB566" s="126">
        <v>12</v>
      </c>
      <c r="AC566" s="167">
        <v>8.8800000000000008</v>
      </c>
      <c r="AD566" s="167">
        <v>0.35</v>
      </c>
      <c r="AE566" s="167">
        <v>0.14000000000000001</v>
      </c>
      <c r="AF566" s="167">
        <v>1.6</v>
      </c>
      <c r="AG566" s="167">
        <v>35.699999999999996</v>
      </c>
      <c r="AH566" s="167">
        <v>776</v>
      </c>
      <c r="AI566" s="167">
        <v>-12.6</v>
      </c>
      <c r="AJ566" s="167">
        <v>31.4</v>
      </c>
      <c r="AK566" s="167">
        <v>15.299999999999999</v>
      </c>
      <c r="AL566" s="168">
        <v>1850</v>
      </c>
      <c r="AM566" s="169">
        <v>7.8</v>
      </c>
      <c r="AN566" s="167">
        <v>2.56</v>
      </c>
      <c r="AO566" s="170">
        <f t="shared" si="151"/>
        <v>15.732609356290478</v>
      </c>
      <c r="AP566" s="171">
        <f t="shared" si="152"/>
        <v>20.997248995930118</v>
      </c>
      <c r="AQ566" s="172">
        <f t="shared" si="153"/>
        <v>-38.813859872159419</v>
      </c>
      <c r="AR566" s="157">
        <f>INDEX([1]Historical!$C$7:$C$1231,MATCH(B566,[1]Historical!$B$7:$B$1253,0))*IF(AH566="n/a",1.03,IF(AH566&lt;0,1.01,IF(AH566&gt;10,1.1,(1+AH566/100))))</f>
        <v>0.48400000000000004</v>
      </c>
      <c r="AS566" s="166">
        <f t="shared" si="154"/>
        <v>0.48884000000000005</v>
      </c>
      <c r="AT566" s="166">
        <f t="shared" si="160"/>
        <v>0.53772400000000009</v>
      </c>
      <c r="AU566" s="166">
        <f t="shared" si="160"/>
        <v>0.59149640000000014</v>
      </c>
      <c r="AV566" s="166">
        <f t="shared" si="160"/>
        <v>0.65064604000000026</v>
      </c>
      <c r="AW566" s="157">
        <f t="shared" si="156"/>
        <v>2.7527064400000008</v>
      </c>
      <c r="AX566" s="173">
        <f t="shared" si="157"/>
        <v>5.8881421176470603</v>
      </c>
      <c r="AY566" s="174">
        <v>1.93</v>
      </c>
      <c r="AZ566" s="169">
        <v>36.82</v>
      </c>
      <c r="BA566" s="169">
        <v>-21.01</v>
      </c>
      <c r="BB566" s="169">
        <v>-1.26</v>
      </c>
      <c r="BC566" s="169">
        <v>2.68</v>
      </c>
      <c r="BD566" s="100"/>
      <c r="BE566" s="77">
        <v>2016</v>
      </c>
      <c r="BF566" s="77">
        <f t="shared" si="158"/>
        <v>1</v>
      </c>
      <c r="BG566" s="175">
        <v>8.5</v>
      </c>
      <c r="BH566" t="s">
        <v>939</v>
      </c>
      <c r="BI566" t="s">
        <v>940</v>
      </c>
    </row>
    <row r="567" spans="1:64" s="112" customFormat="1" ht="12.75" customHeight="1" x14ac:dyDescent="0.2">
      <c r="A567" s="205" t="s">
        <v>1844</v>
      </c>
      <c r="B567" s="239" t="s">
        <v>1845</v>
      </c>
      <c r="C567" s="154" t="s">
        <v>90</v>
      </c>
      <c r="D567" s="154" t="s">
        <v>972</v>
      </c>
      <c r="E567" s="155">
        <v>5</v>
      </c>
      <c r="F567" s="298">
        <v>717</v>
      </c>
      <c r="G567" s="298" t="s">
        <v>88</v>
      </c>
      <c r="H567" s="298" t="s">
        <v>88</v>
      </c>
      <c r="I567" s="156">
        <v>18.989999999999998</v>
      </c>
      <c r="J567" s="157">
        <f t="shared" si="144"/>
        <v>3.7914691943127963</v>
      </c>
      <c r="K567" s="158">
        <v>0.18</v>
      </c>
      <c r="L567" s="126">
        <v>4</v>
      </c>
      <c r="M567" s="82">
        <f t="shared" si="145"/>
        <v>0.72</v>
      </c>
      <c r="N567" s="159" t="s">
        <v>231</v>
      </c>
      <c r="O567" s="160">
        <v>0.17</v>
      </c>
      <c r="P567" s="161">
        <v>44819</v>
      </c>
      <c r="Q567" s="161">
        <v>44827</v>
      </c>
      <c r="R567" s="82">
        <f t="shared" si="146"/>
        <v>5.8823529411764595</v>
      </c>
      <c r="S567" s="162">
        <f>IF(INDEX([1]Historical!$D$7:$D$1229,MATCH(B567,[1]Historical!$B$7:$B$1253,0))=0,"n/a",(INDEX([1]Historical!$C$7:$C$1231,MATCH(B567,[1]Historical!$B$7:$B$1253,0))/INDEX([1]Historical!$D$7:$D$1229,MATCH(B567,[1]Historical!$B$7:$B$1253,0))-1)*100)</f>
        <v>3.125</v>
      </c>
      <c r="T567" s="162">
        <f>IF(INDEX([1]Historical!$F$7:$F$1222,MATCH(B567,[1]Historical!$B$7:$B$1253,0))=0,"n/a",((INDEX([1]Historical!$C$7:$C$1231,MATCH(B567,[1]Historical!$B$7:$B$1253,0))/INDEX([1]Historical!$F$7:$F$1222,MATCH(B567,[1]Historical!$B$7:$B$1253,0)))^(1/3)-1)*100)</f>
        <v>5.6295191645437948</v>
      </c>
      <c r="U567" s="162">
        <f>IF(INDEX([1]Historical!$H$7:$H$1222,MATCH(B567,[1]Historical!$B$7:$B$1253,0))=0,"n/a",((INDEX([1]Historical!$C$7:$C$1231,MATCH(B567,[1]Historical!$B$7:$B$1253,0))/INDEX([1]Historical!$H$7:$H$1222,MATCH(B567,[1]Historical!$B$7:$B$1253,0)))^(1/5)-1)*100)</f>
        <v>6.5762756635474373</v>
      </c>
      <c r="V567" s="162" t="str">
        <f>IF(INDEX([1]Historical!$N$7:$N$1222,MATCH(B567,[1]Historical!$B$7:$B$1253,0))=0,"n/a",((INDEX([1]Historical!$C$7:$C$1231,MATCH(B567,[1]Historical!$B$7:$B$1253,0))/INDEX([1]Historical!$N$7:$N$1222,MATCH(B567,[1]Historical!$B$7:$B$1253,0)))^(1/10)-1)*100)</f>
        <v>n/a</v>
      </c>
      <c r="W567" s="163" t="str">
        <f t="shared" si="147"/>
        <v>n/a</v>
      </c>
      <c r="X567" s="164">
        <f t="shared" si="148"/>
        <v>0.33898328162615654</v>
      </c>
      <c r="Y567" s="180"/>
      <c r="Z567" s="157">
        <f t="shared" si="149"/>
        <v>32</v>
      </c>
      <c r="AA567" s="166">
        <f t="shared" si="150"/>
        <v>8.44</v>
      </c>
      <c r="AB567" s="126">
        <v>12</v>
      </c>
      <c r="AC567" s="167">
        <v>2.25</v>
      </c>
      <c r="AD567" s="167">
        <v>0.65</v>
      </c>
      <c r="AE567" s="167">
        <v>1.93</v>
      </c>
      <c r="AF567" s="167">
        <v>2</v>
      </c>
      <c r="AG567" s="167">
        <v>26.6</v>
      </c>
      <c r="AH567" s="167">
        <v>44.800000000000004</v>
      </c>
      <c r="AI567" s="167">
        <v>15.32</v>
      </c>
      <c r="AJ567" s="167">
        <v>19.400000000000002</v>
      </c>
      <c r="AK567" s="167">
        <v>12.6</v>
      </c>
      <c r="AL567" s="168">
        <v>256.86</v>
      </c>
      <c r="AM567" s="169">
        <v>0.4</v>
      </c>
      <c r="AN567" s="167">
        <v>0.08</v>
      </c>
      <c r="AO567" s="170">
        <f t="shared" si="151"/>
        <v>1.927744857860235</v>
      </c>
      <c r="AP567" s="171">
        <f t="shared" si="152"/>
        <v>10.367744857860234</v>
      </c>
      <c r="AQ567" s="172">
        <f t="shared" si="153"/>
        <v>-13.384630565804201</v>
      </c>
      <c r="AR567" s="157">
        <f>INDEX([1]Historical!$C$7:$C$1231,MATCH(B567,[1]Historical!$B$7:$B$1253,0))*IF(AH567="n/a",1.03,IF(AH567&lt;0,1.01,IF(AH567&gt;10,1.1,(1+AH567/100))))</f>
        <v>0.72600000000000009</v>
      </c>
      <c r="AS567" s="166">
        <f t="shared" si="154"/>
        <v>0.7986000000000002</v>
      </c>
      <c r="AT567" s="166">
        <f t="shared" ref="AT567:AV582" si="161">IF($AK567="n/a",1.03*AS567,IF($AK567&lt;0,1.01*AS567,IF($AK567&gt;10,1.1*AS567,(1+$AK567/100)*AS567)))</f>
        <v>0.87846000000000024</v>
      </c>
      <c r="AU567" s="166">
        <f t="shared" si="161"/>
        <v>0.96630600000000033</v>
      </c>
      <c r="AV567" s="166">
        <f t="shared" si="161"/>
        <v>1.0629366000000005</v>
      </c>
      <c r="AW567" s="157">
        <f t="shared" si="156"/>
        <v>4.4323026000000016</v>
      </c>
      <c r="AX567" s="173">
        <f t="shared" si="157"/>
        <v>23.340192733017386</v>
      </c>
      <c r="AY567" s="174">
        <v>0.81</v>
      </c>
      <c r="AZ567" s="169">
        <v>23.31</v>
      </c>
      <c r="BA567" s="169">
        <v>-16.27</v>
      </c>
      <c r="BB567" s="169">
        <v>7.64</v>
      </c>
      <c r="BC567" s="169">
        <v>3.11</v>
      </c>
      <c r="BD567" s="100"/>
      <c r="BE567" s="77">
        <v>2018</v>
      </c>
      <c r="BF567" s="77">
        <f t="shared" si="158"/>
        <v>1</v>
      </c>
      <c r="BG567" s="175">
        <v>10.5</v>
      </c>
      <c r="BH567" t="s">
        <v>939</v>
      </c>
      <c r="BI567" t="s">
        <v>940</v>
      </c>
    </row>
    <row r="568" spans="1:64" s="112" customFormat="1" ht="12.75" customHeight="1" x14ac:dyDescent="0.2">
      <c r="A568" s="205" t="s">
        <v>1180</v>
      </c>
      <c r="B568" s="239" t="s">
        <v>1181</v>
      </c>
      <c r="C568" s="154" t="s">
        <v>922</v>
      </c>
      <c r="D568" s="154" t="s">
        <v>1113</v>
      </c>
      <c r="E568" s="155">
        <v>7</v>
      </c>
      <c r="F568" s="298">
        <v>630</v>
      </c>
      <c r="G568" s="298" t="s">
        <v>88</v>
      </c>
      <c r="H568" s="298" t="s">
        <v>88</v>
      </c>
      <c r="I568" s="156">
        <v>96.06</v>
      </c>
      <c r="J568" s="157">
        <f t="shared" si="144"/>
        <v>2.7691026441807205</v>
      </c>
      <c r="K568" s="158">
        <v>2.66</v>
      </c>
      <c r="L568" s="126">
        <v>1</v>
      </c>
      <c r="M568" s="82">
        <f t="shared" si="145"/>
        <v>2.66</v>
      </c>
      <c r="N568" s="159" t="s">
        <v>304</v>
      </c>
      <c r="O568" s="160">
        <v>2.1890000000000001</v>
      </c>
      <c r="P568" s="161">
        <v>44700</v>
      </c>
      <c r="Q568" s="161">
        <v>44712</v>
      </c>
      <c r="R568" s="82">
        <f t="shared" si="146"/>
        <v>21.51667428049338</v>
      </c>
      <c r="S568" s="162">
        <f>IF(INDEX([1]Historical!$D$7:$D$1229,MATCH(B568,[1]Historical!$B$7:$B$1253,0))=0,"n/a",(INDEX([1]Historical!$C$7:$C$1231,MATCH(B568,[1]Historical!$B$7:$B$1253,0))/INDEX([1]Historical!$D$7:$D$1229,MATCH(B568,[1]Historical!$B$7:$B$1253,0))-1)*100)</f>
        <v>30.35127184634019</v>
      </c>
      <c r="T568" s="162">
        <f>IF(INDEX([1]Historical!$F$7:$F$1222,MATCH(B568,[1]Historical!$B$7:$B$1253,0))=0,"n/a",((INDEX([1]Historical!$C$7:$C$1231,MATCH(B568,[1]Historical!$B$7:$B$1253,0))/INDEX([1]Historical!$F$7:$F$1222,MATCH(B568,[1]Historical!$B$7:$B$1253,0)))^(1/3)-1)*100)</f>
        <v>10.951216261726127</v>
      </c>
      <c r="U568" s="162">
        <f>IF(INDEX([1]Historical!$H$7:$H$1222,MATCH(B568,[1]Historical!$B$7:$B$1253,0))=0,"n/a",((INDEX([1]Historical!$C$7:$C$1231,MATCH(B568,[1]Historical!$B$7:$B$1253,0))/INDEX([1]Historical!$H$7:$H$1222,MATCH(B568,[1]Historical!$B$7:$B$1253,0)))^(1/5)-1)*100)</f>
        <v>11.604686382939278</v>
      </c>
      <c r="V568" s="162">
        <f>IF(INDEX([1]Historical!$N$7:$N$1222,MATCH(B568,[1]Historical!$B$7:$B$1253,0))=0,"n/a",((INDEX([1]Historical!$C$7:$C$1231,MATCH(B568,[1]Historical!$B$7:$B$1253,0))/INDEX([1]Historical!$N$7:$N$1222,MATCH(B568,[1]Historical!$B$7:$B$1253,0)))^(1/10)-1)*100)</f>
        <v>10.272451507882362</v>
      </c>
      <c r="W568" s="163">
        <f t="shared" si="147"/>
        <v>1.1296900622051758</v>
      </c>
      <c r="X568" s="164">
        <f t="shared" si="148"/>
        <v>1.4505857978674097</v>
      </c>
      <c r="Y568" s="178" t="s">
        <v>1182</v>
      </c>
      <c r="Z568" s="157">
        <f t="shared" si="149"/>
        <v>98.154981549815503</v>
      </c>
      <c r="AA568" s="166">
        <f t="shared" si="150"/>
        <v>35.446494464944649</v>
      </c>
      <c r="AB568" s="126">
        <v>12</v>
      </c>
      <c r="AC568" s="167">
        <v>2.71</v>
      </c>
      <c r="AD568" s="167">
        <v>457.07</v>
      </c>
      <c r="AE568" s="167">
        <v>4</v>
      </c>
      <c r="AF568" s="167">
        <v>2.67</v>
      </c>
      <c r="AG568" s="167">
        <v>7.9</v>
      </c>
      <c r="AH568" s="167">
        <v>2.2999999999999998</v>
      </c>
      <c r="AI568" s="167">
        <v>22.98</v>
      </c>
      <c r="AJ568" s="167">
        <v>8</v>
      </c>
      <c r="AK568" s="167">
        <v>0.08</v>
      </c>
      <c r="AL568" s="168">
        <v>121270</v>
      </c>
      <c r="AM568" s="169">
        <v>25.5</v>
      </c>
      <c r="AN568" s="167">
        <v>0.42</v>
      </c>
      <c r="AO568" s="170">
        <f t="shared" si="151"/>
        <v>-21.072705437824652</v>
      </c>
      <c r="AP568" s="171">
        <f t="shared" si="152"/>
        <v>14.373789027119997</v>
      </c>
      <c r="AQ568" s="172">
        <f t="shared" si="153"/>
        <v>105.09308479745071</v>
      </c>
      <c r="AR568" s="157">
        <f>INDEX([1]Historical!$C$7:$C$1231,MATCH(B568,[1]Historical!$B$7:$B$1253,0))*IF(AH568="n/a",1.03,IF(AH568&lt;0,1.01,IF(AH568&gt;10,1.1,(1+AH568/100))))</f>
        <v>2.3118776999999997</v>
      </c>
      <c r="AS568" s="166">
        <f t="shared" si="154"/>
        <v>2.5430654699999997</v>
      </c>
      <c r="AT568" s="166">
        <f t="shared" si="161"/>
        <v>2.5450999223759996</v>
      </c>
      <c r="AU568" s="166">
        <f t="shared" si="161"/>
        <v>2.5471360023139002</v>
      </c>
      <c r="AV568" s="166">
        <f t="shared" si="161"/>
        <v>2.5491737111157513</v>
      </c>
      <c r="AW568" s="157">
        <f t="shared" si="156"/>
        <v>12.49635280580565</v>
      </c>
      <c r="AX568" s="173">
        <f t="shared" si="157"/>
        <v>13.008903607959244</v>
      </c>
      <c r="AY568" s="174">
        <v>1.1100000000000001</v>
      </c>
      <c r="AZ568" s="169">
        <v>22.81</v>
      </c>
      <c r="BA568" s="169">
        <v>-35.56</v>
      </c>
      <c r="BB568" s="169">
        <v>11.63</v>
      </c>
      <c r="BC568" s="169">
        <v>-3.8600000000000003</v>
      </c>
      <c r="BD568" s="100"/>
      <c r="BE568" s="77">
        <v>2016</v>
      </c>
      <c r="BF568" s="77">
        <f t="shared" si="158"/>
        <v>1</v>
      </c>
      <c r="BG568" s="175">
        <v>4.2</v>
      </c>
      <c r="BH568" t="s">
        <v>1070</v>
      </c>
      <c r="BI568" t="s">
        <v>940</v>
      </c>
    </row>
    <row r="569" spans="1:64" s="112" customFormat="1" ht="12.75" customHeight="1" x14ac:dyDescent="0.2">
      <c r="A569" s="176" t="s">
        <v>1614</v>
      </c>
      <c r="B569" s="239" t="s">
        <v>551</v>
      </c>
      <c r="C569" s="154" t="s">
        <v>90</v>
      </c>
      <c r="D569" s="154" t="s">
        <v>969</v>
      </c>
      <c r="E569" s="155">
        <v>12</v>
      </c>
      <c r="F569" s="298">
        <v>337</v>
      </c>
      <c r="G569" s="298" t="s">
        <v>88</v>
      </c>
      <c r="H569" s="298" t="s">
        <v>88</v>
      </c>
      <c r="I569" s="156">
        <v>35.44</v>
      </c>
      <c r="J569" s="157">
        <f t="shared" si="144"/>
        <v>3.8374717832957117</v>
      </c>
      <c r="K569" s="158">
        <v>0.34</v>
      </c>
      <c r="L569" s="126">
        <v>4</v>
      </c>
      <c r="M569" s="82">
        <f t="shared" si="145"/>
        <v>1.36</v>
      </c>
      <c r="N569" s="159" t="s">
        <v>268</v>
      </c>
      <c r="O569" s="160">
        <v>0.32</v>
      </c>
      <c r="P569" s="161">
        <v>44609</v>
      </c>
      <c r="Q569" s="161">
        <v>44620</v>
      </c>
      <c r="R569" s="82">
        <f t="shared" si="146"/>
        <v>6.2500000000000053</v>
      </c>
      <c r="S569" s="162">
        <f>IF(INDEX([1]Historical!$D$7:$D$1229,MATCH(B569,[1]Historical!$B$7:$B$1253,0))=0,"n/a",(INDEX([1]Historical!$C$7:$C$1231,MATCH(B569,[1]Historical!$B$7:$B$1253,0))/INDEX([1]Historical!$D$7:$D$1229,MATCH(B569,[1]Historical!$B$7:$B$1253,0))-1)*100)</f>
        <v>6.6666666666666652</v>
      </c>
      <c r="T569" s="162">
        <f>IF(INDEX([1]Historical!$F$7:$F$1222,MATCH(B569,[1]Historical!$B$7:$B$1253,0))=0,"n/a",((INDEX([1]Historical!$C$7:$C$1231,MATCH(B569,[1]Historical!$B$7:$B$1253,0))/INDEX([1]Historical!$F$7:$F$1222,MATCH(B569,[1]Historical!$B$7:$B$1253,0)))^(1/3)-1)*100)</f>
        <v>5.1814357731718053</v>
      </c>
      <c r="U569" s="162">
        <f>IF(INDEX([1]Historical!$H$7:$H$1222,MATCH(B569,[1]Historical!$B$7:$B$1253,0))=0,"n/a",((INDEX([1]Historical!$C$7:$C$1231,MATCH(B569,[1]Historical!$B$7:$B$1253,0))/INDEX([1]Historical!$H$7:$H$1222,MATCH(B569,[1]Historical!$B$7:$B$1253,0)))^(1/5)-1)*100)</f>
        <v>5.4864747249031787</v>
      </c>
      <c r="V569" s="162">
        <f>IF(INDEX([1]Historical!$N$7:$N$1222,MATCH(B569,[1]Historical!$B$7:$B$1253,0))=0,"n/a",((INDEX([1]Historical!$C$7:$C$1231,MATCH(B569,[1]Historical!$B$7:$B$1253,0))/INDEX([1]Historical!$N$7:$N$1222,MATCH(B569,[1]Historical!$B$7:$B$1253,0)))^(1/10)-1)*100)</f>
        <v>14.17554813806472</v>
      </c>
      <c r="W569" s="163">
        <f t="shared" si="147"/>
        <v>0.38703792413999771</v>
      </c>
      <c r="X569" s="164">
        <f t="shared" si="148"/>
        <v>0.27432373624515893</v>
      </c>
      <c r="Y569" s="180"/>
      <c r="Z569" s="157">
        <f t="shared" si="149"/>
        <v>34.517766497461935</v>
      </c>
      <c r="AA569" s="166">
        <f t="shared" si="150"/>
        <v>8.9949238578680202</v>
      </c>
      <c r="AB569" s="126">
        <v>12</v>
      </c>
      <c r="AC569" s="167">
        <v>3.94</v>
      </c>
      <c r="AD569" s="167">
        <v>0.96</v>
      </c>
      <c r="AE569" s="167">
        <v>3.36</v>
      </c>
      <c r="AF569" s="167">
        <v>1.06</v>
      </c>
      <c r="AG569" s="167" t="s">
        <v>95</v>
      </c>
      <c r="AH569" s="167">
        <v>128.6</v>
      </c>
      <c r="AI569" s="167">
        <v>0.11</v>
      </c>
      <c r="AJ569" s="167">
        <v>20</v>
      </c>
      <c r="AK569" s="167">
        <v>9.3000000000000007</v>
      </c>
      <c r="AL569" s="168">
        <v>1540</v>
      </c>
      <c r="AM569" s="169">
        <v>1.6</v>
      </c>
      <c r="AN569" s="167">
        <v>0.25</v>
      </c>
      <c r="AO569" s="170">
        <f t="shared" si="151"/>
        <v>0.32902265033087019</v>
      </c>
      <c r="AP569" s="171">
        <f t="shared" si="152"/>
        <v>9.3239465081988904</v>
      </c>
      <c r="AQ569" s="172">
        <f t="shared" si="153"/>
        <v>-34.903083229387541</v>
      </c>
      <c r="AR569" s="157">
        <f>INDEX([1]Historical!$C$7:$C$1231,MATCH(B569,[1]Historical!$B$7:$B$1253,0))*IF(AH569="n/a",1.03,IF(AH569&lt;0,1.01,IF(AH569&gt;10,1.1,(1+AH569/100))))</f>
        <v>1.4080000000000001</v>
      </c>
      <c r="AS569" s="166">
        <f t="shared" si="154"/>
        <v>1.4095488000000003</v>
      </c>
      <c r="AT569" s="166">
        <f t="shared" si="161"/>
        <v>1.5406368384000002</v>
      </c>
      <c r="AU569" s="166">
        <f t="shared" si="161"/>
        <v>1.6839160643712001</v>
      </c>
      <c r="AV569" s="166">
        <f t="shared" si="161"/>
        <v>1.8405202583577216</v>
      </c>
      <c r="AW569" s="157">
        <f t="shared" si="156"/>
        <v>7.8826219611289217</v>
      </c>
      <c r="AX569" s="173">
        <f t="shared" si="157"/>
        <v>22.242161289867163</v>
      </c>
      <c r="AY569" s="174">
        <v>0.97</v>
      </c>
      <c r="AZ569" s="169">
        <v>9.6199999999999992</v>
      </c>
      <c r="BA569" s="169">
        <v>-31.900000000000002</v>
      </c>
      <c r="BB569" s="169">
        <v>-5.8500000000000005</v>
      </c>
      <c r="BC569" s="169">
        <v>-14.63</v>
      </c>
      <c r="BD569" s="100"/>
      <c r="BE569" s="77">
        <v>2011</v>
      </c>
      <c r="BF569" s="77">
        <f t="shared" si="158"/>
        <v>1</v>
      </c>
      <c r="BG569" s="175" t="s">
        <v>95</v>
      </c>
      <c r="BH569" t="s">
        <v>939</v>
      </c>
      <c r="BI569" t="s">
        <v>940</v>
      </c>
      <c r="BJ569"/>
      <c r="BK569"/>
      <c r="BL569"/>
    </row>
    <row r="570" spans="1:64" s="112" customFormat="1" ht="12.75" customHeight="1" x14ac:dyDescent="0.2">
      <c r="A570" s="176" t="s">
        <v>1615</v>
      </c>
      <c r="B570" s="239" t="s">
        <v>831</v>
      </c>
      <c r="C570" s="154" t="s">
        <v>90</v>
      </c>
      <c r="D570" s="154" t="s">
        <v>969</v>
      </c>
      <c r="E570" s="155">
        <v>10</v>
      </c>
      <c r="F570" s="298">
        <v>490</v>
      </c>
      <c r="G570" s="298" t="s">
        <v>88</v>
      </c>
      <c r="H570" s="298" t="s">
        <v>88</v>
      </c>
      <c r="I570" s="156">
        <v>16.75</v>
      </c>
      <c r="J570" s="157">
        <f t="shared" si="144"/>
        <v>2.9850746268656714</v>
      </c>
      <c r="K570" s="158">
        <v>0.125</v>
      </c>
      <c r="L570" s="126">
        <v>4</v>
      </c>
      <c r="M570" s="82">
        <f t="shared" si="145"/>
        <v>0.5</v>
      </c>
      <c r="N570" s="159" t="s">
        <v>199</v>
      </c>
      <c r="O570" s="160">
        <v>0.12</v>
      </c>
      <c r="P570" s="161">
        <v>44874</v>
      </c>
      <c r="Q570" s="161">
        <v>44890</v>
      </c>
      <c r="R570" s="82">
        <f t="shared" si="146"/>
        <v>4.1666666666666705</v>
      </c>
      <c r="S570" s="162">
        <f>IF(INDEX([1]Historical!$D$7:$D$1229,MATCH(B570,[1]Historical!$B$7:$B$1253,0))=0,"n/a",(INDEX([1]Historical!$C$7:$C$1231,MATCH(B570,[1]Historical!$B$7:$B$1253,0))/INDEX([1]Historical!$D$7:$D$1229,MATCH(B570,[1]Historical!$B$7:$B$1253,0))-1)*100)</f>
        <v>9.9999999999999858</v>
      </c>
      <c r="T570" s="162">
        <f>IF(INDEX([1]Historical!$F$7:$F$1222,MATCH(B570,[1]Historical!$B$7:$B$1253,0))=0,"n/a",((INDEX([1]Historical!$C$7:$C$1231,MATCH(B570,[1]Historical!$B$7:$B$1253,0))/INDEX([1]Historical!$F$7:$F$1222,MATCH(B570,[1]Historical!$B$7:$B$1253,0)))^(1/3)-1)*100)</f>
        <v>11.199004528465784</v>
      </c>
      <c r="U570" s="162">
        <f>IF(INDEX([1]Historical!$H$7:$H$1222,MATCH(B570,[1]Historical!$B$7:$B$1253,0))=0,"n/a",((INDEX([1]Historical!$C$7:$C$1231,MATCH(B570,[1]Historical!$B$7:$B$1253,0))/INDEX([1]Historical!$H$7:$H$1222,MATCH(B570,[1]Historical!$B$7:$B$1253,0)))^(1/5)-1)*100)</f>
        <v>12.888132073019754</v>
      </c>
      <c r="V570" s="162" t="str">
        <f>IF(INDEX([1]Historical!$N$7:$N$1222,MATCH(B570,[1]Historical!$B$7:$B$1253,0))=0,"n/a",((INDEX([1]Historical!$C$7:$C$1231,MATCH(B570,[1]Historical!$B$7:$B$1253,0))/INDEX([1]Historical!$N$7:$N$1222,MATCH(B570,[1]Historical!$B$7:$B$1253,0)))^(1/10)-1)*100)</f>
        <v>n/a</v>
      </c>
      <c r="W570" s="163" t="str">
        <f t="shared" si="147"/>
        <v>n/a</v>
      </c>
      <c r="X570" s="164">
        <f t="shared" si="148"/>
        <v>0.8105743442150789</v>
      </c>
      <c r="Y570" s="178"/>
      <c r="Z570" s="157">
        <f t="shared" si="149"/>
        <v>27.027027027027025</v>
      </c>
      <c r="AA570" s="166">
        <f t="shared" si="150"/>
        <v>9.0540540540540544</v>
      </c>
      <c r="AB570" s="126">
        <v>12</v>
      </c>
      <c r="AC570" s="167">
        <v>1.85</v>
      </c>
      <c r="AD570" s="167" t="s">
        <v>95</v>
      </c>
      <c r="AE570" s="167">
        <v>2.94</v>
      </c>
      <c r="AF570" s="167">
        <v>0.97</v>
      </c>
      <c r="AG570" s="167">
        <v>9.6</v>
      </c>
      <c r="AH570" s="167">
        <v>31</v>
      </c>
      <c r="AI570" s="167">
        <v>3.16</v>
      </c>
      <c r="AJ570" s="167">
        <v>15.9</v>
      </c>
      <c r="AK570" s="167" t="s">
        <v>95</v>
      </c>
      <c r="AL570" s="168">
        <v>120.12</v>
      </c>
      <c r="AM570" s="169">
        <v>1.5</v>
      </c>
      <c r="AN570" s="167">
        <v>0.24</v>
      </c>
      <c r="AO570" s="170">
        <f t="shared" si="151"/>
        <v>6.8191526458313714</v>
      </c>
      <c r="AP570" s="171">
        <f t="shared" si="152"/>
        <v>15.873206699885426</v>
      </c>
      <c r="AQ570" s="172">
        <f t="shared" si="153"/>
        <v>-37.523578020958148</v>
      </c>
      <c r="AR570" s="157">
        <f>INDEX([1]Historical!$C$7:$C$1231,MATCH(B570,[1]Historical!$B$7:$B$1253,0))*IF(AH570="n/a",1.03,IF(AH570&lt;0,1.01,IF(AH570&gt;10,1.1,(1+AH570/100))))</f>
        <v>0.48400000000000004</v>
      </c>
      <c r="AS570" s="166">
        <f t="shared" si="154"/>
        <v>0.49929440000000008</v>
      </c>
      <c r="AT570" s="166">
        <f t="shared" si="161"/>
        <v>0.51427323200000008</v>
      </c>
      <c r="AU570" s="166">
        <f t="shared" si="161"/>
        <v>0.52970142896000005</v>
      </c>
      <c r="AV570" s="166">
        <f t="shared" si="161"/>
        <v>0.54559247182880011</v>
      </c>
      <c r="AW570" s="157">
        <f t="shared" si="156"/>
        <v>2.5728615327888003</v>
      </c>
      <c r="AX570" s="173">
        <f t="shared" si="157"/>
        <v>15.360367359933136</v>
      </c>
      <c r="AY570" s="174">
        <v>0.91</v>
      </c>
      <c r="AZ570" s="169">
        <v>2.8899999999999997</v>
      </c>
      <c r="BA570" s="169">
        <v>-19.66</v>
      </c>
      <c r="BB570" s="169">
        <v>-3.34</v>
      </c>
      <c r="BC570" s="169">
        <v>-7.9399999999999995</v>
      </c>
      <c r="BD570" s="100"/>
      <c r="BE570" s="77">
        <v>2013</v>
      </c>
      <c r="BF570" s="77">
        <f t="shared" si="158"/>
        <v>1</v>
      </c>
      <c r="BG570" s="175">
        <v>1</v>
      </c>
      <c r="BH570" t="s">
        <v>939</v>
      </c>
      <c r="BI570" t="s">
        <v>940</v>
      </c>
      <c r="BJ570"/>
      <c r="BK570"/>
      <c r="BL570"/>
    </row>
    <row r="571" spans="1:64" s="112" customFormat="1" ht="12.75" customHeight="1" x14ac:dyDescent="0.2">
      <c r="A571" s="332" t="s">
        <v>1616</v>
      </c>
      <c r="B571" s="112" t="s">
        <v>462</v>
      </c>
      <c r="C571" s="154" t="s">
        <v>90</v>
      </c>
      <c r="D571" s="154" t="s">
        <v>969</v>
      </c>
      <c r="E571" s="155">
        <v>28</v>
      </c>
      <c r="F571" s="298">
        <v>121</v>
      </c>
      <c r="G571" s="298" t="s">
        <v>30</v>
      </c>
      <c r="H571" s="298" t="s">
        <v>88</v>
      </c>
      <c r="I571" s="167">
        <v>34.24</v>
      </c>
      <c r="J571" s="157">
        <f t="shared" si="144"/>
        <v>3.9719626168224296</v>
      </c>
      <c r="K571" s="209">
        <v>0.34</v>
      </c>
      <c r="L571" s="126">
        <v>4</v>
      </c>
      <c r="M571" s="82">
        <f t="shared" si="145"/>
        <v>1.36</v>
      </c>
      <c r="N571" s="159" t="s">
        <v>162</v>
      </c>
      <c r="O571" s="210">
        <v>0.33</v>
      </c>
      <c r="P571" s="161">
        <v>44608</v>
      </c>
      <c r="Q571" s="161">
        <v>44623</v>
      </c>
      <c r="R571" s="82">
        <f t="shared" si="146"/>
        <v>3.0303030303030329</v>
      </c>
      <c r="S571" s="162">
        <f>IF(INDEX([1]Historical!$D$7:$D$1229,MATCH(B571,[1]Historical!$B$7:$B$1253,0))=0,"n/a",(INDEX([1]Historical!$C$7:$C$1231,MATCH(B571,[1]Historical!$B$7:$B$1253,0))/INDEX([1]Historical!$D$7:$D$1229,MATCH(B571,[1]Historical!$B$7:$B$1253,0))-1)*100)</f>
        <v>4.8000000000000043</v>
      </c>
      <c r="T571" s="162">
        <f>IF(INDEX([1]Historical!$F$7:$F$1222,MATCH(B571,[1]Historical!$B$7:$B$1253,0))=0,"n/a",((INDEX([1]Historical!$C$7:$C$1231,MATCH(B571,[1]Historical!$B$7:$B$1253,0))/INDEX([1]Historical!$F$7:$F$1222,MATCH(B571,[1]Historical!$B$7:$B$1253,0)))^(1/3)-1)*100)</f>
        <v>2.9666736894775392</v>
      </c>
      <c r="U571" s="162">
        <f>IF(INDEX([1]Historical!$H$7:$H$1222,MATCH(B571,[1]Historical!$B$7:$B$1253,0))=0,"n/a",((INDEX([1]Historical!$C$7:$C$1231,MATCH(B571,[1]Historical!$B$7:$B$1253,0))/INDEX([1]Historical!$H$7:$H$1222,MATCH(B571,[1]Historical!$B$7:$B$1253,0)))^(1/5)-1)*100)</f>
        <v>7.4468659475645627</v>
      </c>
      <c r="V571" s="162">
        <f>IF(INDEX([1]Historical!$N$7:$N$1222,MATCH(B571,[1]Historical!$B$7:$B$1253,0))=0,"n/a",((INDEX([1]Historical!$C$7:$C$1231,MATCH(B571,[1]Historical!$B$7:$B$1253,0))/INDEX([1]Historical!$N$7:$N$1222,MATCH(B571,[1]Historical!$B$7:$B$1253,0)))^(1/10)-1)*100)</f>
        <v>9.4947471357023083</v>
      </c>
      <c r="W571" s="163">
        <f t="shared" si="147"/>
        <v>0.78431429938378572</v>
      </c>
      <c r="X571" s="164">
        <f t="shared" si="148"/>
        <v>0.5357457516233497</v>
      </c>
      <c r="Y571" s="223"/>
      <c r="Z571" s="157">
        <f t="shared" si="149"/>
        <v>41.590214067278289</v>
      </c>
      <c r="AA571" s="166">
        <f t="shared" si="150"/>
        <v>10.470948012232416</v>
      </c>
      <c r="AB571" s="126">
        <v>12</v>
      </c>
      <c r="AC571" s="167">
        <v>3.27</v>
      </c>
      <c r="AD571" s="167">
        <v>5.24</v>
      </c>
      <c r="AE571" s="167">
        <v>4.5599999999999996</v>
      </c>
      <c r="AF571" s="167">
        <v>1.51</v>
      </c>
      <c r="AG571" s="167">
        <v>12.6</v>
      </c>
      <c r="AH571" s="167">
        <v>40.5</v>
      </c>
      <c r="AI571" s="167">
        <v>1.83</v>
      </c>
      <c r="AJ571" s="167">
        <v>13.900000000000002</v>
      </c>
      <c r="AK571" s="167">
        <v>2</v>
      </c>
      <c r="AL571" s="168">
        <v>1060</v>
      </c>
      <c r="AM571" s="169">
        <v>1.3</v>
      </c>
      <c r="AN571" s="167">
        <v>0.22</v>
      </c>
      <c r="AO571" s="170">
        <f t="shared" si="151"/>
        <v>0.94788055215457589</v>
      </c>
      <c r="AP571" s="171">
        <f t="shared" si="152"/>
        <v>11.418828564386992</v>
      </c>
      <c r="AQ571" s="172">
        <f t="shared" si="153"/>
        <v>-16.171785448597465</v>
      </c>
      <c r="AR571" s="157">
        <f>INDEX([1]Historical!$C$7:$C$1231,MATCH(B571,[1]Historical!$B$7:$B$1253,0))*IF(AH571="n/a",1.03,IF(AH571&lt;0,1.01,IF(AH571&gt;10,1.1,(1+AH571/100))))</f>
        <v>1.4410000000000003</v>
      </c>
      <c r="AS571" s="166">
        <f t="shared" si="154"/>
        <v>1.4673703000000002</v>
      </c>
      <c r="AT571" s="166">
        <f t="shared" si="161"/>
        <v>1.4967177060000003</v>
      </c>
      <c r="AU571" s="166">
        <f t="shared" si="161"/>
        <v>1.5266520601200004</v>
      </c>
      <c r="AV571" s="166">
        <f t="shared" si="161"/>
        <v>1.5571851013224005</v>
      </c>
      <c r="AW571" s="157">
        <f t="shared" si="156"/>
        <v>7.4889251674424022</v>
      </c>
      <c r="AX571" s="173">
        <f t="shared" si="157"/>
        <v>21.871860886221967</v>
      </c>
      <c r="AY571" s="174">
        <v>0.54</v>
      </c>
      <c r="AZ571" s="169">
        <v>9.81</v>
      </c>
      <c r="BA571" s="169">
        <v>-24.41</v>
      </c>
      <c r="BB571" s="169">
        <v>-7.4300000000000006</v>
      </c>
      <c r="BC571" s="169">
        <v>-12.76</v>
      </c>
      <c r="BD571" s="100"/>
      <c r="BE571" s="77">
        <v>1995</v>
      </c>
      <c r="BF571" s="77">
        <f t="shared" si="158"/>
        <v>3</v>
      </c>
      <c r="BG571" s="175">
        <v>1.4000000000000001</v>
      </c>
      <c r="BH571" t="s">
        <v>939</v>
      </c>
      <c r="BI571" t="s">
        <v>940</v>
      </c>
      <c r="BJ571"/>
      <c r="BK571"/>
      <c r="BL571"/>
    </row>
    <row r="572" spans="1:64" s="112" customFormat="1" ht="12.75" customHeight="1" x14ac:dyDescent="0.2">
      <c r="A572" s="112" t="s">
        <v>1617</v>
      </c>
      <c r="B572" s="239" t="s">
        <v>554</v>
      </c>
      <c r="C572" s="154" t="s">
        <v>100</v>
      </c>
      <c r="D572" s="154" t="s">
        <v>991</v>
      </c>
      <c r="E572" s="155">
        <v>13</v>
      </c>
      <c r="F572" s="298">
        <v>303</v>
      </c>
      <c r="G572" s="298" t="s">
        <v>104</v>
      </c>
      <c r="H572" s="298" t="s">
        <v>104</v>
      </c>
      <c r="I572" s="156">
        <v>86.59</v>
      </c>
      <c r="J572" s="157">
        <f t="shared" si="144"/>
        <v>2.4483196673980827</v>
      </c>
      <c r="K572" s="158">
        <v>0.53</v>
      </c>
      <c r="L572" s="126">
        <v>4</v>
      </c>
      <c r="M572" s="82">
        <f t="shared" si="145"/>
        <v>2.12</v>
      </c>
      <c r="N572" s="159" t="s">
        <v>116</v>
      </c>
      <c r="O572" s="160">
        <v>0.49</v>
      </c>
      <c r="P572" s="161">
        <v>44874</v>
      </c>
      <c r="Q572" s="161">
        <v>44890</v>
      </c>
      <c r="R572" s="82">
        <f t="shared" si="146"/>
        <v>8.1632653061224563</v>
      </c>
      <c r="S572" s="162">
        <f>IF(INDEX([1]Historical!$D$7:$D$1229,MATCH(B572,[1]Historical!$B$7:$B$1253,0))=0,"n/a",(INDEX([1]Historical!$C$7:$C$1231,MATCH(B572,[1]Historical!$B$7:$B$1253,0))/INDEX([1]Historical!$D$7:$D$1229,MATCH(B572,[1]Historical!$B$7:$B$1253,0))-1)*100)</f>
        <v>9.5238095238095344</v>
      </c>
      <c r="T572" s="162">
        <f>IF(INDEX([1]Historical!$F$7:$F$1222,MATCH(B572,[1]Historical!$B$7:$B$1253,0))=0,"n/a",((INDEX([1]Historical!$C$7:$C$1231,MATCH(B572,[1]Historical!$B$7:$B$1253,0))/INDEX([1]Historical!$F$7:$F$1222,MATCH(B572,[1]Historical!$B$7:$B$1253,0)))^(1/3)-1)*100)</f>
        <v>11.707233731169708</v>
      </c>
      <c r="U572" s="162">
        <f>IF(INDEX([1]Historical!$H$7:$H$1222,MATCH(B572,[1]Historical!$B$7:$B$1253,0))=0,"n/a",((INDEX([1]Historical!$C$7:$C$1231,MATCH(B572,[1]Historical!$B$7:$B$1253,0))/INDEX([1]Historical!$H$7:$H$1222,MATCH(B572,[1]Historical!$B$7:$B$1253,0)))^(1/5)-1)*100)</f>
        <v>16.702397850118178</v>
      </c>
      <c r="V572" s="162">
        <f>IF(INDEX([1]Historical!$N$7:$N$1222,MATCH(B572,[1]Historical!$B$7:$B$1253,0))=0,"n/a",((INDEX([1]Historical!$C$7:$C$1231,MATCH(B572,[1]Historical!$B$7:$B$1253,0))/INDEX([1]Historical!$N$7:$N$1222,MATCH(B572,[1]Historical!$B$7:$B$1253,0)))^(1/10)-1)*100)</f>
        <v>20.716317646103931</v>
      </c>
      <c r="W572" s="163">
        <f t="shared" si="147"/>
        <v>0.80624356777322148</v>
      </c>
      <c r="X572" s="164">
        <f t="shared" si="148"/>
        <v>1.2558193872269305</v>
      </c>
      <c r="Y572" s="212"/>
      <c r="Z572" s="157">
        <f t="shared" si="149"/>
        <v>59.550561797752813</v>
      </c>
      <c r="AA572" s="166">
        <f t="shared" si="150"/>
        <v>24.323033707865168</v>
      </c>
      <c r="AB572" s="126">
        <v>9</v>
      </c>
      <c r="AC572" s="167">
        <v>3.56</v>
      </c>
      <c r="AD572" s="167">
        <v>3.64</v>
      </c>
      <c r="AE572" s="167">
        <v>3.06</v>
      </c>
      <c r="AF572" s="167" t="s">
        <v>95</v>
      </c>
      <c r="AG572" s="167">
        <v>-53.400000000000006</v>
      </c>
      <c r="AH572" s="167">
        <v>351</v>
      </c>
      <c r="AI572" s="167">
        <v>16.809999999999999</v>
      </c>
      <c r="AJ572" s="167">
        <v>13.3</v>
      </c>
      <c r="AK572" s="167">
        <v>6.7299999999999995</v>
      </c>
      <c r="AL572" s="168">
        <v>97850</v>
      </c>
      <c r="AM572" s="169">
        <v>1.7999999999999998</v>
      </c>
      <c r="AN572" s="167" t="s">
        <v>95</v>
      </c>
      <c r="AO572" s="170">
        <f t="shared" si="151"/>
        <v>-5.1723161903489085</v>
      </c>
      <c r="AP572" s="171">
        <f t="shared" si="152"/>
        <v>19.150717517516259</v>
      </c>
      <c r="AQ572" s="172" t="str">
        <f t="shared" si="153"/>
        <v>n/a</v>
      </c>
      <c r="AR572" s="157">
        <f>INDEX([1]Historical!$C$7:$C$1231,MATCH(B572,[1]Historical!$B$7:$B$1253,0))*IF(AH572="n/a",1.03,IF(AH572&lt;0,1.01,IF(AH572&gt;10,1.1,(1+AH572/100))))</f>
        <v>2.0240000000000005</v>
      </c>
      <c r="AS572" s="166">
        <f t="shared" si="154"/>
        <v>2.2264000000000008</v>
      </c>
      <c r="AT572" s="166">
        <f t="shared" si="161"/>
        <v>2.3762367200000005</v>
      </c>
      <c r="AU572" s="166">
        <f t="shared" si="161"/>
        <v>2.5361574512560003</v>
      </c>
      <c r="AV572" s="166">
        <f t="shared" si="161"/>
        <v>2.706840847725529</v>
      </c>
      <c r="AW572" s="157">
        <f t="shared" si="156"/>
        <v>11.86963501898153</v>
      </c>
      <c r="AX572" s="173">
        <f t="shared" si="157"/>
        <v>13.70785889707995</v>
      </c>
      <c r="AY572" s="174">
        <v>0.87</v>
      </c>
      <c r="AZ572" s="169">
        <v>26.61</v>
      </c>
      <c r="BA572" s="169">
        <v>-26.490000000000002</v>
      </c>
      <c r="BB572" s="169">
        <v>-0.47000000000000003</v>
      </c>
      <c r="BC572" s="169">
        <v>2.35</v>
      </c>
      <c r="BD572" s="125"/>
      <c r="BE572" s="77">
        <v>2010</v>
      </c>
      <c r="BF572" s="77">
        <f t="shared" si="158"/>
        <v>1</v>
      </c>
      <c r="BG572" s="175">
        <v>14.2</v>
      </c>
      <c r="BH572" t="s">
        <v>939</v>
      </c>
      <c r="BI572" t="s">
        <v>940</v>
      </c>
      <c r="BJ572"/>
      <c r="BK572"/>
      <c r="BL572"/>
    </row>
    <row r="573" spans="1:64" s="112" customFormat="1" ht="12.75" customHeight="1" x14ac:dyDescent="0.2">
      <c r="A573" s="176" t="s">
        <v>1618</v>
      </c>
      <c r="B573" s="239" t="s">
        <v>601</v>
      </c>
      <c r="C573" s="154" t="s">
        <v>100</v>
      </c>
      <c r="D573" s="154" t="s">
        <v>1084</v>
      </c>
      <c r="E573" s="155">
        <v>12</v>
      </c>
      <c r="F573" s="298">
        <v>350</v>
      </c>
      <c r="G573" s="298" t="s">
        <v>88</v>
      </c>
      <c r="H573" s="298" t="s">
        <v>88</v>
      </c>
      <c r="I573" s="156">
        <v>60.61</v>
      </c>
      <c r="J573" s="157">
        <f t="shared" si="144"/>
        <v>1.6498927569707968</v>
      </c>
      <c r="K573" s="158">
        <v>0.25</v>
      </c>
      <c r="L573" s="126">
        <v>4</v>
      </c>
      <c r="M573" s="82">
        <f t="shared" si="145"/>
        <v>1</v>
      </c>
      <c r="N573" s="159" t="s">
        <v>119</v>
      </c>
      <c r="O573" s="160">
        <v>0.23</v>
      </c>
      <c r="P573" s="161">
        <v>44634</v>
      </c>
      <c r="Q573" s="161">
        <v>44651</v>
      </c>
      <c r="R573" s="82">
        <f t="shared" si="146"/>
        <v>8.6956521739130395</v>
      </c>
      <c r="S573" s="162">
        <f>IF(INDEX([1]Historical!$D$7:$D$1229,MATCH(B573,[1]Historical!$B$7:$B$1253,0))=0,"n/a",(INDEX([1]Historical!$C$7:$C$1231,MATCH(B573,[1]Historical!$B$7:$B$1253,0))/INDEX([1]Historical!$D$7:$D$1229,MATCH(B573,[1]Historical!$B$7:$B$1253,0))-1)*100)</f>
        <v>12.820512820512819</v>
      </c>
      <c r="T573" s="162">
        <f>IF(INDEX([1]Historical!$F$7:$F$1222,MATCH(B573,[1]Historical!$B$7:$B$1253,0))=0,"n/a",((INDEX([1]Historical!$C$7:$C$1231,MATCH(B573,[1]Historical!$B$7:$B$1253,0))/INDEX([1]Historical!$F$7:$F$1222,MATCH(B573,[1]Historical!$B$7:$B$1253,0)))^(1/3)-1)*100)</f>
        <v>8.9744250818549531</v>
      </c>
      <c r="U573" s="162">
        <f>IF(INDEX([1]Historical!$H$7:$H$1222,MATCH(B573,[1]Historical!$B$7:$B$1253,0))=0,"n/a",((INDEX([1]Historical!$C$7:$C$1231,MATCH(B573,[1]Historical!$B$7:$B$1253,0))/INDEX([1]Historical!$H$7:$H$1222,MATCH(B573,[1]Historical!$B$7:$B$1253,0)))^(1/5)-1)*100)</f>
        <v>11.527636629885807</v>
      </c>
      <c r="V573" s="162">
        <f>IF(INDEX([1]Historical!$N$7:$N$1222,MATCH(B573,[1]Historical!$B$7:$B$1253,0))=0,"n/a",((INDEX([1]Historical!$C$7:$C$1231,MATCH(B573,[1]Historical!$B$7:$B$1253,0))/INDEX([1]Historical!$N$7:$N$1222,MATCH(B573,[1]Historical!$B$7:$B$1253,0)))^(1/10)-1)*100)</f>
        <v>16.566271986361912</v>
      </c>
      <c r="W573" s="163">
        <f t="shared" si="147"/>
        <v>0.69584977473361942</v>
      </c>
      <c r="X573" s="164">
        <f t="shared" si="148"/>
        <v>0.29407236300729095</v>
      </c>
      <c r="Y573" s="178"/>
      <c r="Z573" s="157">
        <f t="shared" si="149"/>
        <v>21.598272138228943</v>
      </c>
      <c r="AA573" s="166">
        <f t="shared" si="150"/>
        <v>13.090712742980562</v>
      </c>
      <c r="AB573" s="126">
        <v>12</v>
      </c>
      <c r="AC573" s="167">
        <v>4.63</v>
      </c>
      <c r="AD573" s="167">
        <v>1.1000000000000001</v>
      </c>
      <c r="AE573" s="167">
        <v>2.23</v>
      </c>
      <c r="AF573" s="167">
        <v>5.28</v>
      </c>
      <c r="AG573" s="167">
        <v>40.799999999999997</v>
      </c>
      <c r="AH573" s="167">
        <v>63.800000000000004</v>
      </c>
      <c r="AI573" s="167">
        <v>0.03</v>
      </c>
      <c r="AJ573" s="167">
        <v>39.200000000000003</v>
      </c>
      <c r="AK573" s="167">
        <v>12</v>
      </c>
      <c r="AL573" s="168">
        <v>9340</v>
      </c>
      <c r="AM573" s="169">
        <v>1.6</v>
      </c>
      <c r="AN573" s="167">
        <v>2.1800000000000002</v>
      </c>
      <c r="AO573" s="170">
        <f t="shared" si="151"/>
        <v>8.6816643876041155E-2</v>
      </c>
      <c r="AP573" s="171">
        <f t="shared" si="152"/>
        <v>13.177529386856603</v>
      </c>
      <c r="AQ573" s="172">
        <f t="shared" si="153"/>
        <v>75.269903967740689</v>
      </c>
      <c r="AR573" s="157">
        <f>INDEX([1]Historical!$C$7:$C$1231,MATCH(B573,[1]Historical!$B$7:$B$1253,0))*IF(AH573="n/a",1.03,IF(AH573&lt;0,1.01,IF(AH573&gt;10,1.1,(1+AH573/100))))</f>
        <v>0.96800000000000008</v>
      </c>
      <c r="AS573" s="166">
        <f t="shared" si="154"/>
        <v>0.9682904</v>
      </c>
      <c r="AT573" s="166">
        <f t="shared" si="161"/>
        <v>1.0651194400000001</v>
      </c>
      <c r="AU573" s="166">
        <f t="shared" si="161"/>
        <v>1.1716313840000003</v>
      </c>
      <c r="AV573" s="166">
        <f t="shared" si="161"/>
        <v>1.2887945224000004</v>
      </c>
      <c r="AW573" s="157">
        <f t="shared" si="156"/>
        <v>5.4618357464000002</v>
      </c>
      <c r="AX573" s="173">
        <f t="shared" si="157"/>
        <v>9.0114432377495479</v>
      </c>
      <c r="AY573" s="174">
        <v>0.75</v>
      </c>
      <c r="AZ573" s="169">
        <v>6.61</v>
      </c>
      <c r="BA573" s="169">
        <v>-19.309999999999999</v>
      </c>
      <c r="BB573" s="169">
        <v>-0.86999999999999988</v>
      </c>
      <c r="BC573" s="169">
        <v>-6.99</v>
      </c>
      <c r="BD573" s="100"/>
      <c r="BE573" s="77">
        <v>2011</v>
      </c>
      <c r="BF573" s="77">
        <f t="shared" si="158"/>
        <v>1</v>
      </c>
      <c r="BG573" s="175">
        <v>5</v>
      </c>
      <c r="BH573" t="s">
        <v>939</v>
      </c>
      <c r="BI573" t="s">
        <v>940</v>
      </c>
      <c r="BJ573"/>
      <c r="BK573"/>
      <c r="BL573"/>
    </row>
    <row r="574" spans="1:64" s="112" customFormat="1" ht="12.75" customHeight="1" x14ac:dyDescent="0.2">
      <c r="A574" s="112" t="s">
        <v>465</v>
      </c>
      <c r="B574" s="239" t="s">
        <v>466</v>
      </c>
      <c r="C574" s="154" t="s">
        <v>96</v>
      </c>
      <c r="D574" s="154" t="s">
        <v>911</v>
      </c>
      <c r="E574" s="155">
        <v>55</v>
      </c>
      <c r="F574" s="298">
        <v>23</v>
      </c>
      <c r="G574" s="298" t="s">
        <v>88</v>
      </c>
      <c r="H574" s="298" t="s">
        <v>88</v>
      </c>
      <c r="I574" s="167">
        <v>104.44</v>
      </c>
      <c r="J574" s="157">
        <f t="shared" si="144"/>
        <v>1.3979318268862504</v>
      </c>
      <c r="K574" s="158">
        <v>0.36499999999999999</v>
      </c>
      <c r="L574" s="126">
        <v>4</v>
      </c>
      <c r="M574" s="82">
        <f t="shared" si="145"/>
        <v>1.46</v>
      </c>
      <c r="N574" s="159" t="s">
        <v>167</v>
      </c>
      <c r="O574" s="160">
        <v>0.33500000000000002</v>
      </c>
      <c r="P574" s="161">
        <v>44894</v>
      </c>
      <c r="Q574" s="161">
        <v>44910</v>
      </c>
      <c r="R574" s="82">
        <f t="shared" si="146"/>
        <v>8.9552238805970052</v>
      </c>
      <c r="S574" s="162">
        <f>IF(INDEX([1]Historical!$D$7:$D$1229,MATCH(B574,[1]Historical!$B$7:$B$1253,0))=0,"n/a",(INDEX([1]Historical!$C$7:$C$1231,MATCH(B574,[1]Historical!$B$7:$B$1253,0))/INDEX([1]Historical!$D$7:$D$1229,MATCH(B574,[1]Historical!$B$7:$B$1253,0))-1)*100)</f>
        <v>10.619469026548689</v>
      </c>
      <c r="T574" s="162">
        <f>IF(INDEX([1]Historical!$F$7:$F$1222,MATCH(B574,[1]Historical!$B$7:$B$1253,0))=0,"n/a",((INDEX([1]Historical!$C$7:$C$1231,MATCH(B574,[1]Historical!$B$7:$B$1253,0))/INDEX([1]Historical!$F$7:$F$1222,MATCH(B574,[1]Historical!$B$7:$B$1253,0)))^(1/3)-1)*100)</f>
        <v>10.557809853526301</v>
      </c>
      <c r="U574" s="162">
        <f>IF(INDEX([1]Historical!$H$7:$H$1222,MATCH(B574,[1]Historical!$B$7:$B$1253,0))=0,"n/a",((INDEX([1]Historical!$C$7:$C$1231,MATCH(B574,[1]Historical!$B$7:$B$1253,0))/INDEX([1]Historical!$H$7:$H$1222,MATCH(B574,[1]Historical!$B$7:$B$1253,0)))^(1/5)-1)*100)</f>
        <v>9.7508951834327071</v>
      </c>
      <c r="V574" s="162">
        <f>IF(INDEX([1]Historical!$N$7:$N$1222,MATCH(B574,[1]Historical!$B$7:$B$1253,0))=0,"n/a",((INDEX([1]Historical!$C$7:$C$1231,MATCH(B574,[1]Historical!$B$7:$B$1253,0))/INDEX([1]Historical!$N$7:$N$1222,MATCH(B574,[1]Historical!$B$7:$B$1253,0)))^(1/10)-1)*100)</f>
        <v>8.9590766727215545</v>
      </c>
      <c r="W574" s="163">
        <f t="shared" si="147"/>
        <v>1.0883817093699029</v>
      </c>
      <c r="X574" s="164">
        <f t="shared" si="148"/>
        <v>1.0052469261270831</v>
      </c>
      <c r="Y574" s="212"/>
      <c r="Z574" s="157">
        <f t="shared" si="149"/>
        <v>21.987951807228917</v>
      </c>
      <c r="AA574" s="166">
        <f t="shared" si="150"/>
        <v>15.728915662650603</v>
      </c>
      <c r="AB574" s="126">
        <v>12</v>
      </c>
      <c r="AC574" s="167">
        <v>6.64</v>
      </c>
      <c r="AD574" s="167">
        <v>3.56</v>
      </c>
      <c r="AE574" s="167">
        <v>0.82</v>
      </c>
      <c r="AF574" s="167">
        <v>2.1</v>
      </c>
      <c r="AG574" s="167">
        <v>13</v>
      </c>
      <c r="AH574" s="167">
        <v>8.6</v>
      </c>
      <c r="AI574" s="167">
        <v>3.11</v>
      </c>
      <c r="AJ574" s="167">
        <v>9.7000000000000011</v>
      </c>
      <c r="AK574" s="167">
        <v>4.3999999999999995</v>
      </c>
      <c r="AL574" s="168">
        <v>2260</v>
      </c>
      <c r="AM574" s="169">
        <v>1</v>
      </c>
      <c r="AN574" s="167">
        <v>0.47</v>
      </c>
      <c r="AO574" s="170">
        <f t="shared" si="151"/>
        <v>-4.5800886523316464</v>
      </c>
      <c r="AP574" s="171">
        <f t="shared" si="152"/>
        <v>11.148827010318957</v>
      </c>
      <c r="AQ574" s="172">
        <f t="shared" si="153"/>
        <v>21.162375699474325</v>
      </c>
      <c r="AR574" s="157">
        <f>INDEX([1]Historical!$C$7:$C$1231,MATCH(B574,[1]Historical!$B$7:$B$1253,0))*IF(AH574="n/a",1.03,IF(AH574&lt;0,1.01,IF(AH574&gt;10,1.1,(1+AH574/100))))</f>
        <v>1.3575000000000002</v>
      </c>
      <c r="AS574" s="166">
        <f t="shared" si="154"/>
        <v>1.3997182500000001</v>
      </c>
      <c r="AT574" s="166">
        <f t="shared" si="161"/>
        <v>1.461305853</v>
      </c>
      <c r="AU574" s="166">
        <f t="shared" si="161"/>
        <v>1.5256033105320002</v>
      </c>
      <c r="AV574" s="166">
        <f t="shared" si="161"/>
        <v>1.5927298561954082</v>
      </c>
      <c r="AW574" s="157">
        <f t="shared" si="156"/>
        <v>7.3368572697274086</v>
      </c>
      <c r="AX574" s="173">
        <f t="shared" si="157"/>
        <v>7.0249495114203446</v>
      </c>
      <c r="AY574" s="174">
        <v>0.79</v>
      </c>
      <c r="AZ574" s="169">
        <v>13.969999999999999</v>
      </c>
      <c r="BA574" s="169">
        <v>-19.259999999999998</v>
      </c>
      <c r="BB574" s="169">
        <v>4.7300000000000004</v>
      </c>
      <c r="BC574" s="169">
        <v>0.73</v>
      </c>
      <c r="BD574" s="100"/>
      <c r="BE574" s="77">
        <v>1969</v>
      </c>
      <c r="BF574" s="77">
        <f t="shared" si="158"/>
        <v>7</v>
      </c>
      <c r="BG574" s="175">
        <v>6.6000000000000005</v>
      </c>
      <c r="BH574" t="s">
        <v>939</v>
      </c>
      <c r="BI574" t="s">
        <v>940</v>
      </c>
      <c r="BJ574"/>
      <c r="BK574"/>
      <c r="BL574"/>
    </row>
    <row r="575" spans="1:64" s="112" customFormat="1" ht="12.75" customHeight="1" x14ac:dyDescent="0.2">
      <c r="A575" s="176" t="s">
        <v>1619</v>
      </c>
      <c r="B575" s="239" t="s">
        <v>736</v>
      </c>
      <c r="C575" s="154" t="s">
        <v>100</v>
      </c>
      <c r="D575" s="154" t="s">
        <v>989</v>
      </c>
      <c r="E575" s="155">
        <v>11</v>
      </c>
      <c r="F575" s="298">
        <v>417</v>
      </c>
      <c r="G575" s="298" t="s">
        <v>88</v>
      </c>
      <c r="H575" s="298" t="s">
        <v>88</v>
      </c>
      <c r="I575" s="156">
        <v>23.98</v>
      </c>
      <c r="J575" s="157">
        <f t="shared" si="144"/>
        <v>1.5012510425354462</v>
      </c>
      <c r="K575" s="158">
        <v>0.09</v>
      </c>
      <c r="L575" s="126">
        <v>4</v>
      </c>
      <c r="M575" s="82">
        <f t="shared" si="145"/>
        <v>0.36</v>
      </c>
      <c r="N575" s="159" t="s">
        <v>443</v>
      </c>
      <c r="O575" s="160">
        <v>7.0000000000000007E-2</v>
      </c>
      <c r="P575" s="161">
        <v>44652</v>
      </c>
      <c r="Q575" s="161">
        <v>44669</v>
      </c>
      <c r="R575" s="82">
        <f t="shared" si="146"/>
        <v>28.571428571428552</v>
      </c>
      <c r="S575" s="162">
        <f>IF(INDEX([1]Historical!$D$7:$D$1229,MATCH(B575,[1]Historical!$B$7:$B$1253,0))=0,"n/a",(INDEX([1]Historical!$C$7:$C$1231,MATCH(B575,[1]Historical!$B$7:$B$1253,0))/INDEX([1]Historical!$D$7:$D$1229,MATCH(B575,[1]Historical!$B$7:$B$1253,0))-1)*100)</f>
        <v>45.71428571428573</v>
      </c>
      <c r="T575" s="162">
        <f>IF(INDEX([1]Historical!$F$7:$F$1222,MATCH(B575,[1]Historical!$B$7:$B$1253,0))=0,"n/a",((INDEX([1]Historical!$C$7:$C$1231,MATCH(B575,[1]Historical!$B$7:$B$1253,0))/INDEX([1]Historical!$F$7:$F$1222,MATCH(B575,[1]Historical!$B$7:$B$1253,0)))^(1/3)-1)*100)</f>
        <v>18.050952101049166</v>
      </c>
      <c r="U575" s="162">
        <f>IF(INDEX([1]Historical!$H$7:$H$1222,MATCH(B575,[1]Historical!$B$7:$B$1253,0))=0,"n/a",((INDEX([1]Historical!$C$7:$C$1231,MATCH(B575,[1]Historical!$B$7:$B$1253,0))/INDEX([1]Historical!$H$7:$H$1222,MATCH(B575,[1]Historical!$B$7:$B$1253,0)))^(1/5)-1)*100)</f>
        <v>13.564157249607756</v>
      </c>
      <c r="V575" s="162" t="str">
        <f>IF(INDEX([1]Historical!$N$7:$N$1222,MATCH(B575,[1]Historical!$B$7:$B$1253,0))=0,"n/a",((INDEX([1]Historical!$C$7:$C$1231,MATCH(B575,[1]Historical!$B$7:$B$1253,0))/INDEX([1]Historical!$N$7:$N$1222,MATCH(B575,[1]Historical!$B$7:$B$1253,0)))^(1/10)-1)*100)</f>
        <v>n/a</v>
      </c>
      <c r="W575" s="163" t="str">
        <f t="shared" si="147"/>
        <v>n/a</v>
      </c>
      <c r="X575" s="164">
        <f t="shared" si="148"/>
        <v>0.25448700280689973</v>
      </c>
      <c r="Y575" s="153"/>
      <c r="Z575" s="157">
        <f t="shared" si="149"/>
        <v>8.2758620689655178</v>
      </c>
      <c r="AA575" s="166">
        <f t="shared" si="150"/>
        <v>5.51264367816092</v>
      </c>
      <c r="AB575" s="126">
        <v>1</v>
      </c>
      <c r="AC575" s="167">
        <v>4.3499999999999996</v>
      </c>
      <c r="AD575" s="167">
        <v>0.55000000000000004</v>
      </c>
      <c r="AE575" s="167">
        <v>0.5</v>
      </c>
      <c r="AF575" s="167">
        <v>1.36</v>
      </c>
      <c r="AG575" s="167">
        <v>27</v>
      </c>
      <c r="AH575" s="167">
        <v>865.19999999999993</v>
      </c>
      <c r="AI575" s="167">
        <v>11.73</v>
      </c>
      <c r="AJ575" s="167">
        <v>53.300000000000004</v>
      </c>
      <c r="AK575" s="167">
        <v>10</v>
      </c>
      <c r="AL575" s="168">
        <v>652.39</v>
      </c>
      <c r="AM575" s="169">
        <v>1.4000000000000001</v>
      </c>
      <c r="AN575" s="167">
        <v>0</v>
      </c>
      <c r="AO575" s="170">
        <f t="shared" si="151"/>
        <v>9.5527646139822835</v>
      </c>
      <c r="AP575" s="171">
        <f t="shared" si="152"/>
        <v>15.065408292143204</v>
      </c>
      <c r="AQ575" s="172">
        <f t="shared" si="153"/>
        <v>-42.275768991989537</v>
      </c>
      <c r="AR575" s="157">
        <f>INDEX([1]Historical!$C$7:$C$1231,MATCH(B575,[1]Historical!$B$7:$B$1253,0))*IF(AH575="n/a",1.03,IF(AH575&lt;0,1.01,IF(AH575&gt;10,1.1,(1+AH575/100))))</f>
        <v>0.28050000000000003</v>
      </c>
      <c r="AS575" s="166">
        <f t="shared" si="154"/>
        <v>0.30855000000000005</v>
      </c>
      <c r="AT575" s="166">
        <f t="shared" si="161"/>
        <v>0.33940500000000007</v>
      </c>
      <c r="AU575" s="166">
        <f t="shared" si="161"/>
        <v>0.37334550000000011</v>
      </c>
      <c r="AV575" s="166">
        <f t="shared" si="161"/>
        <v>0.41068005000000013</v>
      </c>
      <c r="AW575" s="157">
        <f t="shared" si="156"/>
        <v>1.7124805500000002</v>
      </c>
      <c r="AX575" s="173">
        <f t="shared" si="157"/>
        <v>7.1412866972477076</v>
      </c>
      <c r="AY575" s="174">
        <v>1.35</v>
      </c>
      <c r="AZ575" s="169">
        <v>23.45</v>
      </c>
      <c r="BA575" s="169">
        <v>-48.1</v>
      </c>
      <c r="BB575" s="169">
        <v>4.5</v>
      </c>
      <c r="BC575" s="169">
        <v>-11.219999999999999</v>
      </c>
      <c r="BD575" s="100"/>
      <c r="BE575" s="77">
        <v>2012</v>
      </c>
      <c r="BF575" s="77">
        <f t="shared" si="158"/>
        <v>1</v>
      </c>
      <c r="BG575" s="175">
        <v>14.6</v>
      </c>
      <c r="BH575" t="s">
        <v>939</v>
      </c>
      <c r="BI575" t="s">
        <v>940</v>
      </c>
      <c r="BJ575"/>
      <c r="BK575"/>
      <c r="BL575"/>
    </row>
    <row r="576" spans="1:64" s="112" customFormat="1" ht="12.75" customHeight="1" x14ac:dyDescent="0.2">
      <c r="A576" s="176" t="s">
        <v>448</v>
      </c>
      <c r="B576" s="239" t="s">
        <v>449</v>
      </c>
      <c r="C576" s="154" t="s">
        <v>90</v>
      </c>
      <c r="D576" s="154" t="s">
        <v>972</v>
      </c>
      <c r="E576" s="155">
        <v>31</v>
      </c>
      <c r="F576" s="298">
        <v>91</v>
      </c>
      <c r="G576" s="298" t="s">
        <v>88</v>
      </c>
      <c r="H576" s="298" t="s">
        <v>88</v>
      </c>
      <c r="I576" s="167">
        <v>54.3</v>
      </c>
      <c r="J576" s="157">
        <f t="shared" si="144"/>
        <v>1.4732965009208105</v>
      </c>
      <c r="K576" s="209">
        <v>0.4</v>
      </c>
      <c r="L576" s="126">
        <v>2</v>
      </c>
      <c r="M576" s="82">
        <f t="shared" si="145"/>
        <v>0.8</v>
      </c>
      <c r="N576" s="159" t="s">
        <v>450</v>
      </c>
      <c r="O576" s="210">
        <v>0.37</v>
      </c>
      <c r="P576" s="161">
        <v>44550</v>
      </c>
      <c r="Q576" s="161">
        <v>44568</v>
      </c>
      <c r="R576" s="82">
        <f t="shared" si="146"/>
        <v>8.1081081081081159</v>
      </c>
      <c r="S576" s="162">
        <f>IF(INDEX([1]Historical!$D$7:$D$1229,MATCH(B576,[1]Historical!$B$7:$B$1253,0))=0,"n/a",(INDEX([1]Historical!$C$7:$C$1231,MATCH(B576,[1]Historical!$B$7:$B$1253,0))/INDEX([1]Historical!$D$7:$D$1229,MATCH(B576,[1]Historical!$B$7:$B$1253,0))-1)*100)</f>
        <v>5.7142857142857162</v>
      </c>
      <c r="T576" s="162">
        <f>IF(INDEX([1]Historical!$F$7:$F$1222,MATCH(B576,[1]Historical!$B$7:$B$1253,0))=0,"n/a",((INDEX([1]Historical!$C$7:$C$1231,MATCH(B576,[1]Historical!$B$7:$B$1253,0))/INDEX([1]Historical!$F$7:$F$1222,MATCH(B576,[1]Historical!$B$7:$B$1253,0)))^(1/3)-1)*100)</f>
        <v>7.2408274971694553</v>
      </c>
      <c r="U576" s="162">
        <f>IF(INDEX([1]Historical!$H$7:$H$1222,MATCH(B576,[1]Historical!$B$7:$B$1253,0))=0,"n/a",((INDEX([1]Historical!$C$7:$C$1231,MATCH(B576,[1]Historical!$B$7:$B$1253,0))/INDEX([1]Historical!$H$7:$H$1222,MATCH(B576,[1]Historical!$B$7:$B$1253,0)))^(1/5)-1)*100)</f>
        <v>7.3113541506014013</v>
      </c>
      <c r="V576" s="162">
        <f>IF(INDEX([1]Historical!$N$7:$N$1222,MATCH(B576,[1]Historical!$B$7:$B$1253,0))=0,"n/a",((INDEX([1]Historical!$C$7:$C$1231,MATCH(B576,[1]Historical!$B$7:$B$1253,0))/INDEX([1]Historical!$N$7:$N$1222,MATCH(B576,[1]Historical!$B$7:$B$1253,0)))^(1/10)-1)*100)</f>
        <v>12.896610659322395</v>
      </c>
      <c r="W576" s="163">
        <f t="shared" si="147"/>
        <v>0.56692059206395784</v>
      </c>
      <c r="X576" s="164">
        <f t="shared" si="148"/>
        <v>0.5456234440747314</v>
      </c>
      <c r="Y576" s="178"/>
      <c r="Z576" s="157">
        <f t="shared" si="149"/>
        <v>21.917808219178085</v>
      </c>
      <c r="AA576" s="166">
        <f t="shared" si="150"/>
        <v>14.876712328767123</v>
      </c>
      <c r="AB576" s="126">
        <v>12</v>
      </c>
      <c r="AC576" s="167">
        <v>3.65</v>
      </c>
      <c r="AD576" s="167">
        <v>1.23</v>
      </c>
      <c r="AE576" s="167">
        <v>3.49</v>
      </c>
      <c r="AF576" s="167">
        <v>3.81</v>
      </c>
      <c r="AG576" s="167">
        <v>32</v>
      </c>
      <c r="AH576" s="167">
        <v>27.1</v>
      </c>
      <c r="AI576" s="167">
        <v>-1.18</v>
      </c>
      <c r="AJ576" s="167">
        <v>13.4</v>
      </c>
      <c r="AK576" s="167">
        <v>12</v>
      </c>
      <c r="AL576" s="168">
        <v>7100</v>
      </c>
      <c r="AM576" s="169">
        <v>7.1999999999999993</v>
      </c>
      <c r="AN576" s="167">
        <v>0</v>
      </c>
      <c r="AO576" s="170">
        <f t="shared" si="151"/>
        <v>-6.0920616772449119</v>
      </c>
      <c r="AP576" s="171">
        <f t="shared" si="152"/>
        <v>8.7846506515222114</v>
      </c>
      <c r="AQ576" s="172">
        <f t="shared" si="153"/>
        <v>58.717462418954788</v>
      </c>
      <c r="AR576" s="157">
        <f>INDEX([1]Historical!$C$7:$C$1231,MATCH(B576,[1]Historical!$B$7:$B$1253,0))*IF(AH576="n/a",1.03,IF(AH576&lt;0,1.01,IF(AH576&gt;10,1.1,(1+AH576/100))))</f>
        <v>0.81400000000000006</v>
      </c>
      <c r="AS576" s="166">
        <f t="shared" si="154"/>
        <v>0.82214000000000009</v>
      </c>
      <c r="AT576" s="166">
        <f t="shared" si="161"/>
        <v>0.90435400000000021</v>
      </c>
      <c r="AU576" s="166">
        <f t="shared" si="161"/>
        <v>0.99478940000000027</v>
      </c>
      <c r="AV576" s="166">
        <f t="shared" si="161"/>
        <v>1.0942683400000004</v>
      </c>
      <c r="AW576" s="157">
        <f t="shared" si="156"/>
        <v>4.629551740000001</v>
      </c>
      <c r="AX576" s="173">
        <f t="shared" si="157"/>
        <v>8.5258779742173143</v>
      </c>
      <c r="AY576" s="174">
        <v>0.98</v>
      </c>
      <c r="AZ576" s="169">
        <v>17.28</v>
      </c>
      <c r="BA576" s="169">
        <v>-16.739999999999998</v>
      </c>
      <c r="BB576" s="169">
        <v>3.9699999999999998</v>
      </c>
      <c r="BC576" s="169">
        <v>-2.67</v>
      </c>
      <c r="BD576" s="100"/>
      <c r="BE576" s="77">
        <v>1992</v>
      </c>
      <c r="BF576" s="77">
        <f t="shared" si="158"/>
        <v>3</v>
      </c>
      <c r="BG576" s="175">
        <v>26.5</v>
      </c>
      <c r="BH576" t="s">
        <v>939</v>
      </c>
      <c r="BI576" t="s">
        <v>940</v>
      </c>
      <c r="BJ576"/>
      <c r="BK576"/>
      <c r="BL576"/>
    </row>
    <row r="577" spans="1:64" s="112" customFormat="1" ht="12.75" customHeight="1" x14ac:dyDescent="0.2">
      <c r="A577" s="205" t="s">
        <v>1183</v>
      </c>
      <c r="B577" s="239" t="s">
        <v>1184</v>
      </c>
      <c r="C577" s="154" t="s">
        <v>90</v>
      </c>
      <c r="D577" s="154" t="s">
        <v>972</v>
      </c>
      <c r="E577" s="155">
        <v>6</v>
      </c>
      <c r="F577" s="298">
        <v>661</v>
      </c>
      <c r="G577" s="298" t="s">
        <v>88</v>
      </c>
      <c r="H577" s="298" t="s">
        <v>88</v>
      </c>
      <c r="I577" s="156">
        <v>61.87</v>
      </c>
      <c r="J577" s="157">
        <f t="shared" si="144"/>
        <v>1.9395506707612735</v>
      </c>
      <c r="K577" s="158">
        <v>0.3</v>
      </c>
      <c r="L577" s="126">
        <v>4</v>
      </c>
      <c r="M577" s="82">
        <f t="shared" si="145"/>
        <v>1.2</v>
      </c>
      <c r="N577" s="159" t="s">
        <v>167</v>
      </c>
      <c r="O577" s="160">
        <v>0.15</v>
      </c>
      <c r="P577" s="161">
        <v>44620</v>
      </c>
      <c r="Q577" s="161">
        <v>44635</v>
      </c>
      <c r="R577" s="82">
        <f t="shared" si="146"/>
        <v>100</v>
      </c>
      <c r="S577" s="162">
        <f>IF(INDEX([1]Historical!$D$7:$D$1229,MATCH(B577,[1]Historical!$B$7:$B$1253,0))=0,"n/a",(INDEX([1]Historical!$C$7:$C$1231,MATCH(B577,[1]Historical!$B$7:$B$1253,0))/INDEX([1]Historical!$D$7:$D$1229,MATCH(B577,[1]Historical!$B$7:$B$1253,0))-1)*100)</f>
        <v>32.352941176470587</v>
      </c>
      <c r="T577" s="162">
        <f>IF(INDEX([1]Historical!$F$7:$F$1222,MATCH(B577,[1]Historical!$B$7:$B$1253,0))=0,"n/a",((INDEX([1]Historical!$C$7:$C$1231,MATCH(B577,[1]Historical!$B$7:$B$1253,0))/INDEX([1]Historical!$F$7:$F$1222,MATCH(B577,[1]Historical!$B$7:$B$1253,0)))^(1/3)-1)*100)</f>
        <v>23.310603716523492</v>
      </c>
      <c r="U577" s="162" t="str">
        <f>IF(INDEX([1]Historical!$H$7:$H$1222,MATCH(B577,[1]Historical!$B$7:$B$1253,0))=0,"n/a",((INDEX([1]Historical!$C$7:$C$1231,MATCH(B577,[1]Historical!$B$7:$B$1253,0))/INDEX([1]Historical!$H$7:$H$1222,MATCH(B577,[1]Historical!$B$7:$B$1253,0)))^(1/5)-1)*100)</f>
        <v>n/a</v>
      </c>
      <c r="V577" s="162" t="str">
        <f>IF(INDEX([1]Historical!$N$7:$N$1222,MATCH(B577,[1]Historical!$B$7:$B$1253,0))=0,"n/a",((INDEX([1]Historical!$C$7:$C$1231,MATCH(B577,[1]Historical!$B$7:$B$1253,0))/INDEX([1]Historical!$N$7:$N$1222,MATCH(B577,[1]Historical!$B$7:$B$1253,0)))^(1/10)-1)*100)</f>
        <v>n/a</v>
      </c>
      <c r="W577" s="163" t="str">
        <f t="shared" si="147"/>
        <v>n/a</v>
      </c>
      <c r="X577" s="164" t="str">
        <f t="shared" si="148"/>
        <v>n/a</v>
      </c>
      <c r="Y577" s="180"/>
      <c r="Z577" s="157">
        <f t="shared" si="149"/>
        <v>19.966722129783694</v>
      </c>
      <c r="AA577" s="166">
        <f t="shared" si="150"/>
        <v>10.29450915141431</v>
      </c>
      <c r="AB577" s="126">
        <v>12</v>
      </c>
      <c r="AC577" s="167">
        <v>6.01</v>
      </c>
      <c r="AD577" s="167">
        <v>0.72</v>
      </c>
      <c r="AE577" s="167">
        <v>1.33</v>
      </c>
      <c r="AF577" s="167">
        <v>1.51</v>
      </c>
      <c r="AG577" s="167">
        <v>18.3</v>
      </c>
      <c r="AH577" s="167">
        <v>60.199999999999996</v>
      </c>
      <c r="AI577" s="167">
        <v>16.88</v>
      </c>
      <c r="AJ577" s="167">
        <v>58.4</v>
      </c>
      <c r="AK577" s="167">
        <v>14.180000000000001</v>
      </c>
      <c r="AL577" s="168">
        <v>6220</v>
      </c>
      <c r="AM577" s="169">
        <v>1.5</v>
      </c>
      <c r="AN577" s="167">
        <v>6.38</v>
      </c>
      <c r="AO577" s="170" t="str">
        <f t="shared" si="151"/>
        <v>n/a</v>
      </c>
      <c r="AP577" s="171" t="str">
        <f t="shared" si="152"/>
        <v>n/a</v>
      </c>
      <c r="AQ577" s="172">
        <f t="shared" si="153"/>
        <v>-16.881052250710262</v>
      </c>
      <c r="AR577" s="157">
        <f>INDEX([1]Historical!$C$7:$C$1231,MATCH(B577,[1]Historical!$B$7:$B$1253,0))*IF(AH577="n/a",1.03,IF(AH577&lt;0,1.01,IF(AH577&gt;10,1.1,(1+AH577/100))))</f>
        <v>0.66</v>
      </c>
      <c r="AS577" s="166">
        <f t="shared" si="154"/>
        <v>0.72600000000000009</v>
      </c>
      <c r="AT577" s="166">
        <f t="shared" si="161"/>
        <v>0.7986000000000002</v>
      </c>
      <c r="AU577" s="166">
        <f t="shared" si="161"/>
        <v>0.87846000000000024</v>
      </c>
      <c r="AV577" s="166">
        <f t="shared" si="161"/>
        <v>0.96630600000000033</v>
      </c>
      <c r="AW577" s="157">
        <f t="shared" si="156"/>
        <v>4.0293660000000013</v>
      </c>
      <c r="AX577" s="173">
        <f t="shared" si="157"/>
        <v>6.5126329400355605</v>
      </c>
      <c r="AY577" s="174">
        <v>1.27</v>
      </c>
      <c r="AZ577" s="169">
        <v>25.47</v>
      </c>
      <c r="BA577" s="169">
        <v>-25.71</v>
      </c>
      <c r="BB577" s="169">
        <v>8.4599999999999991</v>
      </c>
      <c r="BC577" s="169">
        <v>-1.7999999999999998</v>
      </c>
      <c r="BD577" s="100"/>
      <c r="BE577" s="77">
        <v>2017</v>
      </c>
      <c r="BF577" s="77">
        <f t="shared" si="158"/>
        <v>1</v>
      </c>
      <c r="BG577" s="175">
        <v>2.2999999999999998</v>
      </c>
      <c r="BH577" t="s">
        <v>939</v>
      </c>
      <c r="BI577" t="s">
        <v>940</v>
      </c>
    </row>
    <row r="578" spans="1:64" s="112" customFormat="1" ht="12.75" customHeight="1" x14ac:dyDescent="0.2">
      <c r="A578" s="204" t="s">
        <v>1620</v>
      </c>
      <c r="B578" s="239" t="s">
        <v>870</v>
      </c>
      <c r="C578" s="154" t="s">
        <v>90</v>
      </c>
      <c r="D578" s="154" t="s">
        <v>969</v>
      </c>
      <c r="E578" s="155">
        <v>9</v>
      </c>
      <c r="F578" s="298">
        <v>514</v>
      </c>
      <c r="G578" s="298" t="s">
        <v>88</v>
      </c>
      <c r="H578" s="298" t="s">
        <v>88</v>
      </c>
      <c r="I578" s="156">
        <v>75.33</v>
      </c>
      <c r="J578" s="157">
        <f t="shared" si="144"/>
        <v>1.2212929775653791</v>
      </c>
      <c r="K578" s="158">
        <v>0.23</v>
      </c>
      <c r="L578" s="126">
        <v>4</v>
      </c>
      <c r="M578" s="82">
        <f t="shared" si="145"/>
        <v>0.92</v>
      </c>
      <c r="N578" s="159" t="s">
        <v>634</v>
      </c>
      <c r="O578" s="160">
        <v>0.2</v>
      </c>
      <c r="P578" s="161">
        <v>44560</v>
      </c>
      <c r="Q578" s="161">
        <v>44568</v>
      </c>
      <c r="R578" s="82">
        <f t="shared" si="146"/>
        <v>15</v>
      </c>
      <c r="S578" s="162">
        <f>IF(INDEX([1]Historical!$D$7:$D$1229,MATCH(B578,[1]Historical!$B$7:$B$1253,0))=0,"n/a",(INDEX([1]Historical!$C$7:$C$1231,MATCH(B578,[1]Historical!$B$7:$B$1253,0))/INDEX([1]Historical!$D$7:$D$1229,MATCH(B578,[1]Historical!$B$7:$B$1253,0))-1)*100)</f>
        <v>14.285714285714302</v>
      </c>
      <c r="T578" s="162">
        <f>IF(INDEX([1]Historical!$F$7:$F$1222,MATCH(B578,[1]Historical!$B$7:$B$1253,0))=0,"n/a",((INDEX([1]Historical!$C$7:$C$1231,MATCH(B578,[1]Historical!$B$7:$B$1253,0))/INDEX([1]Historical!$F$7:$F$1222,MATCH(B578,[1]Historical!$B$7:$B$1253,0)))^(1/3)-1)*100)</f>
        <v>28.164809633939882</v>
      </c>
      <c r="U578" s="162">
        <f>IF(INDEX([1]Historical!$H$7:$H$1222,MATCH(B578,[1]Historical!$B$7:$B$1253,0))=0,"n/a",((INDEX([1]Historical!$C$7:$C$1231,MATCH(B578,[1]Historical!$B$7:$B$1253,0))/INDEX([1]Historical!$H$7:$H$1222,MATCH(B578,[1]Historical!$B$7:$B$1253,0)))^(1/5)-1)*100)</f>
        <v>39.76542375431584</v>
      </c>
      <c r="V578" s="162" t="str">
        <f>IF(INDEX([1]Historical!$N$7:$N$1222,MATCH(B578,[1]Historical!$B$7:$B$1253,0))=0,"n/a",((INDEX([1]Historical!$C$7:$C$1231,MATCH(B578,[1]Historical!$B$7:$B$1253,0))/INDEX([1]Historical!$N$7:$N$1222,MATCH(B578,[1]Historical!$B$7:$B$1253,0)))^(1/10)-1)*100)</f>
        <v>n/a</v>
      </c>
      <c r="W578" s="163" t="str">
        <f t="shared" si="147"/>
        <v>n/a</v>
      </c>
      <c r="X578" s="164">
        <f t="shared" si="148"/>
        <v>1.9685853343720709</v>
      </c>
      <c r="Y578" s="212"/>
      <c r="Z578" s="157">
        <f t="shared" si="149"/>
        <v>21.149425287356323</v>
      </c>
      <c r="AA578" s="166">
        <f t="shared" si="150"/>
        <v>17.317241379310346</v>
      </c>
      <c r="AB578" s="126">
        <v>12</v>
      </c>
      <c r="AC578" s="167">
        <v>4.3499999999999996</v>
      </c>
      <c r="AD578" s="167" t="s">
        <v>95</v>
      </c>
      <c r="AE578" s="167">
        <v>7.97</v>
      </c>
      <c r="AF578" s="167">
        <v>3.36</v>
      </c>
      <c r="AG578" s="167">
        <v>18.399999999999999</v>
      </c>
      <c r="AH578" s="167">
        <v>22</v>
      </c>
      <c r="AI578" s="167">
        <v>8.82</v>
      </c>
      <c r="AJ578" s="167">
        <v>20.200000000000003</v>
      </c>
      <c r="AK578" s="167" t="s">
        <v>95</v>
      </c>
      <c r="AL578" s="168">
        <v>3970</v>
      </c>
      <c r="AM578" s="169">
        <v>6.5</v>
      </c>
      <c r="AN578" s="167">
        <v>0.05</v>
      </c>
      <c r="AO578" s="170">
        <f t="shared" si="151"/>
        <v>23.669475352570871</v>
      </c>
      <c r="AP578" s="171">
        <f t="shared" si="152"/>
        <v>40.986716731881216</v>
      </c>
      <c r="AQ578" s="172">
        <f t="shared" si="153"/>
        <v>60.811734003161135</v>
      </c>
      <c r="AR578" s="157">
        <f>INDEX([1]Historical!$C$7:$C$1231,MATCH(B578,[1]Historical!$B$7:$B$1253,0))*IF(AH578="n/a",1.03,IF(AH578&lt;0,1.01,IF(AH578&gt;10,1.1,(1+AH578/100))))</f>
        <v>0.88000000000000012</v>
      </c>
      <c r="AS578" s="166">
        <f t="shared" si="154"/>
        <v>0.95761600000000013</v>
      </c>
      <c r="AT578" s="166">
        <f t="shared" si="161"/>
        <v>0.98634448000000019</v>
      </c>
      <c r="AU578" s="166">
        <f t="shared" si="161"/>
        <v>1.0159348144000002</v>
      </c>
      <c r="AV578" s="166">
        <f t="shared" si="161"/>
        <v>1.0464128588320003</v>
      </c>
      <c r="AW578" s="157">
        <f t="shared" si="156"/>
        <v>4.886308153232001</v>
      </c>
      <c r="AX578" s="173">
        <f t="shared" si="157"/>
        <v>6.4865367758290198</v>
      </c>
      <c r="AY578" s="174">
        <v>0.94</v>
      </c>
      <c r="AZ578" s="169">
        <v>9.89</v>
      </c>
      <c r="BA578" s="169">
        <v>-22.54</v>
      </c>
      <c r="BB578" s="169">
        <v>-8.36</v>
      </c>
      <c r="BC578" s="169">
        <v>-10</v>
      </c>
      <c r="BD578" s="100"/>
      <c r="BE578" s="77">
        <v>2014</v>
      </c>
      <c r="BF578" s="77">
        <f t="shared" si="158"/>
        <v>1</v>
      </c>
      <c r="BG578" s="175">
        <v>1.4000000000000001</v>
      </c>
      <c r="BH578" t="s">
        <v>939</v>
      </c>
      <c r="BI578" t="s">
        <v>940</v>
      </c>
    </row>
    <row r="579" spans="1:64" s="112" customFormat="1" ht="12.75" customHeight="1" x14ac:dyDescent="0.2">
      <c r="A579" s="176" t="s">
        <v>1621</v>
      </c>
      <c r="B579" s="239" t="s">
        <v>703</v>
      </c>
      <c r="C579" s="154" t="s">
        <v>90</v>
      </c>
      <c r="D579" s="154" t="s">
        <v>969</v>
      </c>
      <c r="E579" s="155">
        <v>11</v>
      </c>
      <c r="F579" s="298">
        <v>413</v>
      </c>
      <c r="G579" s="298" t="s">
        <v>88</v>
      </c>
      <c r="H579" s="298" t="s">
        <v>88</v>
      </c>
      <c r="I579" s="156">
        <v>23.87</v>
      </c>
      <c r="J579" s="157">
        <f t="shared" si="144"/>
        <v>3.1839128613322156</v>
      </c>
      <c r="K579" s="158">
        <v>0.19</v>
      </c>
      <c r="L579" s="126">
        <v>4</v>
      </c>
      <c r="M579" s="82">
        <f t="shared" si="145"/>
        <v>0.76</v>
      </c>
      <c r="N579" s="159" t="s">
        <v>539</v>
      </c>
      <c r="O579" s="160">
        <v>0.18</v>
      </c>
      <c r="P579" s="161">
        <v>44634</v>
      </c>
      <c r="Q579" s="161">
        <v>44655</v>
      </c>
      <c r="R579" s="82">
        <f t="shared" si="146"/>
        <v>5.5555555555555607</v>
      </c>
      <c r="S579" s="162">
        <f>IF(INDEX([1]Historical!$D$7:$D$1229,MATCH(B579,[1]Historical!$B$7:$B$1253,0))=0,"n/a",(INDEX([1]Historical!$C$7:$C$1231,MATCH(B579,[1]Historical!$B$7:$B$1253,0))/INDEX([1]Historical!$D$7:$D$1229,MATCH(B579,[1]Historical!$B$7:$B$1253,0))-1)*100)</f>
        <v>5.9701492537313383</v>
      </c>
      <c r="T579" s="162">
        <f>IF(INDEX([1]Historical!$F$7:$F$1222,MATCH(B579,[1]Historical!$B$7:$B$1253,0))=0,"n/a",((INDEX([1]Historical!$C$7:$C$1231,MATCH(B579,[1]Historical!$B$7:$B$1253,0))/INDEX([1]Historical!$F$7:$F$1222,MATCH(B579,[1]Historical!$B$7:$B$1253,0)))^(1/3)-1)*100)</f>
        <v>7.2828168622655509</v>
      </c>
      <c r="U579" s="162">
        <f>IF(INDEX([1]Historical!$H$7:$H$1222,MATCH(B579,[1]Historical!$B$7:$B$1253,0))=0,"n/a",((INDEX([1]Historical!$C$7:$C$1231,MATCH(B579,[1]Historical!$B$7:$B$1253,0))/INDEX([1]Historical!$H$7:$H$1222,MATCH(B579,[1]Historical!$B$7:$B$1253,0)))^(1/5)-1)*100)</f>
        <v>8.3709668005360616</v>
      </c>
      <c r="V579" s="162">
        <f>IF(INDEX([1]Historical!$N$7:$N$1222,MATCH(B579,[1]Historical!$B$7:$B$1253,0))=0,"n/a",((INDEX([1]Historical!$C$7:$C$1231,MATCH(B579,[1]Historical!$B$7:$B$1253,0))/INDEX([1]Historical!$N$7:$N$1222,MATCH(B579,[1]Historical!$B$7:$B$1253,0)))^(1/10)-1)*100)</f>
        <v>6.1742921208856272</v>
      </c>
      <c r="W579" s="163">
        <f t="shared" si="147"/>
        <v>1.3557775752494439</v>
      </c>
      <c r="X579" s="164">
        <f t="shared" si="148"/>
        <v>0.88115440005642753</v>
      </c>
      <c r="Y579" s="219"/>
      <c r="Z579" s="157">
        <f t="shared" si="149"/>
        <v>41.304347826086953</v>
      </c>
      <c r="AA579" s="166">
        <f t="shared" si="150"/>
        <v>12.972826086956522</v>
      </c>
      <c r="AB579" s="126">
        <v>12</v>
      </c>
      <c r="AC579" s="167">
        <v>1.84</v>
      </c>
      <c r="AD579" s="167">
        <v>2.58</v>
      </c>
      <c r="AE579" s="167">
        <v>3.84</v>
      </c>
      <c r="AF579" s="167">
        <v>0.93</v>
      </c>
      <c r="AG579" s="167">
        <v>8.6</v>
      </c>
      <c r="AH579" s="167">
        <v>6.4</v>
      </c>
      <c r="AI579" s="167">
        <v>-3.71</v>
      </c>
      <c r="AJ579" s="167">
        <v>9.5</v>
      </c>
      <c r="AK579" s="167">
        <v>5</v>
      </c>
      <c r="AL579" s="168">
        <v>2950</v>
      </c>
      <c r="AM579" s="169">
        <v>1.3</v>
      </c>
      <c r="AN579" s="167">
        <v>0.14000000000000001</v>
      </c>
      <c r="AO579" s="170">
        <f t="shared" si="151"/>
        <v>-1.4179464250882443</v>
      </c>
      <c r="AP579" s="171">
        <f t="shared" si="152"/>
        <v>11.554879661868277</v>
      </c>
      <c r="AQ579" s="172">
        <f t="shared" si="153"/>
        <v>-26.773628730659038</v>
      </c>
      <c r="AR579" s="157">
        <f>INDEX([1]Historical!$C$7:$C$1231,MATCH(B579,[1]Historical!$B$7:$B$1253,0))*IF(AH579="n/a",1.03,IF(AH579&lt;0,1.01,IF(AH579&gt;10,1.1,(1+AH579/100))))</f>
        <v>0.75544</v>
      </c>
      <c r="AS579" s="166">
        <f t="shared" si="154"/>
        <v>0.76299439999999996</v>
      </c>
      <c r="AT579" s="166">
        <f t="shared" si="161"/>
        <v>0.80114412000000002</v>
      </c>
      <c r="AU579" s="166">
        <f t="shared" si="161"/>
        <v>0.84120132600000008</v>
      </c>
      <c r="AV579" s="166">
        <f t="shared" si="161"/>
        <v>0.88326139230000011</v>
      </c>
      <c r="AW579" s="157">
        <f t="shared" si="156"/>
        <v>4.0440412383000002</v>
      </c>
      <c r="AX579" s="173">
        <f t="shared" si="157"/>
        <v>16.941940671554249</v>
      </c>
      <c r="AY579" s="174">
        <v>0.86</v>
      </c>
      <c r="AZ579" s="169">
        <v>20.13</v>
      </c>
      <c r="BA579" s="169">
        <v>-27.13</v>
      </c>
      <c r="BB579" s="169">
        <v>1.97</v>
      </c>
      <c r="BC579" s="169">
        <v>-4.3499999999999996</v>
      </c>
      <c r="BD579" s="100"/>
      <c r="BE579" s="77">
        <v>2012</v>
      </c>
      <c r="BF579" s="77">
        <f t="shared" si="158"/>
        <v>1</v>
      </c>
      <c r="BG579" s="175">
        <v>1.0999999999999999</v>
      </c>
      <c r="BH579" t="s">
        <v>939</v>
      </c>
      <c r="BI579" t="s">
        <v>940</v>
      </c>
      <c r="BJ579"/>
      <c r="BK579"/>
      <c r="BL579"/>
    </row>
    <row r="580" spans="1:64" s="112" customFormat="1" x14ac:dyDescent="0.2">
      <c r="A580" s="176" t="s">
        <v>1622</v>
      </c>
      <c r="B580" s="239" t="s">
        <v>832</v>
      </c>
      <c r="C580" s="154" t="s">
        <v>117</v>
      </c>
      <c r="D580" s="154" t="s">
        <v>979</v>
      </c>
      <c r="E580" s="155">
        <v>10</v>
      </c>
      <c r="F580" s="298">
        <v>486</v>
      </c>
      <c r="G580" s="298" t="s">
        <v>88</v>
      </c>
      <c r="H580" s="298" t="s">
        <v>88</v>
      </c>
      <c r="I580" s="156">
        <v>8.82</v>
      </c>
      <c r="J580" s="157">
        <f t="shared" si="144"/>
        <v>6.9160997732426299</v>
      </c>
      <c r="K580" s="158">
        <v>0.1525</v>
      </c>
      <c r="L580" s="126">
        <v>4</v>
      </c>
      <c r="M580" s="82">
        <f t="shared" si="145"/>
        <v>0.61</v>
      </c>
      <c r="N580" s="159" t="s">
        <v>281</v>
      </c>
      <c r="O580" s="160">
        <v>0.14249999999999999</v>
      </c>
      <c r="P580" s="161">
        <v>44673</v>
      </c>
      <c r="Q580" s="161">
        <v>44684</v>
      </c>
      <c r="R580" s="82">
        <f t="shared" si="146"/>
        <v>7.0175438596491295</v>
      </c>
      <c r="S580" s="162">
        <f>IF(INDEX([1]Historical!$D$7:$D$1229,MATCH(B580,[1]Historical!$B$7:$B$1253,0))=0,"n/a",(INDEX([1]Historical!$C$7:$C$1231,MATCH(B580,[1]Historical!$B$7:$B$1253,0))/INDEX([1]Historical!$D$7:$D$1229,MATCH(B580,[1]Historical!$B$7:$B$1253,0))-1)*100)</f>
        <v>7.1770334928229929</v>
      </c>
      <c r="T580" s="162">
        <f>IF(INDEX([1]Historical!$F$7:$F$1222,MATCH(B580,[1]Historical!$B$7:$B$1253,0))=0,"n/a",((INDEX([1]Historical!$C$7:$C$1231,MATCH(B580,[1]Historical!$B$7:$B$1253,0))/INDEX([1]Historical!$F$7:$F$1222,MATCH(B580,[1]Historical!$B$7:$B$1253,0)))^(1/3)-1)*100)</f>
        <v>6.5840200650529868</v>
      </c>
      <c r="U580" s="162">
        <f>IF(INDEX([1]Historical!$H$7:$H$1222,MATCH(B580,[1]Historical!$B$7:$B$1253,0))=0,"n/a",((INDEX([1]Historical!$C$7:$C$1231,MATCH(B580,[1]Historical!$B$7:$B$1253,0))/INDEX([1]Historical!$H$7:$H$1222,MATCH(B580,[1]Historical!$B$7:$B$1253,0)))^(1/5)-1)*100)</f>
        <v>6.8278353688437932</v>
      </c>
      <c r="V580" s="162">
        <f>IF(INDEX([1]Historical!$N$7:$N$1222,MATCH(B580,[1]Historical!$B$7:$B$1253,0))=0,"n/a",((INDEX([1]Historical!$C$7:$C$1231,MATCH(B580,[1]Historical!$B$7:$B$1253,0))/INDEX([1]Historical!$N$7:$N$1222,MATCH(B580,[1]Historical!$B$7:$B$1253,0)))^(1/10)-1)*100)</f>
        <v>6.0919991938518825</v>
      </c>
      <c r="W580" s="163">
        <f t="shared" si="147"/>
        <v>1.1207873066914593</v>
      </c>
      <c r="X580" s="164">
        <f t="shared" si="148"/>
        <v>0.37107800917629313</v>
      </c>
      <c r="Y580" s="178"/>
      <c r="Z580" s="157">
        <f t="shared" si="149"/>
        <v>42.068965517241381</v>
      </c>
      <c r="AA580" s="166">
        <f t="shared" si="150"/>
        <v>6.0827586206896553</v>
      </c>
      <c r="AB580" s="126">
        <v>9</v>
      </c>
      <c r="AC580" s="167">
        <v>1.45</v>
      </c>
      <c r="AD580" s="167" t="s">
        <v>95</v>
      </c>
      <c r="AE580" s="167">
        <v>0.16</v>
      </c>
      <c r="AF580" s="167">
        <v>0.98</v>
      </c>
      <c r="AG580" s="167">
        <v>27.200000000000003</v>
      </c>
      <c r="AH580" s="167">
        <v>70.7</v>
      </c>
      <c r="AI580" s="167" t="s">
        <v>95</v>
      </c>
      <c r="AJ580" s="167">
        <v>18.399999999999999</v>
      </c>
      <c r="AK580" s="167" t="s">
        <v>95</v>
      </c>
      <c r="AL580" s="168">
        <v>315.83</v>
      </c>
      <c r="AM580" s="169">
        <v>3.5999999999999996</v>
      </c>
      <c r="AN580" s="167">
        <v>0.7</v>
      </c>
      <c r="AO580" s="170">
        <f t="shared" si="151"/>
        <v>7.6611765213967677</v>
      </c>
      <c r="AP580" s="171">
        <f t="shared" si="152"/>
        <v>13.743935142086423</v>
      </c>
      <c r="AQ580" s="172">
        <f t="shared" si="153"/>
        <v>-48.527878318988762</v>
      </c>
      <c r="AR580" s="157">
        <f>INDEX([1]Historical!$C$7:$C$1231,MATCH(B580,[1]Historical!$B$7:$B$1253,0))*IF(AH580="n/a",1.03,IF(AH580&lt;0,1.01,IF(AH580&gt;10,1.1,(1+AH580/100))))</f>
        <v>0.6160000000000001</v>
      </c>
      <c r="AS580" s="166">
        <f t="shared" si="154"/>
        <v>0.63448000000000015</v>
      </c>
      <c r="AT580" s="166">
        <f t="shared" si="161"/>
        <v>0.65351440000000016</v>
      </c>
      <c r="AU580" s="166">
        <f t="shared" si="161"/>
        <v>0.67311983200000014</v>
      </c>
      <c r="AV580" s="166">
        <f t="shared" si="161"/>
        <v>0.6933134269600002</v>
      </c>
      <c r="AW580" s="157">
        <f t="shared" si="156"/>
        <v>3.2704276589600005</v>
      </c>
      <c r="AX580" s="173">
        <f t="shared" si="157"/>
        <v>37.079678673015877</v>
      </c>
      <c r="AY580" s="174">
        <v>0.66</v>
      </c>
      <c r="AZ580" s="169">
        <v>10.25</v>
      </c>
      <c r="BA580" s="169">
        <v>-24.42</v>
      </c>
      <c r="BB580" s="169">
        <v>0.67</v>
      </c>
      <c r="BC580" s="169">
        <v>-10.42</v>
      </c>
      <c r="BD580" s="100"/>
      <c r="BE580" s="77">
        <v>2013</v>
      </c>
      <c r="BF580" s="77">
        <f t="shared" si="158"/>
        <v>1</v>
      </c>
      <c r="BG580" s="175">
        <v>8.6</v>
      </c>
      <c r="BH580" t="s">
        <v>939</v>
      </c>
      <c r="BI580" t="s">
        <v>940</v>
      </c>
      <c r="BJ580"/>
      <c r="BK580"/>
      <c r="BL580"/>
    </row>
    <row r="581" spans="1:64" s="112" customFormat="1" ht="12.75" customHeight="1" x14ac:dyDescent="0.2">
      <c r="A581" s="112" t="s">
        <v>1623</v>
      </c>
      <c r="B581" s="239" t="s">
        <v>454</v>
      </c>
      <c r="C581" s="154" t="s">
        <v>96</v>
      </c>
      <c r="D581" s="154" t="s">
        <v>911</v>
      </c>
      <c r="E581" s="155">
        <v>44</v>
      </c>
      <c r="F581" s="298">
        <v>63</v>
      </c>
      <c r="G581" s="298" t="s">
        <v>30</v>
      </c>
      <c r="H581" s="298" t="s">
        <v>30</v>
      </c>
      <c r="I581" s="167">
        <v>225.03</v>
      </c>
      <c r="J581" s="157">
        <f t="shared" si="144"/>
        <v>1.0665244634048794</v>
      </c>
      <c r="K581" s="158">
        <v>0.6</v>
      </c>
      <c r="L581" s="126">
        <v>4</v>
      </c>
      <c r="M581" s="82">
        <f t="shared" si="145"/>
        <v>2.4</v>
      </c>
      <c r="N581" s="159" t="s">
        <v>153</v>
      </c>
      <c r="O581" s="160">
        <v>0.55000000000000004</v>
      </c>
      <c r="P581" s="161">
        <v>44617</v>
      </c>
      <c r="Q581" s="161">
        <v>44631</v>
      </c>
      <c r="R581" s="82">
        <f t="shared" si="146"/>
        <v>9.0909090909090793</v>
      </c>
      <c r="S581" s="162">
        <f>IF(INDEX([1]Historical!$D$7:$D$1229,MATCH(B581,[1]Historical!$B$7:$B$1253,0))=0,"n/a",(INDEX([1]Historical!$C$7:$C$1231,MATCH(B581,[1]Historical!$B$7:$B$1253,0))/INDEX([1]Historical!$D$7:$D$1229,MATCH(B581,[1]Historical!$B$7:$B$1253,0))-1)*100)</f>
        <v>23.134328358208943</v>
      </c>
      <c r="T581" s="162">
        <f>IF(INDEX([1]Historical!$F$7:$F$1222,MATCH(B581,[1]Historical!$B$7:$B$1253,0))=0,"n/a",((INDEX([1]Historical!$C$7:$C$1231,MATCH(B581,[1]Historical!$B$7:$B$1253,0))/INDEX([1]Historical!$F$7:$F$1222,MATCH(B581,[1]Historical!$B$7:$B$1253,0)))^(1/3)-1)*100)</f>
        <v>24.259184099287467</v>
      </c>
      <c r="U581" s="162">
        <f>IF(INDEX([1]Historical!$H$7:$H$1222,MATCH(B581,[1]Historical!$B$7:$B$1253,0))=0,"n/a",((INDEX([1]Historical!$C$7:$C$1231,MATCH(B581,[1]Historical!$B$7:$B$1253,0))/INDEX([1]Historical!$H$7:$H$1222,MATCH(B581,[1]Historical!$B$7:$B$1253,0)))^(1/5)-1)*100)</f>
        <v>14.456623939757996</v>
      </c>
      <c r="V581" s="162">
        <f>IF(INDEX([1]Historical!$N$7:$N$1222,MATCH(B581,[1]Historical!$B$7:$B$1253,0))=0,"n/a",((INDEX([1]Historical!$C$7:$C$1231,MATCH(B581,[1]Historical!$B$7:$B$1253,0))/INDEX([1]Historical!$N$7:$N$1222,MATCH(B581,[1]Historical!$B$7:$B$1253,0)))^(1/10)-1)*100)</f>
        <v>16.283771210929988</v>
      </c>
      <c r="W581" s="163">
        <f t="shared" si="147"/>
        <v>0.88779335895203593</v>
      </c>
      <c r="X581" s="164">
        <f t="shared" si="148"/>
        <v>1.2251376220133896</v>
      </c>
      <c r="Y581" s="153"/>
      <c r="Z581" s="157">
        <f t="shared" si="149"/>
        <v>32.476319350473617</v>
      </c>
      <c r="AA581" s="166">
        <f t="shared" si="150"/>
        <v>30.450608930987823</v>
      </c>
      <c r="AB581" s="126">
        <v>12</v>
      </c>
      <c r="AC581" s="167">
        <v>7.39</v>
      </c>
      <c r="AD581" s="167">
        <v>2.48</v>
      </c>
      <c r="AE581" s="167">
        <v>2.65</v>
      </c>
      <c r="AF581" s="167">
        <v>22.44</v>
      </c>
      <c r="AG581" s="179">
        <v>81.599999999999994</v>
      </c>
      <c r="AH581" s="167">
        <v>-5.2</v>
      </c>
      <c r="AI581" s="167">
        <v>18.060000000000002</v>
      </c>
      <c r="AJ581" s="167">
        <v>11.799999999999999</v>
      </c>
      <c r="AK581" s="167">
        <v>12.32</v>
      </c>
      <c r="AL581" s="168">
        <v>57490</v>
      </c>
      <c r="AM581" s="169">
        <v>0.1</v>
      </c>
      <c r="AN581" s="167">
        <v>4.0599999999999996</v>
      </c>
      <c r="AO581" s="170">
        <f t="shared" si="151"/>
        <v>-14.927460527824946</v>
      </c>
      <c r="AP581" s="171">
        <f t="shared" si="152"/>
        <v>15.523148403162876</v>
      </c>
      <c r="AQ581" s="172">
        <f t="shared" si="153"/>
        <v>451.08445185081979</v>
      </c>
      <c r="AR581" s="157">
        <f>INDEX([1]Historical!$C$7:$C$1231,MATCH(B581,[1]Historical!$B$7:$B$1253,0))*IF(AH581="n/a",1.03,IF(AH581&lt;0,1.01,IF(AH581&gt;10,1.1,(1+AH581/100))))</f>
        <v>2.2220000000000004</v>
      </c>
      <c r="AS581" s="166">
        <f t="shared" si="154"/>
        <v>2.4442000000000008</v>
      </c>
      <c r="AT581" s="166">
        <f t="shared" si="161"/>
        <v>2.6886200000000011</v>
      </c>
      <c r="AU581" s="166">
        <f t="shared" si="161"/>
        <v>2.9574820000000015</v>
      </c>
      <c r="AV581" s="166">
        <f t="shared" si="161"/>
        <v>3.2532302000000017</v>
      </c>
      <c r="AW581" s="157">
        <f t="shared" si="156"/>
        <v>13.565532200000007</v>
      </c>
      <c r="AX581" s="173">
        <f t="shared" si="157"/>
        <v>6.028321646002758</v>
      </c>
      <c r="AY581" s="174">
        <v>1.07</v>
      </c>
      <c r="AZ581" s="169">
        <v>15.260000000000002</v>
      </c>
      <c r="BA581" s="169">
        <v>-36.46</v>
      </c>
      <c r="BB581" s="169">
        <v>1.79</v>
      </c>
      <c r="BC581" s="169">
        <v>-9.6100000000000012</v>
      </c>
      <c r="BD581" s="100"/>
      <c r="BE581" s="77">
        <v>1979</v>
      </c>
      <c r="BF581" s="77">
        <f t="shared" si="158"/>
        <v>5</v>
      </c>
      <c r="BG581" s="175">
        <v>8.9</v>
      </c>
      <c r="BH581" t="s">
        <v>939</v>
      </c>
      <c r="BI581" t="s">
        <v>940</v>
      </c>
      <c r="BJ581"/>
      <c r="BK581"/>
      <c r="BL581"/>
    </row>
    <row r="582" spans="1:64" s="112" customFormat="1" ht="12.75" customHeight="1" x14ac:dyDescent="0.2">
      <c r="A582" s="204" t="s">
        <v>1624</v>
      </c>
      <c r="B582" s="239" t="s">
        <v>1186</v>
      </c>
      <c r="C582" s="154" t="s">
        <v>90</v>
      </c>
      <c r="D582" s="154" t="s">
        <v>110</v>
      </c>
      <c r="E582" s="155">
        <v>8</v>
      </c>
      <c r="F582" s="298">
        <v>569</v>
      </c>
      <c r="G582" s="298" t="s">
        <v>88</v>
      </c>
      <c r="H582" s="298" t="s">
        <v>88</v>
      </c>
      <c r="I582" s="156">
        <v>98.08</v>
      </c>
      <c r="J582" s="157">
        <f t="shared" si="144"/>
        <v>1.1419249592169658</v>
      </c>
      <c r="K582" s="158">
        <v>0.28000000000000003</v>
      </c>
      <c r="L582" s="126">
        <v>4</v>
      </c>
      <c r="M582" s="82">
        <f t="shared" si="145"/>
        <v>1.1200000000000001</v>
      </c>
      <c r="N582" s="159" t="s">
        <v>1017</v>
      </c>
      <c r="O582" s="160">
        <v>0.25</v>
      </c>
      <c r="P582" s="224">
        <v>44512</v>
      </c>
      <c r="Q582" s="224">
        <v>44531</v>
      </c>
      <c r="R582" s="82">
        <f t="shared" si="146"/>
        <v>12.000000000000011</v>
      </c>
      <c r="S582" s="162">
        <f>IF(INDEX([1]Historical!$D$7:$D$1229,MATCH(B582,[1]Historical!$B$7:$B$1253,0))=0,"n/a",(INDEX([1]Historical!$C$7:$C$1231,MATCH(B582,[1]Historical!$B$7:$B$1253,0))/INDEX([1]Historical!$D$7:$D$1229,MATCH(B582,[1]Historical!$B$7:$B$1253,0))-1)*100)</f>
        <v>9.5744680851064032</v>
      </c>
      <c r="T582" s="162">
        <f>IF(INDEX([1]Historical!$F$7:$F$1222,MATCH(B582,[1]Historical!$B$7:$B$1253,0))=0,"n/a",((INDEX([1]Historical!$C$7:$C$1231,MATCH(B582,[1]Historical!$B$7:$B$1253,0))/INDEX([1]Historical!$F$7:$F$1222,MATCH(B582,[1]Historical!$B$7:$B$1253,0)))^(1/3)-1)*100)</f>
        <v>11.652512828061102</v>
      </c>
      <c r="U582" s="162">
        <f>IF(INDEX([1]Historical!$H$7:$H$1222,MATCH(B582,[1]Historical!$B$7:$B$1253,0))=0,"n/a",((INDEX([1]Historical!$C$7:$C$1231,MATCH(B582,[1]Historical!$B$7:$B$1253,0))/INDEX([1]Historical!$H$7:$H$1222,MATCH(B582,[1]Historical!$B$7:$B$1253,0)))^(1/5)-1)*100)</f>
        <v>11.045631429892389</v>
      </c>
      <c r="V582" s="162">
        <f>IF(INDEX([1]Historical!$N$7:$N$1222,MATCH(B582,[1]Historical!$B$7:$B$1253,0))=0,"n/a",((INDEX([1]Historical!$C$7:$C$1231,MATCH(B582,[1]Historical!$B$7:$B$1253,0))/INDEX([1]Historical!$N$7:$N$1222,MATCH(B582,[1]Historical!$B$7:$B$1253,0)))^(1/10)-1)*100)</f>
        <v>7.0738424667737609</v>
      </c>
      <c r="W582" s="163">
        <f t="shared" si="147"/>
        <v>1.5614754614305231</v>
      </c>
      <c r="X582" s="164">
        <f t="shared" si="148"/>
        <v>0.57529330364022857</v>
      </c>
      <c r="Y582" s="165"/>
      <c r="Z582" s="157">
        <f t="shared" si="149"/>
        <v>26.291079812206576</v>
      </c>
      <c r="AA582" s="166">
        <f t="shared" si="150"/>
        <v>23.023474178403756</v>
      </c>
      <c r="AB582" s="126">
        <v>12</v>
      </c>
      <c r="AC582" s="167">
        <v>4.26</v>
      </c>
      <c r="AD582" s="167">
        <v>1.7</v>
      </c>
      <c r="AE582" s="167">
        <v>1.64</v>
      </c>
      <c r="AF582" s="167">
        <v>2.4500000000000002</v>
      </c>
      <c r="AG582" s="167">
        <v>9.9</v>
      </c>
      <c r="AH582" s="167">
        <v>59.099999999999994</v>
      </c>
      <c r="AI582" s="167">
        <v>19.72</v>
      </c>
      <c r="AJ582" s="167">
        <v>19.2</v>
      </c>
      <c r="AK582" s="167">
        <v>13.4</v>
      </c>
      <c r="AL582" s="168">
        <v>5700</v>
      </c>
      <c r="AM582" s="169">
        <v>1</v>
      </c>
      <c r="AN582" s="167">
        <v>0</v>
      </c>
      <c r="AO582" s="170">
        <f t="shared" si="151"/>
        <v>-10.835917789294403</v>
      </c>
      <c r="AP582" s="171">
        <f t="shared" si="152"/>
        <v>12.187556389109353</v>
      </c>
      <c r="AQ582" s="172">
        <f t="shared" si="153"/>
        <v>58.335104182503052</v>
      </c>
      <c r="AR582" s="157">
        <f>INDEX([1]Historical!$C$7:$C$1231,MATCH(B582,[1]Historical!$B$7:$B$1253,0))*IF(AH582="n/a",1.03,IF(AH582&lt;0,1.01,IF(AH582&gt;10,1.1,(1+AH582/100))))</f>
        <v>1.1330000000000002</v>
      </c>
      <c r="AS582" s="166">
        <f t="shared" si="154"/>
        <v>1.2463000000000004</v>
      </c>
      <c r="AT582" s="166">
        <f t="shared" si="161"/>
        <v>1.3709300000000006</v>
      </c>
      <c r="AU582" s="166">
        <f t="shared" si="161"/>
        <v>1.5080230000000008</v>
      </c>
      <c r="AV582" s="166">
        <f t="shared" si="161"/>
        <v>1.6588253000000011</v>
      </c>
      <c r="AW582" s="157">
        <f t="shared" si="156"/>
        <v>6.9170783000000027</v>
      </c>
      <c r="AX582" s="173">
        <f t="shared" si="157"/>
        <v>7.0524860318107701</v>
      </c>
      <c r="AY582" s="174">
        <v>0.59</v>
      </c>
      <c r="AZ582" s="169">
        <v>46.800000000000004</v>
      </c>
      <c r="BA582" s="169">
        <v>0.31</v>
      </c>
      <c r="BB582" s="169">
        <v>16.28</v>
      </c>
      <c r="BC582" s="169">
        <v>19.2</v>
      </c>
      <c r="BD582" s="100"/>
      <c r="BE582" s="77">
        <v>2014</v>
      </c>
      <c r="BF582" s="77">
        <f t="shared" si="158"/>
        <v>1</v>
      </c>
      <c r="BG582" s="175">
        <v>2.5</v>
      </c>
      <c r="BH582" t="s">
        <v>939</v>
      </c>
      <c r="BI582" t="s">
        <v>940</v>
      </c>
    </row>
    <row r="583" spans="1:64" s="112" customFormat="1" ht="12.75" customHeight="1" x14ac:dyDescent="0.2">
      <c r="A583" s="205" t="s">
        <v>1740</v>
      </c>
      <c r="B583" s="239" t="s">
        <v>1741</v>
      </c>
      <c r="C583" s="154" t="s">
        <v>922</v>
      </c>
      <c r="D583" s="154" t="s">
        <v>950</v>
      </c>
      <c r="E583" s="155">
        <v>6</v>
      </c>
      <c r="F583" s="298">
        <v>647</v>
      </c>
      <c r="G583" s="298" t="s">
        <v>88</v>
      </c>
      <c r="H583" s="298" t="s">
        <v>88</v>
      </c>
      <c r="I583" s="156">
        <v>53.49</v>
      </c>
      <c r="J583" s="157">
        <f t="shared" ref="J583:J646" si="162">(M583/I583)*100</f>
        <v>3.7390166386240415</v>
      </c>
      <c r="K583" s="158">
        <v>0.5</v>
      </c>
      <c r="L583" s="126">
        <v>4</v>
      </c>
      <c r="M583" s="82">
        <f t="shared" ref="M583:M646" si="163">K583*L583</f>
        <v>2</v>
      </c>
      <c r="N583" s="159" t="s">
        <v>214</v>
      </c>
      <c r="O583" s="160">
        <v>0.35</v>
      </c>
      <c r="P583" s="224">
        <v>44509</v>
      </c>
      <c r="Q583" s="224">
        <v>44524</v>
      </c>
      <c r="R583" s="82">
        <f t="shared" ref="R583:R646" si="164">(K583-O583)/O583*100</f>
        <v>42.857142857142868</v>
      </c>
      <c r="S583" s="162">
        <f>IF(INDEX([1]Historical!$D$7:$D$1229,MATCH(B583,[1]Historical!$B$7:$B$1253,0))=0,"n/a",(INDEX([1]Historical!$C$7:$C$1231,MATCH(B583,[1]Historical!$B$7:$B$1253,0))/INDEX([1]Historical!$D$7:$D$1229,MATCH(B583,[1]Historical!$B$7:$B$1253,0))-1)*100)</f>
        <v>10.714285714285721</v>
      </c>
      <c r="T583" s="162">
        <f>IF(INDEX([1]Historical!$F$7:$F$1222,MATCH(B583,[1]Historical!$B$7:$B$1253,0))=0,"n/a",((INDEX([1]Historical!$C$7:$C$1231,MATCH(B583,[1]Historical!$B$7:$B$1253,0))/INDEX([1]Historical!$F$7:$F$1222,MATCH(B583,[1]Historical!$B$7:$B$1253,0)))^(1/3)-1)*100)</f>
        <v>8.9055846181262268</v>
      </c>
      <c r="U583" s="162">
        <f>IF(INDEX([1]Historical!$H$7:$H$1222,MATCH(B583,[1]Historical!$B$7:$B$1253,0))=0,"n/a",((INDEX([1]Historical!$C$7:$C$1231,MATCH(B583,[1]Historical!$B$7:$B$1253,0))/INDEX([1]Historical!$H$7:$H$1222,MATCH(B583,[1]Historical!$B$7:$B$1253,0)))^(1/5)-1)*100)</f>
        <v>18.982658475160608</v>
      </c>
      <c r="V583" s="162" t="str">
        <f>IF(INDEX([1]Historical!$N$7:$N$1222,MATCH(B583,[1]Historical!$B$7:$B$1253,0))=0,"n/a",((INDEX([1]Historical!$C$7:$C$1231,MATCH(B583,[1]Historical!$B$7:$B$1253,0))/INDEX([1]Historical!$N$7:$N$1222,MATCH(B583,[1]Historical!$B$7:$B$1253,0)))^(1/10)-1)*100)</f>
        <v>n/a</v>
      </c>
      <c r="W583" s="163" t="str">
        <f t="shared" ref="W583:W646" si="165">IF(OR(U583&lt;=0,U583="n/a",V583&lt;=0,V583="n/a"),"n/a",U583/V583)</f>
        <v>n/a</v>
      </c>
      <c r="X583" s="164">
        <f t="shared" ref="X583:X646" si="166">IF(OR(AJ583&lt;=0,AJ583="n/a",U583&lt;=0,U583="n/a"),"n/a",U583/AJ583)</f>
        <v>1.4830201933719225</v>
      </c>
      <c r="Y583" s="180"/>
      <c r="Z583" s="157">
        <f t="shared" ref="Z583:Z646" si="167">IF(OR(AC583&lt;0.01,AC583="n/a"),"n/a",M583/AC583*100)</f>
        <v>31.545741324921135</v>
      </c>
      <c r="AA583" s="166">
        <f t="shared" ref="AA583:AA646" si="168">IF(OR(AC583&lt;0.01,AC583="n/a"),"n/a",I583/AC583)</f>
        <v>8.4369085173501581</v>
      </c>
      <c r="AB583" s="126">
        <v>12</v>
      </c>
      <c r="AC583" s="167">
        <v>6.34</v>
      </c>
      <c r="AD583" s="167">
        <v>1.71</v>
      </c>
      <c r="AE583" s="167">
        <v>1.77</v>
      </c>
      <c r="AF583" s="167">
        <v>2.93</v>
      </c>
      <c r="AG583" s="167">
        <v>33.800000000000004</v>
      </c>
      <c r="AH583" s="167">
        <v>150.69999999999999</v>
      </c>
      <c r="AI583" s="167">
        <v>5.1499999999999995</v>
      </c>
      <c r="AJ583" s="167">
        <v>12.8</v>
      </c>
      <c r="AK583" s="167">
        <v>5</v>
      </c>
      <c r="AL583" s="168">
        <v>1790</v>
      </c>
      <c r="AM583" s="169">
        <v>7.3999999999999995</v>
      </c>
      <c r="AN583" s="167">
        <v>0</v>
      </c>
      <c r="AO583" s="170">
        <f t="shared" ref="AO583:AO646" si="169">IF(U583="n/a","n/a",IF(AA583&lt;0,"n/a",IF(AA583="n/a","n/a",J583+U583-AA583)))</f>
        <v>14.284766596434491</v>
      </c>
      <c r="AP583" s="171">
        <f t="shared" ref="AP583:AP646" si="170">IF(U583="n/a","n/a",J583+U583)</f>
        <v>22.721675113784649</v>
      </c>
      <c r="AQ583" s="172">
        <f t="shared" ref="AQ583:AQ646" si="171">IF(OR(AC583&lt;0.01,AC583="n/a",AF583="n/a"),"n/a",(I583/SQRT(22.5*AC583*(I583/AF583))-1)*100)</f>
        <v>4.8176023297104242</v>
      </c>
      <c r="AR583" s="157">
        <f>INDEX([1]Historical!$C$7:$C$1231,MATCH(B583,[1]Historical!$B$7:$B$1253,0))*IF(AH583="n/a",1.03,IF(AH583&lt;0,1.01,IF(AH583&gt;10,1.1,(1+AH583/100))))</f>
        <v>1.7050000000000003</v>
      </c>
      <c r="AS583" s="166">
        <f t="shared" ref="AS583:AS646" si="172">IF($AI583="n/a",1.03*AR583,IF($AI583&lt;0,1.01*AR583,IF($AI583&gt;10,1.1*AR583,(1+$AI583/100)*AR583)))</f>
        <v>1.7928075000000006</v>
      </c>
      <c r="AT583" s="166">
        <f t="shared" ref="AT583:AV598" si="173">IF($AK583="n/a",1.03*AS583,IF($AK583&lt;0,1.01*AS583,IF($AK583&gt;10,1.1*AS583,(1+$AK583/100)*AS583)))</f>
        <v>1.8824478750000007</v>
      </c>
      <c r="AU583" s="166">
        <f t="shared" si="173"/>
        <v>1.9765702687500009</v>
      </c>
      <c r="AV583" s="166">
        <f t="shared" si="173"/>
        <v>2.0753987821875008</v>
      </c>
      <c r="AW583" s="157">
        <f t="shared" ref="AW583:AW646" si="174">SUM(AR583:AV583)</f>
        <v>9.4322244259375037</v>
      </c>
      <c r="AX583" s="173">
        <f t="shared" ref="AX583:AX646" si="175">AW583/I583*100</f>
        <v>17.633622033908214</v>
      </c>
      <c r="AY583" s="174">
        <v>0.95</v>
      </c>
      <c r="AZ583" s="169">
        <v>3.2199999999999998</v>
      </c>
      <c r="BA583" s="169">
        <v>-45.78</v>
      </c>
      <c r="BB583" s="169">
        <v>-20.64</v>
      </c>
      <c r="BC583" s="169">
        <v>-31.069999999999997</v>
      </c>
      <c r="BD583" s="100"/>
      <c r="BE583" s="77">
        <v>2016</v>
      </c>
      <c r="BF583" s="77">
        <f t="shared" ref="BF583:BF646" si="176">IF(BE583&gt;2020,0,IF(BE583&gt;2008,1,IF(BE583&gt;2001,2,IF(BE583&gt;1990,3,IF(BE583&gt;1980,4,IF(BE583&gt;1973,5,IF(BE583&gt;1970,6,IF(BE583&gt;1960,7,IF(BE583&gt;1958,8,IF(BE583&gt;1953,9,10))))))))))</f>
        <v>1</v>
      </c>
      <c r="BG583" s="175">
        <v>23.799999999999997</v>
      </c>
      <c r="BH583" t="s">
        <v>939</v>
      </c>
      <c r="BI583" t="s">
        <v>940</v>
      </c>
    </row>
    <row r="584" spans="1:64" s="112" customFormat="1" x14ac:dyDescent="0.2">
      <c r="A584" s="205" t="s">
        <v>1742</v>
      </c>
      <c r="B584" s="239" t="s">
        <v>1743</v>
      </c>
      <c r="C584" s="154" t="s">
        <v>981</v>
      </c>
      <c r="D584" s="154" t="s">
        <v>238</v>
      </c>
      <c r="E584" s="155">
        <v>6</v>
      </c>
      <c r="F584" s="298">
        <v>646</v>
      </c>
      <c r="G584" s="298" t="s">
        <v>88</v>
      </c>
      <c r="H584" s="298" t="s">
        <v>88</v>
      </c>
      <c r="I584" s="156">
        <v>6.04</v>
      </c>
      <c r="J584" s="157">
        <f t="shared" si="162"/>
        <v>1.4544039735099337</v>
      </c>
      <c r="K584" s="158">
        <v>2.1961499999999998E-2</v>
      </c>
      <c r="L584" s="126">
        <v>4</v>
      </c>
      <c r="M584" s="82">
        <f t="shared" si="163"/>
        <v>8.7845999999999994E-2</v>
      </c>
      <c r="N584" s="159" t="s">
        <v>677</v>
      </c>
      <c r="O584" s="160">
        <v>1.4641E-2</v>
      </c>
      <c r="P584" s="224">
        <v>44504</v>
      </c>
      <c r="Q584" s="224">
        <v>44529</v>
      </c>
      <c r="R584" s="82">
        <f t="shared" si="164"/>
        <v>49.999999999999993</v>
      </c>
      <c r="S584" s="162">
        <f>IF(INDEX([1]Historical!$D$7:$D$1229,MATCH(B584,[1]Historical!$B$7:$B$1253,0))=0,"n/a",(INDEX([1]Historical!$C$7:$C$1231,MATCH(B584,[1]Historical!$B$7:$B$1253,0))/INDEX([1]Historical!$D$7:$D$1229,MATCH(B584,[1]Historical!$B$7:$B$1253,0))-1)*100)</f>
        <v>20.619010096937942</v>
      </c>
      <c r="T584" s="162">
        <f>IF(INDEX([1]Historical!$F$7:$F$1222,MATCH(B584,[1]Historical!$B$7:$B$1253,0))=0,"n/a",((INDEX([1]Historical!$C$7:$C$1231,MATCH(B584,[1]Historical!$B$7:$B$1253,0))/INDEX([1]Historical!$F$7:$F$1222,MATCH(B584,[1]Historical!$B$7:$B$1253,0)))^(1/3)-1)*100)</f>
        <v>13.431509123242492</v>
      </c>
      <c r="U584" s="162">
        <f>IF(INDEX([1]Historical!$H$7:$H$1222,MATCH(B584,[1]Historical!$B$7:$B$1253,0))=0,"n/a",((INDEX([1]Historical!$C$7:$C$1231,MATCH(B584,[1]Historical!$B$7:$B$1253,0))/INDEX([1]Historical!$H$7:$H$1222,MATCH(B584,[1]Historical!$B$7:$B$1253,0)))^(1/5)-1)*100)</f>
        <v>45.772477319365599</v>
      </c>
      <c r="V584" s="162" t="str">
        <f>IF(INDEX([1]Historical!$N$7:$N$1222,MATCH(B584,[1]Historical!$B$7:$B$1253,0))=0,"n/a",((INDEX([1]Historical!$C$7:$C$1231,MATCH(B584,[1]Historical!$B$7:$B$1253,0))/INDEX([1]Historical!$N$7:$N$1222,MATCH(B584,[1]Historical!$B$7:$B$1253,0)))^(1/10)-1)*100)</f>
        <v>n/a</v>
      </c>
      <c r="W584" s="163" t="str">
        <f t="shared" si="165"/>
        <v>n/a</v>
      </c>
      <c r="X584" s="164">
        <f t="shared" si="166"/>
        <v>2.8081274429058647</v>
      </c>
      <c r="Y584" s="180"/>
      <c r="Z584" s="157">
        <f t="shared" si="167"/>
        <v>28.337419354838705</v>
      </c>
      <c r="AA584" s="166">
        <f t="shared" si="168"/>
        <v>19.483870967741936</v>
      </c>
      <c r="AB584" s="126">
        <v>12</v>
      </c>
      <c r="AC584" s="167">
        <v>0.31</v>
      </c>
      <c r="AD584" s="167">
        <v>3.87</v>
      </c>
      <c r="AE584" s="167">
        <v>2.67</v>
      </c>
      <c r="AF584" s="167" t="s">
        <v>95</v>
      </c>
      <c r="AG584" s="167">
        <v>-40.9</v>
      </c>
      <c r="AH584" s="167">
        <v>916.90000000000009</v>
      </c>
      <c r="AI584" s="167">
        <v>7.6700000000000008</v>
      </c>
      <c r="AJ584" s="167">
        <v>16.3</v>
      </c>
      <c r="AK584" s="167">
        <v>5.09</v>
      </c>
      <c r="AL584" s="168">
        <v>23790</v>
      </c>
      <c r="AM584" s="169">
        <v>0.3</v>
      </c>
      <c r="AN584" s="167" t="s">
        <v>95</v>
      </c>
      <c r="AO584" s="170">
        <f t="shared" si="169"/>
        <v>27.743010325133596</v>
      </c>
      <c r="AP584" s="171">
        <f t="shared" si="170"/>
        <v>47.226881292875532</v>
      </c>
      <c r="AQ584" s="172" t="str">
        <f t="shared" si="171"/>
        <v>n/a</v>
      </c>
      <c r="AR584" s="157">
        <f>INDEX([1]Historical!$C$7:$C$1231,MATCH(B584,[1]Historical!$B$7:$B$1253,0))*IF(AH584="n/a",1.03,IF(AH584&lt;0,1.01,IF(AH584&gt;10,1.1,(1+AH584/100))))</f>
        <v>7.240530000000002E-2</v>
      </c>
      <c r="AS584" s="166">
        <f t="shared" si="172"/>
        <v>7.7958786510000017E-2</v>
      </c>
      <c r="AT584" s="166">
        <f t="shared" si="173"/>
        <v>8.1926888743359016E-2</v>
      </c>
      <c r="AU584" s="166">
        <f t="shared" si="173"/>
        <v>8.6096967380395989E-2</v>
      </c>
      <c r="AV584" s="166">
        <f t="shared" si="173"/>
        <v>9.0479303020058147E-2</v>
      </c>
      <c r="AW584" s="157">
        <f t="shared" si="174"/>
        <v>0.40886724565381316</v>
      </c>
      <c r="AX584" s="173">
        <f t="shared" si="175"/>
        <v>6.7693252591690918</v>
      </c>
      <c r="AY584" s="174">
        <v>0.93</v>
      </c>
      <c r="AZ584" s="169">
        <v>6.15</v>
      </c>
      <c r="BA584" s="169">
        <v>-11.82</v>
      </c>
      <c r="BB584" s="169">
        <v>-0.38999999999999996</v>
      </c>
      <c r="BC584" s="169">
        <v>-2.94</v>
      </c>
      <c r="BD584" s="100"/>
      <c r="BE584" s="77">
        <v>2016</v>
      </c>
      <c r="BF584" s="77">
        <f t="shared" si="176"/>
        <v>1</v>
      </c>
      <c r="BG584" s="175">
        <v>12.4</v>
      </c>
      <c r="BH584" t="s">
        <v>939</v>
      </c>
      <c r="BI584" t="s">
        <v>940</v>
      </c>
    </row>
    <row r="585" spans="1:64" s="112" customFormat="1" ht="12.75" customHeight="1" x14ac:dyDescent="0.2">
      <c r="A585" s="112" t="s">
        <v>1625</v>
      </c>
      <c r="B585" s="239" t="s">
        <v>459</v>
      </c>
      <c r="C585" s="154" t="s">
        <v>117</v>
      </c>
      <c r="D585" s="154" t="s">
        <v>979</v>
      </c>
      <c r="E585" s="155">
        <v>23</v>
      </c>
      <c r="F585" s="298">
        <v>154</v>
      </c>
      <c r="G585" s="298" t="s">
        <v>30</v>
      </c>
      <c r="H585" s="298" t="s">
        <v>30</v>
      </c>
      <c r="I585" s="156">
        <v>34.67</v>
      </c>
      <c r="J585" s="157">
        <f t="shared" si="162"/>
        <v>3.5765791750793188</v>
      </c>
      <c r="K585" s="209">
        <v>0.31</v>
      </c>
      <c r="L585" s="126">
        <v>4</v>
      </c>
      <c r="M585" s="82">
        <f t="shared" si="163"/>
        <v>1.24</v>
      </c>
      <c r="N585" s="159" t="s">
        <v>198</v>
      </c>
      <c r="O585" s="210">
        <v>0.30249999999999999</v>
      </c>
      <c r="P585" s="161">
        <v>44539</v>
      </c>
      <c r="Q585" s="161">
        <v>44559</v>
      </c>
      <c r="R585" s="82">
        <f t="shared" si="164"/>
        <v>2.4793388429752086</v>
      </c>
      <c r="S585" s="162">
        <f>IF(INDEX([1]Historical!$D$7:$D$1229,MATCH(B585,[1]Historical!$B$7:$B$1253,0))=0,"n/a",(INDEX([1]Historical!$C$7:$C$1231,MATCH(B585,[1]Historical!$B$7:$B$1253,0))/INDEX([1]Historical!$D$7:$D$1229,MATCH(B585,[1]Historical!$B$7:$B$1253,0))-1)*100)</f>
        <v>2.5263157894736876</v>
      </c>
      <c r="T585" s="162">
        <f>IF(INDEX([1]Historical!$F$7:$F$1222,MATCH(B585,[1]Historical!$B$7:$B$1253,0))=0,"n/a",((INDEX([1]Historical!$C$7:$C$1231,MATCH(B585,[1]Historical!$B$7:$B$1253,0))/INDEX([1]Historical!$F$7:$F$1222,MATCH(B585,[1]Historical!$B$7:$B$1253,0)))^(1/3)-1)*100)</f>
        <v>2.5929394249821325</v>
      </c>
      <c r="U585" s="162">
        <f>IF(INDEX([1]Historical!$H$7:$H$1222,MATCH(B585,[1]Historical!$B$7:$B$1253,0))=0,"n/a",((INDEX([1]Historical!$C$7:$C$1231,MATCH(B585,[1]Historical!$B$7:$B$1253,0))/INDEX([1]Historical!$H$7:$H$1222,MATCH(B585,[1]Historical!$B$7:$B$1253,0)))^(1/5)-1)*100)</f>
        <v>2.7367633262026736</v>
      </c>
      <c r="V585" s="162">
        <f>IF(INDEX([1]Historical!$N$7:$N$1222,MATCH(B585,[1]Historical!$B$7:$B$1253,0))=0,"n/a",((INDEX([1]Historical!$C$7:$C$1231,MATCH(B585,[1]Historical!$B$7:$B$1253,0))/INDEX([1]Historical!$N$7:$N$1222,MATCH(B585,[1]Historical!$B$7:$B$1253,0)))^(1/10)-1)*100)</f>
        <v>4.9816062815221107</v>
      </c>
      <c r="W585" s="163">
        <f t="shared" si="165"/>
        <v>0.549373670166175</v>
      </c>
      <c r="X585" s="164" t="str">
        <f t="shared" si="166"/>
        <v>n/a</v>
      </c>
      <c r="Y585" s="212"/>
      <c r="Z585" s="157">
        <f t="shared" si="167"/>
        <v>87.323943661971839</v>
      </c>
      <c r="AA585" s="166">
        <f t="shared" si="168"/>
        <v>24.41549295774648</v>
      </c>
      <c r="AB585" s="126">
        <v>12</v>
      </c>
      <c r="AC585" s="167">
        <v>1.42</v>
      </c>
      <c r="AD585" s="167">
        <v>2.72</v>
      </c>
      <c r="AE585" s="167">
        <v>1.82</v>
      </c>
      <c r="AF585" s="167">
        <v>2.0099999999999998</v>
      </c>
      <c r="AG585" s="167">
        <v>8.2000000000000011</v>
      </c>
      <c r="AH585" s="179">
        <v>-50.7</v>
      </c>
      <c r="AI585" s="179">
        <v>4.4400000000000004</v>
      </c>
      <c r="AJ585" s="167">
        <v>-12.5</v>
      </c>
      <c r="AK585" s="167">
        <v>9</v>
      </c>
      <c r="AL585" s="168">
        <v>4260</v>
      </c>
      <c r="AM585" s="169">
        <v>0.4</v>
      </c>
      <c r="AN585" s="167">
        <v>1.67</v>
      </c>
      <c r="AO585" s="170">
        <f t="shared" si="169"/>
        <v>-18.102150456464486</v>
      </c>
      <c r="AP585" s="171">
        <f t="shared" si="170"/>
        <v>6.3133425012819924</v>
      </c>
      <c r="AQ585" s="172">
        <f t="shared" si="171"/>
        <v>47.686064707947942</v>
      </c>
      <c r="AR585" s="157">
        <f>INDEX([1]Historical!$C$7:$C$1231,MATCH(B585,[1]Historical!$B$7:$B$1253,0))*IF(AH585="n/a",1.03,IF(AH585&lt;0,1.01,IF(AH585&gt;10,1.1,(1+AH585/100))))</f>
        <v>1.2296750000000001</v>
      </c>
      <c r="AS585" s="166">
        <f t="shared" si="172"/>
        <v>1.2842725700000002</v>
      </c>
      <c r="AT585" s="166">
        <f t="shared" si="173"/>
        <v>1.3998571013000003</v>
      </c>
      <c r="AU585" s="166">
        <f t="shared" si="173"/>
        <v>1.5258442404170005</v>
      </c>
      <c r="AV585" s="166">
        <f t="shared" si="173"/>
        <v>1.6631702220545306</v>
      </c>
      <c r="AW585" s="157">
        <f t="shared" si="174"/>
        <v>7.102819133771531</v>
      </c>
      <c r="AX585" s="173">
        <f t="shared" si="175"/>
        <v>20.486931450163056</v>
      </c>
      <c r="AY585" s="174">
        <v>0.63</v>
      </c>
      <c r="AZ585" s="169">
        <v>55.58</v>
      </c>
      <c r="BA585" s="169">
        <v>-1.8399999999999999</v>
      </c>
      <c r="BB585" s="169">
        <v>2.0099999999999998</v>
      </c>
      <c r="BC585" s="169">
        <v>5.6000000000000005</v>
      </c>
      <c r="BD585" s="100"/>
      <c r="BE585" s="77">
        <v>2000</v>
      </c>
      <c r="BF585" s="77">
        <f t="shared" si="176"/>
        <v>3</v>
      </c>
      <c r="BG585" s="175">
        <v>2.2999999999999998</v>
      </c>
      <c r="BH585" t="s">
        <v>939</v>
      </c>
      <c r="BI585" t="s">
        <v>940</v>
      </c>
      <c r="BJ585"/>
      <c r="BK585"/>
      <c r="BL585"/>
    </row>
    <row r="586" spans="1:64" s="112" customFormat="1" ht="12.75" customHeight="1" x14ac:dyDescent="0.2">
      <c r="A586" s="112" t="s">
        <v>1626</v>
      </c>
      <c r="B586" s="239" t="s">
        <v>339</v>
      </c>
      <c r="C586" s="154" t="s">
        <v>127</v>
      </c>
      <c r="D586" s="154" t="s">
        <v>951</v>
      </c>
      <c r="E586" s="155">
        <v>25</v>
      </c>
      <c r="F586" s="298">
        <v>142</v>
      </c>
      <c r="G586" s="298" t="s">
        <v>30</v>
      </c>
      <c r="H586" s="298" t="s">
        <v>104</v>
      </c>
      <c r="I586" s="156">
        <v>150.66</v>
      </c>
      <c r="J586" s="157">
        <f t="shared" si="162"/>
        <v>2.7080844285145362</v>
      </c>
      <c r="K586" s="209">
        <v>1.02</v>
      </c>
      <c r="L586" s="126">
        <v>4</v>
      </c>
      <c r="M586" s="82">
        <f t="shared" si="163"/>
        <v>4.08</v>
      </c>
      <c r="N586" s="159" t="s">
        <v>116</v>
      </c>
      <c r="O586" s="210">
        <v>0.99</v>
      </c>
      <c r="P586" s="161">
        <v>44784</v>
      </c>
      <c r="Q586" s="161">
        <v>44805</v>
      </c>
      <c r="R586" s="82">
        <f t="shared" si="164"/>
        <v>3.0303030303030329</v>
      </c>
      <c r="S586" s="162">
        <f>IF(INDEX([1]Historical!$D$7:$D$1229,MATCH(B586,[1]Historical!$B$7:$B$1253,0))=0,"n/a",(INDEX([1]Historical!$C$7:$C$1231,MATCH(B586,[1]Historical!$B$7:$B$1253,0))/INDEX([1]Historical!$D$7:$D$1229,MATCH(B586,[1]Historical!$B$7:$B$1253,0))-1)*100)</f>
        <v>6.1797752808988804</v>
      </c>
      <c r="T586" s="162">
        <f>IF(INDEX([1]Historical!$F$7:$F$1222,MATCH(B586,[1]Historical!$B$7:$B$1253,0))=0,"n/a",((INDEX([1]Historical!$C$7:$C$1231,MATCH(B586,[1]Historical!$B$7:$B$1253,0))/INDEX([1]Historical!$F$7:$F$1222,MATCH(B586,[1]Historical!$B$7:$B$1253,0)))^(1/3)-1)*100)</f>
        <v>5.05693669256293</v>
      </c>
      <c r="U586" s="162">
        <f>IF(INDEX([1]Historical!$H$7:$H$1222,MATCH(B586,[1]Historical!$B$7:$B$1253,0))=0,"n/a",((INDEX([1]Historical!$C$7:$C$1231,MATCH(B586,[1]Historical!$B$7:$B$1253,0))/INDEX([1]Historical!$H$7:$H$1222,MATCH(B586,[1]Historical!$B$7:$B$1253,0)))^(1/5)-1)*100)</f>
        <v>5.8850611977593781</v>
      </c>
      <c r="V586" s="162">
        <f>IF(INDEX([1]Historical!$N$7:$N$1222,MATCH(B586,[1]Historical!$B$7:$B$1253,0))=0,"n/a",((INDEX([1]Historical!$C$7:$C$1231,MATCH(B586,[1]Historical!$B$7:$B$1253,0))/INDEX([1]Historical!$N$7:$N$1222,MATCH(B586,[1]Historical!$B$7:$B$1253,0)))^(1/10)-1)*100)</f>
        <v>7.4650877591693865</v>
      </c>
      <c r="W586" s="163">
        <f t="shared" si="165"/>
        <v>0.7883445429734891</v>
      </c>
      <c r="X586" s="164">
        <f t="shared" si="166"/>
        <v>2.1796522954664361</v>
      </c>
      <c r="Y586" s="178"/>
      <c r="Z586" s="157">
        <f t="shared" si="167"/>
        <v>74.862385321100916</v>
      </c>
      <c r="AA586" s="166">
        <f t="shared" si="168"/>
        <v>27.644036697247707</v>
      </c>
      <c r="AB586" s="126">
        <v>4</v>
      </c>
      <c r="AC586" s="167">
        <v>5.45</v>
      </c>
      <c r="AD586" s="167">
        <v>5.38</v>
      </c>
      <c r="AE586" s="167">
        <v>1.98</v>
      </c>
      <c r="AF586" s="167">
        <v>1.97</v>
      </c>
      <c r="AG586" s="167">
        <v>7.1</v>
      </c>
      <c r="AH586" s="167">
        <v>-25.1</v>
      </c>
      <c r="AI586" s="167">
        <v>13.13</v>
      </c>
      <c r="AJ586" s="167">
        <v>2.7</v>
      </c>
      <c r="AK586" s="167">
        <v>5.1400000000000006</v>
      </c>
      <c r="AL586" s="168">
        <v>15840</v>
      </c>
      <c r="AM586" s="169">
        <v>0.8</v>
      </c>
      <c r="AN586" s="167">
        <v>0.57999999999999996</v>
      </c>
      <c r="AO586" s="170">
        <f t="shared" si="169"/>
        <v>-19.05089107097379</v>
      </c>
      <c r="AP586" s="171">
        <f t="shared" si="170"/>
        <v>8.5931456262739143</v>
      </c>
      <c r="AQ586" s="172">
        <f t="shared" si="171"/>
        <v>55.57599399732878</v>
      </c>
      <c r="AR586" s="157">
        <f>INDEX([1]Historical!$C$7:$C$1231,MATCH(B586,[1]Historical!$B$7:$B$1253,0))*IF(AH586="n/a",1.03,IF(AH586&lt;0,1.01,IF(AH586&gt;10,1.1,(1+AH586/100))))</f>
        <v>3.8177999999999996</v>
      </c>
      <c r="AS586" s="166">
        <f t="shared" si="172"/>
        <v>4.1995800000000001</v>
      </c>
      <c r="AT586" s="166">
        <f t="shared" si="173"/>
        <v>4.4154384120000003</v>
      </c>
      <c r="AU586" s="166">
        <f t="shared" si="173"/>
        <v>4.6423919463768009</v>
      </c>
      <c r="AV586" s="166">
        <f t="shared" si="173"/>
        <v>4.8810108924205693</v>
      </c>
      <c r="AW586" s="157">
        <f t="shared" si="174"/>
        <v>21.95622125079737</v>
      </c>
      <c r="AX586" s="173">
        <f t="shared" si="175"/>
        <v>14.573358058407917</v>
      </c>
      <c r="AY586" s="174">
        <v>0.24</v>
      </c>
      <c r="AZ586" s="169">
        <v>25.740000000000002</v>
      </c>
      <c r="BA586" s="169">
        <v>-0.92999999999999994</v>
      </c>
      <c r="BB586" s="169">
        <v>6.75</v>
      </c>
      <c r="BC586" s="169">
        <v>10.92</v>
      </c>
      <c r="BD586" s="100"/>
      <c r="BE586" s="77">
        <v>1998</v>
      </c>
      <c r="BF586" s="77">
        <f t="shared" si="176"/>
        <v>3</v>
      </c>
      <c r="BG586" s="175">
        <v>3.5999999999999996</v>
      </c>
      <c r="BH586" t="s">
        <v>939</v>
      </c>
      <c r="BI586" t="s">
        <v>940</v>
      </c>
      <c r="BJ586"/>
      <c r="BK586"/>
      <c r="BL586"/>
    </row>
    <row r="587" spans="1:64" s="112" customFormat="1" ht="12.75" customHeight="1" x14ac:dyDescent="0.2">
      <c r="A587" s="112" t="s">
        <v>1627</v>
      </c>
      <c r="B587" s="239" t="s">
        <v>457</v>
      </c>
      <c r="C587" s="154" t="s">
        <v>117</v>
      </c>
      <c r="D587" s="154" t="s">
        <v>978</v>
      </c>
      <c r="E587" s="155">
        <v>55</v>
      </c>
      <c r="F587" s="298">
        <v>19</v>
      </c>
      <c r="G587" s="298" t="s">
        <v>30</v>
      </c>
      <c r="H587" s="298" t="s">
        <v>30</v>
      </c>
      <c r="I587" s="167">
        <v>70.680000000000007</v>
      </c>
      <c r="J587" s="157">
        <f t="shared" si="162"/>
        <v>2.0373514431239386</v>
      </c>
      <c r="K587" s="158">
        <v>0.36</v>
      </c>
      <c r="L587" s="126">
        <v>4</v>
      </c>
      <c r="M587" s="82">
        <f t="shared" si="163"/>
        <v>1.44</v>
      </c>
      <c r="N587" s="159" t="s">
        <v>116</v>
      </c>
      <c r="O587" s="160">
        <v>0.34</v>
      </c>
      <c r="P587" s="161">
        <v>44596</v>
      </c>
      <c r="Q587" s="161">
        <v>44621</v>
      </c>
      <c r="R587" s="82">
        <f t="shared" si="164"/>
        <v>5.8823529411764595</v>
      </c>
      <c r="S587" s="162">
        <f>IF(INDEX([1]Historical!$D$7:$D$1229,MATCH(B587,[1]Historical!$B$7:$B$1253,0))=0,"n/a",(INDEX([1]Historical!$C$7:$C$1231,MATCH(B587,[1]Historical!$B$7:$B$1253,0))/INDEX([1]Historical!$D$7:$D$1229,MATCH(B587,[1]Historical!$B$7:$B$1253,0))-1)*100)</f>
        <v>6.25</v>
      </c>
      <c r="T587" s="162">
        <f>IF(INDEX([1]Historical!$F$7:$F$1222,MATCH(B587,[1]Historical!$B$7:$B$1253,0))=0,"n/a",((INDEX([1]Historical!$C$7:$C$1231,MATCH(B587,[1]Historical!$B$7:$B$1253,0))/INDEX([1]Historical!$F$7:$F$1222,MATCH(B587,[1]Historical!$B$7:$B$1253,0)))^(1/3)-1)*100)</f>
        <v>6.6858844342181811</v>
      </c>
      <c r="U587" s="162">
        <f>IF(INDEX([1]Historical!$H$7:$H$1222,MATCH(B587,[1]Historical!$B$7:$B$1253,0))=0,"n/a",((INDEX([1]Historical!$C$7:$C$1231,MATCH(B587,[1]Historical!$B$7:$B$1253,0))/INDEX([1]Historical!$H$7:$H$1222,MATCH(B587,[1]Historical!$B$7:$B$1253,0)))^(1/5)-1)*100)</f>
        <v>10.920234202640277</v>
      </c>
      <c r="V587" s="162">
        <f>IF(INDEX([1]Historical!$N$7:$N$1222,MATCH(B587,[1]Historical!$B$7:$B$1253,0))=0,"n/a",((INDEX([1]Historical!$C$7:$C$1231,MATCH(B587,[1]Historical!$B$7:$B$1253,0))/INDEX([1]Historical!$N$7:$N$1222,MATCH(B587,[1]Historical!$B$7:$B$1253,0)))^(1/10)-1)*100)</f>
        <v>7.0209943508566353</v>
      </c>
      <c r="W587" s="163">
        <f t="shared" si="165"/>
        <v>1.5553686069136194</v>
      </c>
      <c r="X587" s="164" t="str">
        <f t="shared" si="166"/>
        <v>n/a</v>
      </c>
      <c r="Y587" s="242"/>
      <c r="Z587" s="157">
        <f t="shared" si="167"/>
        <v>82.758620689655174</v>
      </c>
      <c r="AA587" s="166">
        <f t="shared" si="168"/>
        <v>40.62068965517242</v>
      </c>
      <c r="AB587" s="126">
        <v>12</v>
      </c>
      <c r="AC587" s="167">
        <v>1.74</v>
      </c>
      <c r="AD587" s="167">
        <v>4.0999999999999996</v>
      </c>
      <c r="AE587" s="167">
        <v>3.5</v>
      </c>
      <c r="AF587" s="167">
        <v>2.06</v>
      </c>
      <c r="AG587" s="167">
        <v>6</v>
      </c>
      <c r="AH587" s="167">
        <v>-5.0999999999999996</v>
      </c>
      <c r="AI587" s="167">
        <v>8.6</v>
      </c>
      <c r="AJ587" s="167">
        <v>-4.5</v>
      </c>
      <c r="AK587" s="167">
        <v>9.8000000000000007</v>
      </c>
      <c r="AL587" s="168">
        <v>2029.9999999999998</v>
      </c>
      <c r="AM587" s="169">
        <v>0.6</v>
      </c>
      <c r="AN587" s="167">
        <v>1.59</v>
      </c>
      <c r="AO587" s="170">
        <f t="shared" si="169"/>
        <v>-27.663104009408205</v>
      </c>
      <c r="AP587" s="171">
        <f t="shared" si="170"/>
        <v>12.957585645764215</v>
      </c>
      <c r="AQ587" s="172">
        <f t="shared" si="171"/>
        <v>92.848381077703607</v>
      </c>
      <c r="AR587" s="157">
        <f>INDEX([1]Historical!$C$7:$C$1231,MATCH(B587,[1]Historical!$B$7:$B$1253,0))*IF(AH587="n/a",1.03,IF(AH587&lt;0,1.01,IF(AH587&gt;10,1.1,(1+AH587/100))))</f>
        <v>1.3736000000000002</v>
      </c>
      <c r="AS587" s="166">
        <f t="shared" si="172"/>
        <v>1.4917296000000002</v>
      </c>
      <c r="AT587" s="166">
        <f t="shared" si="173"/>
        <v>1.6379191008000005</v>
      </c>
      <c r="AU587" s="166">
        <f t="shared" si="173"/>
        <v>1.7984351726784007</v>
      </c>
      <c r="AV587" s="166">
        <f t="shared" si="173"/>
        <v>1.9746818196008842</v>
      </c>
      <c r="AW587" s="157">
        <f t="shared" si="174"/>
        <v>8.2763656930792848</v>
      </c>
      <c r="AX587" s="173">
        <f t="shared" si="175"/>
        <v>11.709628880983706</v>
      </c>
      <c r="AY587" s="174">
        <v>0.62</v>
      </c>
      <c r="AZ587" s="169">
        <v>26.810000000000002</v>
      </c>
      <c r="BA587" s="169">
        <v>-4.08</v>
      </c>
      <c r="BB587" s="169">
        <v>11.52</v>
      </c>
      <c r="BC587" s="169">
        <v>10.26</v>
      </c>
      <c r="BD587" s="100"/>
      <c r="BE587" s="77">
        <v>1968</v>
      </c>
      <c r="BF587" s="77">
        <f t="shared" si="176"/>
        <v>7</v>
      </c>
      <c r="BG587" s="175">
        <v>1.7999999999999998</v>
      </c>
      <c r="BH587" t="s">
        <v>939</v>
      </c>
      <c r="BI587" t="s">
        <v>940</v>
      </c>
      <c r="BJ587"/>
      <c r="BK587"/>
      <c r="BL587"/>
    </row>
    <row r="588" spans="1:64" s="112" customFormat="1" ht="12.75" customHeight="1" x14ac:dyDescent="0.2">
      <c r="A588" s="176" t="s">
        <v>678</v>
      </c>
      <c r="B588" s="239" t="s">
        <v>679</v>
      </c>
      <c r="C588" s="154" t="s">
        <v>947</v>
      </c>
      <c r="D588" s="154" t="s">
        <v>948</v>
      </c>
      <c r="E588" s="155">
        <v>11</v>
      </c>
      <c r="F588" s="298">
        <v>399</v>
      </c>
      <c r="G588" s="298" t="s">
        <v>30</v>
      </c>
      <c r="H588" s="298" t="s">
        <v>30</v>
      </c>
      <c r="I588" s="156">
        <v>39.68</v>
      </c>
      <c r="J588" s="157">
        <f t="shared" si="162"/>
        <v>9.3991935483870979</v>
      </c>
      <c r="K588" s="158">
        <v>0.31080000000000002</v>
      </c>
      <c r="L588" s="126">
        <v>12</v>
      </c>
      <c r="M588" s="82">
        <f t="shared" si="163"/>
        <v>3.7296000000000005</v>
      </c>
      <c r="N588" s="159" t="s">
        <v>112</v>
      </c>
      <c r="O588" s="226">
        <v>0.30333333333333334</v>
      </c>
      <c r="P588" s="161">
        <v>44544</v>
      </c>
      <c r="Q588" s="161">
        <v>44579</v>
      </c>
      <c r="R588" s="82">
        <f t="shared" si="164"/>
        <v>2.4615384615384652</v>
      </c>
      <c r="S588" s="162">
        <f>IF(INDEX([1]Historical!$D$7:$D$1229,MATCH(B588,[1]Historical!$B$7:$B$1253,0))=0,"n/a",(INDEX([1]Historical!$C$7:$C$1231,MATCH(B588,[1]Historical!$B$7:$B$1253,0))/INDEX([1]Historical!$D$7:$D$1229,MATCH(B588,[1]Historical!$B$7:$B$1253,0))-1)*100)</f>
        <v>2.8135593220339095</v>
      </c>
      <c r="T588" s="162">
        <f>IF(INDEX([1]Historical!$F$7:$F$1222,MATCH(B588,[1]Historical!$B$7:$B$1253,0))=0,"n/a",((INDEX([1]Historical!$C$7:$C$1231,MATCH(B588,[1]Historical!$B$7:$B$1253,0))/INDEX([1]Historical!$F$7:$F$1222,MATCH(B588,[1]Historical!$B$7:$B$1253,0)))^(1/3)-1)*100)</f>
        <v>3.8460778726889577</v>
      </c>
      <c r="U588" s="162">
        <f>IF(INDEX([1]Historical!$H$7:$H$1222,MATCH(B588,[1]Historical!$B$7:$B$1253,0))=0,"n/a",((INDEX([1]Historical!$C$7:$C$1231,MATCH(B588,[1]Historical!$B$7:$B$1253,0))/INDEX([1]Historical!$H$7:$H$1222,MATCH(B588,[1]Historical!$B$7:$B$1253,0)))^(1/5)-1)*100)</f>
        <v>4.7929904109798027</v>
      </c>
      <c r="V588" s="162">
        <f>IF(INDEX([1]Historical!$N$7:$N$1222,MATCH(B588,[1]Historical!$B$7:$B$1253,0))=0,"n/a",((INDEX([1]Historical!$C$7:$C$1231,MATCH(B588,[1]Historical!$B$7:$B$1253,0))/INDEX([1]Historical!$N$7:$N$1222,MATCH(B588,[1]Historical!$B$7:$B$1253,0)))^(1/10)-1)*100)</f>
        <v>24.709450752540938</v>
      </c>
      <c r="W588" s="163">
        <f t="shared" si="165"/>
        <v>0.19397397615108569</v>
      </c>
      <c r="X588" s="164">
        <f t="shared" si="166"/>
        <v>0.21114495202554198</v>
      </c>
      <c r="Y588" s="218" t="s">
        <v>1187</v>
      </c>
      <c r="Z588" s="157">
        <f t="shared" si="167"/>
        <v>57.290322580645167</v>
      </c>
      <c r="AA588" s="166">
        <f t="shared" si="168"/>
        <v>6.0952380952380958</v>
      </c>
      <c r="AB588" s="126">
        <v>12</v>
      </c>
      <c r="AC588" s="167">
        <v>6.51</v>
      </c>
      <c r="AD588" s="167" t="s">
        <v>95</v>
      </c>
      <c r="AE588" s="167">
        <v>3.19</v>
      </c>
      <c r="AF588" s="167">
        <v>0.56000000000000005</v>
      </c>
      <c r="AG588" s="167">
        <v>9.7000000000000011</v>
      </c>
      <c r="AH588" s="167">
        <v>37.5</v>
      </c>
      <c r="AI588" s="167">
        <v>-75.22</v>
      </c>
      <c r="AJ588" s="167">
        <v>22.7</v>
      </c>
      <c r="AK588" s="167">
        <v>-10.84</v>
      </c>
      <c r="AL588" s="168">
        <v>2570</v>
      </c>
      <c r="AM588" s="169">
        <v>0.37</v>
      </c>
      <c r="AN588" s="167">
        <v>0.89</v>
      </c>
      <c r="AO588" s="170">
        <f t="shared" si="169"/>
        <v>8.0969458641288057</v>
      </c>
      <c r="AP588" s="171">
        <f t="shared" si="170"/>
        <v>14.192183959366901</v>
      </c>
      <c r="AQ588" s="172">
        <f t="shared" si="171"/>
        <v>-61.050840355188171</v>
      </c>
      <c r="AR588" s="157">
        <f>INDEX([1]Historical!$C$7:$C$1231,MATCH(B588,[1]Historical!$B$7:$B$1253,0))*IF(AH588="n/a",1.03,IF(AH588&lt;0,1.01,IF(AH588&gt;10,1.1,(1+AH588/100))))</f>
        <v>4.0035600000000002</v>
      </c>
      <c r="AS588" s="166">
        <f t="shared" si="172"/>
        <v>4.0435956000000006</v>
      </c>
      <c r="AT588" s="166">
        <f t="shared" si="173"/>
        <v>4.0840315560000002</v>
      </c>
      <c r="AU588" s="166">
        <f t="shared" si="173"/>
        <v>4.1248718715599999</v>
      </c>
      <c r="AV588" s="166">
        <f t="shared" si="173"/>
        <v>4.1661205902756002</v>
      </c>
      <c r="AW588" s="157">
        <f t="shared" si="174"/>
        <v>20.422179617835599</v>
      </c>
      <c r="AX588" s="173">
        <f t="shared" si="175"/>
        <v>51.467186536884071</v>
      </c>
      <c r="AY588" s="174">
        <v>1.4</v>
      </c>
      <c r="AZ588" s="169">
        <v>10.93</v>
      </c>
      <c r="BA588" s="169">
        <v>-53.400000000000006</v>
      </c>
      <c r="BB588" s="169">
        <v>-6.35</v>
      </c>
      <c r="BC588" s="169">
        <v>-33.47</v>
      </c>
      <c r="BD588" s="100"/>
      <c r="BE588" s="77">
        <v>2012</v>
      </c>
      <c r="BF588" s="77">
        <f t="shared" si="176"/>
        <v>1</v>
      </c>
      <c r="BG588" s="175">
        <v>4.1000000000000005</v>
      </c>
      <c r="BH588" t="s">
        <v>939</v>
      </c>
      <c r="BI588" t="s">
        <v>945</v>
      </c>
      <c r="BJ588"/>
      <c r="BK588"/>
      <c r="BL588"/>
    </row>
    <row r="589" spans="1:64" s="112" customFormat="1" ht="12.75" customHeight="1" x14ac:dyDescent="0.2">
      <c r="A589" s="176" t="s">
        <v>455</v>
      </c>
      <c r="B589" s="239" t="s">
        <v>456</v>
      </c>
      <c r="C589" s="154" t="s">
        <v>96</v>
      </c>
      <c r="D589" s="154" t="s">
        <v>980</v>
      </c>
      <c r="E589" s="155">
        <v>19</v>
      </c>
      <c r="F589" s="298">
        <v>196</v>
      </c>
      <c r="G589" s="298" t="s">
        <v>88</v>
      </c>
      <c r="H589" s="298" t="s">
        <v>88</v>
      </c>
      <c r="I589" s="156">
        <v>47.36</v>
      </c>
      <c r="J589" s="157">
        <f t="shared" si="162"/>
        <v>1.3513513513513513</v>
      </c>
      <c r="K589" s="158">
        <v>0.16</v>
      </c>
      <c r="L589" s="126">
        <v>4</v>
      </c>
      <c r="M589" s="82">
        <f t="shared" si="163"/>
        <v>0.64</v>
      </c>
      <c r="N589" s="159" t="s">
        <v>119</v>
      </c>
      <c r="O589" s="160">
        <v>0.14000000000000001</v>
      </c>
      <c r="P589" s="161">
        <v>44636</v>
      </c>
      <c r="Q589" s="161">
        <v>44651</v>
      </c>
      <c r="R589" s="82">
        <f t="shared" si="164"/>
        <v>14.285714285714276</v>
      </c>
      <c r="S589" s="162">
        <f>IF(INDEX([1]Historical!$D$7:$D$1229,MATCH(B589,[1]Historical!$B$7:$B$1253,0))=0,"n/a",(INDEX([1]Historical!$C$7:$C$1231,MATCH(B589,[1]Historical!$B$7:$B$1253,0))/INDEX([1]Historical!$D$7:$D$1229,MATCH(B589,[1]Historical!$B$7:$B$1253,0))-1)*100)</f>
        <v>16.666666666666675</v>
      </c>
      <c r="T589" s="162">
        <f>IF(INDEX([1]Historical!$F$7:$F$1222,MATCH(B589,[1]Historical!$B$7:$B$1253,0))=0,"n/a",((INDEX([1]Historical!$C$7:$C$1231,MATCH(B589,[1]Historical!$B$7:$B$1253,0))/INDEX([1]Historical!$F$7:$F$1222,MATCH(B589,[1]Historical!$B$7:$B$1253,0)))^(1/3)-1)*100)</f>
        <v>11.868894208139679</v>
      </c>
      <c r="U589" s="162">
        <f>IF(INDEX([1]Historical!$H$7:$H$1222,MATCH(B589,[1]Historical!$B$7:$B$1253,0))=0,"n/a",((INDEX([1]Historical!$C$7:$C$1231,MATCH(B589,[1]Historical!$B$7:$B$1253,0))/INDEX([1]Historical!$H$7:$H$1222,MATCH(B589,[1]Historical!$B$7:$B$1253,0)))^(1/5)-1)*100)</f>
        <v>10.494795379650323</v>
      </c>
      <c r="V589" s="162">
        <f>IF(INDEX([1]Historical!$N$7:$N$1222,MATCH(B589,[1]Historical!$B$7:$B$1253,0))=0,"n/a",((INDEX([1]Historical!$C$7:$C$1231,MATCH(B589,[1]Historical!$B$7:$B$1253,0))/INDEX([1]Historical!$N$7:$N$1222,MATCH(B589,[1]Historical!$B$7:$B$1253,0)))^(1/10)-1)*100)</f>
        <v>9.7934759492371626</v>
      </c>
      <c r="W589" s="163">
        <f t="shared" si="165"/>
        <v>1.0716108799417421</v>
      </c>
      <c r="X589" s="164">
        <f t="shared" si="166"/>
        <v>0.51194123803172309</v>
      </c>
      <c r="Y589" s="165"/>
      <c r="Z589" s="157">
        <f t="shared" si="167"/>
        <v>17.72853185595568</v>
      </c>
      <c r="AA589" s="166">
        <f t="shared" si="168"/>
        <v>13.119113573407203</v>
      </c>
      <c r="AB589" s="126">
        <v>12</v>
      </c>
      <c r="AC589" s="167">
        <v>3.61</v>
      </c>
      <c r="AD589" s="167">
        <v>2.31</v>
      </c>
      <c r="AE589" s="167">
        <v>0.81</v>
      </c>
      <c r="AF589" s="167">
        <v>3.26</v>
      </c>
      <c r="AG589" s="167">
        <v>23.599999999999998</v>
      </c>
      <c r="AH589" s="167">
        <v>16.5</v>
      </c>
      <c r="AI589" s="167">
        <v>4.17</v>
      </c>
      <c r="AJ589" s="167">
        <v>20.5</v>
      </c>
      <c r="AK589" s="167">
        <v>5.72</v>
      </c>
      <c r="AL589" s="168">
        <v>5150</v>
      </c>
      <c r="AM589" s="169">
        <v>8.3000000000000007</v>
      </c>
      <c r="AN589" s="167">
        <v>2.5099999999999998</v>
      </c>
      <c r="AO589" s="170">
        <f t="shared" si="169"/>
        <v>-1.2729668424055287</v>
      </c>
      <c r="AP589" s="171">
        <f t="shared" si="170"/>
        <v>11.846146731001674</v>
      </c>
      <c r="AQ589" s="172">
        <f t="shared" si="171"/>
        <v>37.870003585192876</v>
      </c>
      <c r="AR589" s="157">
        <f>INDEX([1]Historical!$C$7:$C$1231,MATCH(B589,[1]Historical!$B$7:$B$1253,0))*IF(AH589="n/a",1.03,IF(AH589&lt;0,1.01,IF(AH589&gt;10,1.1,(1+AH589/100))))</f>
        <v>0.6160000000000001</v>
      </c>
      <c r="AS589" s="166">
        <f t="shared" si="172"/>
        <v>0.64168720000000012</v>
      </c>
      <c r="AT589" s="166">
        <f t="shared" si="173"/>
        <v>0.67839170784000002</v>
      </c>
      <c r="AU589" s="166">
        <f t="shared" si="173"/>
        <v>0.71719571352844802</v>
      </c>
      <c r="AV589" s="166">
        <f t="shared" si="173"/>
        <v>0.75821930834227513</v>
      </c>
      <c r="AW589" s="157">
        <f t="shared" si="174"/>
        <v>3.4114939297107236</v>
      </c>
      <c r="AX589" s="173">
        <f t="shared" si="175"/>
        <v>7.2033233313148735</v>
      </c>
      <c r="AY589" s="174">
        <v>0.78</v>
      </c>
      <c r="AZ589" s="169">
        <v>22.73</v>
      </c>
      <c r="BA589" s="169">
        <v>-2.5700000000000003</v>
      </c>
      <c r="BB589" s="169">
        <v>5.41</v>
      </c>
      <c r="BC589" s="169">
        <v>8.01</v>
      </c>
      <c r="BD589" s="100"/>
      <c r="BE589" s="77">
        <v>2004</v>
      </c>
      <c r="BF589" s="77">
        <f t="shared" si="176"/>
        <v>2</v>
      </c>
      <c r="BG589" s="175">
        <v>4.8</v>
      </c>
      <c r="BH589" t="s">
        <v>939</v>
      </c>
      <c r="BI589" t="s">
        <v>940</v>
      </c>
      <c r="BJ589"/>
      <c r="BK589"/>
      <c r="BL589"/>
    </row>
    <row r="590" spans="1:64" s="112" customFormat="1" ht="12.75" customHeight="1" x14ac:dyDescent="0.2">
      <c r="A590" s="176" t="s">
        <v>1628</v>
      </c>
      <c r="B590" s="239" t="s">
        <v>737</v>
      </c>
      <c r="C590" s="154" t="s">
        <v>90</v>
      </c>
      <c r="D590" s="154" t="s">
        <v>959</v>
      </c>
      <c r="E590" s="155">
        <v>11</v>
      </c>
      <c r="F590" s="298">
        <v>434</v>
      </c>
      <c r="G590" s="298" t="s">
        <v>88</v>
      </c>
      <c r="H590" s="298" t="s">
        <v>88</v>
      </c>
      <c r="I590" s="156">
        <v>51.25</v>
      </c>
      <c r="J590" s="157">
        <f t="shared" si="162"/>
        <v>1.6390243902439026</v>
      </c>
      <c r="K590" s="158">
        <v>0.21</v>
      </c>
      <c r="L590" s="126">
        <v>4</v>
      </c>
      <c r="M590" s="82">
        <f t="shared" si="163"/>
        <v>0.84</v>
      </c>
      <c r="N590" s="159" t="s">
        <v>635</v>
      </c>
      <c r="O590" s="160">
        <v>0.2</v>
      </c>
      <c r="P590" s="161">
        <v>44785</v>
      </c>
      <c r="Q590" s="161">
        <v>44804</v>
      </c>
      <c r="R590" s="82">
        <f t="shared" si="164"/>
        <v>4.9999999999999902</v>
      </c>
      <c r="S590" s="162">
        <f>IF(INDEX([1]Historical!$D$7:$D$1229,MATCH(B590,[1]Historical!$B$7:$B$1253,0))=0,"n/a",(INDEX([1]Historical!$C$7:$C$1231,MATCH(B590,[1]Historical!$B$7:$B$1253,0))/INDEX([1]Historical!$D$7:$D$1229,MATCH(B590,[1]Historical!$B$7:$B$1253,0))-1)*100)</f>
        <v>19.999999999999996</v>
      </c>
      <c r="T590" s="162">
        <f>IF(INDEX([1]Historical!$F$7:$F$1222,MATCH(B590,[1]Historical!$B$7:$B$1253,0))=0,"n/a",((INDEX([1]Historical!$C$7:$C$1231,MATCH(B590,[1]Historical!$B$7:$B$1253,0))/INDEX([1]Historical!$F$7:$F$1222,MATCH(B590,[1]Historical!$B$7:$B$1253,0)))^(1/3)-1)*100)</f>
        <v>14.471424255333186</v>
      </c>
      <c r="U590" s="162">
        <f>IF(INDEX([1]Historical!$H$7:$H$1222,MATCH(B590,[1]Historical!$B$7:$B$1253,0))=0,"n/a",((INDEX([1]Historical!$C$7:$C$1231,MATCH(B590,[1]Historical!$B$7:$B$1253,0))/INDEX([1]Historical!$H$7:$H$1222,MATCH(B590,[1]Historical!$B$7:$B$1253,0)))^(1/5)-1)*100)</f>
        <v>13.634388693076627</v>
      </c>
      <c r="V590" s="162">
        <f>IF(INDEX([1]Historical!$N$7:$N$1222,MATCH(B590,[1]Historical!$B$7:$B$1253,0))=0,"n/a",((INDEX([1]Historical!$C$7:$C$1231,MATCH(B590,[1]Historical!$B$7:$B$1253,0))/INDEX([1]Historical!$N$7:$N$1222,MATCH(B590,[1]Historical!$B$7:$B$1253,0)))^(1/10)-1)*100)</f>
        <v>11.612317403390438</v>
      </c>
      <c r="W590" s="163">
        <f t="shared" si="165"/>
        <v>1.174131589711439</v>
      </c>
      <c r="X590" s="164">
        <f t="shared" si="166"/>
        <v>0.67164476320574518</v>
      </c>
      <c r="Y590" s="180"/>
      <c r="Z590" s="157">
        <f t="shared" si="167"/>
        <v>16.122840690978887</v>
      </c>
      <c r="AA590" s="166">
        <f t="shared" si="168"/>
        <v>9.8368522072936653</v>
      </c>
      <c r="AB590" s="126">
        <v>12</v>
      </c>
      <c r="AC590" s="167">
        <v>5.21</v>
      </c>
      <c r="AD590" s="167" t="s">
        <v>95</v>
      </c>
      <c r="AE590" s="167">
        <v>3.86</v>
      </c>
      <c r="AF590" s="167">
        <v>1.45</v>
      </c>
      <c r="AG590" s="167">
        <v>15.1</v>
      </c>
      <c r="AH590" s="167">
        <v>-0.1</v>
      </c>
      <c r="AI590" s="167">
        <v>9.65</v>
      </c>
      <c r="AJ590" s="167">
        <v>20.3</v>
      </c>
      <c r="AK590" s="167" t="s">
        <v>95</v>
      </c>
      <c r="AL590" s="168">
        <v>451.46</v>
      </c>
      <c r="AM590" s="169">
        <v>3.4000000000000004</v>
      </c>
      <c r="AN590" s="167">
        <v>7.0000000000000007E-2</v>
      </c>
      <c r="AO590" s="170">
        <f t="shared" si="169"/>
        <v>5.4365608760268636</v>
      </c>
      <c r="AP590" s="171">
        <f t="shared" si="170"/>
        <v>15.273413083320529</v>
      </c>
      <c r="AQ590" s="172">
        <f t="shared" si="171"/>
        <v>-20.380248959121506</v>
      </c>
      <c r="AR590" s="157">
        <f>INDEX([1]Historical!$C$7:$C$1231,MATCH(B590,[1]Historical!$B$7:$B$1253,0))*IF(AH590="n/a",1.03,IF(AH590&lt;0,1.01,IF(AH590&gt;10,1.1,(1+AH590/100))))</f>
        <v>0.72719999999999996</v>
      </c>
      <c r="AS590" s="166">
        <f t="shared" si="172"/>
        <v>0.79737479999999994</v>
      </c>
      <c r="AT590" s="166">
        <f t="shared" si="173"/>
        <v>0.821296044</v>
      </c>
      <c r="AU590" s="166">
        <f t="shared" si="173"/>
        <v>0.84593492532000003</v>
      </c>
      <c r="AV590" s="166">
        <f t="shared" si="173"/>
        <v>0.87131297307960009</v>
      </c>
      <c r="AW590" s="157">
        <f t="shared" si="174"/>
        <v>4.0631187423995998</v>
      </c>
      <c r="AX590" s="173">
        <f t="shared" si="175"/>
        <v>7.928036570535804</v>
      </c>
      <c r="AY590" s="174">
        <v>0.89</v>
      </c>
      <c r="AZ590" s="169">
        <v>22.64</v>
      </c>
      <c r="BA590" s="169">
        <v>-17.25</v>
      </c>
      <c r="BB590" s="169">
        <v>-1.78</v>
      </c>
      <c r="BC590" s="169">
        <v>2.91</v>
      </c>
      <c r="BD590" s="100"/>
      <c r="BE590" s="77">
        <v>2012</v>
      </c>
      <c r="BF590" s="77">
        <f t="shared" si="176"/>
        <v>1</v>
      </c>
      <c r="BG590" s="175">
        <v>1.5</v>
      </c>
      <c r="BH590" t="s">
        <v>939</v>
      </c>
      <c r="BI590" t="s">
        <v>940</v>
      </c>
      <c r="BJ590"/>
      <c r="BK590"/>
      <c r="BL590"/>
    </row>
    <row r="591" spans="1:64" s="112" customFormat="1" ht="12.75" customHeight="1" x14ac:dyDescent="0.2">
      <c r="A591" s="176" t="s">
        <v>1629</v>
      </c>
      <c r="B591" s="239" t="s">
        <v>447</v>
      </c>
      <c r="C591" s="154" t="s">
        <v>96</v>
      </c>
      <c r="D591" s="154" t="s">
        <v>911</v>
      </c>
      <c r="E591" s="155">
        <v>12</v>
      </c>
      <c r="F591" s="298">
        <v>311</v>
      </c>
      <c r="G591" s="298" t="s">
        <v>88</v>
      </c>
      <c r="H591" s="298" t="s">
        <v>88</v>
      </c>
      <c r="I591" s="156">
        <v>45.91</v>
      </c>
      <c r="J591" s="157">
        <f t="shared" si="162"/>
        <v>5.7503811805706819</v>
      </c>
      <c r="K591" s="158">
        <v>0.66</v>
      </c>
      <c r="L591" s="126">
        <v>4</v>
      </c>
      <c r="M591" s="82">
        <f t="shared" si="163"/>
        <v>2.64</v>
      </c>
      <c r="N591" s="159" t="s">
        <v>251</v>
      </c>
      <c r="O591" s="160">
        <v>0.62</v>
      </c>
      <c r="P591" s="182">
        <v>44434</v>
      </c>
      <c r="Q591" s="182">
        <v>44449</v>
      </c>
      <c r="R591" s="82">
        <f t="shared" si="164"/>
        <v>6.4516129032258114</v>
      </c>
      <c r="S591" s="162">
        <f>IF(INDEX([1]Historical!$D$7:$D$1229,MATCH(B591,[1]Historical!$B$7:$B$1253,0))=0,"n/a",(INDEX([1]Historical!$C$7:$C$1231,MATCH(B591,[1]Historical!$B$7:$B$1253,0))/INDEX([1]Historical!$D$7:$D$1229,MATCH(B591,[1]Historical!$B$7:$B$1253,0))-1)*100)</f>
        <v>6.6666666666666652</v>
      </c>
      <c r="T591" s="162">
        <f>IF(INDEX([1]Historical!$F$7:$F$1222,MATCH(B591,[1]Historical!$B$7:$B$1253,0))=0,"n/a",((INDEX([1]Historical!$C$7:$C$1231,MATCH(B591,[1]Historical!$B$7:$B$1253,0))/INDEX([1]Historical!$F$7:$F$1222,MATCH(B591,[1]Historical!$B$7:$B$1253,0)))^(1/3)-1)*100)</f>
        <v>5.8267367978799722</v>
      </c>
      <c r="U591" s="162">
        <f>IF(INDEX([1]Historical!$H$7:$H$1222,MATCH(B591,[1]Historical!$B$7:$B$1253,0))=0,"n/a",((INDEX([1]Historical!$C$7:$C$1231,MATCH(B591,[1]Historical!$B$7:$B$1253,0))/INDEX([1]Historical!$H$7:$H$1222,MATCH(B591,[1]Historical!$B$7:$B$1253,0)))^(1/5)-1)*100)</f>
        <v>5.7030812205358439</v>
      </c>
      <c r="V591" s="162">
        <f>IF(INDEX([1]Historical!$N$7:$N$1222,MATCH(B591,[1]Historical!$B$7:$B$1253,0))=0,"n/a",((INDEX([1]Historical!$C$7:$C$1231,MATCH(B591,[1]Historical!$B$7:$B$1253,0))/INDEX([1]Historical!$N$7:$N$1222,MATCH(B591,[1]Historical!$B$7:$B$1253,0)))^(1/10)-1)*100)</f>
        <v>8.813988165660124</v>
      </c>
      <c r="W591" s="163">
        <f t="shared" si="165"/>
        <v>0.64704888562880336</v>
      </c>
      <c r="X591" s="164">
        <f t="shared" si="166"/>
        <v>0.32039782137841816</v>
      </c>
      <c r="Y591" s="212"/>
      <c r="Z591" s="157" t="str">
        <f t="shared" si="167"/>
        <v>n/a</v>
      </c>
      <c r="AA591" s="166" t="str">
        <f t="shared" si="168"/>
        <v>n/a</v>
      </c>
      <c r="AB591" s="126">
        <v>9</v>
      </c>
      <c r="AC591" s="167">
        <v>-4.8499999999999996</v>
      </c>
      <c r="AD591" s="167" t="s">
        <v>95</v>
      </c>
      <c r="AE591" s="167">
        <v>0.63</v>
      </c>
      <c r="AF591" s="167">
        <v>6.36</v>
      </c>
      <c r="AG591" s="167">
        <v>-32.800000000000004</v>
      </c>
      <c r="AH591" s="167">
        <v>33.200000000000003</v>
      </c>
      <c r="AI591" s="167">
        <v>0.70000000000000007</v>
      </c>
      <c r="AJ591" s="167">
        <v>17.8</v>
      </c>
      <c r="AK591" s="167">
        <v>4</v>
      </c>
      <c r="AL591" s="168">
        <v>2640</v>
      </c>
      <c r="AM591" s="213">
        <v>0.89999999999999991</v>
      </c>
      <c r="AN591" s="167">
        <v>8.32</v>
      </c>
      <c r="AO591" s="170" t="str">
        <f t="shared" si="169"/>
        <v>n/a</v>
      </c>
      <c r="AP591" s="171">
        <f t="shared" si="170"/>
        <v>11.453462401106526</v>
      </c>
      <c r="AQ591" s="172" t="str">
        <f t="shared" si="171"/>
        <v>n/a</v>
      </c>
      <c r="AR591" s="157">
        <f>INDEX([1]Historical!$C$7:$C$1231,MATCH(B591,[1]Historical!$B$7:$B$1253,0))*IF(AH591="n/a",1.03,IF(AH591&lt;0,1.01,IF(AH591&gt;10,1.1,(1+AH591/100))))</f>
        <v>2.8160000000000003</v>
      </c>
      <c r="AS591" s="166">
        <f t="shared" si="172"/>
        <v>2.835712</v>
      </c>
      <c r="AT591" s="166">
        <f t="shared" si="173"/>
        <v>2.9491404800000001</v>
      </c>
      <c r="AU591" s="166">
        <f t="shared" si="173"/>
        <v>3.0671060992000001</v>
      </c>
      <c r="AV591" s="166">
        <f t="shared" si="173"/>
        <v>3.1897903431680001</v>
      </c>
      <c r="AW591" s="157">
        <f t="shared" si="174"/>
        <v>14.857748922368</v>
      </c>
      <c r="AX591" s="173">
        <f t="shared" si="175"/>
        <v>32.362772647283819</v>
      </c>
      <c r="AY591" s="174">
        <v>1.46</v>
      </c>
      <c r="AZ591" s="169">
        <v>17.549999999999997</v>
      </c>
      <c r="BA591" s="169">
        <v>-74.56</v>
      </c>
      <c r="BB591" s="169">
        <v>-13.950000000000001</v>
      </c>
      <c r="BC591" s="169">
        <v>-51.64</v>
      </c>
      <c r="BD591" s="100"/>
      <c r="BE591" s="77">
        <v>2010</v>
      </c>
      <c r="BF591" s="77">
        <f t="shared" si="176"/>
        <v>1</v>
      </c>
      <c r="BG591" s="175">
        <v>-5</v>
      </c>
      <c r="BH591" t="s">
        <v>939</v>
      </c>
      <c r="BI591" t="s">
        <v>940</v>
      </c>
      <c r="BJ591"/>
      <c r="BK591"/>
      <c r="BL591"/>
    </row>
    <row r="592" spans="1:64" s="112" customFormat="1" ht="12.75" customHeight="1" x14ac:dyDescent="0.2">
      <c r="A592" s="205" t="s">
        <v>1188</v>
      </c>
      <c r="B592" s="239" t="s">
        <v>1189</v>
      </c>
      <c r="C592" s="154" t="s">
        <v>90</v>
      </c>
      <c r="D592" s="154" t="s">
        <v>969</v>
      </c>
      <c r="E592" s="155">
        <v>8</v>
      </c>
      <c r="F592" s="298">
        <v>600</v>
      </c>
      <c r="G592" s="298" t="s">
        <v>88</v>
      </c>
      <c r="H592" s="298" t="s">
        <v>88</v>
      </c>
      <c r="I592" s="156">
        <v>29.07</v>
      </c>
      <c r="J592" s="157">
        <f t="shared" si="162"/>
        <v>2.7519779841761265</v>
      </c>
      <c r="K592" s="158">
        <v>0.2</v>
      </c>
      <c r="L592" s="126">
        <v>4</v>
      </c>
      <c r="M592" s="82">
        <f t="shared" si="163"/>
        <v>0.8</v>
      </c>
      <c r="N592" s="159" t="s">
        <v>119</v>
      </c>
      <c r="O592" s="160">
        <v>0.18</v>
      </c>
      <c r="P592" s="161">
        <v>44818</v>
      </c>
      <c r="Q592" s="161">
        <v>44834</v>
      </c>
      <c r="R592" s="82">
        <f t="shared" si="164"/>
        <v>11.111111111111121</v>
      </c>
      <c r="S592" s="162">
        <f>IF(INDEX([1]Historical!$D$7:$D$1229,MATCH(B592,[1]Historical!$B$7:$B$1253,0))=0,"n/a",(INDEX([1]Historical!$C$7:$C$1231,MATCH(B592,[1]Historical!$B$7:$B$1253,0))/INDEX([1]Historical!$D$7:$D$1229,MATCH(B592,[1]Historical!$B$7:$B$1253,0))-1)*100)</f>
        <v>2.9411764705882248</v>
      </c>
      <c r="T592" s="162">
        <f>IF(INDEX([1]Historical!$F$7:$F$1222,MATCH(B592,[1]Historical!$B$7:$B$1253,0))=0,"n/a",((INDEX([1]Historical!$C$7:$C$1231,MATCH(B592,[1]Historical!$B$7:$B$1253,0))/INDEX([1]Historical!$F$7:$F$1222,MATCH(B592,[1]Historical!$B$7:$B$1253,0)))^(1/3)-1)*100)</f>
        <v>9.7170335131538277</v>
      </c>
      <c r="U592" s="162">
        <f>IF(INDEX([1]Historical!$H$7:$H$1222,MATCH(B592,[1]Historical!$B$7:$B$1253,0))=0,"n/a",((INDEX([1]Historical!$C$7:$C$1231,MATCH(B592,[1]Historical!$B$7:$B$1253,0))/INDEX([1]Historical!$H$7:$H$1222,MATCH(B592,[1]Historical!$B$7:$B$1253,0)))^(1/5)-1)*100)</f>
        <v>11.842691472014465</v>
      </c>
      <c r="V592" s="162" t="str">
        <f>IF(INDEX([1]Historical!$N$7:$N$1222,MATCH(B592,[1]Historical!$B$7:$B$1253,0))=0,"n/a",((INDEX([1]Historical!$C$7:$C$1231,MATCH(B592,[1]Historical!$B$7:$B$1253,0))/INDEX([1]Historical!$N$7:$N$1222,MATCH(B592,[1]Historical!$B$7:$B$1253,0)))^(1/10)-1)*100)</f>
        <v>n/a</v>
      </c>
      <c r="W592" s="163" t="str">
        <f t="shared" si="165"/>
        <v>n/a</v>
      </c>
      <c r="X592" s="164">
        <f t="shared" si="166"/>
        <v>0.71341514891653401</v>
      </c>
      <c r="Y592" s="178"/>
      <c r="Z592" s="157">
        <f t="shared" si="167"/>
        <v>20.671834625322997</v>
      </c>
      <c r="AA592" s="166">
        <f t="shared" si="168"/>
        <v>7.5116279069767442</v>
      </c>
      <c r="AB592" s="126">
        <v>12</v>
      </c>
      <c r="AC592" s="167">
        <v>3.87</v>
      </c>
      <c r="AD592" s="167">
        <v>0.95</v>
      </c>
      <c r="AE592" s="167">
        <v>2.6</v>
      </c>
      <c r="AF592" s="167">
        <v>1.18</v>
      </c>
      <c r="AG592" s="167">
        <v>14.7</v>
      </c>
      <c r="AH592" s="167">
        <v>43.8</v>
      </c>
      <c r="AI592" s="167">
        <v>2.68</v>
      </c>
      <c r="AJ592" s="167">
        <v>16.600000000000001</v>
      </c>
      <c r="AK592" s="167">
        <v>8</v>
      </c>
      <c r="AL592" s="168">
        <v>370.61</v>
      </c>
      <c r="AM592" s="169">
        <v>1.7999999999999998</v>
      </c>
      <c r="AN592" s="167">
        <v>0.38</v>
      </c>
      <c r="AO592" s="170">
        <f t="shared" si="169"/>
        <v>7.0830415492138465</v>
      </c>
      <c r="AP592" s="171">
        <f t="shared" si="170"/>
        <v>14.594669456190591</v>
      </c>
      <c r="AQ592" s="172">
        <f t="shared" si="171"/>
        <v>-37.235109140955217</v>
      </c>
      <c r="AR592" s="157">
        <f>INDEX([1]Historical!$C$7:$C$1231,MATCH(B592,[1]Historical!$B$7:$B$1253,0))*IF(AH592="n/a",1.03,IF(AH592&lt;0,1.01,IF(AH592&gt;10,1.1,(1+AH592/100))))</f>
        <v>0.77</v>
      </c>
      <c r="AS592" s="166">
        <f t="shared" si="172"/>
        <v>0.79063600000000001</v>
      </c>
      <c r="AT592" s="166">
        <f t="shared" si="173"/>
        <v>0.85388688000000001</v>
      </c>
      <c r="AU592" s="166">
        <f t="shared" si="173"/>
        <v>0.92219783040000003</v>
      </c>
      <c r="AV592" s="166">
        <f t="shared" si="173"/>
        <v>0.99597365683200012</v>
      </c>
      <c r="AW592" s="157">
        <f t="shared" si="174"/>
        <v>4.3326943672320004</v>
      </c>
      <c r="AX592" s="173">
        <f t="shared" si="175"/>
        <v>14.904349388482974</v>
      </c>
      <c r="AY592" s="174">
        <v>0.4</v>
      </c>
      <c r="AZ592" s="169">
        <v>19.78</v>
      </c>
      <c r="BA592" s="169">
        <v>-5.71</v>
      </c>
      <c r="BB592" s="169">
        <v>3.39</v>
      </c>
      <c r="BC592" s="169">
        <v>6.15</v>
      </c>
      <c r="BD592" s="100"/>
      <c r="BE592" s="77">
        <v>2015</v>
      </c>
      <c r="BF592" s="77">
        <f t="shared" si="176"/>
        <v>1</v>
      </c>
      <c r="BG592" s="175">
        <v>1.3</v>
      </c>
      <c r="BH592" t="s">
        <v>939</v>
      </c>
      <c r="BI592" t="s">
        <v>940</v>
      </c>
    </row>
    <row r="593" spans="1:64" s="112" customFormat="1" ht="12.75" customHeight="1" x14ac:dyDescent="0.2">
      <c r="A593" s="112" t="s">
        <v>1630</v>
      </c>
      <c r="B593" s="239" t="s">
        <v>552</v>
      </c>
      <c r="C593" s="154" t="s">
        <v>94</v>
      </c>
      <c r="D593" s="154" t="s">
        <v>101</v>
      </c>
      <c r="E593" s="155">
        <v>12</v>
      </c>
      <c r="F593" s="298">
        <v>316</v>
      </c>
      <c r="G593" s="298" t="s">
        <v>30</v>
      </c>
      <c r="H593" s="298" t="s">
        <v>30</v>
      </c>
      <c r="I593" s="156">
        <v>222.05</v>
      </c>
      <c r="J593" s="157">
        <f t="shared" si="162"/>
        <v>2.5579824363882007</v>
      </c>
      <c r="K593" s="158">
        <v>1.42</v>
      </c>
      <c r="L593" s="126">
        <v>4</v>
      </c>
      <c r="M593" s="82">
        <f t="shared" si="163"/>
        <v>5.68</v>
      </c>
      <c r="N593" s="159" t="s">
        <v>251</v>
      </c>
      <c r="O593" s="160">
        <v>1.23</v>
      </c>
      <c r="P593" s="224">
        <v>44518</v>
      </c>
      <c r="Q593" s="224">
        <v>44540</v>
      </c>
      <c r="R593" s="82">
        <f t="shared" si="164"/>
        <v>15.44715447154471</v>
      </c>
      <c r="S593" s="162">
        <f>IF(INDEX([1]Historical!$D$7:$D$1229,MATCH(B593,[1]Historical!$B$7:$B$1253,0))=0,"n/a",(INDEX([1]Historical!$C$7:$C$1231,MATCH(B593,[1]Historical!$B$7:$B$1253,0))/INDEX([1]Historical!$D$7:$D$1229,MATCH(B593,[1]Historical!$B$7:$B$1253,0))-1)*100)</f>
        <v>14.31767337807608</v>
      </c>
      <c r="T593" s="162">
        <f>IF(INDEX([1]Historical!$F$7:$F$1222,MATCH(B593,[1]Historical!$B$7:$B$1253,0))=0,"n/a",((INDEX([1]Historical!$C$7:$C$1231,MATCH(B593,[1]Historical!$B$7:$B$1253,0))/INDEX([1]Historical!$F$7:$F$1222,MATCH(B593,[1]Historical!$B$7:$B$1253,0)))^(1/3)-1)*100)</f>
        <v>14.434112836700752</v>
      </c>
      <c r="U593" s="162">
        <f>IF(INDEX([1]Historical!$H$7:$H$1222,MATCH(B593,[1]Historical!$B$7:$B$1253,0))=0,"n/a",((INDEX([1]Historical!$C$7:$C$1231,MATCH(B593,[1]Historical!$B$7:$B$1253,0))/INDEX([1]Historical!$H$7:$H$1222,MATCH(B593,[1]Historical!$B$7:$B$1253,0)))^(1/5)-1)*100)</f>
        <v>15.005189177188427</v>
      </c>
      <c r="V593" s="162">
        <f>IF(INDEX([1]Historical!$N$7:$N$1222,MATCH(B593,[1]Historical!$B$7:$B$1253,0))=0,"n/a",((INDEX([1]Historical!$C$7:$C$1231,MATCH(B593,[1]Historical!$B$7:$B$1253,0))/INDEX([1]Historical!$N$7:$N$1222,MATCH(B593,[1]Historical!$B$7:$B$1253,0)))^(1/10)-1)*100)</f>
        <v>14.669456684815362</v>
      </c>
      <c r="W593" s="163">
        <f t="shared" si="165"/>
        <v>1.0228864980882755</v>
      </c>
      <c r="X593" s="164">
        <f t="shared" si="166"/>
        <v>1.4710969781557282</v>
      </c>
      <c r="Y593" s="153"/>
      <c r="Z593" s="157">
        <f t="shared" si="167"/>
        <v>34.424242424242422</v>
      </c>
      <c r="AA593" s="166">
        <f t="shared" si="168"/>
        <v>13.457575757575759</v>
      </c>
      <c r="AB593" s="126">
        <v>12</v>
      </c>
      <c r="AC593" s="167">
        <v>16.5</v>
      </c>
      <c r="AD593" s="167">
        <v>4.75</v>
      </c>
      <c r="AE593" s="167">
        <v>2.38</v>
      </c>
      <c r="AF593" s="167">
        <v>2.71</v>
      </c>
      <c r="AG593" s="167">
        <v>20.9</v>
      </c>
      <c r="AH593" s="167">
        <v>30.4</v>
      </c>
      <c r="AI593" s="167">
        <v>0.69</v>
      </c>
      <c r="AJ593" s="167">
        <v>10.199999999999999</v>
      </c>
      <c r="AK593" s="167">
        <v>2.8000000000000003</v>
      </c>
      <c r="AL593" s="168">
        <v>11430</v>
      </c>
      <c r="AM593" s="169">
        <v>1.4000000000000001</v>
      </c>
      <c r="AN593" s="167">
        <v>0.28000000000000003</v>
      </c>
      <c r="AO593" s="170">
        <f t="shared" si="169"/>
        <v>4.1055958560008694</v>
      </c>
      <c r="AP593" s="171">
        <f t="shared" si="170"/>
        <v>17.563171613576628</v>
      </c>
      <c r="AQ593" s="172">
        <f t="shared" si="171"/>
        <v>27.314187571151539</v>
      </c>
      <c r="AR593" s="157">
        <f>INDEX([1]Historical!$C$7:$C$1231,MATCH(B593,[1]Historical!$B$7:$B$1253,0))*IF(AH593="n/a",1.03,IF(AH593&lt;0,1.01,IF(AH593&gt;10,1.1,(1+AH593/100))))</f>
        <v>5.6210000000000004</v>
      </c>
      <c r="AS593" s="166">
        <f t="shared" si="172"/>
        <v>5.6597849</v>
      </c>
      <c r="AT593" s="166">
        <f t="shared" si="173"/>
        <v>5.8182588771999999</v>
      </c>
      <c r="AU593" s="166">
        <f t="shared" si="173"/>
        <v>5.9811701257615999</v>
      </c>
      <c r="AV593" s="166">
        <f t="shared" si="173"/>
        <v>6.1486428892829252</v>
      </c>
      <c r="AW593" s="157">
        <f t="shared" si="174"/>
        <v>29.228856792244528</v>
      </c>
      <c r="AX593" s="173">
        <f t="shared" si="175"/>
        <v>13.163187026455539</v>
      </c>
      <c r="AY593" s="174">
        <v>1.0900000000000001</v>
      </c>
      <c r="AZ593" s="169">
        <v>16.82</v>
      </c>
      <c r="BA593" s="169">
        <v>-5.66</v>
      </c>
      <c r="BB593" s="169">
        <v>3.3099999999999996</v>
      </c>
      <c r="BC593" s="169">
        <v>4.29</v>
      </c>
      <c r="BD593" s="100"/>
      <c r="BE593" s="77">
        <v>2011</v>
      </c>
      <c r="BF593" s="77">
        <f t="shared" si="176"/>
        <v>1</v>
      </c>
      <c r="BG593" s="175">
        <v>13.100000000000001</v>
      </c>
      <c r="BH593" t="s">
        <v>939</v>
      </c>
      <c r="BI593" t="s">
        <v>940</v>
      </c>
      <c r="BJ593"/>
      <c r="BK593"/>
      <c r="BL593"/>
    </row>
    <row r="594" spans="1:64" s="112" customFormat="1" ht="12.75" customHeight="1" x14ac:dyDescent="0.2">
      <c r="A594" s="205" t="s">
        <v>1781</v>
      </c>
      <c r="B594" s="239" t="s">
        <v>1782</v>
      </c>
      <c r="C594" s="154" t="s">
        <v>94</v>
      </c>
      <c r="D594" s="154" t="s">
        <v>1022</v>
      </c>
      <c r="E594" s="155">
        <v>6</v>
      </c>
      <c r="F594" s="298">
        <v>667</v>
      </c>
      <c r="G594" s="298" t="s">
        <v>88</v>
      </c>
      <c r="H594" s="298" t="s">
        <v>88</v>
      </c>
      <c r="I594" s="156">
        <v>22.24</v>
      </c>
      <c r="J594" s="157">
        <f t="shared" si="162"/>
        <v>1.4388489208633095</v>
      </c>
      <c r="K594" s="158">
        <v>0.08</v>
      </c>
      <c r="L594" s="126">
        <v>4</v>
      </c>
      <c r="M594" s="82">
        <f t="shared" si="163"/>
        <v>0.32</v>
      </c>
      <c r="N594" s="159" t="s">
        <v>126</v>
      </c>
      <c r="O594" s="160">
        <v>7.0000000000000007E-2</v>
      </c>
      <c r="P594" s="161">
        <v>44630</v>
      </c>
      <c r="Q594" s="161">
        <v>44659</v>
      </c>
      <c r="R594" s="82">
        <f t="shared" si="164"/>
        <v>14.285714285714276</v>
      </c>
      <c r="S594" s="162">
        <f>IF(INDEX([1]Historical!$D$7:$D$1229,MATCH(B594,[1]Historical!$B$7:$B$1253,0))=0,"n/a",(INDEX([1]Historical!$C$7:$C$1231,MATCH(B594,[1]Historical!$B$7:$B$1253,0))/INDEX([1]Historical!$D$7:$D$1229,MATCH(B594,[1]Historical!$B$7:$B$1253,0))-1)*100)</f>
        <v>7.8431372549019773</v>
      </c>
      <c r="T594" s="162">
        <f>IF(INDEX([1]Historical!$F$7:$F$1222,MATCH(B594,[1]Historical!$B$7:$B$1253,0))=0,"n/a",((INDEX([1]Historical!$C$7:$C$1231,MATCH(B594,[1]Historical!$B$7:$B$1253,0))/INDEX([1]Historical!$F$7:$F$1222,MATCH(B594,[1]Historical!$B$7:$B$1253,0)))^(1/3)-1)*100)</f>
        <v>6.1373611981101694</v>
      </c>
      <c r="U594" s="162" t="str">
        <f>IF(INDEX([1]Historical!$H$7:$H$1222,MATCH(B594,[1]Historical!$B$7:$B$1253,0))=0,"n/a",((INDEX([1]Historical!$C$7:$C$1231,MATCH(B594,[1]Historical!$B$7:$B$1253,0))/INDEX([1]Historical!$H$7:$H$1222,MATCH(B594,[1]Historical!$B$7:$B$1253,0)))^(1/5)-1)*100)</f>
        <v>n/a</v>
      </c>
      <c r="V594" s="162" t="str">
        <f>IF(INDEX([1]Historical!$N$7:$N$1222,MATCH(B594,[1]Historical!$B$7:$B$1253,0))=0,"n/a",((INDEX([1]Historical!$C$7:$C$1231,MATCH(B594,[1]Historical!$B$7:$B$1253,0))/INDEX([1]Historical!$N$7:$N$1222,MATCH(B594,[1]Historical!$B$7:$B$1253,0)))^(1/10)-1)*100)</f>
        <v>n/a</v>
      </c>
      <c r="W594" s="163" t="str">
        <f t="shared" si="165"/>
        <v>n/a</v>
      </c>
      <c r="X594" s="164" t="str">
        <f t="shared" si="166"/>
        <v>n/a</v>
      </c>
      <c r="Y594" s="180"/>
      <c r="Z594" s="157">
        <f t="shared" si="167"/>
        <v>11.851851851851851</v>
      </c>
      <c r="AA594" s="166">
        <f t="shared" si="168"/>
        <v>8.2370370370370356</v>
      </c>
      <c r="AB594" s="126">
        <v>12</v>
      </c>
      <c r="AC594" s="167">
        <v>2.7</v>
      </c>
      <c r="AD594" s="167">
        <v>1.52</v>
      </c>
      <c r="AE594" s="167">
        <v>0.59</v>
      </c>
      <c r="AF594" s="167">
        <v>1.41</v>
      </c>
      <c r="AG594" s="167">
        <v>18.7</v>
      </c>
      <c r="AH594" s="167">
        <v>91</v>
      </c>
      <c r="AI594" s="167">
        <v>-15.43</v>
      </c>
      <c r="AJ594" s="167">
        <v>20.3</v>
      </c>
      <c r="AK594" s="167">
        <v>5.29</v>
      </c>
      <c r="AL594" s="168">
        <v>3890</v>
      </c>
      <c r="AM594" s="169">
        <v>0.70000000000000007</v>
      </c>
      <c r="AN594" s="167">
        <v>0.08</v>
      </c>
      <c r="AO594" s="170" t="str">
        <f t="shared" si="169"/>
        <v>n/a</v>
      </c>
      <c r="AP594" s="171" t="str">
        <f t="shared" si="170"/>
        <v>n/a</v>
      </c>
      <c r="AQ594" s="172">
        <f t="shared" si="171"/>
        <v>-28.153799382222889</v>
      </c>
      <c r="AR594" s="157">
        <f>INDEX([1]Historical!$C$7:$C$1231,MATCH(B594,[1]Historical!$B$7:$B$1253,0))*IF(AH594="n/a",1.03,IF(AH594&lt;0,1.01,IF(AH594&gt;10,1.1,(1+AH594/100))))</f>
        <v>0.30250000000000005</v>
      </c>
      <c r="AS594" s="166">
        <f t="shared" si="172"/>
        <v>0.30552500000000005</v>
      </c>
      <c r="AT594" s="166">
        <f t="shared" si="173"/>
        <v>0.32168727250000001</v>
      </c>
      <c r="AU594" s="166">
        <f t="shared" si="173"/>
        <v>0.33870452921525002</v>
      </c>
      <c r="AV594" s="166">
        <f t="shared" si="173"/>
        <v>0.35662199881073675</v>
      </c>
      <c r="AW594" s="157">
        <f t="shared" si="174"/>
        <v>1.6250388005259868</v>
      </c>
      <c r="AX594" s="173">
        <f t="shared" si="175"/>
        <v>7.3068291390556972</v>
      </c>
      <c r="AY594" s="174">
        <v>1.01</v>
      </c>
      <c r="AZ594" s="169">
        <v>9.77</v>
      </c>
      <c r="BA594" s="169">
        <v>-19.13</v>
      </c>
      <c r="BB594" s="169">
        <v>0.80999999999999994</v>
      </c>
      <c r="BC594" s="169">
        <v>-6.35</v>
      </c>
      <c r="BD594" s="100"/>
      <c r="BE594" s="77">
        <v>2017</v>
      </c>
      <c r="BF594" s="77">
        <f t="shared" si="176"/>
        <v>1</v>
      </c>
      <c r="BG594" s="175">
        <v>11.600000000000001</v>
      </c>
      <c r="BH594" t="s">
        <v>939</v>
      </c>
      <c r="BI594" t="s">
        <v>940</v>
      </c>
    </row>
    <row r="595" spans="1:64" s="112" customFormat="1" ht="12.75" customHeight="1" x14ac:dyDescent="0.2">
      <c r="A595" s="176" t="s">
        <v>1631</v>
      </c>
      <c r="B595" s="112" t="s">
        <v>871</v>
      </c>
      <c r="C595" s="154" t="s">
        <v>90</v>
      </c>
      <c r="D595" s="154" t="s">
        <v>969</v>
      </c>
      <c r="E595" s="155">
        <v>9</v>
      </c>
      <c r="F595" s="298">
        <v>533</v>
      </c>
      <c r="G595" s="298" t="s">
        <v>104</v>
      </c>
      <c r="H595" s="298" t="s">
        <v>104</v>
      </c>
      <c r="I595" s="156">
        <v>39.85</v>
      </c>
      <c r="J595" s="157">
        <f t="shared" si="162"/>
        <v>3.4127979924717695</v>
      </c>
      <c r="K595" s="158">
        <v>0.34</v>
      </c>
      <c r="L595" s="126">
        <v>4</v>
      </c>
      <c r="M595" s="82">
        <f t="shared" si="163"/>
        <v>1.36</v>
      </c>
      <c r="N595" s="159" t="s">
        <v>183</v>
      </c>
      <c r="O595" s="160">
        <v>0.33</v>
      </c>
      <c r="P595" s="161">
        <v>44636</v>
      </c>
      <c r="Q595" s="161">
        <v>44652</v>
      </c>
      <c r="R595" s="82">
        <f t="shared" si="164"/>
        <v>3.0303030303030329</v>
      </c>
      <c r="S595" s="162">
        <f>IF(INDEX([1]Historical!$D$7:$D$1229,MATCH(B595,[1]Historical!$B$7:$B$1253,0))=0,"n/a",(INDEX([1]Historical!$C$7:$C$1231,MATCH(B595,[1]Historical!$B$7:$B$1253,0))/INDEX([1]Historical!$D$7:$D$1229,MATCH(B595,[1]Historical!$B$7:$B$1253,0))-1)*100)</f>
        <v>2.3255813953488413</v>
      </c>
      <c r="T595" s="162">
        <f>IF(INDEX([1]Historical!$F$7:$F$1222,MATCH(B595,[1]Historical!$B$7:$B$1253,0))=0,"n/a",((INDEX([1]Historical!$C$7:$C$1231,MATCH(B595,[1]Historical!$B$7:$B$1253,0))/INDEX([1]Historical!$F$7:$F$1222,MATCH(B595,[1]Historical!$B$7:$B$1253,0)))^(1/3)-1)*100)</f>
        <v>13.617128057248994</v>
      </c>
      <c r="U595" s="162">
        <f>IF(INDEX([1]Historical!$H$7:$H$1222,MATCH(B595,[1]Historical!$B$7:$B$1253,0))=0,"n/a",((INDEX([1]Historical!$C$7:$C$1231,MATCH(B595,[1]Historical!$B$7:$B$1253,0))/INDEX([1]Historical!$H$7:$H$1222,MATCH(B595,[1]Historical!$B$7:$B$1253,0)))^(1/5)-1)*100)</f>
        <v>22.423992536427463</v>
      </c>
      <c r="V595" s="162">
        <f>IF(INDEX([1]Historical!$N$7:$N$1222,MATCH(B595,[1]Historical!$B$7:$B$1253,0))=0,"n/a",((INDEX([1]Historical!$C$7:$C$1231,MATCH(B595,[1]Historical!$B$7:$B$1253,0))/INDEX([1]Historical!$N$7:$N$1222,MATCH(B595,[1]Historical!$B$7:$B$1253,0)))^(1/10)-1)*100)</f>
        <v>41.85720345070807</v>
      </c>
      <c r="W595" s="163">
        <f t="shared" si="165"/>
        <v>0.53572600861484765</v>
      </c>
      <c r="X595" s="164">
        <f t="shared" si="166"/>
        <v>1.0678091684013078</v>
      </c>
      <c r="Y595" s="180" t="s">
        <v>1753</v>
      </c>
      <c r="Z595" s="157">
        <f t="shared" si="167"/>
        <v>27.698574338085542</v>
      </c>
      <c r="AA595" s="166">
        <f t="shared" si="168"/>
        <v>8.1160896130346227</v>
      </c>
      <c r="AB595" s="126">
        <v>12</v>
      </c>
      <c r="AC595" s="167">
        <v>4.91</v>
      </c>
      <c r="AD595" s="167">
        <v>1.02</v>
      </c>
      <c r="AE595" s="167">
        <v>3.61</v>
      </c>
      <c r="AF595" s="167">
        <v>1.44</v>
      </c>
      <c r="AG595" s="167">
        <v>16</v>
      </c>
      <c r="AH595" s="167">
        <v>114.9</v>
      </c>
      <c r="AI595" s="167">
        <v>3.09</v>
      </c>
      <c r="AJ595" s="167">
        <v>21</v>
      </c>
      <c r="AK595" s="167">
        <v>8</v>
      </c>
      <c r="AL595" s="168">
        <v>6640</v>
      </c>
      <c r="AM595" s="169">
        <v>0.3</v>
      </c>
      <c r="AN595" s="167">
        <v>0.45</v>
      </c>
      <c r="AO595" s="170">
        <f t="shared" si="169"/>
        <v>17.720700915864612</v>
      </c>
      <c r="AP595" s="171">
        <f t="shared" si="170"/>
        <v>25.836790528899233</v>
      </c>
      <c r="AQ595" s="172">
        <f t="shared" si="171"/>
        <v>-27.928526084572415</v>
      </c>
      <c r="AR595" s="157">
        <f>INDEX([1]Historical!$C$7:$C$1231,MATCH(B595,[1]Historical!$B$7:$B$1253,0))*IF(AH595="n/a",1.03,IF(AH595&lt;0,1.01,IF(AH595&gt;10,1.1,(1+AH595/100))))</f>
        <v>1.4520000000000002</v>
      </c>
      <c r="AS595" s="166">
        <f t="shared" si="172"/>
        <v>1.4968668000000001</v>
      </c>
      <c r="AT595" s="166">
        <f t="shared" si="173"/>
        <v>1.6166161440000002</v>
      </c>
      <c r="AU595" s="166">
        <f t="shared" si="173"/>
        <v>1.7459454355200004</v>
      </c>
      <c r="AV595" s="166">
        <f t="shared" si="173"/>
        <v>1.8856210703616005</v>
      </c>
      <c r="AW595" s="157">
        <f t="shared" si="174"/>
        <v>8.1970494498816002</v>
      </c>
      <c r="AX595" s="173">
        <f t="shared" si="175"/>
        <v>20.569760225549814</v>
      </c>
      <c r="AY595" s="174">
        <v>1.37</v>
      </c>
      <c r="AZ595" s="169">
        <v>16.71</v>
      </c>
      <c r="BA595" s="169">
        <v>-26.75</v>
      </c>
      <c r="BB595" s="169">
        <v>-0.02</v>
      </c>
      <c r="BC595" s="169">
        <v>-7.5600000000000005</v>
      </c>
      <c r="BD595" s="100"/>
      <c r="BE595" s="77">
        <v>2014</v>
      </c>
      <c r="BF595" s="77">
        <f t="shared" si="176"/>
        <v>1</v>
      </c>
      <c r="BG595" s="175">
        <v>1.3</v>
      </c>
      <c r="BH595" t="s">
        <v>939</v>
      </c>
      <c r="BI595" t="s">
        <v>940</v>
      </c>
    </row>
    <row r="596" spans="1:64" s="112" customFormat="1" x14ac:dyDescent="0.2">
      <c r="A596" s="112" t="s">
        <v>1632</v>
      </c>
      <c r="B596" s="239" t="s">
        <v>460</v>
      </c>
      <c r="C596" s="154" t="s">
        <v>117</v>
      </c>
      <c r="D596" s="154" t="s">
        <v>957</v>
      </c>
      <c r="E596" s="155">
        <v>22</v>
      </c>
      <c r="F596" s="298">
        <v>159</v>
      </c>
      <c r="G596" s="298" t="s">
        <v>30</v>
      </c>
      <c r="H596" s="298" t="s">
        <v>104</v>
      </c>
      <c r="I596" s="156">
        <v>65.48</v>
      </c>
      <c r="J596" s="157">
        <f t="shared" si="162"/>
        <v>4.1539401343921813</v>
      </c>
      <c r="K596" s="158">
        <v>0.68</v>
      </c>
      <c r="L596" s="126">
        <v>4</v>
      </c>
      <c r="M596" s="82">
        <f t="shared" si="163"/>
        <v>2.72</v>
      </c>
      <c r="N596" s="159" t="s">
        <v>461</v>
      </c>
      <c r="O596" s="160">
        <v>0.66</v>
      </c>
      <c r="P596" s="161">
        <v>44694</v>
      </c>
      <c r="Q596" s="161">
        <v>44718</v>
      </c>
      <c r="R596" s="82">
        <f t="shared" si="164"/>
        <v>3.0303030303030329</v>
      </c>
      <c r="S596" s="162">
        <f>IF(INDEX([1]Historical!$D$7:$D$1229,MATCH(B596,[1]Historical!$B$7:$B$1253,0))=0,"n/a",(INDEX([1]Historical!$C$7:$C$1231,MATCH(B596,[1]Historical!$B$7:$B$1253,0))/INDEX([1]Historical!$D$7:$D$1229,MATCH(B596,[1]Historical!$B$7:$B$1253,0))-1)*100)</f>
        <v>3.1496062992125928</v>
      </c>
      <c r="T596" s="162">
        <f>IF(INDEX([1]Historical!$F$7:$F$1222,MATCH(B596,[1]Historical!$B$7:$B$1253,0))=0,"n/a",((INDEX([1]Historical!$C$7:$C$1231,MATCH(B596,[1]Historical!$B$7:$B$1253,0))/INDEX([1]Historical!$F$7:$F$1222,MATCH(B596,[1]Historical!$B$7:$B$1253,0)))^(1/3)-1)*100)</f>
        <v>3.2542915904445913</v>
      </c>
      <c r="U596" s="162">
        <f>IF(INDEX([1]Historical!$H$7:$H$1222,MATCH(B596,[1]Historical!$B$7:$B$1253,0))=0,"n/a",((INDEX([1]Historical!$C$7:$C$1231,MATCH(B596,[1]Historical!$B$7:$B$1253,0))/INDEX([1]Historical!$H$7:$H$1222,MATCH(B596,[1]Historical!$B$7:$B$1253,0)))^(1/5)-1)*100)</f>
        <v>3.3455793741262507</v>
      </c>
      <c r="V596" s="162">
        <f>IF(INDEX([1]Historical!$N$7:$N$1222,MATCH(B596,[1]Historical!$B$7:$B$1253,0))=0,"n/a",((INDEX([1]Historical!$C$7:$C$1231,MATCH(B596,[1]Historical!$B$7:$B$1253,0))/INDEX([1]Historical!$N$7:$N$1222,MATCH(B596,[1]Historical!$B$7:$B$1253,0)))^(1/10)-1)*100)</f>
        <v>3.4160501715422065</v>
      </c>
      <c r="W596" s="163">
        <f t="shared" si="165"/>
        <v>0.97937067845108927</v>
      </c>
      <c r="X596" s="164" t="str">
        <f t="shared" si="166"/>
        <v>n/a</v>
      </c>
      <c r="Y596" s="153"/>
      <c r="Z596" s="157">
        <f t="shared" si="167"/>
        <v>86.075949367088612</v>
      </c>
      <c r="AA596" s="166">
        <f t="shared" si="168"/>
        <v>20.721518987341774</v>
      </c>
      <c r="AB596" s="126">
        <v>12</v>
      </c>
      <c r="AC596" s="167">
        <v>3.16</v>
      </c>
      <c r="AD596" s="167">
        <v>3.25</v>
      </c>
      <c r="AE596" s="167">
        <v>2.4700000000000002</v>
      </c>
      <c r="AF596" s="167">
        <v>2.2999999999999998</v>
      </c>
      <c r="AG596" s="167">
        <v>11.700000000000001</v>
      </c>
      <c r="AH596" s="167">
        <v>-23.5</v>
      </c>
      <c r="AI596" s="167">
        <v>5.57</v>
      </c>
      <c r="AJ596" s="167">
        <v>-2.6</v>
      </c>
      <c r="AK596" s="167">
        <v>6.4799999999999995</v>
      </c>
      <c r="AL596" s="168">
        <v>69280</v>
      </c>
      <c r="AM596" s="169">
        <v>0.1</v>
      </c>
      <c r="AN596" s="167">
        <v>1.76</v>
      </c>
      <c r="AO596" s="170">
        <f t="shared" si="169"/>
        <v>-13.221999478823342</v>
      </c>
      <c r="AP596" s="171">
        <f t="shared" si="170"/>
        <v>7.4995195085184321</v>
      </c>
      <c r="AQ596" s="172">
        <f t="shared" si="171"/>
        <v>45.540362741957161</v>
      </c>
      <c r="AR596" s="157">
        <f>INDEX([1]Historical!$C$7:$C$1231,MATCH(B596,[1]Historical!$B$7:$B$1253,0))*IF(AH596="n/a",1.03,IF(AH596&lt;0,1.01,IF(AH596&gt;10,1.1,(1+AH596/100))))</f>
        <v>2.6462000000000003</v>
      </c>
      <c r="AS596" s="166">
        <f t="shared" si="172"/>
        <v>2.7935933400000006</v>
      </c>
      <c r="AT596" s="166">
        <f t="shared" si="173"/>
        <v>2.9746181884320007</v>
      </c>
      <c r="AU596" s="166">
        <f t="shared" si="173"/>
        <v>3.1673734470423942</v>
      </c>
      <c r="AV596" s="166">
        <f t="shared" si="173"/>
        <v>3.3726192464107414</v>
      </c>
      <c r="AW596" s="157">
        <f t="shared" si="174"/>
        <v>14.954404221885136</v>
      </c>
      <c r="AX596" s="173">
        <f t="shared" si="175"/>
        <v>22.838124957063432</v>
      </c>
      <c r="AY596" s="174">
        <v>0.52</v>
      </c>
      <c r="AZ596" s="169">
        <v>7.86</v>
      </c>
      <c r="BA596" s="169">
        <v>-18.73</v>
      </c>
      <c r="BB596" s="169">
        <v>-9.4499999999999993</v>
      </c>
      <c r="BC596" s="169">
        <v>-8.7999999999999989</v>
      </c>
      <c r="BD596" s="100"/>
      <c r="BE596" s="77">
        <v>2001</v>
      </c>
      <c r="BF596" s="77">
        <f t="shared" si="176"/>
        <v>3</v>
      </c>
      <c r="BG596" s="175">
        <v>2.6</v>
      </c>
      <c r="BH596" t="s">
        <v>939</v>
      </c>
      <c r="BI596" t="s">
        <v>940</v>
      </c>
      <c r="BJ596"/>
      <c r="BK596"/>
      <c r="BL596"/>
    </row>
    <row r="597" spans="1:64" s="112" customFormat="1" ht="12.75" customHeight="1" x14ac:dyDescent="0.2">
      <c r="A597" s="176" t="s">
        <v>1633</v>
      </c>
      <c r="B597" s="239" t="s">
        <v>705</v>
      </c>
      <c r="C597" s="154" t="s">
        <v>90</v>
      </c>
      <c r="D597" s="154" t="s">
        <v>969</v>
      </c>
      <c r="E597" s="155">
        <v>11</v>
      </c>
      <c r="F597" s="298">
        <v>419</v>
      </c>
      <c r="G597" s="298" t="s">
        <v>88</v>
      </c>
      <c r="H597" s="298" t="s">
        <v>88</v>
      </c>
      <c r="I597" s="156">
        <v>19.5</v>
      </c>
      <c r="J597" s="157">
        <f t="shared" si="162"/>
        <v>2.666666666666667</v>
      </c>
      <c r="K597" s="158">
        <v>0.13</v>
      </c>
      <c r="L597" s="126">
        <v>4</v>
      </c>
      <c r="M597" s="82">
        <f t="shared" si="163"/>
        <v>0.52</v>
      </c>
      <c r="N597" s="159" t="s">
        <v>533</v>
      </c>
      <c r="O597" s="160">
        <v>0.12</v>
      </c>
      <c r="P597" s="161">
        <v>44658</v>
      </c>
      <c r="Q597" s="161">
        <v>44673</v>
      </c>
      <c r="R597" s="82">
        <f t="shared" si="164"/>
        <v>8.333333333333341</v>
      </c>
      <c r="S597" s="162">
        <f>IF(INDEX([1]Historical!$D$7:$D$1229,MATCH(B597,[1]Historical!$B$7:$B$1253,0))=0,"n/a",(INDEX([1]Historical!$C$7:$C$1231,MATCH(B597,[1]Historical!$B$7:$B$1253,0))/INDEX([1]Historical!$D$7:$D$1229,MATCH(B597,[1]Historical!$B$7:$B$1253,0))-1)*100)</f>
        <v>3.2608695652173836</v>
      </c>
      <c r="T597" s="162">
        <f>IF(INDEX([1]Historical!$F$7:$F$1222,MATCH(B597,[1]Historical!$B$7:$B$1253,0))=0,"n/a",((INDEX([1]Historical!$C$7:$C$1231,MATCH(B597,[1]Historical!$B$7:$B$1253,0))/INDEX([1]Historical!$F$7:$F$1222,MATCH(B597,[1]Historical!$B$7:$B$1253,0)))^(1/3)-1)*100)</f>
        <v>3.3733009865599017</v>
      </c>
      <c r="U597" s="162">
        <f>IF(INDEX([1]Historical!$H$7:$H$1222,MATCH(B597,[1]Historical!$B$7:$B$1253,0))=0,"n/a",((INDEX([1]Historical!$C$7:$C$1231,MATCH(B597,[1]Historical!$B$7:$B$1253,0))/INDEX([1]Historical!$H$7:$H$1222,MATCH(B597,[1]Historical!$B$7:$B$1253,0)))^(1/5)-1)*100)</f>
        <v>6.2980048262344379</v>
      </c>
      <c r="V597" s="162">
        <f>IF(INDEX([1]Historical!$N$7:$N$1222,MATCH(B597,[1]Historical!$B$7:$B$1253,0))=0,"n/a",((INDEX([1]Historical!$C$7:$C$1231,MATCH(B597,[1]Historical!$B$7:$B$1253,0))/INDEX([1]Historical!$N$7:$N$1222,MATCH(B597,[1]Historical!$B$7:$B$1253,0)))^(1/10)-1)*100)</f>
        <v>16.860936130231472</v>
      </c>
      <c r="W597" s="163">
        <f t="shared" si="165"/>
        <v>0.37352640313619268</v>
      </c>
      <c r="X597" s="164" t="str">
        <f t="shared" si="166"/>
        <v>n/a</v>
      </c>
      <c r="Y597" s="180"/>
      <c r="Z597" s="157" t="str">
        <f t="shared" si="167"/>
        <v>n/a</v>
      </c>
      <c r="AA597" s="166" t="str">
        <f t="shared" si="168"/>
        <v>n/a</v>
      </c>
      <c r="AB597" s="126">
        <v>12</v>
      </c>
      <c r="AC597" s="167" t="s">
        <v>95</v>
      </c>
      <c r="AD597" s="167" t="s">
        <v>95</v>
      </c>
      <c r="AE597" s="167" t="s">
        <v>95</v>
      </c>
      <c r="AF597" s="167" t="s">
        <v>95</v>
      </c>
      <c r="AG597" s="167" t="s">
        <v>95</v>
      </c>
      <c r="AH597" s="167" t="s">
        <v>95</v>
      </c>
      <c r="AI597" s="167" t="s">
        <v>95</v>
      </c>
      <c r="AJ597" s="167" t="s">
        <v>95</v>
      </c>
      <c r="AK597" s="167" t="s">
        <v>95</v>
      </c>
      <c r="AL597" s="168" t="s">
        <v>95</v>
      </c>
      <c r="AM597" s="169" t="s">
        <v>95</v>
      </c>
      <c r="AN597" s="167" t="s">
        <v>95</v>
      </c>
      <c r="AO597" s="170" t="str">
        <f t="shared" si="169"/>
        <v>n/a</v>
      </c>
      <c r="AP597" s="171">
        <f t="shared" si="170"/>
        <v>8.964671492901104</v>
      </c>
      <c r="AQ597" s="172" t="str">
        <f t="shared" si="171"/>
        <v>n/a</v>
      </c>
      <c r="AR597" s="157">
        <f>INDEX([1]Historical!$C$7:$C$1231,MATCH(B597,[1]Historical!$B$7:$B$1253,0))*IF(AH597="n/a",1.03,IF(AH597&lt;0,1.01,IF(AH597&gt;10,1.1,(1+AH597/100))))</f>
        <v>0.48924999999999996</v>
      </c>
      <c r="AS597" s="166">
        <f t="shared" si="172"/>
        <v>0.50392749999999997</v>
      </c>
      <c r="AT597" s="166">
        <f t="shared" si="173"/>
        <v>0.519045325</v>
      </c>
      <c r="AU597" s="166">
        <f t="shared" si="173"/>
        <v>0.53461668475000002</v>
      </c>
      <c r="AV597" s="166">
        <f t="shared" si="173"/>
        <v>0.55065518529250002</v>
      </c>
      <c r="AW597" s="157">
        <f t="shared" si="174"/>
        <v>2.5974946950424997</v>
      </c>
      <c r="AX597" s="173">
        <f t="shared" si="175"/>
        <v>13.320485615602562</v>
      </c>
      <c r="AY597" s="174" t="s">
        <v>95</v>
      </c>
      <c r="AZ597" s="169" t="s">
        <v>95</v>
      </c>
      <c r="BA597" s="169" t="s">
        <v>95</v>
      </c>
      <c r="BB597" s="169" t="s">
        <v>95</v>
      </c>
      <c r="BC597" s="169" t="s">
        <v>95</v>
      </c>
      <c r="BD597" s="100" t="s">
        <v>932</v>
      </c>
      <c r="BE597" s="77">
        <v>2012</v>
      </c>
      <c r="BF597" s="77">
        <f t="shared" si="176"/>
        <v>1</v>
      </c>
      <c r="BG597" s="175" t="s">
        <v>95</v>
      </c>
      <c r="BH597" t="s">
        <v>939</v>
      </c>
      <c r="BI597" t="s">
        <v>940</v>
      </c>
      <c r="BJ597"/>
      <c r="BK597"/>
      <c r="BL597"/>
    </row>
    <row r="598" spans="1:64" s="112" customFormat="1" ht="12.75" customHeight="1" x14ac:dyDescent="0.2">
      <c r="A598" s="112" t="s">
        <v>1634</v>
      </c>
      <c r="B598" s="239" t="s">
        <v>458</v>
      </c>
      <c r="C598" s="154" t="s">
        <v>96</v>
      </c>
      <c r="D598" s="154" t="s">
        <v>980</v>
      </c>
      <c r="E598" s="155">
        <v>40</v>
      </c>
      <c r="F598" s="298">
        <v>69</v>
      </c>
      <c r="G598" s="298" t="s">
        <v>30</v>
      </c>
      <c r="H598" s="298" t="s">
        <v>30</v>
      </c>
      <c r="I598" s="167">
        <v>62.08</v>
      </c>
      <c r="J598" s="157">
        <f t="shared" si="162"/>
        <v>3.1572164948453607</v>
      </c>
      <c r="K598" s="158">
        <v>0.49</v>
      </c>
      <c r="L598" s="126">
        <v>4</v>
      </c>
      <c r="M598" s="82">
        <f t="shared" si="163"/>
        <v>1.96</v>
      </c>
      <c r="N598" s="159" t="s">
        <v>251</v>
      </c>
      <c r="O598" s="160">
        <v>0.45</v>
      </c>
      <c r="P598" s="161">
        <v>44690</v>
      </c>
      <c r="Q598" s="161">
        <v>44722</v>
      </c>
      <c r="R598" s="82">
        <f t="shared" si="164"/>
        <v>8.888888888888884</v>
      </c>
      <c r="S598" s="162">
        <f>IF(INDEX([1]Historical!$D$7:$D$1229,MATCH(B598,[1]Historical!$B$7:$B$1253,0))=0,"n/a",(INDEX([1]Historical!$C$7:$C$1231,MATCH(B598,[1]Historical!$B$7:$B$1253,0))/INDEX([1]Historical!$D$7:$D$1229,MATCH(B598,[1]Historical!$B$7:$B$1253,0))-1)*100)</f>
        <v>4.6511627906976827</v>
      </c>
      <c r="T598" s="162">
        <f>IF(INDEX([1]Historical!$F$7:$F$1222,MATCH(B598,[1]Historical!$B$7:$B$1253,0))=0,"n/a",((INDEX([1]Historical!$C$7:$C$1231,MATCH(B598,[1]Historical!$B$7:$B$1253,0))/INDEX([1]Historical!$F$7:$F$1222,MATCH(B598,[1]Historical!$B$7:$B$1253,0)))^(1/3)-1)*100)</f>
        <v>3.5744168651286268</v>
      </c>
      <c r="U598" s="162">
        <f>IF(INDEX([1]Historical!$H$7:$H$1222,MATCH(B598,[1]Historical!$B$7:$B$1253,0))=0,"n/a",((INDEX([1]Historical!$C$7:$C$1231,MATCH(B598,[1]Historical!$B$7:$B$1253,0))/INDEX([1]Historical!$H$7:$H$1222,MATCH(B598,[1]Historical!$B$7:$B$1253,0)))^(1/5)-1)*100)</f>
        <v>4.2758959076891534</v>
      </c>
      <c r="V598" s="162">
        <f>IF(INDEX([1]Historical!$N$7:$N$1222,MATCH(B598,[1]Historical!$B$7:$B$1253,0))=0,"n/a",((INDEX([1]Historical!$C$7:$C$1231,MATCH(B598,[1]Historical!$B$7:$B$1253,0))/INDEX([1]Historical!$N$7:$N$1222,MATCH(B598,[1]Historical!$B$7:$B$1253,0)))^(1/10)-1)*100)</f>
        <v>4.5821260787133333</v>
      </c>
      <c r="W598" s="163">
        <f t="shared" si="165"/>
        <v>0.93316854103015656</v>
      </c>
      <c r="X598" s="164" t="str">
        <f t="shared" si="166"/>
        <v>n/a</v>
      </c>
      <c r="Y598" s="220"/>
      <c r="Z598" s="157">
        <f t="shared" si="167"/>
        <v>45.687645687645684</v>
      </c>
      <c r="AA598" s="166">
        <f t="shared" si="168"/>
        <v>14.470862470862471</v>
      </c>
      <c r="AB598" s="126">
        <v>12</v>
      </c>
      <c r="AC598" s="167">
        <v>4.29</v>
      </c>
      <c r="AD598" s="167">
        <v>1.1200000000000001</v>
      </c>
      <c r="AE598" s="167">
        <v>0.94</v>
      </c>
      <c r="AF598" s="167">
        <v>3.29</v>
      </c>
      <c r="AG598" s="167">
        <v>22.5</v>
      </c>
      <c r="AH598" s="167">
        <v>-141.9</v>
      </c>
      <c r="AI598" s="167">
        <v>-5.82</v>
      </c>
      <c r="AJ598" s="167">
        <v>-18.2</v>
      </c>
      <c r="AK598" s="167">
        <v>13.51</v>
      </c>
      <c r="AL598" s="168">
        <v>6170</v>
      </c>
      <c r="AM598" s="169">
        <v>0.1</v>
      </c>
      <c r="AN598" s="167">
        <v>1.62</v>
      </c>
      <c r="AO598" s="170">
        <f t="shared" si="169"/>
        <v>-7.0377500683279575</v>
      </c>
      <c r="AP598" s="171">
        <f t="shared" si="170"/>
        <v>7.4331124025345137</v>
      </c>
      <c r="AQ598" s="172">
        <f t="shared" si="171"/>
        <v>45.463454790599123</v>
      </c>
      <c r="AR598" s="157">
        <f>INDEX([1]Historical!$C$7:$C$1231,MATCH(B598,[1]Historical!$B$7:$B$1253,0))*IF(AH598="n/a",1.03,IF(AH598&lt;0,1.01,IF(AH598&gt;10,1.1,(1+AH598/100))))</f>
        <v>1.8180000000000001</v>
      </c>
      <c r="AS598" s="166">
        <f t="shared" si="172"/>
        <v>1.8361800000000001</v>
      </c>
      <c r="AT598" s="166">
        <f t="shared" si="173"/>
        <v>2.0197980000000002</v>
      </c>
      <c r="AU598" s="166">
        <f t="shared" si="173"/>
        <v>2.2217778000000004</v>
      </c>
      <c r="AV598" s="166">
        <f t="shared" si="173"/>
        <v>2.4439555800000008</v>
      </c>
      <c r="AW598" s="157">
        <f t="shared" si="174"/>
        <v>10.339711380000001</v>
      </c>
      <c r="AX598" s="173">
        <f t="shared" si="175"/>
        <v>16.655462918814436</v>
      </c>
      <c r="AY598" s="174">
        <v>0.76</v>
      </c>
      <c r="AZ598" s="169">
        <v>20.5</v>
      </c>
      <c r="BA598" s="169">
        <v>-7.4300000000000006</v>
      </c>
      <c r="BB598" s="169">
        <v>1.18</v>
      </c>
      <c r="BC598" s="169">
        <v>3.81</v>
      </c>
      <c r="BD598" s="100"/>
      <c r="BE598" s="77">
        <v>1983</v>
      </c>
      <c r="BF598" s="77">
        <f t="shared" si="176"/>
        <v>4</v>
      </c>
      <c r="BG598" s="175">
        <v>7.1</v>
      </c>
      <c r="BH598" t="s">
        <v>939</v>
      </c>
      <c r="BI598" t="s">
        <v>940</v>
      </c>
      <c r="BJ598"/>
      <c r="BK598"/>
      <c r="BL598"/>
    </row>
    <row r="599" spans="1:64" s="112" customFormat="1" ht="12.75" customHeight="1" x14ac:dyDescent="0.2">
      <c r="A599" s="205" t="s">
        <v>1635</v>
      </c>
      <c r="B599" s="239" t="s">
        <v>1190</v>
      </c>
      <c r="C599" s="154" t="s">
        <v>100</v>
      </c>
      <c r="D599" s="154" t="s">
        <v>1043</v>
      </c>
      <c r="E599" s="155">
        <v>6</v>
      </c>
      <c r="F599" s="298">
        <v>643</v>
      </c>
      <c r="G599" s="298" t="s">
        <v>88</v>
      </c>
      <c r="H599" s="298" t="s">
        <v>88</v>
      </c>
      <c r="I599" s="156">
        <v>67.47</v>
      </c>
      <c r="J599" s="157">
        <f t="shared" si="162"/>
        <v>0.80895212687120199</v>
      </c>
      <c r="K599" s="158">
        <v>0.27289999999999998</v>
      </c>
      <c r="L599" s="126">
        <v>2</v>
      </c>
      <c r="M599" s="82">
        <f t="shared" si="163"/>
        <v>0.54579999999999995</v>
      </c>
      <c r="N599" s="159" t="s">
        <v>925</v>
      </c>
      <c r="O599" s="160">
        <v>0.2276</v>
      </c>
      <c r="P599" s="182">
        <v>44284</v>
      </c>
      <c r="Q599" s="182">
        <v>44351</v>
      </c>
      <c r="R599" s="82">
        <f t="shared" si="164"/>
        <v>19.90333919156414</v>
      </c>
      <c r="S599" s="162">
        <f>IF(INDEX([1]Historical!$D$7:$D$1229,MATCH(B599,[1]Historical!$B$7:$B$1253,0))=0,"n/a",(INDEX([1]Historical!$C$7:$C$1231,MATCH(B599,[1]Historical!$B$7:$B$1253,0))/INDEX([1]Historical!$D$7:$D$1229,MATCH(B599,[1]Historical!$B$7:$B$1253,0))-1)*100)</f>
        <v>15.363188343689727</v>
      </c>
      <c r="T599" s="162">
        <f>IF(INDEX([1]Historical!$F$7:$F$1222,MATCH(B599,[1]Historical!$B$7:$B$1253,0))=0,"n/a",((INDEX([1]Historical!$C$7:$C$1231,MATCH(B599,[1]Historical!$B$7:$B$1253,0))/INDEX([1]Historical!$F$7:$F$1222,MATCH(B599,[1]Historical!$B$7:$B$1253,0)))^(1/3)-1)*100)</f>
        <v>25.976508046397839</v>
      </c>
      <c r="U599" s="162">
        <f>IF(INDEX([1]Historical!$H$7:$H$1222,MATCH(B599,[1]Historical!$B$7:$B$1253,0))=0,"n/a",((INDEX([1]Historical!$C$7:$C$1231,MATCH(B599,[1]Historical!$B$7:$B$1253,0))/INDEX([1]Historical!$H$7:$H$1222,MATCH(B599,[1]Historical!$B$7:$B$1253,0)))^(1/5)-1)*100)</f>
        <v>24.777709673280945</v>
      </c>
      <c r="V599" s="162">
        <f>IF(INDEX([1]Historical!$N$7:$N$1222,MATCH(B599,[1]Historical!$B$7:$B$1253,0))=0,"n/a",((INDEX([1]Historical!$C$7:$C$1231,MATCH(B599,[1]Historical!$B$7:$B$1253,0))/INDEX([1]Historical!$N$7:$N$1222,MATCH(B599,[1]Historical!$B$7:$B$1253,0)))^(1/10)-1)*100)</f>
        <v>5.4597791806450413</v>
      </c>
      <c r="W599" s="163">
        <f t="shared" si="165"/>
        <v>4.5382256046394902</v>
      </c>
      <c r="X599" s="164">
        <f t="shared" si="166"/>
        <v>0.37886406228258324</v>
      </c>
      <c r="Y599" s="178" t="s">
        <v>1191</v>
      </c>
      <c r="Z599" s="157">
        <f t="shared" si="167"/>
        <v>11.230452674897117</v>
      </c>
      <c r="AA599" s="166">
        <f t="shared" si="168"/>
        <v>13.882716049382715</v>
      </c>
      <c r="AB599" s="126">
        <v>3</v>
      </c>
      <c r="AC599" s="167">
        <v>4.8600000000000003</v>
      </c>
      <c r="AD599" s="167">
        <v>1.2</v>
      </c>
      <c r="AE599" s="167">
        <v>1.25</v>
      </c>
      <c r="AF599" s="167">
        <v>1.77</v>
      </c>
      <c r="AG599" s="167">
        <v>12.5</v>
      </c>
      <c r="AH599" s="167">
        <v>-14.399999999999999</v>
      </c>
      <c r="AI599" s="167">
        <v>4.5999999999999996</v>
      </c>
      <c r="AJ599" s="167">
        <v>65.400000000000006</v>
      </c>
      <c r="AK599" s="167">
        <v>11.600000000000001</v>
      </c>
      <c r="AL599" s="168">
        <v>85050</v>
      </c>
      <c r="AM599" s="169">
        <v>6.9999999999999993E-2</v>
      </c>
      <c r="AN599" s="167">
        <v>0.48</v>
      </c>
      <c r="AO599" s="170">
        <f t="shared" si="169"/>
        <v>11.703945750769432</v>
      </c>
      <c r="AP599" s="171">
        <f t="shared" si="170"/>
        <v>25.586661800152147</v>
      </c>
      <c r="AQ599" s="172">
        <f t="shared" si="171"/>
        <v>4.5039231744327335</v>
      </c>
      <c r="AR599" s="157">
        <f>INDEX([1]Historical!$C$7:$C$1231,MATCH(B599,[1]Historical!$B$7:$B$1253,0))*IF(AH599="n/a",1.03,IF(AH599&lt;0,1.01,IF(AH599&gt;10,1.1,(1+AH599/100))))</f>
        <v>0.54378400000000005</v>
      </c>
      <c r="AS599" s="166">
        <f t="shared" si="172"/>
        <v>0.5687980640000001</v>
      </c>
      <c r="AT599" s="166">
        <f t="shared" ref="AT599:AV614" si="177">IF($AK599="n/a",1.03*AS599,IF($AK599&lt;0,1.01*AS599,IF($AK599&gt;10,1.1*AS599,(1+$AK599/100)*AS599)))</f>
        <v>0.62567787040000011</v>
      </c>
      <c r="AU599" s="166">
        <f t="shared" si="177"/>
        <v>0.68824565744000021</v>
      </c>
      <c r="AV599" s="166">
        <f t="shared" si="177"/>
        <v>0.7570702231840003</v>
      </c>
      <c r="AW599" s="157">
        <f t="shared" si="174"/>
        <v>3.183575815024001</v>
      </c>
      <c r="AX599" s="173">
        <f t="shared" si="175"/>
        <v>4.7185057285074858</v>
      </c>
      <c r="AY599" s="174">
        <v>0.95</v>
      </c>
      <c r="AZ599" s="169">
        <v>9.32</v>
      </c>
      <c r="BA599" s="169">
        <v>-49.559999999999995</v>
      </c>
      <c r="BB599" s="169">
        <v>-5.4</v>
      </c>
      <c r="BC599" s="169">
        <v>-23.62</v>
      </c>
      <c r="BD599" s="100"/>
      <c r="BE599" s="77">
        <v>2016</v>
      </c>
      <c r="BF599" s="77">
        <f t="shared" si="176"/>
        <v>1</v>
      </c>
      <c r="BG599" s="175">
        <v>3</v>
      </c>
      <c r="BH599" t="s">
        <v>1192</v>
      </c>
      <c r="BI599" t="s">
        <v>940</v>
      </c>
    </row>
    <row r="600" spans="1:64" s="112" customFormat="1" ht="12.75" customHeight="1" x14ac:dyDescent="0.2">
      <c r="A600" s="176" t="s">
        <v>734</v>
      </c>
      <c r="B600" s="301" t="s">
        <v>735</v>
      </c>
      <c r="C600" s="154" t="s">
        <v>90</v>
      </c>
      <c r="D600" s="154" t="s">
        <v>972</v>
      </c>
      <c r="E600" s="155">
        <v>49</v>
      </c>
      <c r="F600" s="298">
        <v>47</v>
      </c>
      <c r="G600" s="298" t="s">
        <v>30</v>
      </c>
      <c r="H600" s="298" t="s">
        <v>30</v>
      </c>
      <c r="I600" s="167">
        <v>321.25</v>
      </c>
      <c r="J600" s="157">
        <f t="shared" si="162"/>
        <v>1.0583657587548638</v>
      </c>
      <c r="K600" s="158">
        <v>0.85</v>
      </c>
      <c r="L600" s="126">
        <v>4</v>
      </c>
      <c r="M600" s="82">
        <f t="shared" si="163"/>
        <v>3.4</v>
      </c>
      <c r="N600" s="159" t="s">
        <v>93</v>
      </c>
      <c r="O600" s="160">
        <v>0.77</v>
      </c>
      <c r="P600" s="161">
        <v>44707</v>
      </c>
      <c r="Q600" s="161">
        <v>44722</v>
      </c>
      <c r="R600" s="82">
        <f t="shared" si="164"/>
        <v>10.389610389610384</v>
      </c>
      <c r="S600" s="162">
        <f>IF(INDEX([1]Historical!$D$7:$D$1229,MATCH(B600,[1]Historical!$B$7:$B$1253,0))=0,"n/a",(INDEX([1]Historical!$C$7:$C$1231,MATCH(B600,[1]Historical!$B$7:$B$1253,0))/INDEX([1]Historical!$D$7:$D$1229,MATCH(B600,[1]Historical!$B$7:$B$1253,0))-1)*100)</f>
        <v>14.925373134328357</v>
      </c>
      <c r="T600" s="162">
        <f>IF(INDEX([1]Historical!$F$7:$F$1222,MATCH(B600,[1]Historical!$B$7:$B$1253,0))=0,"n/a",((INDEX([1]Historical!$C$7:$C$1231,MATCH(B600,[1]Historical!$B$7:$B$1253,0))/INDEX([1]Historical!$F$7:$F$1222,MATCH(B600,[1]Historical!$B$7:$B$1253,0)))^(1/3)-1)*100)</f>
        <v>15.480035029154561</v>
      </c>
      <c r="U600" s="162">
        <f>IF(INDEX([1]Historical!$H$7:$H$1222,MATCH(B600,[1]Historical!$B$7:$B$1253,0))=0,"n/a",((INDEX([1]Historical!$C$7:$C$1231,MATCH(B600,[1]Historical!$B$7:$B$1253,0))/INDEX([1]Historical!$H$7:$H$1222,MATCH(B600,[1]Historical!$B$7:$B$1253,0)))^(1/5)-1)*100)</f>
        <v>16.422694085903579</v>
      </c>
      <c r="V600" s="162">
        <f>IF(INDEX([1]Historical!$N$7:$N$1222,MATCH(B600,[1]Historical!$B$7:$B$1253,0))=0,"n/a",((INDEX([1]Historical!$C$7:$C$1231,MATCH(B600,[1]Historical!$B$7:$B$1253,0))/INDEX([1]Historical!$N$7:$N$1222,MATCH(B600,[1]Historical!$B$7:$B$1253,0)))^(1/10)-1)*100)</f>
        <v>11.906437833447958</v>
      </c>
      <c r="W600" s="163">
        <f t="shared" si="165"/>
        <v>1.3793121264000896</v>
      </c>
      <c r="X600" s="164">
        <f t="shared" si="166"/>
        <v>1.7287046406214295</v>
      </c>
      <c r="Y600" s="249"/>
      <c r="Z600" s="157">
        <f t="shared" si="167"/>
        <v>28.428093645484946</v>
      </c>
      <c r="AA600" s="166">
        <f t="shared" si="168"/>
        <v>26.860367892976587</v>
      </c>
      <c r="AB600" s="126">
        <v>12</v>
      </c>
      <c r="AC600" s="167">
        <v>11.96</v>
      </c>
      <c r="AD600" s="167">
        <v>3.3</v>
      </c>
      <c r="AE600" s="167">
        <v>10.31</v>
      </c>
      <c r="AF600" s="235">
        <v>2.8</v>
      </c>
      <c r="AG600" s="179">
        <v>16.900000000000002</v>
      </c>
      <c r="AH600" s="167">
        <v>29.4</v>
      </c>
      <c r="AI600" s="167">
        <v>17.96</v>
      </c>
      <c r="AJ600" s="167">
        <v>9.5</v>
      </c>
      <c r="AK600" s="167">
        <v>8.2799999999999994</v>
      </c>
      <c r="AL600" s="168">
        <v>106490</v>
      </c>
      <c r="AM600" s="169">
        <v>0.1</v>
      </c>
      <c r="AN600" s="235">
        <v>0.27</v>
      </c>
      <c r="AO600" s="170">
        <f t="shared" si="169"/>
        <v>-9.3793080483181441</v>
      </c>
      <c r="AP600" s="171">
        <f t="shared" si="170"/>
        <v>17.481059844658443</v>
      </c>
      <c r="AQ600" s="172">
        <f t="shared" si="171"/>
        <v>82.828432143768708</v>
      </c>
      <c r="AR600" s="157">
        <f>INDEX([1]Historical!$C$7:$C$1231,MATCH(B600,[1]Historical!$B$7:$B$1253,0))*IF(AH600="n/a",1.03,IF(AH600&lt;0,1.01,IF(AH600&gt;10,1.1,(1+AH600/100))))</f>
        <v>3.3880000000000003</v>
      </c>
      <c r="AS600" s="166">
        <f t="shared" si="172"/>
        <v>3.7268000000000008</v>
      </c>
      <c r="AT600" s="166">
        <f t="shared" si="177"/>
        <v>4.0353790400000005</v>
      </c>
      <c r="AU600" s="166">
        <f t="shared" si="177"/>
        <v>4.3695084245120004</v>
      </c>
      <c r="AV600" s="166">
        <f t="shared" si="177"/>
        <v>4.7313037220615941</v>
      </c>
      <c r="AW600" s="157">
        <f t="shared" si="174"/>
        <v>20.250991186573597</v>
      </c>
      <c r="AX600" s="173">
        <f t="shared" si="175"/>
        <v>6.3038104860929476</v>
      </c>
      <c r="AY600" s="174">
        <v>1.07</v>
      </c>
      <c r="AZ600" s="169">
        <v>15.010000000000002</v>
      </c>
      <c r="BA600" s="169">
        <v>-33.650000000000006</v>
      </c>
      <c r="BB600" s="169">
        <v>-3.01</v>
      </c>
      <c r="BC600" s="169">
        <v>-11.68</v>
      </c>
      <c r="BD600" s="100"/>
      <c r="BE600" s="77">
        <v>1974</v>
      </c>
      <c r="BF600" s="77">
        <f t="shared" si="176"/>
        <v>5</v>
      </c>
      <c r="BG600" s="175">
        <v>8.7999999999999989</v>
      </c>
      <c r="BH600" t="s">
        <v>939</v>
      </c>
      <c r="BI600" t="s">
        <v>940</v>
      </c>
      <c r="BJ600"/>
      <c r="BK600"/>
      <c r="BL600"/>
    </row>
    <row r="601" spans="1:64" s="112" customFormat="1" ht="12.75" customHeight="1" x14ac:dyDescent="0.2">
      <c r="A601" s="176" t="s">
        <v>642</v>
      </c>
      <c r="B601" s="239" t="s">
        <v>643</v>
      </c>
      <c r="C601" s="154" t="s">
        <v>127</v>
      </c>
      <c r="D601" s="154" t="s">
        <v>973</v>
      </c>
      <c r="E601" s="155">
        <v>12</v>
      </c>
      <c r="F601" s="298">
        <v>351</v>
      </c>
      <c r="G601" s="298" t="s">
        <v>88</v>
      </c>
      <c r="H601" s="298" t="s">
        <v>88</v>
      </c>
      <c r="I601" s="156">
        <v>35.71</v>
      </c>
      <c r="J601" s="157">
        <f t="shared" si="162"/>
        <v>2.3522822738728646</v>
      </c>
      <c r="K601" s="158">
        <v>0.21</v>
      </c>
      <c r="L601" s="126">
        <v>4</v>
      </c>
      <c r="M601" s="82">
        <f t="shared" si="163"/>
        <v>0.84</v>
      </c>
      <c r="N601" s="159" t="s">
        <v>628</v>
      </c>
      <c r="O601" s="160">
        <v>0.2</v>
      </c>
      <c r="P601" s="161">
        <v>44636</v>
      </c>
      <c r="Q601" s="161">
        <v>44651</v>
      </c>
      <c r="R601" s="82">
        <f t="shared" si="164"/>
        <v>4.9999999999999902</v>
      </c>
      <c r="S601" s="162">
        <f>IF(INDEX([1]Historical!$D$7:$D$1229,MATCH(B601,[1]Historical!$B$7:$B$1253,0))=0,"n/a",(INDEX([1]Historical!$C$7:$C$1231,MATCH(B601,[1]Historical!$B$7:$B$1253,0))/INDEX([1]Historical!$D$7:$D$1229,MATCH(B601,[1]Historical!$B$7:$B$1253,0))-1)*100)</f>
        <v>3.8961038961039085</v>
      </c>
      <c r="T601" s="162">
        <f>IF(INDEX([1]Historical!$F$7:$F$1222,MATCH(B601,[1]Historical!$B$7:$B$1253,0))=0,"n/a",((INDEX([1]Historical!$C$7:$C$1231,MATCH(B601,[1]Historical!$B$7:$B$1253,0))/INDEX([1]Historical!$F$7:$F$1222,MATCH(B601,[1]Historical!$B$7:$B$1253,0)))^(1/3)-1)*100)</f>
        <v>3.5744168651286268</v>
      </c>
      <c r="U601" s="162">
        <f>IF(INDEX([1]Historical!$H$7:$H$1222,MATCH(B601,[1]Historical!$B$7:$B$1253,0))=0,"n/a",((INDEX([1]Historical!$C$7:$C$1231,MATCH(B601,[1]Historical!$B$7:$B$1253,0))/INDEX([1]Historical!$H$7:$H$1222,MATCH(B601,[1]Historical!$B$7:$B$1253,0)))^(1/5)-1)*100)</f>
        <v>5.9223841048812176</v>
      </c>
      <c r="V601" s="162">
        <f>IF(INDEX([1]Historical!$N$7:$N$1222,MATCH(B601,[1]Historical!$B$7:$B$1253,0))=0,"n/a",((INDEX([1]Historical!$C$7:$C$1231,MATCH(B601,[1]Historical!$B$7:$B$1253,0))/INDEX([1]Historical!$N$7:$N$1222,MATCH(B601,[1]Historical!$B$7:$B$1253,0)))^(1/10)-1)*100)</f>
        <v>12.562152718685105</v>
      </c>
      <c r="W601" s="163">
        <f t="shared" si="165"/>
        <v>0.471446593390971</v>
      </c>
      <c r="X601" s="164">
        <f t="shared" si="166"/>
        <v>0.95522324272277703</v>
      </c>
      <c r="Y601" s="153"/>
      <c r="Z601" s="157">
        <f t="shared" si="167"/>
        <v>49.122807017543856</v>
      </c>
      <c r="AA601" s="166">
        <f t="shared" si="168"/>
        <v>20.883040935672515</v>
      </c>
      <c r="AB601" s="126">
        <v>12</v>
      </c>
      <c r="AC601" s="167">
        <v>1.71</v>
      </c>
      <c r="AD601" s="167" t="s">
        <v>95</v>
      </c>
      <c r="AE601" s="167">
        <v>0.13</v>
      </c>
      <c r="AF601" s="167">
        <v>1.58</v>
      </c>
      <c r="AG601" s="167">
        <v>7.8</v>
      </c>
      <c r="AH601" s="179">
        <v>-3.1</v>
      </c>
      <c r="AI601" s="179">
        <v>11.42</v>
      </c>
      <c r="AJ601" s="167">
        <v>6.2</v>
      </c>
      <c r="AK601" s="167">
        <v>-8.6999999999999993</v>
      </c>
      <c r="AL601" s="168">
        <v>1230</v>
      </c>
      <c r="AM601" s="169">
        <v>0.2</v>
      </c>
      <c r="AN601" s="167">
        <v>0.61</v>
      </c>
      <c r="AO601" s="170">
        <f t="shared" si="169"/>
        <v>-12.608374556918433</v>
      </c>
      <c r="AP601" s="171">
        <f t="shared" si="170"/>
        <v>8.2746663787540822</v>
      </c>
      <c r="AQ601" s="172">
        <f t="shared" si="171"/>
        <v>21.09721471861188</v>
      </c>
      <c r="AR601" s="157">
        <f>INDEX([1]Historical!$C$7:$C$1231,MATCH(B601,[1]Historical!$B$7:$B$1253,0))*IF(AH601="n/a",1.03,IF(AH601&lt;0,1.01,IF(AH601&gt;10,1.1,(1+AH601/100))))</f>
        <v>0.80800000000000005</v>
      </c>
      <c r="AS601" s="166">
        <f t="shared" si="172"/>
        <v>0.88880000000000015</v>
      </c>
      <c r="AT601" s="166">
        <f t="shared" si="177"/>
        <v>0.89768800000000015</v>
      </c>
      <c r="AU601" s="166">
        <f t="shared" si="177"/>
        <v>0.90666488000000012</v>
      </c>
      <c r="AV601" s="166">
        <f t="shared" si="177"/>
        <v>0.91573152880000008</v>
      </c>
      <c r="AW601" s="157">
        <f t="shared" si="174"/>
        <v>4.4168844088000005</v>
      </c>
      <c r="AX601" s="173">
        <f t="shared" si="175"/>
        <v>12.368760595911512</v>
      </c>
      <c r="AY601" s="174">
        <v>0.74</v>
      </c>
      <c r="AZ601" s="169">
        <v>56.35</v>
      </c>
      <c r="BA601" s="169">
        <v>-4.72</v>
      </c>
      <c r="BB601" s="169">
        <v>14.62</v>
      </c>
      <c r="BC601" s="169">
        <v>14.6</v>
      </c>
      <c r="BD601" s="100"/>
      <c r="BE601" s="77">
        <v>2011</v>
      </c>
      <c r="BF601" s="77">
        <f t="shared" si="176"/>
        <v>1</v>
      </c>
      <c r="BG601" s="175">
        <v>2.7</v>
      </c>
      <c r="BH601" t="s">
        <v>939</v>
      </c>
      <c r="BI601" t="s">
        <v>940</v>
      </c>
      <c r="BJ601"/>
      <c r="BK601"/>
      <c r="BL601"/>
    </row>
    <row r="602" spans="1:64" s="112" customFormat="1" ht="12.75" customHeight="1" x14ac:dyDescent="0.2">
      <c r="A602" s="176" t="s">
        <v>738</v>
      </c>
      <c r="B602" s="239" t="s">
        <v>739</v>
      </c>
      <c r="C602" s="154" t="s">
        <v>117</v>
      </c>
      <c r="D602" s="154" t="s">
        <v>979</v>
      </c>
      <c r="E602" s="155">
        <v>19</v>
      </c>
      <c r="F602" s="298">
        <v>187</v>
      </c>
      <c r="G602" s="298" t="s">
        <v>30</v>
      </c>
      <c r="H602" s="298" t="s">
        <v>30</v>
      </c>
      <c r="I602" s="156">
        <v>69.81</v>
      </c>
      <c r="J602" s="157">
        <f t="shared" si="162"/>
        <v>3.9249391204698467</v>
      </c>
      <c r="K602" s="158">
        <v>0.68500000000000005</v>
      </c>
      <c r="L602" s="126">
        <v>4</v>
      </c>
      <c r="M602" s="82">
        <f t="shared" si="163"/>
        <v>2.74</v>
      </c>
      <c r="N602" s="159" t="s">
        <v>99</v>
      </c>
      <c r="O602" s="160">
        <v>0.65</v>
      </c>
      <c r="P602" s="161">
        <v>44539</v>
      </c>
      <c r="Q602" s="161">
        <v>44565</v>
      </c>
      <c r="R602" s="82">
        <f t="shared" si="164"/>
        <v>5.3846153846153895</v>
      </c>
      <c r="S602" s="162">
        <f>IF(INDEX([1]Historical!$D$7:$D$1229,MATCH(B602,[1]Historical!$B$7:$B$1253,0))=0,"n/a",(INDEX([1]Historical!$C$7:$C$1231,MATCH(B602,[1]Historical!$B$7:$B$1253,0))/INDEX([1]Historical!$D$7:$D$1229,MATCH(B602,[1]Historical!$B$7:$B$1253,0))-1)*100)</f>
        <v>4.417670682730912</v>
      </c>
      <c r="T602" s="162">
        <f>IF(INDEX([1]Historical!$F$7:$F$1222,MATCH(B602,[1]Historical!$B$7:$B$1253,0))=0,"n/a",((INDEX([1]Historical!$C$7:$C$1231,MATCH(B602,[1]Historical!$B$7:$B$1253,0))/INDEX([1]Historical!$F$7:$F$1222,MATCH(B602,[1]Historical!$B$7:$B$1253,0)))^(1/3)-1)*100)</f>
        <v>4.9373944420962435</v>
      </c>
      <c r="U602" s="162">
        <f>IF(INDEX([1]Historical!$H$7:$H$1222,MATCH(B602,[1]Historical!$B$7:$B$1253,0))=0,"n/a",((INDEX([1]Historical!$C$7:$C$1231,MATCH(B602,[1]Historical!$B$7:$B$1253,0))/INDEX([1]Historical!$H$7:$H$1222,MATCH(B602,[1]Historical!$B$7:$B$1253,0)))^(1/5)-1)*100)</f>
        <v>5.814078782077714</v>
      </c>
      <c r="V602" s="162">
        <f>IF(INDEX([1]Historical!$N$7:$N$1222,MATCH(B602,[1]Historical!$B$7:$B$1253,0))=0,"n/a",((INDEX([1]Historical!$C$7:$C$1231,MATCH(B602,[1]Historical!$B$7:$B$1253,0))/INDEX([1]Historical!$N$7:$N$1222,MATCH(B602,[1]Historical!$B$7:$B$1253,0)))^(1/10)-1)*100)</f>
        <v>4.844543561189929</v>
      </c>
      <c r="W602" s="163">
        <f t="shared" si="165"/>
        <v>1.200129322534081</v>
      </c>
      <c r="X602" s="164">
        <f t="shared" si="166"/>
        <v>0.65326727888513636</v>
      </c>
      <c r="Y602" s="181"/>
      <c r="Z602" s="157">
        <f t="shared" si="167"/>
        <v>70.076726342710998</v>
      </c>
      <c r="AA602" s="166">
        <f t="shared" si="168"/>
        <v>17.854219948849106</v>
      </c>
      <c r="AB602" s="126">
        <v>9</v>
      </c>
      <c r="AC602" s="167">
        <v>3.91</v>
      </c>
      <c r="AD602" s="167">
        <v>4.1399999999999997</v>
      </c>
      <c r="AE602" s="167">
        <v>1.67</v>
      </c>
      <c r="AF602" s="167">
        <v>1.4</v>
      </c>
      <c r="AG602" s="167">
        <v>8.1</v>
      </c>
      <c r="AH602" s="167">
        <v>245.29999999999998</v>
      </c>
      <c r="AI602" s="167">
        <v>12.809999999999999</v>
      </c>
      <c r="AJ602" s="167">
        <v>8.9</v>
      </c>
      <c r="AK602" s="167">
        <v>4.3</v>
      </c>
      <c r="AL602" s="168">
        <v>3630</v>
      </c>
      <c r="AM602" s="169">
        <v>2.96</v>
      </c>
      <c r="AN602" s="167">
        <v>1.52</v>
      </c>
      <c r="AO602" s="170">
        <f t="shared" si="169"/>
        <v>-8.1152020463015457</v>
      </c>
      <c r="AP602" s="171">
        <f t="shared" si="170"/>
        <v>9.7390179025475607</v>
      </c>
      <c r="AQ602" s="172">
        <f t="shared" si="171"/>
        <v>5.4006281414737067</v>
      </c>
      <c r="AR602" s="157">
        <f>INDEX([1]Historical!$C$7:$C$1231,MATCH(B602,[1]Historical!$B$7:$B$1253,0))*IF(AH602="n/a",1.03,IF(AH602&lt;0,1.01,IF(AH602&gt;10,1.1,(1+AH602/100))))</f>
        <v>2.8600000000000003</v>
      </c>
      <c r="AS602" s="166">
        <f t="shared" si="172"/>
        <v>3.1460000000000008</v>
      </c>
      <c r="AT602" s="166">
        <f t="shared" si="177"/>
        <v>3.2812780000000008</v>
      </c>
      <c r="AU602" s="166">
        <f t="shared" si="177"/>
        <v>3.4223729540000005</v>
      </c>
      <c r="AV602" s="166">
        <f t="shared" si="177"/>
        <v>3.5695349910220004</v>
      </c>
      <c r="AW602" s="157">
        <f t="shared" si="174"/>
        <v>16.279185945022004</v>
      </c>
      <c r="AX602" s="173">
        <f t="shared" si="175"/>
        <v>23.319275096722535</v>
      </c>
      <c r="AY602" s="174">
        <v>0.4</v>
      </c>
      <c r="AZ602" s="169">
        <v>17.130000000000003</v>
      </c>
      <c r="BA602" s="169">
        <v>-11.899999999999999</v>
      </c>
      <c r="BB602" s="169">
        <v>2.75</v>
      </c>
      <c r="BC602" s="169">
        <v>-1.1499999999999999</v>
      </c>
      <c r="BD602" s="100"/>
      <c r="BE602" s="77">
        <v>2004</v>
      </c>
      <c r="BF602" s="77">
        <f t="shared" si="176"/>
        <v>2</v>
      </c>
      <c r="BG602" s="175">
        <v>2.1</v>
      </c>
      <c r="BH602" t="s">
        <v>939</v>
      </c>
      <c r="BI602" t="s">
        <v>940</v>
      </c>
      <c r="BJ602"/>
      <c r="BK602"/>
      <c r="BL602"/>
    </row>
    <row r="603" spans="1:64" s="112" customFormat="1" ht="12.75" customHeight="1" x14ac:dyDescent="0.2">
      <c r="A603" s="176" t="s">
        <v>1636</v>
      </c>
      <c r="B603" s="239" t="s">
        <v>87</v>
      </c>
      <c r="C603" s="154" t="s">
        <v>90</v>
      </c>
      <c r="D603" s="154" t="s">
        <v>969</v>
      </c>
      <c r="E603" s="155">
        <v>35</v>
      </c>
      <c r="F603" s="298">
        <v>84</v>
      </c>
      <c r="G603" s="298" t="s">
        <v>88</v>
      </c>
      <c r="H603" s="298" t="s">
        <v>88</v>
      </c>
      <c r="I603" s="167">
        <v>58.16</v>
      </c>
      <c r="J603" s="157">
        <f t="shared" si="162"/>
        <v>2.200825309491059</v>
      </c>
      <c r="K603" s="209">
        <v>0.32</v>
      </c>
      <c r="L603" s="126">
        <v>4</v>
      </c>
      <c r="M603" s="82">
        <f t="shared" si="163"/>
        <v>1.28</v>
      </c>
      <c r="N603" s="159" t="s">
        <v>89</v>
      </c>
      <c r="O603" s="210">
        <v>0.31</v>
      </c>
      <c r="P603" s="161">
        <v>44774</v>
      </c>
      <c r="Q603" s="161">
        <v>44785</v>
      </c>
      <c r="R603" s="82">
        <f t="shared" si="164"/>
        <v>3.2258064516129057</v>
      </c>
      <c r="S603" s="162">
        <f>IF(INDEX([1]Historical!$D$7:$D$1229,MATCH(B603,[1]Historical!$B$7:$B$1253,0))=0,"n/a",(INDEX([1]Historical!$C$7:$C$1231,MATCH(B603,[1]Historical!$B$7:$B$1253,0))/INDEX([1]Historical!$D$7:$D$1229,MATCH(B603,[1]Historical!$B$7:$B$1253,0))-1)*100)</f>
        <v>7.079646017699126</v>
      </c>
      <c r="T603" s="162">
        <f>IF(INDEX([1]Historical!$F$7:$F$1222,MATCH(B603,[1]Historical!$B$7:$B$1253,0))=0,"n/a",((INDEX([1]Historical!$C$7:$C$1231,MATCH(B603,[1]Historical!$B$7:$B$1253,0))/INDEX([1]Historical!$F$7:$F$1222,MATCH(B603,[1]Historical!$B$7:$B$1253,0)))^(1/3)-1)*100)</f>
        <v>8.0201341824893024</v>
      </c>
      <c r="U603" s="162">
        <f>IF(INDEX([1]Historical!$H$7:$H$1222,MATCH(B603,[1]Historical!$B$7:$B$1253,0))=0,"n/a",((INDEX([1]Historical!$C$7:$C$1231,MATCH(B603,[1]Historical!$B$7:$B$1253,0))/INDEX([1]Historical!$H$7:$H$1222,MATCH(B603,[1]Historical!$B$7:$B$1253,0)))^(1/5)-1)*100)</f>
        <v>10.94061645947464</v>
      </c>
      <c r="V603" s="162">
        <f>IF(INDEX([1]Historical!$N$7:$N$1222,MATCH(B603,[1]Historical!$B$7:$B$1253,0))=0,"n/a",((INDEX([1]Historical!$C$7:$C$1231,MATCH(B603,[1]Historical!$B$7:$B$1253,0))/INDEX([1]Historical!$N$7:$N$1222,MATCH(B603,[1]Historical!$B$7:$B$1253,0)))^(1/10)-1)*100)</f>
        <v>7.5969121894917224</v>
      </c>
      <c r="W603" s="163">
        <f t="shared" si="165"/>
        <v>1.4401399129778056</v>
      </c>
      <c r="X603" s="164">
        <f t="shared" si="166"/>
        <v>0.67534669502929878</v>
      </c>
      <c r="Y603" s="180"/>
      <c r="Z603" s="157">
        <f t="shared" si="167"/>
        <v>27.23404255319149</v>
      </c>
      <c r="AA603" s="166">
        <f t="shared" si="168"/>
        <v>12.374468085106383</v>
      </c>
      <c r="AB603" s="126">
        <v>12</v>
      </c>
      <c r="AC603" s="167">
        <v>4.7</v>
      </c>
      <c r="AD603" s="167">
        <v>1.25</v>
      </c>
      <c r="AE603" s="167">
        <v>5.28</v>
      </c>
      <c r="AF603" s="167">
        <v>1.75</v>
      </c>
      <c r="AG603" s="167">
        <v>13.4</v>
      </c>
      <c r="AH603" s="167">
        <v>48.199999999999996</v>
      </c>
      <c r="AI603" s="167">
        <v>-1.58</v>
      </c>
      <c r="AJ603" s="167">
        <v>16.2</v>
      </c>
      <c r="AK603" s="167">
        <v>10</v>
      </c>
      <c r="AL603" s="168">
        <v>1430</v>
      </c>
      <c r="AM603" s="169">
        <v>0.6</v>
      </c>
      <c r="AN603" s="167">
        <v>0.13</v>
      </c>
      <c r="AO603" s="170">
        <f t="shared" si="169"/>
        <v>0.76697368385931597</v>
      </c>
      <c r="AP603" s="171">
        <f t="shared" si="170"/>
        <v>13.141441768965699</v>
      </c>
      <c r="AQ603" s="172">
        <f t="shared" si="171"/>
        <v>-1.895024140382795</v>
      </c>
      <c r="AR603" s="157">
        <f>INDEX([1]Historical!$C$7:$C$1231,MATCH(B603,[1]Historical!$B$7:$B$1253,0))*IF(AH603="n/a",1.03,IF(AH603&lt;0,1.01,IF(AH603&gt;10,1.1,(1+AH603/100))))</f>
        <v>1.331</v>
      </c>
      <c r="AS603" s="166">
        <f t="shared" si="172"/>
        <v>1.3443099999999999</v>
      </c>
      <c r="AT603" s="166">
        <f t="shared" si="177"/>
        <v>1.4787410000000001</v>
      </c>
      <c r="AU603" s="166">
        <f t="shared" si="177"/>
        <v>1.6266151000000002</v>
      </c>
      <c r="AV603" s="166">
        <f t="shared" si="177"/>
        <v>1.7892766100000004</v>
      </c>
      <c r="AW603" s="157">
        <f t="shared" si="174"/>
        <v>7.5699427100000012</v>
      </c>
      <c r="AX603" s="173">
        <f t="shared" si="175"/>
        <v>13.015719927785421</v>
      </c>
      <c r="AY603" s="174">
        <v>0.98</v>
      </c>
      <c r="AZ603" s="169">
        <v>37.53</v>
      </c>
      <c r="BA603" s="169">
        <v>-2.96</v>
      </c>
      <c r="BB603" s="169">
        <v>17.32</v>
      </c>
      <c r="BC603" s="169">
        <v>22.13</v>
      </c>
      <c r="BD603" s="100"/>
      <c r="BE603" s="77">
        <v>1988</v>
      </c>
      <c r="BF603" s="77">
        <f t="shared" si="176"/>
        <v>4</v>
      </c>
      <c r="BG603" s="175">
        <v>1.4000000000000001</v>
      </c>
      <c r="BH603" t="s">
        <v>939</v>
      </c>
      <c r="BI603" t="s">
        <v>940</v>
      </c>
      <c r="BJ603"/>
      <c r="BK603"/>
      <c r="BL603"/>
    </row>
    <row r="604" spans="1:64" s="112" customFormat="1" x14ac:dyDescent="0.2">
      <c r="A604" s="176" t="s">
        <v>1637</v>
      </c>
      <c r="B604" s="239" t="s">
        <v>451</v>
      </c>
      <c r="C604" s="154" t="s">
        <v>117</v>
      </c>
      <c r="D604" s="154" t="s">
        <v>953</v>
      </c>
      <c r="E604" s="155">
        <v>19</v>
      </c>
      <c r="F604" s="298">
        <v>199</v>
      </c>
      <c r="G604" s="298" t="s">
        <v>30</v>
      </c>
      <c r="H604" s="298" t="s">
        <v>30</v>
      </c>
      <c r="I604" s="156">
        <v>150.94</v>
      </c>
      <c r="J604" s="157">
        <f t="shared" si="162"/>
        <v>3.0343182721611237</v>
      </c>
      <c r="K604" s="158">
        <v>1.145</v>
      </c>
      <c r="L604" s="126">
        <v>4</v>
      </c>
      <c r="M604" s="82">
        <f t="shared" si="163"/>
        <v>4.58</v>
      </c>
      <c r="N604" s="159" t="s">
        <v>164</v>
      </c>
      <c r="O604" s="160">
        <v>1.1000000000000001</v>
      </c>
      <c r="P604" s="161">
        <v>44644</v>
      </c>
      <c r="Q604" s="161">
        <v>44666</v>
      </c>
      <c r="R604" s="82">
        <f t="shared" si="164"/>
        <v>4.0909090909090837</v>
      </c>
      <c r="S604" s="162">
        <f>IF(INDEX([1]Historical!$D$7:$D$1229,MATCH(B604,[1]Historical!$B$7:$B$1253,0))=0,"n/a",(INDEX([1]Historical!$C$7:$C$1231,MATCH(B604,[1]Historical!$B$7:$B$1253,0))/INDEX([1]Historical!$D$7:$D$1229,MATCH(B604,[1]Historical!$B$7:$B$1253,0))-1)*100)</f>
        <v>5.9110298598415545</v>
      </c>
      <c r="T604" s="162">
        <f>IF(INDEX([1]Historical!$F$7:$F$1222,MATCH(B604,[1]Historical!$B$7:$B$1253,0))=0,"n/a",((INDEX([1]Historical!$C$7:$C$1231,MATCH(B604,[1]Historical!$B$7:$B$1253,0))/INDEX([1]Historical!$F$7:$F$1222,MATCH(B604,[1]Historical!$B$7:$B$1253,0)))^(1/3)-1)*100)</f>
        <v>7.398290114781747</v>
      </c>
      <c r="U604" s="162">
        <f>IF(INDEX([1]Historical!$H$7:$H$1222,MATCH(B604,[1]Historical!$B$7:$B$1253,0))=0,"n/a",((INDEX([1]Historical!$C$7:$C$1231,MATCH(B604,[1]Historical!$B$7:$B$1253,0))/INDEX([1]Historical!$H$7:$H$1222,MATCH(B604,[1]Historical!$B$7:$B$1253,0)))^(1/5)-1)*100)</f>
        <v>7.9426352848476212</v>
      </c>
      <c r="V604" s="162">
        <f>IF(INDEX([1]Historical!$N$7:$N$1222,MATCH(B604,[1]Historical!$B$7:$B$1253,0))=0,"n/a",((INDEX([1]Historical!$C$7:$C$1231,MATCH(B604,[1]Historical!$B$7:$B$1253,0))/INDEX([1]Historical!$N$7:$N$1222,MATCH(B604,[1]Historical!$B$7:$B$1253,0)))^(1/10)-1)*100)</f>
        <v>9.0319725293127817</v>
      </c>
      <c r="W604" s="163">
        <f t="shared" si="165"/>
        <v>0.87939099228548634</v>
      </c>
      <c r="X604" s="164" t="str">
        <f t="shared" si="166"/>
        <v>n/a</v>
      </c>
      <c r="Y604" s="153"/>
      <c r="Z604" s="157">
        <f t="shared" si="167"/>
        <v>128.65168539325842</v>
      </c>
      <c r="AA604" s="166">
        <f t="shared" si="168"/>
        <v>42.398876404494381</v>
      </c>
      <c r="AB604" s="126">
        <v>12</v>
      </c>
      <c r="AC604" s="167">
        <v>3.56</v>
      </c>
      <c r="AD604" s="167">
        <v>11.06</v>
      </c>
      <c r="AE604" s="167">
        <v>3.31</v>
      </c>
      <c r="AF604" s="167">
        <v>1.85</v>
      </c>
      <c r="AG604" s="167">
        <v>4.5</v>
      </c>
      <c r="AH604" s="167">
        <v>-38.800000000000004</v>
      </c>
      <c r="AI604" s="167">
        <v>4.2</v>
      </c>
      <c r="AJ604" s="167">
        <v>-6</v>
      </c>
      <c r="AK604" s="167">
        <v>3.8699999999999997</v>
      </c>
      <c r="AL604" s="168">
        <v>47150</v>
      </c>
      <c r="AM604" s="169">
        <v>0.04</v>
      </c>
      <c r="AN604" s="167">
        <v>1</v>
      </c>
      <c r="AO604" s="170">
        <f t="shared" si="169"/>
        <v>-31.421922847485636</v>
      </c>
      <c r="AP604" s="171">
        <f t="shared" si="170"/>
        <v>10.976953557008745</v>
      </c>
      <c r="AQ604" s="172">
        <f t="shared" si="171"/>
        <v>86.711805671277034</v>
      </c>
      <c r="AR604" s="157">
        <f>INDEX([1]Historical!$C$7:$C$1231,MATCH(B604,[1]Historical!$B$7:$B$1253,0))*IF(AH604="n/a",1.03,IF(AH604&lt;0,1.01,IF(AH604&gt;10,1.1,(1+AH604/100))))</f>
        <v>4.3884499999999997</v>
      </c>
      <c r="AS604" s="166">
        <f t="shared" si="172"/>
        <v>4.5727649000000001</v>
      </c>
      <c r="AT604" s="166">
        <f t="shared" si="177"/>
        <v>4.7497309016299996</v>
      </c>
      <c r="AU604" s="166">
        <f t="shared" si="177"/>
        <v>4.9335454875230802</v>
      </c>
      <c r="AV604" s="166">
        <f t="shared" si="177"/>
        <v>5.124473697890223</v>
      </c>
      <c r="AW604" s="157">
        <f t="shared" si="174"/>
        <v>23.768964987043304</v>
      </c>
      <c r="AX604" s="173">
        <f t="shared" si="175"/>
        <v>15.747293618022596</v>
      </c>
      <c r="AY604" s="174">
        <v>0.68</v>
      </c>
      <c r="AZ604" s="169">
        <v>26.25</v>
      </c>
      <c r="BA604" s="169">
        <v>-14.469999999999999</v>
      </c>
      <c r="BB604" s="169">
        <v>-4.88</v>
      </c>
      <c r="BC604" s="169">
        <v>-2.86</v>
      </c>
      <c r="BD604" s="100"/>
      <c r="BE604" s="77">
        <v>2004</v>
      </c>
      <c r="BF604" s="77">
        <f t="shared" si="176"/>
        <v>2</v>
      </c>
      <c r="BG604" s="175">
        <v>1.5</v>
      </c>
      <c r="BH604" t="s">
        <v>939</v>
      </c>
      <c r="BI604" t="s">
        <v>940</v>
      </c>
      <c r="BJ604"/>
      <c r="BK604"/>
      <c r="BL604"/>
    </row>
    <row r="605" spans="1:64" s="112" customFormat="1" ht="12.75" customHeight="1" x14ac:dyDescent="0.2">
      <c r="A605" s="112" t="s">
        <v>1638</v>
      </c>
      <c r="B605" s="239" t="s">
        <v>704</v>
      </c>
      <c r="C605" s="154" t="s">
        <v>90</v>
      </c>
      <c r="D605" s="154" t="s">
        <v>969</v>
      </c>
      <c r="E605" s="155">
        <v>11</v>
      </c>
      <c r="F605" s="298">
        <v>432</v>
      </c>
      <c r="G605" s="298" t="s">
        <v>88</v>
      </c>
      <c r="H605" s="298" t="s">
        <v>88</v>
      </c>
      <c r="I605" s="156">
        <v>90.43</v>
      </c>
      <c r="J605" s="157">
        <f t="shared" si="162"/>
        <v>2.2116554240849275</v>
      </c>
      <c r="K605" s="158">
        <v>0.5</v>
      </c>
      <c r="L605" s="126">
        <v>4</v>
      </c>
      <c r="M605" s="82">
        <f t="shared" si="163"/>
        <v>2</v>
      </c>
      <c r="N605" s="159" t="s">
        <v>98</v>
      </c>
      <c r="O605" s="160">
        <v>0.49</v>
      </c>
      <c r="P605" s="161">
        <v>44784</v>
      </c>
      <c r="Q605" s="161">
        <v>44792</v>
      </c>
      <c r="R605" s="82">
        <f t="shared" si="164"/>
        <v>2.0408163265306141</v>
      </c>
      <c r="S605" s="162">
        <f>IF(INDEX([1]Historical!$D$7:$D$1229,MATCH(B605,[1]Historical!$B$7:$B$1253,0))=0,"n/a",(INDEX([1]Historical!$C$7:$C$1231,MATCH(B605,[1]Historical!$B$7:$B$1253,0))/INDEX([1]Historical!$D$7:$D$1229,MATCH(B605,[1]Historical!$B$7:$B$1253,0))-1)*100)</f>
        <v>2.1276595744680771</v>
      </c>
      <c r="T605" s="162">
        <f>IF(INDEX([1]Historical!$F$7:$F$1222,MATCH(B605,[1]Historical!$B$7:$B$1253,0))=0,"n/a",((INDEX([1]Historical!$C$7:$C$1231,MATCH(B605,[1]Historical!$B$7:$B$1253,0))/INDEX([1]Historical!$F$7:$F$1222,MATCH(B605,[1]Historical!$B$7:$B$1253,0)))^(1/3)-1)*100)</f>
        <v>11.636800399929626</v>
      </c>
      <c r="U605" s="162">
        <f>IF(INDEX([1]Historical!$H$7:$H$1222,MATCH(B605,[1]Historical!$B$7:$B$1253,0))=0,"n/a",((INDEX([1]Historical!$C$7:$C$1231,MATCH(B605,[1]Historical!$B$7:$B$1253,0))/INDEX([1]Historical!$H$7:$H$1222,MATCH(B605,[1]Historical!$B$7:$B$1253,0)))^(1/5)-1)*100)</f>
        <v>9.6738708163631735</v>
      </c>
      <c r="V605" s="162">
        <f>IF(INDEX([1]Historical!$N$7:$N$1222,MATCH(B605,[1]Historical!$B$7:$B$1253,0))=0,"n/a",((INDEX([1]Historical!$C$7:$C$1231,MATCH(B605,[1]Historical!$B$7:$B$1253,0))/INDEX([1]Historical!$N$7:$N$1222,MATCH(B605,[1]Historical!$B$7:$B$1253,0)))^(1/10)-1)*100)</f>
        <v>10.937718880294355</v>
      </c>
      <c r="W605" s="163">
        <f t="shared" si="165"/>
        <v>0.88445048937871684</v>
      </c>
      <c r="X605" s="164">
        <f t="shared" si="166"/>
        <v>0.97715866831951248</v>
      </c>
      <c r="Y605" s="178"/>
      <c r="Z605" s="157">
        <f t="shared" si="167"/>
        <v>32.154340836012864</v>
      </c>
      <c r="AA605" s="166">
        <f t="shared" si="168"/>
        <v>14.538585209003218</v>
      </c>
      <c r="AB605" s="126">
        <v>12</v>
      </c>
      <c r="AC605" s="167">
        <v>6.22</v>
      </c>
      <c r="AD605" s="167">
        <v>1.2</v>
      </c>
      <c r="AE605" s="167">
        <v>5.33</v>
      </c>
      <c r="AF605" s="167">
        <v>1.35</v>
      </c>
      <c r="AG605" s="167">
        <v>8.6999999999999993</v>
      </c>
      <c r="AH605" s="167">
        <v>206.2</v>
      </c>
      <c r="AI605" s="167">
        <v>21.44</v>
      </c>
      <c r="AJ605" s="167">
        <v>9.9</v>
      </c>
      <c r="AK605" s="167">
        <v>12</v>
      </c>
      <c r="AL605" s="168">
        <v>6600</v>
      </c>
      <c r="AM605" s="169">
        <v>0.6</v>
      </c>
      <c r="AN605" s="167">
        <v>0.08</v>
      </c>
      <c r="AO605" s="170">
        <f t="shared" si="169"/>
        <v>-2.6530589685551167</v>
      </c>
      <c r="AP605" s="171">
        <f t="shared" si="170"/>
        <v>11.885526240448101</v>
      </c>
      <c r="AQ605" s="172">
        <f t="shared" si="171"/>
        <v>-6.602188861826475</v>
      </c>
      <c r="AR605" s="157">
        <f>INDEX([1]Historical!$C$7:$C$1231,MATCH(B605,[1]Historical!$B$7:$B$1253,0))*IF(AH605="n/a",1.03,IF(AH605&lt;0,1.01,IF(AH605&gt;10,1.1,(1+AH605/100))))</f>
        <v>2.1120000000000001</v>
      </c>
      <c r="AS605" s="166">
        <f t="shared" si="172"/>
        <v>2.3232000000000004</v>
      </c>
      <c r="AT605" s="166">
        <f t="shared" si="177"/>
        <v>2.5555200000000005</v>
      </c>
      <c r="AU605" s="166">
        <f t="shared" si="177"/>
        <v>2.8110720000000007</v>
      </c>
      <c r="AV605" s="166">
        <f t="shared" si="177"/>
        <v>3.0921792000000008</v>
      </c>
      <c r="AW605" s="157">
        <f t="shared" si="174"/>
        <v>12.893971200000001</v>
      </c>
      <c r="AX605" s="173">
        <f t="shared" si="175"/>
        <v>14.258510671237421</v>
      </c>
      <c r="AY605" s="174">
        <v>0.77</v>
      </c>
      <c r="AZ605" s="169">
        <v>25.15</v>
      </c>
      <c r="BA605" s="169">
        <v>-3.1199999999999997</v>
      </c>
      <c r="BB605" s="169">
        <v>9.76</v>
      </c>
      <c r="BC605" s="169">
        <v>10.76</v>
      </c>
      <c r="BD605" s="100"/>
      <c r="BE605" s="77">
        <v>2012</v>
      </c>
      <c r="BF605" s="77">
        <f t="shared" si="176"/>
        <v>1</v>
      </c>
      <c r="BG605" s="175">
        <v>1</v>
      </c>
      <c r="BH605" t="s">
        <v>939</v>
      </c>
      <c r="BI605" t="s">
        <v>940</v>
      </c>
      <c r="BJ605"/>
      <c r="BK605"/>
      <c r="BL605"/>
    </row>
    <row r="606" spans="1:64" s="112" customFormat="1" ht="12.75" customHeight="1" x14ac:dyDescent="0.2">
      <c r="A606" s="112" t="s">
        <v>1639</v>
      </c>
      <c r="B606" s="239" t="s">
        <v>920</v>
      </c>
      <c r="C606" s="154" t="s">
        <v>94</v>
      </c>
      <c r="D606" s="154" t="s">
        <v>760</v>
      </c>
      <c r="E606" s="155">
        <v>9</v>
      </c>
      <c r="F606" s="298">
        <v>547</v>
      </c>
      <c r="G606" s="298" t="s">
        <v>88</v>
      </c>
      <c r="H606" s="298" t="s">
        <v>88</v>
      </c>
      <c r="I606" s="116">
        <v>85.48</v>
      </c>
      <c r="J606" s="157">
        <f t="shared" si="162"/>
        <v>1.2166588675713619</v>
      </c>
      <c r="K606" s="209">
        <v>0.26</v>
      </c>
      <c r="L606" s="77">
        <v>4</v>
      </c>
      <c r="M606" s="82">
        <f t="shared" si="163"/>
        <v>1.04</v>
      </c>
      <c r="N606" s="77" t="s">
        <v>662</v>
      </c>
      <c r="O606" s="210">
        <v>0.25</v>
      </c>
      <c r="P606" s="161">
        <v>44748</v>
      </c>
      <c r="Q606" s="161">
        <v>44770</v>
      </c>
      <c r="R606" s="82">
        <f t="shared" si="164"/>
        <v>4.0000000000000036</v>
      </c>
      <c r="S606" s="162">
        <f>IF(INDEX([1]Historical!$D$7:$D$1229,MATCH(B606,[1]Historical!$B$7:$B$1253,0))=0,"n/a",(INDEX([1]Historical!$C$7:$C$1231,MATCH(B606,[1]Historical!$B$7:$B$1253,0))/INDEX([1]Historical!$D$7:$D$1229,MATCH(B606,[1]Historical!$B$7:$B$1253,0))-1)*100)</f>
        <v>4.3478260869565188</v>
      </c>
      <c r="T606" s="162">
        <f>IF(INDEX([1]Historical!$F$7:$F$1222,MATCH(B606,[1]Historical!$B$7:$B$1253,0))=0,"n/a",((INDEX([1]Historical!$C$7:$C$1231,MATCH(B606,[1]Historical!$B$7:$B$1253,0))/INDEX([1]Historical!$F$7:$F$1222,MATCH(B606,[1]Historical!$B$7:$B$1253,0)))^(1/3)-1)*100)</f>
        <v>3.7347490357151125</v>
      </c>
      <c r="U606" s="162">
        <f>IF(INDEX([1]Historical!$H$7:$H$1222,MATCH(B606,[1]Historical!$B$7:$B$1253,0))=0,"n/a",((INDEX([1]Historical!$C$7:$C$1231,MATCH(B606,[1]Historical!$B$7:$B$1253,0))/INDEX([1]Historical!$H$7:$H$1222,MATCH(B606,[1]Historical!$B$7:$B$1253,0)))^(1/5)-1)*100)</f>
        <v>7.1402027941006807</v>
      </c>
      <c r="V606" s="162">
        <f>IF(INDEX([1]Historical!$N$7:$N$1222,MATCH(B606,[1]Historical!$B$7:$B$1253,0))=0,"n/a",((INDEX([1]Historical!$C$7:$C$1231,MATCH(B606,[1]Historical!$B$7:$B$1253,0))/INDEX([1]Historical!$N$7:$N$1222,MATCH(B606,[1]Historical!$B$7:$B$1253,0)))^(1/10)-1)*100)</f>
        <v>7.2896336462774824</v>
      </c>
      <c r="W606" s="163">
        <f t="shared" si="165"/>
        <v>0.97950091054944721</v>
      </c>
      <c r="X606" s="164">
        <f t="shared" si="166"/>
        <v>0.26543504810783197</v>
      </c>
      <c r="Y606" s="220"/>
      <c r="Z606" s="157">
        <f t="shared" si="167"/>
        <v>13</v>
      </c>
      <c r="AA606" s="166">
        <f t="shared" si="168"/>
        <v>10.685</v>
      </c>
      <c r="AB606" s="298">
        <v>12</v>
      </c>
      <c r="AC606" s="116">
        <v>8</v>
      </c>
      <c r="AD606" s="116">
        <v>2.14</v>
      </c>
      <c r="AE606" s="116">
        <v>1.76</v>
      </c>
      <c r="AF606" s="116">
        <v>2.87</v>
      </c>
      <c r="AG606" s="116">
        <v>25.8</v>
      </c>
      <c r="AH606" s="116">
        <v>43.5</v>
      </c>
      <c r="AI606" s="116">
        <v>-23.61</v>
      </c>
      <c r="AJ606" s="116">
        <v>26.900000000000002</v>
      </c>
      <c r="AK606" s="116">
        <v>5</v>
      </c>
      <c r="AL606" s="116">
        <v>3620</v>
      </c>
      <c r="AM606" s="116">
        <v>0.4</v>
      </c>
      <c r="AN606" s="116">
        <v>0.54</v>
      </c>
      <c r="AO606" s="170">
        <f t="shared" si="169"/>
        <v>-2.3281383383279586</v>
      </c>
      <c r="AP606" s="171">
        <f t="shared" si="170"/>
        <v>8.3568616616720419</v>
      </c>
      <c r="AQ606" s="172">
        <f t="shared" si="171"/>
        <v>16.744640609798942</v>
      </c>
      <c r="AR606" s="157">
        <f>INDEX([1]Historical!$C$7:$C$1231,MATCH(B606,[1]Historical!$B$7:$B$1253,0))*IF(AH606="n/a",1.03,IF(AH606&lt;0,1.01,IF(AH606&gt;10,1.1,(1+AH606/100))))</f>
        <v>1.056</v>
      </c>
      <c r="AS606" s="166">
        <f t="shared" si="172"/>
        <v>1.06656</v>
      </c>
      <c r="AT606" s="166">
        <f t="shared" si="177"/>
        <v>1.119888</v>
      </c>
      <c r="AU606" s="166">
        <f t="shared" si="177"/>
        <v>1.1758824000000001</v>
      </c>
      <c r="AV606" s="166">
        <f t="shared" si="177"/>
        <v>1.2346765200000001</v>
      </c>
      <c r="AW606" s="157">
        <f t="shared" si="174"/>
        <v>5.6530069200000002</v>
      </c>
      <c r="AX606" s="173">
        <f t="shared" si="175"/>
        <v>6.6132509592887221</v>
      </c>
      <c r="AY606" s="225">
        <v>1.17</v>
      </c>
      <c r="AZ606" s="175">
        <v>13.59</v>
      </c>
      <c r="BA606" s="175">
        <v>-39.489999999999995</v>
      </c>
      <c r="BB606" s="175">
        <v>0.33999999999999997</v>
      </c>
      <c r="BC606" s="175">
        <v>-16.71</v>
      </c>
      <c r="BD606" s="100"/>
      <c r="BE606" s="77">
        <v>2014</v>
      </c>
      <c r="BF606" s="77">
        <f t="shared" si="176"/>
        <v>1</v>
      </c>
      <c r="BG606" s="175">
        <v>16.2</v>
      </c>
      <c r="BH606" t="s">
        <v>939</v>
      </c>
      <c r="BI606" t="s">
        <v>940</v>
      </c>
    </row>
    <row r="607" spans="1:64" s="112" customFormat="1" ht="12.75" customHeight="1" x14ac:dyDescent="0.2">
      <c r="A607" s="205" t="s">
        <v>1640</v>
      </c>
      <c r="B607" s="239" t="s">
        <v>1193</v>
      </c>
      <c r="C607" s="154" t="s">
        <v>922</v>
      </c>
      <c r="D607" s="154" t="s">
        <v>1113</v>
      </c>
      <c r="E607" s="155">
        <v>5</v>
      </c>
      <c r="F607" s="298">
        <v>693</v>
      </c>
      <c r="G607" s="298" t="s">
        <v>88</v>
      </c>
      <c r="H607" s="298" t="s">
        <v>88</v>
      </c>
      <c r="I607" s="156">
        <v>51.42</v>
      </c>
      <c r="J607" s="157">
        <f t="shared" si="162"/>
        <v>1.5558148580318942</v>
      </c>
      <c r="K607" s="158">
        <v>0.2</v>
      </c>
      <c r="L607" s="126">
        <v>4</v>
      </c>
      <c r="M607" s="82">
        <f t="shared" si="163"/>
        <v>0.8</v>
      </c>
      <c r="N607" s="159" t="s">
        <v>167</v>
      </c>
      <c r="O607" s="160">
        <v>0.16</v>
      </c>
      <c r="P607" s="224">
        <v>44530</v>
      </c>
      <c r="Q607" s="224">
        <v>44545</v>
      </c>
      <c r="R607" s="82">
        <f t="shared" si="164"/>
        <v>25.000000000000007</v>
      </c>
      <c r="S607" s="162">
        <f>IF(INDEX([1]Historical!$D$7:$D$1229,MATCH(B607,[1]Historical!$B$7:$B$1253,0))=0,"n/a",(INDEX([1]Historical!$C$7:$C$1231,MATCH(B607,[1]Historical!$B$7:$B$1253,0))/INDEX([1]Historical!$D$7:$D$1229,MATCH(B607,[1]Historical!$B$7:$B$1253,0))-1)*100)</f>
        <v>28.301886792452823</v>
      </c>
      <c r="T607" s="162">
        <f>IF(INDEX([1]Historical!$F$7:$F$1222,MATCH(B607,[1]Historical!$B$7:$B$1253,0))=0,"n/a",((INDEX([1]Historical!$C$7:$C$1231,MATCH(B607,[1]Historical!$B$7:$B$1253,0))/INDEX([1]Historical!$F$7:$F$1222,MATCH(B607,[1]Historical!$B$7:$B$1253,0)))^(1/3)-1)*100)</f>
        <v>31.359822417420325</v>
      </c>
      <c r="U607" s="162">
        <f>IF(INDEX([1]Historical!$H$7:$H$1222,MATCH(B607,[1]Historical!$B$7:$B$1253,0))=0,"n/a",((INDEX([1]Historical!$C$7:$C$1231,MATCH(B607,[1]Historical!$B$7:$B$1253,0))/INDEX([1]Historical!$H$7:$H$1222,MATCH(B607,[1]Historical!$B$7:$B$1253,0)))^(1/5)-1)*100)</f>
        <v>22.155712398421755</v>
      </c>
      <c r="V607" s="162" t="str">
        <f>IF(INDEX([1]Historical!$N$7:$N$1222,MATCH(B607,[1]Historical!$B$7:$B$1253,0))=0,"n/a",((INDEX([1]Historical!$C$7:$C$1231,MATCH(B607,[1]Historical!$B$7:$B$1253,0))/INDEX([1]Historical!$N$7:$N$1222,MATCH(B607,[1]Historical!$B$7:$B$1253,0)))^(1/10)-1)*100)</f>
        <v>n/a</v>
      </c>
      <c r="W607" s="163" t="str">
        <f t="shared" si="165"/>
        <v>n/a</v>
      </c>
      <c r="X607" s="164">
        <f t="shared" si="166"/>
        <v>0.61035020381327154</v>
      </c>
      <c r="Y607" s="180"/>
      <c r="Z607" s="157">
        <f t="shared" si="167"/>
        <v>30.651340996168585</v>
      </c>
      <c r="AA607" s="166">
        <f t="shared" si="168"/>
        <v>19.701149425287358</v>
      </c>
      <c r="AB607" s="126">
        <v>12</v>
      </c>
      <c r="AC607" s="167">
        <v>2.61</v>
      </c>
      <c r="AD607" s="167">
        <v>2.4900000000000002</v>
      </c>
      <c r="AE607" s="167">
        <v>2.41</v>
      </c>
      <c r="AF607" s="167">
        <v>2.16</v>
      </c>
      <c r="AG607" s="167">
        <v>13.100000000000001</v>
      </c>
      <c r="AH607" s="167">
        <v>27.6</v>
      </c>
      <c r="AI607" s="167">
        <v>7.28</v>
      </c>
      <c r="AJ607" s="167">
        <v>36.299999999999997</v>
      </c>
      <c r="AK607" s="167">
        <v>7.870000000000001</v>
      </c>
      <c r="AL607" s="168">
        <v>12600</v>
      </c>
      <c r="AM607" s="169">
        <v>0.1</v>
      </c>
      <c r="AN607" s="167">
        <v>1.2</v>
      </c>
      <c r="AO607" s="170">
        <f t="shared" si="169"/>
        <v>4.0103778311662914</v>
      </c>
      <c r="AP607" s="171">
        <f t="shared" si="170"/>
        <v>23.71152725645365</v>
      </c>
      <c r="AQ607" s="172">
        <f t="shared" si="171"/>
        <v>37.524919372002771</v>
      </c>
      <c r="AR607" s="157">
        <f>INDEX([1]Historical!$C$7:$C$1231,MATCH(B607,[1]Historical!$B$7:$B$1253,0))*IF(AH607="n/a",1.03,IF(AH607&lt;0,1.01,IF(AH607&gt;10,1.1,(1+AH607/100))))</f>
        <v>0.74800000000000011</v>
      </c>
      <c r="AS607" s="166">
        <f t="shared" si="172"/>
        <v>0.80245440000000012</v>
      </c>
      <c r="AT607" s="166">
        <f t="shared" si="177"/>
        <v>0.86560756128000016</v>
      </c>
      <c r="AU607" s="166">
        <f t="shared" si="177"/>
        <v>0.93373087635273622</v>
      </c>
      <c r="AV607" s="166">
        <f t="shared" si="177"/>
        <v>1.0072154963216966</v>
      </c>
      <c r="AW607" s="157">
        <f t="shared" si="174"/>
        <v>4.3570083339544334</v>
      </c>
      <c r="AX607" s="173">
        <f t="shared" si="175"/>
        <v>8.4733728781688704</v>
      </c>
      <c r="AY607" s="174">
        <v>1.44</v>
      </c>
      <c r="AZ607" s="169">
        <v>13.639999999999999</v>
      </c>
      <c r="BA607" s="169">
        <v>-39.4</v>
      </c>
      <c r="BB607" s="169">
        <v>-1.41</v>
      </c>
      <c r="BC607" s="169">
        <v>-19.86</v>
      </c>
      <c r="BD607" s="100"/>
      <c r="BE607" s="77">
        <v>2017</v>
      </c>
      <c r="BF607" s="77">
        <f t="shared" si="176"/>
        <v>1</v>
      </c>
      <c r="BG607" s="175">
        <v>4.5</v>
      </c>
      <c r="BH607" t="s">
        <v>939</v>
      </c>
      <c r="BI607" t="s">
        <v>940</v>
      </c>
    </row>
    <row r="608" spans="1:64" s="112" customFormat="1" ht="12.75" customHeight="1" x14ac:dyDescent="0.2">
      <c r="A608" s="112" t="s">
        <v>1641</v>
      </c>
      <c r="B608" s="239" t="s">
        <v>553</v>
      </c>
      <c r="C608" s="154" t="s">
        <v>947</v>
      </c>
      <c r="D608" s="154" t="s">
        <v>948</v>
      </c>
      <c r="E608" s="155">
        <v>12</v>
      </c>
      <c r="F608" s="298">
        <v>328</v>
      </c>
      <c r="G608" s="298" t="s">
        <v>88</v>
      </c>
      <c r="H608" s="298" t="s">
        <v>88</v>
      </c>
      <c r="I608" s="156">
        <v>31.59</v>
      </c>
      <c r="J608" s="157">
        <f t="shared" si="162"/>
        <v>4.6217283950617283</v>
      </c>
      <c r="K608" s="158">
        <v>0.121667</v>
      </c>
      <c r="L608" s="126">
        <v>12</v>
      </c>
      <c r="M608" s="82">
        <f t="shared" si="163"/>
        <v>1.4600040000000001</v>
      </c>
      <c r="N608" s="159" t="s">
        <v>453</v>
      </c>
      <c r="O608" s="160">
        <v>0.12083333333333333</v>
      </c>
      <c r="P608" s="161">
        <v>44589</v>
      </c>
      <c r="Q608" s="161">
        <v>44607</v>
      </c>
      <c r="R608" s="82">
        <f t="shared" si="164"/>
        <v>0.68993103448275572</v>
      </c>
      <c r="S608" s="162">
        <f>IF(INDEX([1]Historical!$D$7:$D$1229,MATCH(B608,[1]Historical!$B$7:$B$1253,0))=0,"n/a",(INDEX([1]Historical!$C$7:$C$1231,MATCH(B608,[1]Historical!$B$7:$B$1253,0))/INDEX([1]Historical!$D$7:$D$1229,MATCH(B608,[1]Historical!$B$7:$B$1253,0))-1)*100)</f>
        <v>0.75013896609228414</v>
      </c>
      <c r="T608" s="162">
        <f>IF(INDEX([1]Historical!$F$7:$F$1222,MATCH(B608,[1]Historical!$B$7:$B$1253,0))=0,"n/a",((INDEX([1]Historical!$C$7:$C$1231,MATCH(B608,[1]Historical!$B$7:$B$1253,0))/INDEX([1]Historical!$F$7:$F$1222,MATCH(B608,[1]Historical!$B$7:$B$1253,0)))^(1/3)-1)*100)</f>
        <v>0.69923082228569022</v>
      </c>
      <c r="U608" s="162">
        <f>IF(INDEX([1]Historical!$H$7:$H$1222,MATCH(B608,[1]Historical!$B$7:$B$1253,0))=0,"n/a",((INDEX([1]Historical!$C$7:$C$1231,MATCH(B608,[1]Historical!$B$7:$B$1253,0))/INDEX([1]Historical!$H$7:$H$1222,MATCH(B608,[1]Historical!$B$7:$B$1253,0)))^(1/5)-1)*100)</f>
        <v>0.83711793311169735</v>
      </c>
      <c r="V608" s="162">
        <f>IF(INDEX([1]Historical!$N$7:$N$1222,MATCH(B608,[1]Historical!$B$7:$B$1253,0))=0,"n/a",((INDEX([1]Historical!$C$7:$C$1231,MATCH(B608,[1]Historical!$B$7:$B$1253,0))/INDEX([1]Historical!$N$7:$N$1222,MATCH(B608,[1]Historical!$B$7:$B$1253,0)))^(1/10)-1)*100)</f>
        <v>12.020650106915443</v>
      </c>
      <c r="W608" s="163">
        <f t="shared" si="165"/>
        <v>6.9639988325598631E-2</v>
      </c>
      <c r="X608" s="164">
        <f t="shared" si="166"/>
        <v>2.6159935409740542E-2</v>
      </c>
      <c r="Y608" s="178"/>
      <c r="Z608" s="157">
        <f t="shared" si="167"/>
        <v>114.96094488188977</v>
      </c>
      <c r="AA608" s="166">
        <f t="shared" si="168"/>
        <v>24.874015748031496</v>
      </c>
      <c r="AB608" s="126">
        <v>12</v>
      </c>
      <c r="AC608" s="167">
        <v>1.27</v>
      </c>
      <c r="AD608" s="167">
        <v>3.57</v>
      </c>
      <c r="AE608" s="167">
        <v>8.99</v>
      </c>
      <c r="AF608" s="167">
        <v>1.66</v>
      </c>
      <c r="AG608" s="167">
        <v>6.9</v>
      </c>
      <c r="AH608" s="179">
        <v>-13</v>
      </c>
      <c r="AI608" s="179">
        <v>-19.7</v>
      </c>
      <c r="AJ608" s="167">
        <v>32</v>
      </c>
      <c r="AK608" s="167">
        <v>7.0000000000000009</v>
      </c>
      <c r="AL608" s="168">
        <v>5490</v>
      </c>
      <c r="AM608" s="169">
        <v>0.1</v>
      </c>
      <c r="AN608" s="167">
        <v>0.72</v>
      </c>
      <c r="AO608" s="170">
        <f t="shared" si="169"/>
        <v>-19.415169419858071</v>
      </c>
      <c r="AP608" s="171">
        <f t="shared" si="170"/>
        <v>5.4588463281734256</v>
      </c>
      <c r="AQ608" s="172">
        <f t="shared" si="171"/>
        <v>35.467693798160326</v>
      </c>
      <c r="AR608" s="157">
        <f>INDEX([1]Historical!$C$7:$C$1231,MATCH(B608,[1]Historical!$B$7:$B$1253,0))*IF(AH608="n/a",1.03,IF(AH608&lt;0,1.01,IF(AH608&gt;10,1.1,(1+AH608/100))))</f>
        <v>1.46449596</v>
      </c>
      <c r="AS608" s="166">
        <f t="shared" si="172"/>
        <v>1.4791409196</v>
      </c>
      <c r="AT608" s="166">
        <f t="shared" si="177"/>
        <v>1.5826807839720001</v>
      </c>
      <c r="AU608" s="166">
        <f t="shared" si="177"/>
        <v>1.6934684388500403</v>
      </c>
      <c r="AV608" s="166">
        <f t="shared" si="177"/>
        <v>1.8120112295695432</v>
      </c>
      <c r="AW608" s="157">
        <f t="shared" si="174"/>
        <v>8.0317973319915836</v>
      </c>
      <c r="AX608" s="173">
        <f t="shared" si="175"/>
        <v>25.425126090508339</v>
      </c>
      <c r="AY608" s="174">
        <v>0.98</v>
      </c>
      <c r="AZ608" s="169">
        <v>18.940000000000001</v>
      </c>
      <c r="BA608" s="169">
        <v>-34.56</v>
      </c>
      <c r="BB608" s="169">
        <v>5.2200000000000006</v>
      </c>
      <c r="BC608" s="169">
        <v>-9.5699999999999985</v>
      </c>
      <c r="BD608" s="100"/>
      <c r="BE608" s="77">
        <v>2011</v>
      </c>
      <c r="BF608" s="77">
        <f t="shared" si="176"/>
        <v>1</v>
      </c>
      <c r="BG608" s="175">
        <v>3.9</v>
      </c>
      <c r="BH608" t="s">
        <v>939</v>
      </c>
      <c r="BI608" t="s">
        <v>945</v>
      </c>
      <c r="BJ608"/>
      <c r="BK608"/>
      <c r="BL608"/>
    </row>
    <row r="609" spans="1:64" s="112" customFormat="1" ht="12.75" customHeight="1" x14ac:dyDescent="0.2">
      <c r="A609" s="176" t="s">
        <v>1642</v>
      </c>
      <c r="B609" s="239" t="s">
        <v>830</v>
      </c>
      <c r="C609" s="154" t="s">
        <v>90</v>
      </c>
      <c r="D609" s="154" t="s">
        <v>969</v>
      </c>
      <c r="E609" s="155">
        <v>10</v>
      </c>
      <c r="F609" s="298">
        <v>488</v>
      </c>
      <c r="G609" s="298" t="s">
        <v>104</v>
      </c>
      <c r="H609" s="298" t="s">
        <v>104</v>
      </c>
      <c r="I609" s="156">
        <v>37.81</v>
      </c>
      <c r="J609" s="157">
        <f t="shared" si="162"/>
        <v>3.2795556731023536</v>
      </c>
      <c r="K609" s="158">
        <v>0.31</v>
      </c>
      <c r="L609" s="126">
        <v>4</v>
      </c>
      <c r="M609" s="82">
        <f t="shared" si="163"/>
        <v>1.24</v>
      </c>
      <c r="N609" s="159" t="s">
        <v>381</v>
      </c>
      <c r="O609" s="160">
        <v>0.3</v>
      </c>
      <c r="P609" s="161">
        <v>44867</v>
      </c>
      <c r="Q609" s="161">
        <v>44882</v>
      </c>
      <c r="R609" s="82">
        <f t="shared" si="164"/>
        <v>3.3333333333333366</v>
      </c>
      <c r="S609" s="162">
        <f>IF(INDEX([1]Historical!$D$7:$D$1229,MATCH(B609,[1]Historical!$B$7:$B$1253,0))=0,"n/a",(INDEX([1]Historical!$C$7:$C$1231,MATCH(B609,[1]Historical!$B$7:$B$1253,0))/INDEX([1]Historical!$D$7:$D$1229,MATCH(B609,[1]Historical!$B$7:$B$1253,0))-1)*100)</f>
        <v>0.89285714285711748</v>
      </c>
      <c r="T609" s="162">
        <f>IF(INDEX([1]Historical!$F$7:$F$1222,MATCH(B609,[1]Historical!$B$7:$B$1253,0))=0,"n/a",((INDEX([1]Historical!$C$7:$C$1231,MATCH(B609,[1]Historical!$B$7:$B$1253,0))/INDEX([1]Historical!$F$7:$F$1222,MATCH(B609,[1]Historical!$B$7:$B$1253,0)))^(1/3)-1)*100)</f>
        <v>4.5075699869106645</v>
      </c>
      <c r="U609" s="162">
        <f>IF(INDEX([1]Historical!$H$7:$H$1222,MATCH(B609,[1]Historical!$B$7:$B$1253,0))=0,"n/a",((INDEX([1]Historical!$C$7:$C$1231,MATCH(B609,[1]Historical!$B$7:$B$1253,0))/INDEX([1]Historical!$H$7:$H$1222,MATCH(B609,[1]Historical!$B$7:$B$1253,0)))^(1/5)-1)*100)</f>
        <v>7.9735905589465084</v>
      </c>
      <c r="V609" s="162">
        <f>IF(INDEX([1]Historical!$N$7:$N$1222,MATCH(B609,[1]Historical!$B$7:$B$1253,0))=0,"n/a",((INDEX([1]Historical!$C$7:$C$1231,MATCH(B609,[1]Historical!$B$7:$B$1253,0))/INDEX([1]Historical!$N$7:$N$1222,MATCH(B609,[1]Historical!$B$7:$B$1253,0)))^(1/10)-1)*100)</f>
        <v>6.535100353863732</v>
      </c>
      <c r="W609" s="163">
        <f t="shared" si="165"/>
        <v>1.2201175387050178</v>
      </c>
      <c r="X609" s="164">
        <f t="shared" si="166"/>
        <v>1.2081197816585618</v>
      </c>
      <c r="Y609" s="180"/>
      <c r="Z609" s="157">
        <f t="shared" si="167"/>
        <v>41.333333333333336</v>
      </c>
      <c r="AA609" s="166">
        <f t="shared" si="168"/>
        <v>12.603333333333333</v>
      </c>
      <c r="AB609" s="126">
        <v>12</v>
      </c>
      <c r="AC609" s="167">
        <v>3</v>
      </c>
      <c r="AD609" s="167">
        <v>1.25</v>
      </c>
      <c r="AE609" s="167">
        <v>4.17</v>
      </c>
      <c r="AF609" s="167">
        <v>1.24</v>
      </c>
      <c r="AG609" s="167" t="s">
        <v>95</v>
      </c>
      <c r="AH609" s="167">
        <v>424.6</v>
      </c>
      <c r="AI609" s="167">
        <v>-1.24</v>
      </c>
      <c r="AJ609" s="167">
        <v>6.6000000000000005</v>
      </c>
      <c r="AK609" s="167">
        <v>10</v>
      </c>
      <c r="AL609" s="168">
        <v>1420</v>
      </c>
      <c r="AM609" s="169">
        <v>1.0999999999999999</v>
      </c>
      <c r="AN609" s="167">
        <v>0.06</v>
      </c>
      <c r="AO609" s="170">
        <f t="shared" si="169"/>
        <v>-1.3501871012844706</v>
      </c>
      <c r="AP609" s="171">
        <f t="shared" si="170"/>
        <v>11.253146232048863</v>
      </c>
      <c r="AQ609" s="172">
        <f t="shared" si="171"/>
        <v>-16.658311529960969</v>
      </c>
      <c r="AR609" s="157">
        <f>INDEX([1]Historical!$C$7:$C$1231,MATCH(B609,[1]Historical!$B$7:$B$1253,0))*IF(AH609="n/a",1.03,IF(AH609&lt;0,1.01,IF(AH609&gt;10,1.1,(1+AH609/100))))</f>
        <v>1.2429999999999999</v>
      </c>
      <c r="AS609" s="166">
        <f t="shared" si="172"/>
        <v>1.2554299999999998</v>
      </c>
      <c r="AT609" s="166">
        <f t="shared" si="177"/>
        <v>1.380973</v>
      </c>
      <c r="AU609" s="166">
        <f t="shared" si="177"/>
        <v>1.5190703000000001</v>
      </c>
      <c r="AV609" s="166">
        <f t="shared" si="177"/>
        <v>1.6709773300000001</v>
      </c>
      <c r="AW609" s="157">
        <f t="shared" si="174"/>
        <v>7.0694506300000004</v>
      </c>
      <c r="AX609" s="173">
        <f t="shared" si="175"/>
        <v>18.697303967204444</v>
      </c>
      <c r="AY609" s="174">
        <v>0.72</v>
      </c>
      <c r="AZ609" s="169">
        <v>42.63</v>
      </c>
      <c r="BA609" s="169">
        <v>0.92999999999999994</v>
      </c>
      <c r="BB609" s="169">
        <v>21</v>
      </c>
      <c r="BC609" s="169">
        <v>25.8</v>
      </c>
      <c r="BD609" s="100"/>
      <c r="BE609" s="77">
        <v>2013</v>
      </c>
      <c r="BF609" s="77">
        <f t="shared" si="176"/>
        <v>1</v>
      </c>
      <c r="BG609" s="175" t="s">
        <v>95</v>
      </c>
      <c r="BH609" t="s">
        <v>939</v>
      </c>
      <c r="BI609" t="s">
        <v>940</v>
      </c>
      <c r="BJ609"/>
      <c r="BK609"/>
      <c r="BL609"/>
    </row>
    <row r="610" spans="1:64" s="112" customFormat="1" ht="12.75" customHeight="1" x14ac:dyDescent="0.2">
      <c r="A610" s="176" t="s">
        <v>1643</v>
      </c>
      <c r="B610" s="239" t="s">
        <v>467</v>
      </c>
      <c r="C610" s="154" t="s">
        <v>137</v>
      </c>
      <c r="D610" s="154" t="s">
        <v>946</v>
      </c>
      <c r="E610" s="155">
        <v>18</v>
      </c>
      <c r="F610" s="298">
        <v>223</v>
      </c>
      <c r="G610" s="298" t="s">
        <v>88</v>
      </c>
      <c r="H610" s="298" t="s">
        <v>88</v>
      </c>
      <c r="I610" s="156">
        <v>172.58</v>
      </c>
      <c r="J610" s="157">
        <f t="shared" si="162"/>
        <v>1.0893498667284736</v>
      </c>
      <c r="K610" s="158">
        <v>0.47</v>
      </c>
      <c r="L610" s="126">
        <v>4</v>
      </c>
      <c r="M610" s="82">
        <f t="shared" si="163"/>
        <v>1.88</v>
      </c>
      <c r="N610" s="159" t="s">
        <v>206</v>
      </c>
      <c r="O610" s="160">
        <v>0.43</v>
      </c>
      <c r="P610" s="161">
        <v>44810</v>
      </c>
      <c r="Q610" s="161">
        <v>44827</v>
      </c>
      <c r="R610" s="82">
        <f t="shared" si="164"/>
        <v>9.302325581395344</v>
      </c>
      <c r="S610" s="162">
        <f>IF(INDEX([1]Historical!$D$7:$D$1229,MATCH(B610,[1]Historical!$B$7:$B$1253,0))=0,"n/a",(INDEX([1]Historical!$C$7:$C$1231,MATCH(B610,[1]Historical!$B$7:$B$1253,0))/INDEX([1]Historical!$D$7:$D$1229,MATCH(B610,[1]Historical!$B$7:$B$1253,0))-1)*100)</f>
        <v>7.7922077922077948</v>
      </c>
      <c r="T610" s="162">
        <f>IF(INDEX([1]Historical!$F$7:$F$1222,MATCH(B610,[1]Historical!$B$7:$B$1253,0))=0,"n/a",((INDEX([1]Historical!$C$7:$C$1231,MATCH(B610,[1]Historical!$B$7:$B$1253,0))/INDEX([1]Historical!$F$7:$F$1222,MATCH(B610,[1]Historical!$B$7:$B$1253,0)))^(1/3)-1)*100)</f>
        <v>8.4896342939231761</v>
      </c>
      <c r="U610" s="162">
        <f>IF(INDEX([1]Historical!$H$7:$H$1222,MATCH(B610,[1]Historical!$B$7:$B$1253,0))=0,"n/a",((INDEX([1]Historical!$C$7:$C$1231,MATCH(B610,[1]Historical!$B$7:$B$1253,0))/INDEX([1]Historical!$H$7:$H$1222,MATCH(B610,[1]Historical!$B$7:$B$1253,0)))^(1/5)-1)*100)</f>
        <v>9.385673350658541</v>
      </c>
      <c r="V610" s="162">
        <f>IF(INDEX([1]Historical!$N$7:$N$1222,MATCH(B610,[1]Historical!$B$7:$B$1253,0))=0,"n/a",((INDEX([1]Historical!$C$7:$C$1231,MATCH(B610,[1]Historical!$B$7:$B$1253,0))/INDEX([1]Historical!$N$7:$N$1222,MATCH(B610,[1]Historical!$B$7:$B$1253,0)))^(1/10)-1)*100)</f>
        <v>10.000031976494505</v>
      </c>
      <c r="W610" s="163">
        <f t="shared" si="165"/>
        <v>0.9385643338661277</v>
      </c>
      <c r="X610" s="164">
        <f t="shared" si="166"/>
        <v>0.66096291201820712</v>
      </c>
      <c r="Y610" s="153" t="s">
        <v>701</v>
      </c>
      <c r="Z610" s="157">
        <f t="shared" si="167"/>
        <v>50.267379679144376</v>
      </c>
      <c r="AA610" s="166">
        <f t="shared" si="168"/>
        <v>46.144385026737972</v>
      </c>
      <c r="AB610" s="126">
        <v>3</v>
      </c>
      <c r="AC610" s="167">
        <v>3.74</v>
      </c>
      <c r="AD610" s="167">
        <v>4.62</v>
      </c>
      <c r="AE610" s="167">
        <v>3.59</v>
      </c>
      <c r="AF610" s="167">
        <v>2.7</v>
      </c>
      <c r="AG610" s="167">
        <v>5.8000000000000007</v>
      </c>
      <c r="AH610" s="167">
        <v>-46.400000000000006</v>
      </c>
      <c r="AI610" s="167">
        <v>11.39</v>
      </c>
      <c r="AJ610" s="167">
        <v>14.2</v>
      </c>
      <c r="AK610" s="167">
        <v>10</v>
      </c>
      <c r="AL610" s="168">
        <v>17140</v>
      </c>
      <c r="AM610" s="169">
        <v>0.2</v>
      </c>
      <c r="AN610" s="167">
        <v>0.47</v>
      </c>
      <c r="AO610" s="170">
        <f t="shared" si="169"/>
        <v>-35.66936180935096</v>
      </c>
      <c r="AP610" s="171">
        <f t="shared" si="170"/>
        <v>10.475023217387015</v>
      </c>
      <c r="AQ610" s="172">
        <f t="shared" si="171"/>
        <v>135.31523969366188</v>
      </c>
      <c r="AR610" s="157">
        <f>INDEX([1]Historical!$C$7:$C$1231,MATCH(B610,[1]Historical!$B$7:$B$1253,0))*IF(AH610="n/a",1.03,IF(AH610&lt;0,1.01,IF(AH610&gt;10,1.1,(1+AH610/100))))</f>
        <v>1.6765999999999999</v>
      </c>
      <c r="AS610" s="166">
        <f t="shared" si="172"/>
        <v>1.84426</v>
      </c>
      <c r="AT610" s="166">
        <f t="shared" si="177"/>
        <v>2.028686</v>
      </c>
      <c r="AU610" s="166">
        <f t="shared" si="177"/>
        <v>2.2315546000000004</v>
      </c>
      <c r="AV610" s="166">
        <f t="shared" si="177"/>
        <v>2.4547100600000005</v>
      </c>
      <c r="AW610" s="157">
        <f t="shared" si="174"/>
        <v>10.23581066</v>
      </c>
      <c r="AX610" s="173">
        <f t="shared" si="175"/>
        <v>5.9310526480472827</v>
      </c>
      <c r="AY610" s="174">
        <v>0.81</v>
      </c>
      <c r="AZ610" s="169">
        <v>8.4</v>
      </c>
      <c r="BA610" s="169">
        <v>-32.57</v>
      </c>
      <c r="BB610" s="169">
        <v>-5.96</v>
      </c>
      <c r="BC610" s="169">
        <v>-19.470000000000002</v>
      </c>
      <c r="BD610" s="100"/>
      <c r="BE610" s="77">
        <v>2005</v>
      </c>
      <c r="BF610" s="77">
        <f t="shared" si="176"/>
        <v>2</v>
      </c>
      <c r="BG610" s="175">
        <v>3.3000000000000003</v>
      </c>
      <c r="BH610" t="s">
        <v>939</v>
      </c>
      <c r="BI610" t="s">
        <v>940</v>
      </c>
      <c r="BJ610"/>
      <c r="BK610"/>
      <c r="BL610"/>
    </row>
    <row r="611" spans="1:64" s="112" customFormat="1" ht="12.75" customHeight="1" x14ac:dyDescent="0.2">
      <c r="A611" s="205" t="s">
        <v>1644</v>
      </c>
      <c r="B611" s="239" t="s">
        <v>706</v>
      </c>
      <c r="C611" s="154" t="s">
        <v>96</v>
      </c>
      <c r="D611" s="154" t="s">
        <v>956</v>
      </c>
      <c r="E611" s="155">
        <v>12</v>
      </c>
      <c r="F611" s="298">
        <v>356</v>
      </c>
      <c r="G611" s="298" t="s">
        <v>30</v>
      </c>
      <c r="H611" s="298" t="s">
        <v>104</v>
      </c>
      <c r="I611" s="156">
        <v>94.05</v>
      </c>
      <c r="J611" s="157">
        <f t="shared" si="162"/>
        <v>1.4460393407761829</v>
      </c>
      <c r="K611" s="158">
        <v>0.34</v>
      </c>
      <c r="L611" s="126">
        <v>4</v>
      </c>
      <c r="M611" s="82">
        <f t="shared" si="163"/>
        <v>1.36</v>
      </c>
      <c r="N611" s="159" t="s">
        <v>634</v>
      </c>
      <c r="O611" s="160">
        <v>0.26</v>
      </c>
      <c r="P611" s="161">
        <v>44650</v>
      </c>
      <c r="Q611" s="161">
        <v>44666</v>
      </c>
      <c r="R611" s="82">
        <f t="shared" si="164"/>
        <v>30.769230769230777</v>
      </c>
      <c r="S611" s="162">
        <f>IF(INDEX([1]Historical!$D$7:$D$1229,MATCH(B611,[1]Historical!$B$7:$B$1253,0))=0,"n/a",(INDEX([1]Historical!$C$7:$C$1231,MATCH(B611,[1]Historical!$B$7:$B$1253,0))/INDEX([1]Historical!$D$7:$D$1229,MATCH(B611,[1]Historical!$B$7:$B$1253,0))-1)*100)</f>
        <v>4.0404040404040442</v>
      </c>
      <c r="T611" s="162">
        <f>IF(INDEX([1]Historical!$F$7:$F$1222,MATCH(B611,[1]Historical!$B$7:$B$1253,0))=0,"n/a",((INDEX([1]Historical!$C$7:$C$1231,MATCH(B611,[1]Historical!$B$7:$B$1253,0))/INDEX([1]Historical!$F$7:$F$1222,MATCH(B611,[1]Historical!$B$7:$B$1253,0)))^(1/3)-1)*100)</f>
        <v>12.807620813443643</v>
      </c>
      <c r="U611" s="162">
        <f>IF(INDEX([1]Historical!$H$7:$H$1222,MATCH(B611,[1]Historical!$B$7:$B$1253,0))=0,"n/a",((INDEX([1]Historical!$C$7:$C$1231,MATCH(B611,[1]Historical!$B$7:$B$1253,0))/INDEX([1]Historical!$H$7:$H$1222,MATCH(B611,[1]Historical!$B$7:$B$1253,0)))^(1/5)-1)*100)</f>
        <v>13.062470424036388</v>
      </c>
      <c r="V611" s="162">
        <f>IF(INDEX([1]Historical!$N$7:$N$1222,MATCH(B611,[1]Historical!$B$7:$B$1253,0))=0,"n/a",((INDEX([1]Historical!$C$7:$C$1231,MATCH(B611,[1]Historical!$B$7:$B$1253,0))/INDEX([1]Historical!$N$7:$N$1222,MATCH(B611,[1]Historical!$B$7:$B$1253,0)))^(1/10)-1)*100)</f>
        <v>10.631957224262866</v>
      </c>
      <c r="W611" s="163">
        <f t="shared" si="165"/>
        <v>1.2286044938392831</v>
      </c>
      <c r="X611" s="164">
        <f t="shared" si="166"/>
        <v>0.22367243876774637</v>
      </c>
      <c r="Y611" s="212"/>
      <c r="Z611" s="157">
        <f t="shared" si="167"/>
        <v>5.9964726631393299</v>
      </c>
      <c r="AA611" s="166">
        <f t="shared" si="168"/>
        <v>4.1468253968253972</v>
      </c>
      <c r="AB611" s="126">
        <v>12</v>
      </c>
      <c r="AC611" s="167">
        <v>22.68</v>
      </c>
      <c r="AD611" s="167">
        <v>0.15</v>
      </c>
      <c r="AE611" s="167">
        <v>0.75</v>
      </c>
      <c r="AF611" s="167">
        <v>2.14</v>
      </c>
      <c r="AG611" s="167">
        <v>59.9</v>
      </c>
      <c r="AH611" s="179">
        <v>499.7</v>
      </c>
      <c r="AI611" s="179">
        <v>-51.99</v>
      </c>
      <c r="AJ611" s="167">
        <v>58.4</v>
      </c>
      <c r="AK611" s="167">
        <v>28.060000000000002</v>
      </c>
      <c r="AL611" s="168">
        <v>17110</v>
      </c>
      <c r="AM611" s="169">
        <v>3.5999999999999996</v>
      </c>
      <c r="AN611" s="167">
        <v>0.38</v>
      </c>
      <c r="AO611" s="170">
        <f t="shared" si="169"/>
        <v>10.361684367987174</v>
      </c>
      <c r="AP611" s="171">
        <f t="shared" si="170"/>
        <v>14.508509764812571</v>
      </c>
      <c r="AQ611" s="172">
        <f t="shared" si="171"/>
        <v>-37.197995965428163</v>
      </c>
      <c r="AR611" s="157">
        <f>INDEX([1]Historical!$C$7:$C$1231,MATCH(B611,[1]Historical!$B$7:$B$1253,0))*IF(AH611="n/a",1.03,IF(AH611&lt;0,1.01,IF(AH611&gt;10,1.1,(1+AH611/100))))</f>
        <v>1.1330000000000002</v>
      </c>
      <c r="AS611" s="166">
        <f t="shared" si="172"/>
        <v>1.1443300000000003</v>
      </c>
      <c r="AT611" s="166">
        <f t="shared" si="177"/>
        <v>1.2587630000000005</v>
      </c>
      <c r="AU611" s="166">
        <f t="shared" si="177"/>
        <v>1.3846393000000008</v>
      </c>
      <c r="AV611" s="166">
        <f t="shared" si="177"/>
        <v>1.5231032300000009</v>
      </c>
      <c r="AW611" s="157">
        <f t="shared" si="174"/>
        <v>6.443835530000003</v>
      </c>
      <c r="AX611" s="173">
        <f t="shared" si="175"/>
        <v>6.8514997660818739</v>
      </c>
      <c r="AY611" s="174">
        <v>1.48</v>
      </c>
      <c r="AZ611" s="169">
        <v>86.09</v>
      </c>
      <c r="BA611" s="169">
        <v>-6.32</v>
      </c>
      <c r="BB611" s="169">
        <v>16.68</v>
      </c>
      <c r="BC611" s="169">
        <v>23.96</v>
      </c>
      <c r="BD611" s="100"/>
      <c r="BE611" s="77">
        <v>2011</v>
      </c>
      <c r="BF611" s="77">
        <f t="shared" si="176"/>
        <v>1</v>
      </c>
      <c r="BG611" s="175">
        <v>32.4</v>
      </c>
      <c r="BH611" t="s">
        <v>939</v>
      </c>
      <c r="BI611" t="s">
        <v>940</v>
      </c>
      <c r="BJ611"/>
      <c r="BK611"/>
      <c r="BL611"/>
    </row>
    <row r="612" spans="1:64" s="112" customFormat="1" ht="12.75" customHeight="1" x14ac:dyDescent="0.2">
      <c r="A612" s="205" t="s">
        <v>1645</v>
      </c>
      <c r="B612" s="239" t="s">
        <v>1194</v>
      </c>
      <c r="C612" s="154" t="s">
        <v>947</v>
      </c>
      <c r="D612" s="154" t="s">
        <v>948</v>
      </c>
      <c r="E612" s="155">
        <v>8</v>
      </c>
      <c r="F612" s="298">
        <v>601</v>
      </c>
      <c r="G612" s="298" t="s">
        <v>88</v>
      </c>
      <c r="H612" s="298" t="s">
        <v>88</v>
      </c>
      <c r="I612" s="156">
        <v>31.8</v>
      </c>
      <c r="J612" s="157">
        <f t="shared" si="162"/>
        <v>5.1572327044025155</v>
      </c>
      <c r="K612" s="158">
        <v>0.41</v>
      </c>
      <c r="L612" s="126">
        <v>4</v>
      </c>
      <c r="M612" s="82">
        <f t="shared" si="163"/>
        <v>1.64</v>
      </c>
      <c r="N612" s="159" t="s">
        <v>119</v>
      </c>
      <c r="O612" s="160">
        <v>0.38500000000000001</v>
      </c>
      <c r="P612" s="161">
        <v>44833</v>
      </c>
      <c r="Q612" s="161">
        <v>44851</v>
      </c>
      <c r="R612" s="82">
        <f t="shared" si="164"/>
        <v>6.4935064935064846</v>
      </c>
      <c r="S612" s="162">
        <f>IF(INDEX([1]Historical!$D$7:$D$1229,MATCH(B612,[1]Historical!$B$7:$B$1253,0))=0,"n/a",(INDEX([1]Historical!$C$7:$C$1231,MATCH(B612,[1]Historical!$B$7:$B$1253,0))/INDEX([1]Historical!$D$7:$D$1229,MATCH(B612,[1]Historical!$B$7:$B$1253,0))-1)*100)</f>
        <v>3.9007092198581672</v>
      </c>
      <c r="T612" s="162">
        <f>IF(INDEX([1]Historical!$F$7:$F$1222,MATCH(B612,[1]Historical!$B$7:$B$1253,0))=0,"n/a",((INDEX([1]Historical!$C$7:$C$1231,MATCH(B612,[1]Historical!$B$7:$B$1253,0))/INDEX([1]Historical!$F$7:$F$1222,MATCH(B612,[1]Historical!$B$7:$B$1253,0)))^(1/3)-1)*100)</f>
        <v>5.1531676221949319</v>
      </c>
      <c r="U612" s="162">
        <f>IF(INDEX([1]Historical!$H$7:$H$1222,MATCH(B612,[1]Historical!$B$7:$B$1253,0))=0,"n/a",((INDEX([1]Historical!$C$7:$C$1231,MATCH(B612,[1]Historical!$B$7:$B$1253,0))/INDEX([1]Historical!$H$7:$H$1222,MATCH(B612,[1]Historical!$B$7:$B$1253,0)))^(1/5)-1)*100)</f>
        <v>5.8982998859047564</v>
      </c>
      <c r="V612" s="162" t="str">
        <f>IF(INDEX([1]Historical!$N$7:$N$1222,MATCH(B612,[1]Historical!$B$7:$B$1253,0))=0,"n/a",((INDEX([1]Historical!$C$7:$C$1231,MATCH(B612,[1]Historical!$B$7:$B$1253,0))/INDEX([1]Historical!$N$7:$N$1222,MATCH(B612,[1]Historical!$B$7:$B$1253,0)))^(1/10)-1)*100)</f>
        <v>n/a</v>
      </c>
      <c r="W612" s="163" t="str">
        <f t="shared" si="165"/>
        <v>n/a</v>
      </c>
      <c r="X612" s="164">
        <f t="shared" si="166"/>
        <v>0.95133869127496073</v>
      </c>
      <c r="Y612" s="178"/>
      <c r="Z612" s="157">
        <f t="shared" si="167"/>
        <v>137.81512605042016</v>
      </c>
      <c r="AA612" s="166">
        <f t="shared" si="168"/>
        <v>26.722689075630253</v>
      </c>
      <c r="AB612" s="126">
        <v>12</v>
      </c>
      <c r="AC612" s="167">
        <v>1.19</v>
      </c>
      <c r="AD612" s="167">
        <v>4.37</v>
      </c>
      <c r="AE612" s="167">
        <v>10.47</v>
      </c>
      <c r="AF612" s="167">
        <v>1.66</v>
      </c>
      <c r="AG612" s="167">
        <v>6.3</v>
      </c>
      <c r="AH612" s="167">
        <v>18.2</v>
      </c>
      <c r="AI612" s="167">
        <v>-2.69</v>
      </c>
      <c r="AJ612" s="167">
        <v>6.2</v>
      </c>
      <c r="AK612" s="167">
        <v>6.09</v>
      </c>
      <c r="AL612" s="168">
        <v>8940</v>
      </c>
      <c r="AM612" s="169">
        <v>0.3</v>
      </c>
      <c r="AN612" s="167">
        <v>0.87</v>
      </c>
      <c r="AO612" s="170">
        <f t="shared" si="169"/>
        <v>-15.66715648532298</v>
      </c>
      <c r="AP612" s="171">
        <f t="shared" si="170"/>
        <v>11.055532590307273</v>
      </c>
      <c r="AQ612" s="172">
        <f t="shared" si="171"/>
        <v>40.411559931741323</v>
      </c>
      <c r="AR612" s="157">
        <f>INDEX([1]Historical!$C$7:$C$1231,MATCH(B612,[1]Historical!$B$7:$B$1253,0))*IF(AH612="n/a",1.03,IF(AH612&lt;0,1.01,IF(AH612&gt;10,1.1,(1+AH612/100))))</f>
        <v>1.6115000000000002</v>
      </c>
      <c r="AS612" s="166">
        <f t="shared" si="172"/>
        <v>1.6276150000000003</v>
      </c>
      <c r="AT612" s="166">
        <f t="shared" si="177"/>
        <v>1.7267367535000002</v>
      </c>
      <c r="AU612" s="166">
        <f t="shared" si="177"/>
        <v>1.8318950217881502</v>
      </c>
      <c r="AV612" s="166">
        <f t="shared" si="177"/>
        <v>1.9434574286150486</v>
      </c>
      <c r="AW612" s="157">
        <f t="shared" si="174"/>
        <v>8.7412042039031999</v>
      </c>
      <c r="AX612" s="173">
        <f t="shared" si="175"/>
        <v>27.488063534286795</v>
      </c>
      <c r="AY612" s="174">
        <v>0.99</v>
      </c>
      <c r="AZ612" s="169">
        <v>29.9</v>
      </c>
      <c r="BA612" s="169">
        <v>-11.98</v>
      </c>
      <c r="BB612" s="169">
        <v>5.82</v>
      </c>
      <c r="BC612" s="169">
        <v>9.6100000000000012</v>
      </c>
      <c r="BD612" s="100"/>
      <c r="BE612" s="77">
        <v>2015</v>
      </c>
      <c r="BF612" s="77">
        <f t="shared" si="176"/>
        <v>1</v>
      </c>
      <c r="BG612" s="175">
        <v>3.3000000000000003</v>
      </c>
      <c r="BH612" t="s">
        <v>939</v>
      </c>
      <c r="BI612" t="s">
        <v>945</v>
      </c>
    </row>
    <row r="613" spans="1:64" s="112" customFormat="1" ht="12.75" customHeight="1" x14ac:dyDescent="0.2">
      <c r="A613" s="112" t="s">
        <v>1646</v>
      </c>
      <c r="B613" s="239" t="s">
        <v>644</v>
      </c>
      <c r="C613" s="154" t="s">
        <v>90</v>
      </c>
      <c r="D613" s="154" t="s">
        <v>972</v>
      </c>
      <c r="E613" s="155">
        <v>12</v>
      </c>
      <c r="F613" s="298">
        <v>383</v>
      </c>
      <c r="G613" s="298" t="s">
        <v>104</v>
      </c>
      <c r="H613" s="298" t="s">
        <v>104</v>
      </c>
      <c r="I613" s="156">
        <v>74</v>
      </c>
      <c r="J613" s="157">
        <f t="shared" si="162"/>
        <v>3.4054054054054053</v>
      </c>
      <c r="K613" s="158">
        <v>0.63</v>
      </c>
      <c r="L613" s="126">
        <v>4</v>
      </c>
      <c r="M613" s="82">
        <f t="shared" si="163"/>
        <v>2.52</v>
      </c>
      <c r="N613" s="159" t="s">
        <v>112</v>
      </c>
      <c r="O613" s="160">
        <v>0.56999999999999995</v>
      </c>
      <c r="P613" s="161">
        <v>44834</v>
      </c>
      <c r="Q613" s="161">
        <v>44847</v>
      </c>
      <c r="R613" s="82">
        <f t="shared" si="164"/>
        <v>10.526315789473696</v>
      </c>
      <c r="S613" s="162">
        <f>IF(INDEX([1]Historical!$D$7:$D$1229,MATCH(B613,[1]Historical!$B$7:$B$1253,0))=0,"n/a",(INDEX([1]Historical!$C$7:$C$1231,MATCH(B613,[1]Historical!$B$7:$B$1253,0))/INDEX([1]Historical!$D$7:$D$1229,MATCH(B613,[1]Historical!$B$7:$B$1253,0))-1)*100)</f>
        <v>2.4038461538461453</v>
      </c>
      <c r="T613" s="162">
        <f>IF(INDEX([1]Historical!$F$7:$F$1222,MATCH(B613,[1]Historical!$B$7:$B$1253,0))=0,"n/a",((INDEX([1]Historical!$C$7:$C$1231,MATCH(B613,[1]Historical!$B$7:$B$1253,0))/INDEX([1]Historical!$F$7:$F$1222,MATCH(B613,[1]Historical!$B$7:$B$1253,0)))^(1/3)-1)*100)</f>
        <v>6.1662637419033217</v>
      </c>
      <c r="U613" s="162">
        <f>IF(INDEX([1]Historical!$H$7:$H$1222,MATCH(B613,[1]Historical!$B$7:$B$1253,0))=0,"n/a",((INDEX([1]Historical!$C$7:$C$1231,MATCH(B613,[1]Historical!$B$7:$B$1253,0))/INDEX([1]Historical!$H$7:$H$1222,MATCH(B613,[1]Historical!$B$7:$B$1253,0)))^(1/5)-1)*100)</f>
        <v>8.7552706572454841</v>
      </c>
      <c r="V613" s="162">
        <f>IF(INDEX([1]Historical!$N$7:$N$1222,MATCH(B613,[1]Historical!$B$7:$B$1253,0))=0,"n/a",((INDEX([1]Historical!$C$7:$C$1231,MATCH(B613,[1]Historical!$B$7:$B$1253,0))/INDEX([1]Historical!$N$7:$N$1222,MATCH(B613,[1]Historical!$B$7:$B$1253,0)))^(1/10)-1)*100)</f>
        <v>14.498999393623023</v>
      </c>
      <c r="W613" s="163">
        <f t="shared" si="165"/>
        <v>0.60385343978262684</v>
      </c>
      <c r="X613" s="164">
        <f t="shared" si="166"/>
        <v>1.1370481373046084</v>
      </c>
      <c r="Y613" s="180"/>
      <c r="Z613" s="157">
        <f t="shared" si="167"/>
        <v>35.69405099150142</v>
      </c>
      <c r="AA613" s="166">
        <f t="shared" si="168"/>
        <v>10.48158640226629</v>
      </c>
      <c r="AB613" s="126">
        <v>12</v>
      </c>
      <c r="AC613" s="167">
        <v>7.06</v>
      </c>
      <c r="AD613" s="167">
        <v>2.2999999999999998</v>
      </c>
      <c r="AE613" s="167">
        <v>9.36</v>
      </c>
      <c r="AF613" s="167">
        <v>1.1599999999999999</v>
      </c>
      <c r="AG613" s="167">
        <v>10.8</v>
      </c>
      <c r="AH613" s="167">
        <v>13.700000000000001</v>
      </c>
      <c r="AI613" s="167">
        <v>15.959999999999999</v>
      </c>
      <c r="AJ613" s="167">
        <v>7.7</v>
      </c>
      <c r="AK613" s="167">
        <v>4.5999999999999996</v>
      </c>
      <c r="AL613" s="168">
        <v>26820</v>
      </c>
      <c r="AM613" s="169">
        <v>0.2</v>
      </c>
      <c r="AN613" s="167">
        <v>0.59</v>
      </c>
      <c r="AO613" s="170">
        <f t="shared" si="169"/>
        <v>1.6790896603845997</v>
      </c>
      <c r="AP613" s="171">
        <f t="shared" si="170"/>
        <v>12.160676062650889</v>
      </c>
      <c r="AQ613" s="172">
        <f t="shared" si="171"/>
        <v>-26.489183784126347</v>
      </c>
      <c r="AR613" s="157">
        <f>INDEX([1]Historical!$C$7:$C$1231,MATCH(B613,[1]Historical!$B$7:$B$1253,0))*IF(AH613="n/a",1.03,IF(AH613&lt;0,1.01,IF(AH613&gt;10,1.1,(1+AH613/100))))</f>
        <v>2.343</v>
      </c>
      <c r="AS613" s="166">
        <f t="shared" si="172"/>
        <v>2.5773000000000001</v>
      </c>
      <c r="AT613" s="166">
        <f t="shared" si="177"/>
        <v>2.6958558000000004</v>
      </c>
      <c r="AU613" s="166">
        <f t="shared" si="177"/>
        <v>2.8198651668000005</v>
      </c>
      <c r="AV613" s="166">
        <f t="shared" si="177"/>
        <v>2.9495789644728005</v>
      </c>
      <c r="AW613" s="157">
        <f t="shared" si="174"/>
        <v>13.385599931272802</v>
      </c>
      <c r="AX613" s="173">
        <f t="shared" si="175"/>
        <v>18.088648555774057</v>
      </c>
      <c r="AY613" s="174">
        <v>1.62</v>
      </c>
      <c r="AZ613" s="169">
        <v>26.25</v>
      </c>
      <c r="BA613" s="169">
        <v>-29.439999999999998</v>
      </c>
      <c r="BB613" s="169">
        <v>9.67</v>
      </c>
      <c r="BC613" s="169">
        <v>-1.47</v>
      </c>
      <c r="BD613" s="100"/>
      <c r="BE613" s="77">
        <v>2011</v>
      </c>
      <c r="BF613" s="77">
        <f t="shared" si="176"/>
        <v>1</v>
      </c>
      <c r="BG613" s="175">
        <v>0.8</v>
      </c>
      <c r="BH613" t="s">
        <v>939</v>
      </c>
      <c r="BI613" t="s">
        <v>940</v>
      </c>
      <c r="BJ613"/>
      <c r="BK613"/>
      <c r="BL613"/>
    </row>
    <row r="614" spans="1:64" s="112" customFormat="1" ht="12.75" customHeight="1" x14ac:dyDescent="0.2">
      <c r="A614" s="205" t="s">
        <v>1647</v>
      </c>
      <c r="B614" s="239" t="s">
        <v>1195</v>
      </c>
      <c r="C614" s="154" t="s">
        <v>127</v>
      </c>
      <c r="D614" s="154" t="s">
        <v>994</v>
      </c>
      <c r="E614" s="155">
        <v>8</v>
      </c>
      <c r="F614" s="298">
        <v>591</v>
      </c>
      <c r="G614" s="298" t="s">
        <v>88</v>
      </c>
      <c r="H614" s="298" t="s">
        <v>88</v>
      </c>
      <c r="I614" s="156">
        <v>247.08</v>
      </c>
      <c r="J614" s="157">
        <f t="shared" si="162"/>
        <v>1.2951270843451514</v>
      </c>
      <c r="K614" s="158">
        <v>0.8</v>
      </c>
      <c r="L614" s="126">
        <v>4</v>
      </c>
      <c r="M614" s="82">
        <f t="shared" si="163"/>
        <v>3.2</v>
      </c>
      <c r="N614" s="159" t="s">
        <v>199</v>
      </c>
      <c r="O614" s="160">
        <v>0.76</v>
      </c>
      <c r="P614" s="161">
        <v>44685</v>
      </c>
      <c r="Q614" s="161">
        <v>44700</v>
      </c>
      <c r="R614" s="82">
        <f t="shared" si="164"/>
        <v>5.2631578947368469</v>
      </c>
      <c r="S614" s="162">
        <f>IF(INDEX([1]Historical!$D$7:$D$1229,MATCH(B614,[1]Historical!$B$7:$B$1253,0))=0,"n/a",(INDEX([1]Historical!$C$7:$C$1231,MATCH(B614,[1]Historical!$B$7:$B$1253,0))/INDEX([1]Historical!$D$7:$D$1229,MATCH(B614,[1]Historical!$B$7:$B$1253,0))-1)*100)</f>
        <v>1.0000000000000009</v>
      </c>
      <c r="T614" s="162">
        <f>IF(INDEX([1]Historical!$F$7:$F$1222,MATCH(B614,[1]Historical!$B$7:$B$1253,0))=0,"n/a",((INDEX([1]Historical!$C$7:$C$1231,MATCH(B614,[1]Historical!$B$7:$B$1253,0))/INDEX([1]Historical!$F$7:$F$1222,MATCH(B614,[1]Historical!$B$7:$B$1253,0)))^(1/3)-1)*100)</f>
        <v>3.4103533006934805</v>
      </c>
      <c r="U614" s="162">
        <f>IF(INDEX([1]Historical!$H$7:$H$1222,MATCH(B614,[1]Historical!$B$7:$B$1253,0))=0,"n/a",((INDEX([1]Historical!$C$7:$C$1231,MATCH(B614,[1]Historical!$B$7:$B$1253,0))/INDEX([1]Historical!$H$7:$H$1222,MATCH(B614,[1]Historical!$B$7:$B$1253,0)))^(1/5)-1)*100)</f>
        <v>14.945807679570478</v>
      </c>
      <c r="V614" s="162" t="str">
        <f>IF(INDEX([1]Historical!$N$7:$N$1222,MATCH(B614,[1]Historical!$B$7:$B$1253,0))=0,"n/a",((INDEX([1]Historical!$C$7:$C$1231,MATCH(B614,[1]Historical!$B$7:$B$1253,0))/INDEX([1]Historical!$N$7:$N$1222,MATCH(B614,[1]Historical!$B$7:$B$1253,0)))^(1/10)-1)*100)</f>
        <v>n/a</v>
      </c>
      <c r="W614" s="163" t="str">
        <f t="shared" si="165"/>
        <v>n/a</v>
      </c>
      <c r="X614" s="164" t="str">
        <f t="shared" si="166"/>
        <v>n/a</v>
      </c>
      <c r="Y614" s="180"/>
      <c r="Z614" s="157" t="str">
        <f t="shared" si="167"/>
        <v>n/a</v>
      </c>
      <c r="AA614" s="166" t="str">
        <f t="shared" si="168"/>
        <v>n/a</v>
      </c>
      <c r="AB614" s="126">
        <v>2</v>
      </c>
      <c r="AC614" s="167">
        <v>-0.1</v>
      </c>
      <c r="AD614" s="167" t="s">
        <v>95</v>
      </c>
      <c r="AE614" s="167">
        <v>4.7699999999999996</v>
      </c>
      <c r="AF614" s="167">
        <v>4.87</v>
      </c>
      <c r="AG614" s="167">
        <v>1</v>
      </c>
      <c r="AH614" s="167">
        <v>-102.3</v>
      </c>
      <c r="AI614" s="167">
        <v>15.079999999999998</v>
      </c>
      <c r="AJ614" s="167">
        <v>-15.2</v>
      </c>
      <c r="AK614" s="167">
        <v>10.7</v>
      </c>
      <c r="AL614" s="168">
        <v>45060</v>
      </c>
      <c r="AM614" s="169">
        <v>2.1999999999999997</v>
      </c>
      <c r="AN614" s="167">
        <v>1.17</v>
      </c>
      <c r="AO614" s="170" t="str">
        <f t="shared" si="169"/>
        <v>n/a</v>
      </c>
      <c r="AP614" s="171">
        <f t="shared" si="170"/>
        <v>16.240934763915629</v>
      </c>
      <c r="AQ614" s="172" t="str">
        <f t="shared" si="171"/>
        <v>n/a</v>
      </c>
      <c r="AR614" s="157">
        <f>INDEX([1]Historical!$C$7:$C$1231,MATCH(B614,[1]Historical!$B$7:$B$1253,0))*IF(AH614="n/a",1.03,IF(AH614&lt;0,1.01,IF(AH614&gt;10,1.1,(1+AH614/100))))</f>
        <v>3.0602999999999998</v>
      </c>
      <c r="AS614" s="166">
        <f t="shared" si="172"/>
        <v>3.36633</v>
      </c>
      <c r="AT614" s="166">
        <f t="shared" si="177"/>
        <v>3.7029630000000004</v>
      </c>
      <c r="AU614" s="166">
        <f t="shared" si="177"/>
        <v>4.073259300000001</v>
      </c>
      <c r="AV614" s="166">
        <f t="shared" si="177"/>
        <v>4.4805852300000018</v>
      </c>
      <c r="AW614" s="157">
        <f t="shared" si="174"/>
        <v>18.683437530000003</v>
      </c>
      <c r="AX614" s="173">
        <f t="shared" si="175"/>
        <v>7.5616956168042746</v>
      </c>
      <c r="AY614" s="174">
        <v>0.98</v>
      </c>
      <c r="AZ614" s="169">
        <v>19.02</v>
      </c>
      <c r="BA614" s="169">
        <v>-5.52</v>
      </c>
      <c r="BB614" s="169">
        <v>3.73</v>
      </c>
      <c r="BC614" s="169">
        <v>3.83</v>
      </c>
      <c r="BD614" s="100"/>
      <c r="BE614" s="77">
        <v>2015</v>
      </c>
      <c r="BF614" s="77">
        <f t="shared" si="176"/>
        <v>1</v>
      </c>
      <c r="BG614" s="175">
        <v>0.4</v>
      </c>
      <c r="BH614" t="s">
        <v>939</v>
      </c>
      <c r="BI614" t="s">
        <v>940</v>
      </c>
    </row>
    <row r="615" spans="1:64" s="112" customFormat="1" ht="12.75" customHeight="1" x14ac:dyDescent="0.2">
      <c r="A615" s="205" t="s">
        <v>1196</v>
      </c>
      <c r="B615" s="239" t="s">
        <v>1197</v>
      </c>
      <c r="C615" s="154" t="s">
        <v>947</v>
      </c>
      <c r="D615" s="154" t="s">
        <v>948</v>
      </c>
      <c r="E615" s="155">
        <v>6</v>
      </c>
      <c r="F615" s="298">
        <v>671</v>
      </c>
      <c r="G615" s="298" t="s">
        <v>88</v>
      </c>
      <c r="H615" s="298" t="s">
        <v>88</v>
      </c>
      <c r="I615" s="156">
        <v>134.85</v>
      </c>
      <c r="J615" s="157">
        <f t="shared" si="162"/>
        <v>2.6103077493511311</v>
      </c>
      <c r="K615" s="158">
        <v>0.88</v>
      </c>
      <c r="L615" s="126">
        <v>4</v>
      </c>
      <c r="M615" s="82">
        <f t="shared" si="163"/>
        <v>3.52</v>
      </c>
      <c r="N615" s="159" t="s">
        <v>164</v>
      </c>
      <c r="O615" s="160">
        <v>0.83</v>
      </c>
      <c r="P615" s="161">
        <v>44650</v>
      </c>
      <c r="Q615" s="161">
        <v>44666</v>
      </c>
      <c r="R615" s="82">
        <f t="shared" si="164"/>
        <v>6.0240963855421743</v>
      </c>
      <c r="S615" s="162">
        <f>IF(INDEX([1]Historical!$D$7:$D$1229,MATCH(B615,[1]Historical!$B$7:$B$1253,0))=0,"n/a",(INDEX([1]Historical!$C$7:$C$1231,MATCH(B615,[1]Historical!$B$7:$B$1253,0))/INDEX([1]Historical!$D$7:$D$1229,MATCH(B615,[1]Historical!$B$7:$B$1253,0))-1)*100)</f>
        <v>5.12820512820511</v>
      </c>
      <c r="T615" s="162">
        <f>IF(INDEX([1]Historical!$F$7:$F$1222,MATCH(B615,[1]Historical!$B$7:$B$1253,0))=0,"n/a",((INDEX([1]Historical!$C$7:$C$1231,MATCH(B615,[1]Historical!$B$7:$B$1253,0))/INDEX([1]Historical!$F$7:$F$1222,MATCH(B615,[1]Historical!$B$7:$B$1253,0)))^(1/3)-1)*100)</f>
        <v>5.4156936422339763</v>
      </c>
      <c r="U615" s="162">
        <f>IF(INDEX([1]Historical!$H$7:$H$1222,MATCH(B615,[1]Historical!$B$7:$B$1253,0))=0,"n/a",((INDEX([1]Historical!$C$7:$C$1231,MATCH(B615,[1]Historical!$B$7:$B$1253,0))/INDEX([1]Historical!$H$7:$H$1222,MATCH(B615,[1]Historical!$B$7:$B$1253,0)))^(1/5)-1)*100)</f>
        <v>4.7562875622858991</v>
      </c>
      <c r="V615" s="162">
        <f>IF(INDEX([1]Historical!$N$7:$N$1222,MATCH(B615,[1]Historical!$B$7:$B$1253,0))=0,"n/a",((INDEX([1]Historical!$C$7:$C$1231,MATCH(B615,[1]Historical!$B$7:$B$1253,0))/INDEX([1]Historical!$N$7:$N$1222,MATCH(B615,[1]Historical!$B$7:$B$1253,0)))^(1/10)-1)*100)</f>
        <v>2.6708908472750092</v>
      </c>
      <c r="W615" s="163">
        <f t="shared" si="165"/>
        <v>1.7807869487210708</v>
      </c>
      <c r="X615" s="164">
        <f t="shared" si="166"/>
        <v>7.206496306493787E-2</v>
      </c>
      <c r="Y615" s="227"/>
      <c r="Z615" s="157">
        <f t="shared" si="167"/>
        <v>170.87378640776697</v>
      </c>
      <c r="AA615" s="166">
        <f t="shared" si="168"/>
        <v>65.461165048543691</v>
      </c>
      <c r="AB615" s="126">
        <v>12</v>
      </c>
      <c r="AC615" s="167">
        <v>2.06</v>
      </c>
      <c r="AD615" s="167">
        <v>21.63</v>
      </c>
      <c r="AE615" s="167">
        <v>5.74</v>
      </c>
      <c r="AF615" s="167">
        <v>2.0299999999999998</v>
      </c>
      <c r="AG615" s="167">
        <v>3.4000000000000004</v>
      </c>
      <c r="AH615" s="167">
        <v>144.6</v>
      </c>
      <c r="AI615" s="167">
        <v>33.08</v>
      </c>
      <c r="AJ615" s="167">
        <v>66</v>
      </c>
      <c r="AK615" s="167">
        <v>3</v>
      </c>
      <c r="AL615" s="168">
        <v>16280.000000000002</v>
      </c>
      <c r="AM615" s="169">
        <v>1.0999999999999999</v>
      </c>
      <c r="AN615" s="167">
        <v>0.84</v>
      </c>
      <c r="AO615" s="170">
        <f t="shared" si="169"/>
        <v>-58.094569736906664</v>
      </c>
      <c r="AP615" s="171">
        <f t="shared" si="170"/>
        <v>7.3665953116370302</v>
      </c>
      <c r="AQ615" s="172">
        <f t="shared" si="171"/>
        <v>143.02369802007527</v>
      </c>
      <c r="AR615" s="157">
        <f>INDEX([1]Historical!$C$7:$C$1231,MATCH(B615,[1]Historical!$B$7:$B$1253,0))*IF(AH615="n/a",1.03,IF(AH615&lt;0,1.01,IF(AH615&gt;10,1.1,(1+AH615/100))))</f>
        <v>3.6080000000000001</v>
      </c>
      <c r="AS615" s="166">
        <f t="shared" si="172"/>
        <v>3.9688000000000003</v>
      </c>
      <c r="AT615" s="166">
        <f t="shared" ref="AT615:AV630" si="178">IF($AK615="n/a",1.03*AS615,IF($AK615&lt;0,1.01*AS615,IF($AK615&gt;10,1.1*AS615,(1+$AK615/100)*AS615)))</f>
        <v>4.0878640000000006</v>
      </c>
      <c r="AU615" s="166">
        <f t="shared" si="178"/>
        <v>4.2104999200000011</v>
      </c>
      <c r="AV615" s="166">
        <f t="shared" si="178"/>
        <v>4.3368149176000008</v>
      </c>
      <c r="AW615" s="157">
        <f t="shared" si="174"/>
        <v>20.211978837600004</v>
      </c>
      <c r="AX615" s="173">
        <f t="shared" si="175"/>
        <v>14.9884900538376</v>
      </c>
      <c r="AY615" s="174">
        <v>0.65</v>
      </c>
      <c r="AZ615" s="169">
        <v>14.64</v>
      </c>
      <c r="BA615" s="169">
        <v>-36.33</v>
      </c>
      <c r="BB615" s="169">
        <v>-5.46</v>
      </c>
      <c r="BC615" s="169">
        <v>-18.279999999999998</v>
      </c>
      <c r="BD615" s="100"/>
      <c r="BE615" s="77">
        <v>2017</v>
      </c>
      <c r="BF615" s="77">
        <f t="shared" si="176"/>
        <v>1</v>
      </c>
      <c r="BG615" s="175">
        <v>1.7000000000000002</v>
      </c>
      <c r="BH615" t="s">
        <v>939</v>
      </c>
      <c r="BI615" t="s">
        <v>945</v>
      </c>
    </row>
    <row r="616" spans="1:64" s="112" customFormat="1" ht="12.75" customHeight="1" x14ac:dyDescent="0.2">
      <c r="A616" s="205" t="s">
        <v>1744</v>
      </c>
      <c r="B616" s="239" t="s">
        <v>1745</v>
      </c>
      <c r="C616" s="154" t="s">
        <v>922</v>
      </c>
      <c r="D616" s="154" t="s">
        <v>949</v>
      </c>
      <c r="E616" s="155">
        <v>5</v>
      </c>
      <c r="F616" s="298">
        <v>689</v>
      </c>
      <c r="G616" s="298" t="s">
        <v>88</v>
      </c>
      <c r="H616" s="298" t="s">
        <v>88</v>
      </c>
      <c r="I616" s="156">
        <v>34.049999999999997</v>
      </c>
      <c r="J616" s="157">
        <f t="shared" si="162"/>
        <v>0.61674008810572689</v>
      </c>
      <c r="K616" s="158">
        <v>5.2499999999999998E-2</v>
      </c>
      <c r="L616" s="126">
        <v>4</v>
      </c>
      <c r="M616" s="82">
        <f t="shared" si="163"/>
        <v>0.21</v>
      </c>
      <c r="N616" s="159" t="s">
        <v>1017</v>
      </c>
      <c r="O616" s="160">
        <v>0.05</v>
      </c>
      <c r="P616" s="182">
        <v>44426</v>
      </c>
      <c r="Q616" s="182">
        <v>44439</v>
      </c>
      <c r="R616" s="82">
        <f t="shared" si="164"/>
        <v>4.9999999999999902</v>
      </c>
      <c r="S616" s="162">
        <f>IF(INDEX([1]Historical!$D$7:$D$1229,MATCH(B616,[1]Historical!$B$7:$B$1253,0))=0,"n/a",(INDEX([1]Historical!$C$7:$C$1231,MATCH(B616,[1]Historical!$B$7:$B$1253,0))/INDEX([1]Historical!$D$7:$D$1229,MATCH(B616,[1]Historical!$B$7:$B$1253,0))-1)*100)</f>
        <v>29.093198992443291</v>
      </c>
      <c r="T616" s="162">
        <f>IF(INDEX([1]Historical!$F$7:$F$1222,MATCH(B616,[1]Historical!$B$7:$B$1253,0))=0,"n/a",((INDEX([1]Historical!$C$7:$C$1231,MATCH(B616,[1]Historical!$B$7:$B$1253,0))/INDEX([1]Historical!$F$7:$F$1222,MATCH(B616,[1]Historical!$B$7:$B$1253,0)))^(1/3)-1)*100)</f>
        <v>51.632459143128258</v>
      </c>
      <c r="U616" s="162" t="str">
        <f>IF(INDEX([1]Historical!$H$7:$H$1222,MATCH(B616,[1]Historical!$B$7:$B$1253,0))=0,"n/a",((INDEX([1]Historical!$C$7:$C$1231,MATCH(B616,[1]Historical!$B$7:$B$1253,0))/INDEX([1]Historical!$H$7:$H$1222,MATCH(B616,[1]Historical!$B$7:$B$1253,0)))^(1/5)-1)*100)</f>
        <v>n/a</v>
      </c>
      <c r="V616" s="162" t="str">
        <f>IF(INDEX([1]Historical!$N$7:$N$1222,MATCH(B616,[1]Historical!$B$7:$B$1253,0))=0,"n/a",((INDEX([1]Historical!$C$7:$C$1231,MATCH(B616,[1]Historical!$B$7:$B$1253,0))/INDEX([1]Historical!$N$7:$N$1222,MATCH(B616,[1]Historical!$B$7:$B$1253,0)))^(1/10)-1)*100)</f>
        <v>n/a</v>
      </c>
      <c r="W616" s="163" t="str">
        <f t="shared" si="165"/>
        <v>n/a</v>
      </c>
      <c r="X616" s="164" t="str">
        <f t="shared" si="166"/>
        <v>n/a</v>
      </c>
      <c r="Y616" s="180"/>
      <c r="Z616" s="157">
        <f t="shared" si="167"/>
        <v>13.815789473684209</v>
      </c>
      <c r="AA616" s="166">
        <f t="shared" si="168"/>
        <v>22.401315789473681</v>
      </c>
      <c r="AB616" s="126">
        <v>12</v>
      </c>
      <c r="AC616" s="167">
        <v>1.52</v>
      </c>
      <c r="AD616" s="167">
        <v>0.86</v>
      </c>
      <c r="AE616" s="167">
        <v>8.19</v>
      </c>
      <c r="AF616" s="167">
        <v>6.87</v>
      </c>
      <c r="AG616" s="167">
        <v>88.1</v>
      </c>
      <c r="AH616" s="167">
        <v>-71.399999999999991</v>
      </c>
      <c r="AI616" s="167">
        <v>-66.320000000000007</v>
      </c>
      <c r="AJ616" s="167">
        <v>-47.8</v>
      </c>
      <c r="AK616" s="167">
        <v>26</v>
      </c>
      <c r="AL616" s="168">
        <v>5340</v>
      </c>
      <c r="AM616" s="169">
        <v>2.2999999999999998</v>
      </c>
      <c r="AN616" s="167">
        <v>2.48</v>
      </c>
      <c r="AO616" s="170" t="str">
        <f t="shared" si="169"/>
        <v>n/a</v>
      </c>
      <c r="AP616" s="171" t="str">
        <f t="shared" si="170"/>
        <v>n/a</v>
      </c>
      <c r="AQ616" s="172">
        <f t="shared" si="171"/>
        <v>161.53142107694501</v>
      </c>
      <c r="AR616" s="157">
        <f>INDEX([1]Historical!$C$7:$C$1231,MATCH(B616,[1]Historical!$B$7:$B$1253,0))*IF(AH616="n/a",1.03,IF(AH616&lt;0,1.01,IF(AH616&gt;10,1.1,(1+AH616/100))))</f>
        <v>0.20704999999999998</v>
      </c>
      <c r="AS616" s="166">
        <f t="shared" si="172"/>
        <v>0.20912049999999999</v>
      </c>
      <c r="AT616" s="166">
        <f t="shared" si="178"/>
        <v>0.23003255</v>
      </c>
      <c r="AU616" s="166">
        <f t="shared" si="178"/>
        <v>0.253035805</v>
      </c>
      <c r="AV616" s="166">
        <f t="shared" si="178"/>
        <v>0.27833938550000004</v>
      </c>
      <c r="AW616" s="157">
        <f t="shared" si="174"/>
        <v>1.1775782404999999</v>
      </c>
      <c r="AX616" s="173">
        <f t="shared" si="175"/>
        <v>3.458379560939794</v>
      </c>
      <c r="AY616" s="174">
        <v>0.6</v>
      </c>
      <c r="AZ616" s="169">
        <v>48.04</v>
      </c>
      <c r="BA616" s="169">
        <v>-0.15</v>
      </c>
      <c r="BB616" s="169">
        <v>0.32</v>
      </c>
      <c r="BC616" s="169">
        <v>8.32</v>
      </c>
      <c r="BD616" s="100"/>
      <c r="BE616" s="77">
        <v>2017</v>
      </c>
      <c r="BF616" s="77">
        <f t="shared" si="176"/>
        <v>1</v>
      </c>
      <c r="BG616" s="175">
        <v>12.8</v>
      </c>
      <c r="BH616" t="s">
        <v>939</v>
      </c>
      <c r="BI616" t="s">
        <v>940</v>
      </c>
    </row>
    <row r="617" spans="1:64" s="112" customFormat="1" ht="12.75" customHeight="1" x14ac:dyDescent="0.2">
      <c r="A617" s="176" t="s">
        <v>1648</v>
      </c>
      <c r="B617" s="239" t="s">
        <v>464</v>
      </c>
      <c r="C617" s="154" t="s">
        <v>94</v>
      </c>
      <c r="D617" s="154" t="s">
        <v>101</v>
      </c>
      <c r="E617" s="155">
        <v>55</v>
      </c>
      <c r="F617" s="298">
        <v>21</v>
      </c>
      <c r="G617" s="298" t="s">
        <v>104</v>
      </c>
      <c r="H617" s="298" t="s">
        <v>104</v>
      </c>
      <c r="I617" s="167">
        <v>78.489999999999995</v>
      </c>
      <c r="J617" s="157">
        <f t="shared" si="162"/>
        <v>4.0769524780226787</v>
      </c>
      <c r="K617" s="158">
        <v>0.8</v>
      </c>
      <c r="L617" s="126">
        <v>4</v>
      </c>
      <c r="M617" s="82">
        <f t="shared" si="163"/>
        <v>3.2</v>
      </c>
      <c r="N617" s="159" t="s">
        <v>216</v>
      </c>
      <c r="O617" s="160">
        <v>0.79</v>
      </c>
      <c r="P617" s="161">
        <v>44806</v>
      </c>
      <c r="Q617" s="161">
        <v>44824</v>
      </c>
      <c r="R617" s="82">
        <f t="shared" si="164"/>
        <v>1.2658227848101276</v>
      </c>
      <c r="S617" s="162">
        <f>IF(INDEX([1]Historical!$D$7:$D$1229,MATCH(B617,[1]Historical!$B$7:$B$1253,0))=0,"n/a",(INDEX([1]Historical!$C$7:$C$1231,MATCH(B617,[1]Historical!$B$7:$B$1253,0))/INDEX([1]Historical!$D$7:$D$1229,MATCH(B617,[1]Historical!$B$7:$B$1253,0))-1)*100)</f>
        <v>7.1942446043165464</v>
      </c>
      <c r="T617" s="162">
        <f>IF(INDEX([1]Historical!$F$7:$F$1222,MATCH(B617,[1]Historical!$B$7:$B$1253,0))=0,"n/a",((INDEX([1]Historical!$C$7:$C$1231,MATCH(B617,[1]Historical!$B$7:$B$1253,0))/INDEX([1]Historical!$F$7:$F$1222,MATCH(B617,[1]Historical!$B$7:$B$1253,0)))^(1/3)-1)*100)</f>
        <v>4.9217484907025488</v>
      </c>
      <c r="U617" s="162">
        <f>IF(INDEX([1]Historical!$H$7:$H$1222,MATCH(B617,[1]Historical!$B$7:$B$1253,0))=0,"n/a",((INDEX([1]Historical!$C$7:$C$1231,MATCH(B617,[1]Historical!$B$7:$B$1253,0))/INDEX([1]Historical!$H$7:$H$1222,MATCH(B617,[1]Historical!$B$7:$B$1253,0)))^(1/5)-1)*100)</f>
        <v>5.6869987016935131</v>
      </c>
      <c r="V617" s="162">
        <f>IF(INDEX([1]Historical!$N$7:$N$1222,MATCH(B617,[1]Historical!$B$7:$B$1253,0))=0,"n/a",((INDEX([1]Historical!$C$7:$C$1231,MATCH(B617,[1]Historical!$B$7:$B$1253,0))/INDEX([1]Historical!$N$7:$N$1222,MATCH(B617,[1]Historical!$B$7:$B$1253,0)))^(1/10)-1)*100)</f>
        <v>6.1542146321601265</v>
      </c>
      <c r="W617" s="163">
        <f t="shared" si="165"/>
        <v>0.92408195709894814</v>
      </c>
      <c r="X617" s="164">
        <f t="shared" si="166"/>
        <v>0.70209860514734734</v>
      </c>
      <c r="Y617" s="153"/>
      <c r="Z617" s="157">
        <f t="shared" si="167"/>
        <v>57.971014492753639</v>
      </c>
      <c r="AA617" s="166">
        <f t="shared" si="168"/>
        <v>14.219202898550725</v>
      </c>
      <c r="AB617" s="126">
        <v>12</v>
      </c>
      <c r="AC617" s="167">
        <v>5.52</v>
      </c>
      <c r="AD617" s="167">
        <v>6.19</v>
      </c>
      <c r="AE617" s="167">
        <v>0.67</v>
      </c>
      <c r="AF617" s="167">
        <v>1.27</v>
      </c>
      <c r="AG617" s="167">
        <v>15.5</v>
      </c>
      <c r="AH617" s="167">
        <v>34.4</v>
      </c>
      <c r="AI617" s="167">
        <v>13.73</v>
      </c>
      <c r="AJ617" s="167">
        <v>8.1</v>
      </c>
      <c r="AK617" s="167">
        <v>2.2999999999999998</v>
      </c>
      <c r="AL617" s="168">
        <v>11190</v>
      </c>
      <c r="AM617" s="169">
        <v>0.2</v>
      </c>
      <c r="AN617" s="167">
        <v>0.89</v>
      </c>
      <c r="AO617" s="170">
        <f t="shared" si="169"/>
        <v>-4.4552517188345337</v>
      </c>
      <c r="AP617" s="171">
        <f t="shared" si="170"/>
        <v>9.7639511797161909</v>
      </c>
      <c r="AQ617" s="172">
        <f t="shared" si="171"/>
        <v>-10.41233298876849</v>
      </c>
      <c r="AR617" s="157">
        <f>INDEX([1]Historical!$C$7:$C$1231,MATCH(B617,[1]Historical!$B$7:$B$1253,0))*IF(AH617="n/a",1.03,IF(AH617&lt;0,1.01,IF(AH617&gt;10,1.1,(1+AH617/100))))</f>
        <v>3.278</v>
      </c>
      <c r="AS617" s="166">
        <f t="shared" si="172"/>
        <v>3.6058000000000003</v>
      </c>
      <c r="AT617" s="166">
        <f t="shared" si="178"/>
        <v>3.6887333999999998</v>
      </c>
      <c r="AU617" s="166">
        <f t="shared" si="178"/>
        <v>3.7735742681999995</v>
      </c>
      <c r="AV617" s="166">
        <f t="shared" si="178"/>
        <v>3.8603664763685992</v>
      </c>
      <c r="AW617" s="157">
        <f t="shared" si="174"/>
        <v>18.206474144568599</v>
      </c>
      <c r="AX617" s="173">
        <f t="shared" si="175"/>
        <v>23.195915587423364</v>
      </c>
      <c r="AY617" s="174">
        <v>1.26</v>
      </c>
      <c r="AZ617" s="169">
        <v>11.75</v>
      </c>
      <c r="BA617" s="169">
        <v>-60.6</v>
      </c>
      <c r="BB617" s="169">
        <v>-5.27</v>
      </c>
      <c r="BC617" s="169">
        <v>-34.729999999999997</v>
      </c>
      <c r="BD617" s="100"/>
      <c r="BE617" s="77">
        <v>1968</v>
      </c>
      <c r="BF617" s="77">
        <f t="shared" si="176"/>
        <v>7</v>
      </c>
      <c r="BG617" s="175">
        <v>5.0999999999999996</v>
      </c>
      <c r="BH617" t="s">
        <v>939</v>
      </c>
      <c r="BI617" t="s">
        <v>940</v>
      </c>
      <c r="BJ617"/>
      <c r="BK617"/>
      <c r="BL617"/>
    </row>
    <row r="618" spans="1:64" s="112" customFormat="1" ht="12.75" customHeight="1" x14ac:dyDescent="0.2">
      <c r="A618" s="112" t="s">
        <v>1649</v>
      </c>
      <c r="B618" s="239" t="s">
        <v>921</v>
      </c>
      <c r="C618" s="154" t="s">
        <v>922</v>
      </c>
      <c r="D618" s="154" t="s">
        <v>950</v>
      </c>
      <c r="E618" s="155">
        <v>9</v>
      </c>
      <c r="F618" s="298">
        <v>556</v>
      </c>
      <c r="G618" s="298" t="s">
        <v>88</v>
      </c>
      <c r="H618" s="298" t="s">
        <v>88</v>
      </c>
      <c r="I618" s="116">
        <v>86.01</v>
      </c>
      <c r="J618" s="157">
        <f t="shared" si="162"/>
        <v>2.8833856528310662</v>
      </c>
      <c r="K618" s="209">
        <v>0.62</v>
      </c>
      <c r="L618" s="77">
        <v>4</v>
      </c>
      <c r="M618" s="82">
        <f t="shared" si="163"/>
        <v>2.48</v>
      </c>
      <c r="N618" s="77" t="s">
        <v>167</v>
      </c>
      <c r="O618" s="210">
        <v>0.56000000000000005</v>
      </c>
      <c r="P618" s="161">
        <v>44797</v>
      </c>
      <c r="Q618" s="161">
        <v>44819</v>
      </c>
      <c r="R618" s="82">
        <f t="shared" si="164"/>
        <v>10.714285714285703</v>
      </c>
      <c r="S618" s="162">
        <f>IF(INDEX([1]Historical!$D$7:$D$1229,MATCH(B618,[1]Historical!$B$7:$B$1253,0))=0,"n/a",(INDEX([1]Historical!$C$7:$C$1231,MATCH(B618,[1]Historical!$B$7:$B$1253,0))/INDEX([1]Historical!$D$7:$D$1229,MATCH(B618,[1]Historical!$B$7:$B$1253,0))-1)*100)</f>
        <v>12.765957446808528</v>
      </c>
      <c r="T618" s="162">
        <f>IF(INDEX([1]Historical!$F$7:$F$1222,MATCH(B618,[1]Historical!$B$7:$B$1253,0))=0,"n/a",((INDEX([1]Historical!$C$7:$C$1231,MATCH(B618,[1]Historical!$B$7:$B$1253,0))/INDEX([1]Historical!$F$7:$F$1222,MATCH(B618,[1]Historical!$B$7:$B$1253,0)))^(1/3)-1)*100)</f>
        <v>14.833678012614415</v>
      </c>
      <c r="U618" s="162">
        <f>IF(INDEX([1]Historical!$H$7:$H$1222,MATCH(B618,[1]Historical!$B$7:$B$1253,0))=0,"n/a",((INDEX([1]Historical!$C$7:$C$1231,MATCH(B618,[1]Historical!$B$7:$B$1253,0))/INDEX([1]Historical!$H$7:$H$1222,MATCH(B618,[1]Historical!$B$7:$B$1253,0)))^(1/5)-1)*100)</f>
        <v>14.44120475235473</v>
      </c>
      <c r="V618" s="162" t="str">
        <f>IF(INDEX([1]Historical!$N$7:$N$1222,MATCH(B618,[1]Historical!$B$7:$B$1253,0))=0,"n/a",((INDEX([1]Historical!$C$7:$C$1231,MATCH(B618,[1]Historical!$B$7:$B$1253,0))/INDEX([1]Historical!$N$7:$N$1222,MATCH(B618,[1]Historical!$B$7:$B$1253,0)))^(1/10)-1)*100)</f>
        <v>n/a</v>
      </c>
      <c r="W618" s="163" t="str">
        <f t="shared" si="165"/>
        <v>n/a</v>
      </c>
      <c r="X618" s="164">
        <f t="shared" si="166"/>
        <v>1.2449314441685111</v>
      </c>
      <c r="Y618" s="153"/>
      <c r="Z618" s="157">
        <f t="shared" si="167"/>
        <v>31.512071156289707</v>
      </c>
      <c r="AA618" s="166">
        <f t="shared" si="168"/>
        <v>10.92884371029225</v>
      </c>
      <c r="AB618" s="298">
        <v>12</v>
      </c>
      <c r="AC618" s="116">
        <v>7.87</v>
      </c>
      <c r="AD618" s="116">
        <v>1.1599999999999999</v>
      </c>
      <c r="AE618" s="116">
        <v>2.5</v>
      </c>
      <c r="AF618" s="116">
        <v>2.68</v>
      </c>
      <c r="AG618" s="116">
        <v>24.6</v>
      </c>
      <c r="AH618" s="116">
        <v>87</v>
      </c>
      <c r="AI618" s="116">
        <v>3.3000000000000003</v>
      </c>
      <c r="AJ618" s="116">
        <v>11.600000000000001</v>
      </c>
      <c r="AK618" s="116">
        <v>9.65</v>
      </c>
      <c r="AL618" s="116">
        <v>13450</v>
      </c>
      <c r="AM618" s="116">
        <v>0.1</v>
      </c>
      <c r="AN618" s="116">
        <v>0.41</v>
      </c>
      <c r="AO618" s="170">
        <f t="shared" si="169"/>
        <v>6.3957466948935444</v>
      </c>
      <c r="AP618" s="171">
        <f t="shared" si="170"/>
        <v>17.324590405185795</v>
      </c>
      <c r="AQ618" s="172">
        <f t="shared" si="171"/>
        <v>14.094115426370157</v>
      </c>
      <c r="AR618" s="157">
        <f>INDEX([1]Historical!$C$7:$C$1231,MATCH(B618,[1]Historical!$B$7:$B$1253,0))*IF(AH618="n/a",1.03,IF(AH618&lt;0,1.01,IF(AH618&gt;10,1.1,(1+AH618/100))))</f>
        <v>2.3320000000000003</v>
      </c>
      <c r="AS618" s="166">
        <f t="shared" si="172"/>
        <v>2.4089560000000003</v>
      </c>
      <c r="AT618" s="166">
        <f t="shared" si="178"/>
        <v>2.6414202540000002</v>
      </c>
      <c r="AU618" s="166">
        <f t="shared" si="178"/>
        <v>2.8963173085110006</v>
      </c>
      <c r="AV618" s="166">
        <f t="shared" si="178"/>
        <v>3.1758119287823123</v>
      </c>
      <c r="AW618" s="157">
        <f t="shared" si="174"/>
        <v>13.454505491293315</v>
      </c>
      <c r="AX618" s="173">
        <f t="shared" si="175"/>
        <v>15.642954878843524</v>
      </c>
      <c r="AY618" s="225">
        <v>1.19</v>
      </c>
      <c r="AZ618" s="175">
        <v>12.93</v>
      </c>
      <c r="BA618" s="175">
        <v>-50.61</v>
      </c>
      <c r="BB618" s="175">
        <v>-7.93</v>
      </c>
      <c r="BC618" s="175">
        <v>-23.169999999999998</v>
      </c>
      <c r="BD618" s="100"/>
      <c r="BE618" s="77">
        <v>2014</v>
      </c>
      <c r="BF618" s="77">
        <f t="shared" si="176"/>
        <v>1</v>
      </c>
      <c r="BG618" s="175">
        <v>15.1</v>
      </c>
      <c r="BH618" t="s">
        <v>939</v>
      </c>
      <c r="BI618" t="s">
        <v>940</v>
      </c>
    </row>
    <row r="619" spans="1:64" s="112" customFormat="1" ht="12.75" customHeight="1" x14ac:dyDescent="0.2">
      <c r="A619" s="176" t="s">
        <v>1650</v>
      </c>
      <c r="B619" s="239" t="s">
        <v>463</v>
      </c>
      <c r="C619" s="154" t="s">
        <v>117</v>
      </c>
      <c r="D619" s="154" t="s">
        <v>979</v>
      </c>
      <c r="E619" s="155">
        <v>16</v>
      </c>
      <c r="F619" s="298">
        <v>243</v>
      </c>
      <c r="G619" s="298" t="s">
        <v>30</v>
      </c>
      <c r="H619" s="298" t="s">
        <v>30</v>
      </c>
      <c r="I619" s="156">
        <v>73.069999999999993</v>
      </c>
      <c r="J619" s="157">
        <f t="shared" si="162"/>
        <v>3.3940057479129608</v>
      </c>
      <c r="K619" s="158">
        <v>0.62</v>
      </c>
      <c r="L619" s="126">
        <v>4</v>
      </c>
      <c r="M619" s="82">
        <f t="shared" si="163"/>
        <v>2.48</v>
      </c>
      <c r="N619" s="159" t="s">
        <v>116</v>
      </c>
      <c r="O619" s="160">
        <v>0.59499999999999997</v>
      </c>
      <c r="P619" s="161">
        <v>44694</v>
      </c>
      <c r="Q619" s="161">
        <v>44713</v>
      </c>
      <c r="R619" s="82">
        <f t="shared" si="164"/>
        <v>4.2016806722689113</v>
      </c>
      <c r="S619" s="162">
        <f>IF(INDEX([1]Historical!$D$7:$D$1229,MATCH(B619,[1]Historical!$B$7:$B$1253,0))=0,"n/a",(INDEX([1]Historical!$C$7:$C$1231,MATCH(B619,[1]Historical!$B$7:$B$1253,0))/INDEX([1]Historical!$D$7:$D$1229,MATCH(B619,[1]Historical!$B$7:$B$1253,0))-1)*100)</f>
        <v>4.434589800443467</v>
      </c>
      <c r="T619" s="162">
        <f>IF(INDEX([1]Historical!$F$7:$F$1222,MATCH(B619,[1]Historical!$B$7:$B$1253,0))=0,"n/a",((INDEX([1]Historical!$C$7:$C$1231,MATCH(B619,[1]Historical!$B$7:$B$1253,0))/INDEX([1]Historical!$F$7:$F$1222,MATCH(B619,[1]Historical!$B$7:$B$1253,0)))^(1/3)-1)*100)</f>
        <v>4.6468985969915222</v>
      </c>
      <c r="U619" s="162">
        <f>IF(INDEX([1]Historical!$H$7:$H$1222,MATCH(B619,[1]Historical!$B$7:$B$1253,0))=0,"n/a",((INDEX([1]Historical!$C$7:$C$1231,MATCH(B619,[1]Historical!$B$7:$B$1253,0))/INDEX([1]Historical!$H$7:$H$1222,MATCH(B619,[1]Historical!$B$7:$B$1253,0)))^(1/5)-1)*100)</f>
        <v>6.0578351666543906</v>
      </c>
      <c r="V619" s="162">
        <f>IF(INDEX([1]Historical!$N$7:$N$1222,MATCH(B619,[1]Historical!$B$7:$B$1253,0))=0,"n/a",((INDEX([1]Historical!$C$7:$C$1231,MATCH(B619,[1]Historical!$B$7:$B$1253,0))/INDEX([1]Historical!$N$7:$N$1222,MATCH(B619,[1]Historical!$B$7:$B$1253,0)))^(1/10)-1)*100)</f>
        <v>8.3612098272158875</v>
      </c>
      <c r="W619" s="163">
        <f t="shared" si="165"/>
        <v>0.72451658215011283</v>
      </c>
      <c r="X619" s="164">
        <f t="shared" si="166"/>
        <v>4.6598732051187621</v>
      </c>
      <c r="Y619" s="212"/>
      <c r="Z619" s="157">
        <f t="shared" si="167"/>
        <v>101.63934426229508</v>
      </c>
      <c r="AA619" s="166">
        <f t="shared" si="168"/>
        <v>29.946721311475407</v>
      </c>
      <c r="AB619" s="126">
        <v>12</v>
      </c>
      <c r="AC619" s="167">
        <v>2.44</v>
      </c>
      <c r="AD619" s="167">
        <v>7.57</v>
      </c>
      <c r="AE619" s="167">
        <v>1.1000000000000001</v>
      </c>
      <c r="AF619" s="167">
        <v>1.43</v>
      </c>
      <c r="AG619" s="167">
        <v>4.5999999999999996</v>
      </c>
      <c r="AH619" s="167">
        <v>-18.2</v>
      </c>
      <c r="AI619" s="167">
        <v>14.75</v>
      </c>
      <c r="AJ619" s="167">
        <v>1.3</v>
      </c>
      <c r="AK619" s="167">
        <v>4</v>
      </c>
      <c r="AL619" s="168">
        <v>4830</v>
      </c>
      <c r="AM619" s="169">
        <v>0.2</v>
      </c>
      <c r="AN619" s="167">
        <v>1.76</v>
      </c>
      <c r="AO619" s="170">
        <f t="shared" si="169"/>
        <v>-20.494880396908055</v>
      </c>
      <c r="AP619" s="171">
        <f t="shared" si="170"/>
        <v>9.4518409145673523</v>
      </c>
      <c r="AQ619" s="172">
        <f t="shared" si="171"/>
        <v>37.959432806104807</v>
      </c>
      <c r="AR619" s="157">
        <f>INDEX([1]Historical!$C$7:$C$1231,MATCH(B619,[1]Historical!$B$7:$B$1253,0))*IF(AH619="n/a",1.03,IF(AH619&lt;0,1.01,IF(AH619&gt;10,1.1,(1+AH619/100))))</f>
        <v>2.3785500000000002</v>
      </c>
      <c r="AS619" s="166">
        <f t="shared" si="172"/>
        <v>2.6164050000000003</v>
      </c>
      <c r="AT619" s="166">
        <f t="shared" si="178"/>
        <v>2.7210612000000003</v>
      </c>
      <c r="AU619" s="166">
        <f t="shared" si="178"/>
        <v>2.8299036480000006</v>
      </c>
      <c r="AV619" s="166">
        <f t="shared" si="178"/>
        <v>2.9430997939200005</v>
      </c>
      <c r="AW619" s="157">
        <f t="shared" si="174"/>
        <v>13.489019641920002</v>
      </c>
      <c r="AX619" s="173">
        <f t="shared" si="175"/>
        <v>18.460407338059401</v>
      </c>
      <c r="AY619" s="174">
        <v>0.22</v>
      </c>
      <c r="AZ619" s="169">
        <v>16.73</v>
      </c>
      <c r="BA619" s="169">
        <v>-23.580000000000002</v>
      </c>
      <c r="BB619" s="169">
        <v>-3.04</v>
      </c>
      <c r="BC619" s="169">
        <v>-7.870000000000001</v>
      </c>
      <c r="BD619" s="100"/>
      <c r="BE619" s="77">
        <v>2007</v>
      </c>
      <c r="BF619" s="77">
        <f t="shared" si="176"/>
        <v>2</v>
      </c>
      <c r="BG619" s="175">
        <v>1.2</v>
      </c>
      <c r="BH619" t="s">
        <v>939</v>
      </c>
      <c r="BI619" t="s">
        <v>940</v>
      </c>
      <c r="BJ619"/>
      <c r="BK619"/>
      <c r="BL619"/>
    </row>
    <row r="620" spans="1:64" s="112" customFormat="1" ht="12.75" customHeight="1" x14ac:dyDescent="0.2">
      <c r="A620" s="176" t="s">
        <v>1651</v>
      </c>
      <c r="B620" s="239" t="s">
        <v>680</v>
      </c>
      <c r="C620" s="154" t="s">
        <v>94</v>
      </c>
      <c r="D620" s="154" t="s">
        <v>101</v>
      </c>
      <c r="E620" s="155">
        <v>12</v>
      </c>
      <c r="F620" s="298">
        <v>393</v>
      </c>
      <c r="G620" s="298" t="s">
        <v>88</v>
      </c>
      <c r="H620" s="298" t="s">
        <v>88</v>
      </c>
      <c r="I620" s="156">
        <v>99.05</v>
      </c>
      <c r="J620" s="157">
        <f t="shared" si="162"/>
        <v>1.1307420494699647</v>
      </c>
      <c r="K620" s="158">
        <v>0.28000000000000003</v>
      </c>
      <c r="L620" s="126">
        <v>4</v>
      </c>
      <c r="M620" s="82">
        <f t="shared" si="163"/>
        <v>1.1200000000000001</v>
      </c>
      <c r="N620" s="159" t="s">
        <v>143</v>
      </c>
      <c r="O620" s="160">
        <v>0.26</v>
      </c>
      <c r="P620" s="161">
        <v>44873</v>
      </c>
      <c r="Q620" s="161">
        <v>44888</v>
      </c>
      <c r="R620" s="82">
        <f t="shared" si="164"/>
        <v>7.6923076923076987</v>
      </c>
      <c r="S620" s="162">
        <f>IF(INDEX([1]Historical!$D$7:$D$1229,MATCH(B620,[1]Historical!$B$7:$B$1253,0))=0,"n/a",(INDEX([1]Historical!$C$7:$C$1231,MATCH(B620,[1]Historical!$B$7:$B$1253,0))/INDEX([1]Historical!$D$7:$D$1229,MATCH(B620,[1]Historical!$B$7:$B$1253,0))-1)*100)</f>
        <v>8.8888888888888786</v>
      </c>
      <c r="T620" s="162">
        <f>IF(INDEX([1]Historical!$F$7:$F$1222,MATCH(B620,[1]Historical!$B$7:$B$1253,0))=0,"n/a",((INDEX([1]Historical!$C$7:$C$1231,MATCH(B620,[1]Historical!$B$7:$B$1253,0))/INDEX([1]Historical!$F$7:$F$1222,MATCH(B620,[1]Historical!$B$7:$B$1253,0)))^(1/3)-1)*100)</f>
        <v>9.8157887721507677</v>
      </c>
      <c r="U620" s="162">
        <f>IF(INDEX([1]Historical!$H$7:$H$1222,MATCH(B620,[1]Historical!$B$7:$B$1253,0))=0,"n/a",((INDEX([1]Historical!$C$7:$C$1231,MATCH(B620,[1]Historical!$B$7:$B$1253,0))/INDEX([1]Historical!$H$7:$H$1222,MATCH(B620,[1]Historical!$B$7:$B$1253,0)))^(1/5)-1)*100)</f>
        <v>11.060497971884509</v>
      </c>
      <c r="V620" s="162">
        <f>IF(INDEX([1]Historical!$N$7:$N$1222,MATCH(B620,[1]Historical!$B$7:$B$1253,0))=0,"n/a",((INDEX([1]Historical!$C$7:$C$1231,MATCH(B620,[1]Historical!$B$7:$B$1253,0))/INDEX([1]Historical!$N$7:$N$1222,MATCH(B620,[1]Historical!$B$7:$B$1253,0)))^(1/10)-1)*100)</f>
        <v>14.638001595560258</v>
      </c>
      <c r="W620" s="163">
        <f t="shared" si="165"/>
        <v>0.75560163726441898</v>
      </c>
      <c r="X620" s="164">
        <f t="shared" si="166"/>
        <v>1.0434432048947651</v>
      </c>
      <c r="Y620" s="178"/>
      <c r="Z620" s="157">
        <f t="shared" si="167"/>
        <v>22.090729783037478</v>
      </c>
      <c r="AA620" s="166">
        <f t="shared" si="168"/>
        <v>19.536489151873766</v>
      </c>
      <c r="AB620" s="126">
        <v>6</v>
      </c>
      <c r="AC620" s="167">
        <v>5.07</v>
      </c>
      <c r="AD620" s="167">
        <v>1.37</v>
      </c>
      <c r="AE620" s="167">
        <v>1.54</v>
      </c>
      <c r="AF620" s="167">
        <v>2.31</v>
      </c>
      <c r="AG620" s="167">
        <v>11.899999999999999</v>
      </c>
      <c r="AH620" s="167">
        <v>65.600000000000009</v>
      </c>
      <c r="AI620" s="167">
        <v>10.780000000000001</v>
      </c>
      <c r="AJ620" s="167">
        <v>10.6</v>
      </c>
      <c r="AK620" s="167">
        <v>14.000000000000002</v>
      </c>
      <c r="AL620" s="168">
        <v>1130</v>
      </c>
      <c r="AM620" s="169">
        <v>1.5</v>
      </c>
      <c r="AN620" s="167">
        <v>0.35</v>
      </c>
      <c r="AO620" s="170">
        <f t="shared" si="169"/>
        <v>-7.3452491305192922</v>
      </c>
      <c r="AP620" s="171">
        <f t="shared" si="170"/>
        <v>12.191240021354474</v>
      </c>
      <c r="AQ620" s="172">
        <f t="shared" si="171"/>
        <v>41.624370063643127</v>
      </c>
      <c r="AR620" s="157">
        <f>INDEX([1]Historical!$C$7:$C$1231,MATCH(B620,[1]Historical!$B$7:$B$1253,0))*IF(AH620="n/a",1.03,IF(AH620&lt;0,1.01,IF(AH620&gt;10,1.1,(1+AH620/100))))</f>
        <v>1.0780000000000001</v>
      </c>
      <c r="AS620" s="166">
        <f t="shared" si="172"/>
        <v>1.1858000000000002</v>
      </c>
      <c r="AT620" s="166">
        <f t="shared" si="178"/>
        <v>1.3043800000000003</v>
      </c>
      <c r="AU620" s="166">
        <f t="shared" si="178"/>
        <v>1.4348180000000004</v>
      </c>
      <c r="AV620" s="166">
        <f t="shared" si="178"/>
        <v>1.5782998000000006</v>
      </c>
      <c r="AW620" s="157">
        <f t="shared" si="174"/>
        <v>6.5812978000000024</v>
      </c>
      <c r="AX620" s="173">
        <f t="shared" si="175"/>
        <v>6.6444197879858686</v>
      </c>
      <c r="AY620" s="174">
        <v>1.17</v>
      </c>
      <c r="AZ620" s="169">
        <v>25.35</v>
      </c>
      <c r="BA620" s="169">
        <v>-18.440000000000001</v>
      </c>
      <c r="BB620" s="169">
        <v>13.22</v>
      </c>
      <c r="BC620" s="169">
        <v>4.84</v>
      </c>
      <c r="BD620" s="100"/>
      <c r="BE620" s="77">
        <v>2012</v>
      </c>
      <c r="BF620" s="77">
        <f t="shared" si="176"/>
        <v>1</v>
      </c>
      <c r="BG620" s="175">
        <v>6.4</v>
      </c>
      <c r="BH620" t="s">
        <v>939</v>
      </c>
      <c r="BI620" t="s">
        <v>940</v>
      </c>
      <c r="BJ620"/>
      <c r="BK620"/>
      <c r="BL620"/>
    </row>
    <row r="621" spans="1:64" s="112" customFormat="1" ht="12.75" customHeight="1" x14ac:dyDescent="0.2">
      <c r="A621" s="176" t="s">
        <v>1652</v>
      </c>
      <c r="B621" s="239" t="s">
        <v>452</v>
      </c>
      <c r="C621" s="154" t="s">
        <v>96</v>
      </c>
      <c r="D621" s="154" t="s">
        <v>911</v>
      </c>
      <c r="E621" s="155">
        <v>16</v>
      </c>
      <c r="F621" s="298">
        <v>241</v>
      </c>
      <c r="G621" s="298" t="s">
        <v>30</v>
      </c>
      <c r="H621" s="298" t="s">
        <v>30</v>
      </c>
      <c r="I621" s="156">
        <v>71.459999999999994</v>
      </c>
      <c r="J621" s="157">
        <f t="shared" si="162"/>
        <v>2.2949902043101038</v>
      </c>
      <c r="K621" s="158">
        <v>0.41</v>
      </c>
      <c r="L621" s="126">
        <v>4</v>
      </c>
      <c r="M621" s="82">
        <f t="shared" si="163"/>
        <v>1.64</v>
      </c>
      <c r="N621" s="159" t="s">
        <v>116</v>
      </c>
      <c r="O621" s="160">
        <v>0.39</v>
      </c>
      <c r="P621" s="182">
        <v>44498</v>
      </c>
      <c r="Q621" s="182">
        <v>44531</v>
      </c>
      <c r="R621" s="82">
        <f t="shared" si="164"/>
        <v>5.128205128205118</v>
      </c>
      <c r="S621" s="162">
        <f>IF(INDEX([1]Historical!$D$7:$D$1229,MATCH(B621,[1]Historical!$B$7:$B$1253,0))=0,"n/a",(INDEX([1]Historical!$C$7:$C$1231,MATCH(B621,[1]Historical!$B$7:$B$1253,0))/INDEX([1]Historical!$D$7:$D$1229,MATCH(B621,[1]Historical!$B$7:$B$1253,0))-1)*100)</f>
        <v>1.2820512820512775</v>
      </c>
      <c r="T621" s="162">
        <f>IF(INDEX([1]Historical!$F$7:$F$1222,MATCH(B621,[1]Historical!$B$7:$B$1253,0))=0,"n/a",((INDEX([1]Historical!$C$7:$C$1231,MATCH(B621,[1]Historical!$B$7:$B$1253,0))/INDEX([1]Historical!$F$7:$F$1222,MATCH(B621,[1]Historical!$B$7:$B$1253,0)))^(1/3)-1)*100)</f>
        <v>5.3839419253607579</v>
      </c>
      <c r="U621" s="162">
        <f>IF(INDEX([1]Historical!$H$7:$H$1222,MATCH(B621,[1]Historical!$B$7:$B$1253,0))=0,"n/a",((INDEX([1]Historical!$C$7:$C$1231,MATCH(B621,[1]Historical!$B$7:$B$1253,0))/INDEX([1]Historical!$H$7:$H$1222,MATCH(B621,[1]Historical!$B$7:$B$1253,0)))^(1/5)-1)*100)</f>
        <v>7.3165794198549072</v>
      </c>
      <c r="V621" s="162">
        <f>IF(INDEX([1]Historical!$N$7:$N$1222,MATCH(B621,[1]Historical!$B$7:$B$1253,0))=0,"n/a",((INDEX([1]Historical!$C$7:$C$1231,MATCH(B621,[1]Historical!$B$7:$B$1253,0))/INDEX([1]Historical!$N$7:$N$1222,MATCH(B621,[1]Historical!$B$7:$B$1253,0)))^(1/10)-1)*100)</f>
        <v>6.5216242784202905</v>
      </c>
      <c r="W621" s="163">
        <f t="shared" si="165"/>
        <v>1.1218952683406005</v>
      </c>
      <c r="X621" s="164">
        <f t="shared" si="166"/>
        <v>14.633158839709814</v>
      </c>
      <c r="Y621" s="220"/>
      <c r="Z621" s="157">
        <f t="shared" si="167"/>
        <v>49.848024316109417</v>
      </c>
      <c r="AA621" s="166">
        <f t="shared" si="168"/>
        <v>21.720364741641337</v>
      </c>
      <c r="AB621" s="126">
        <v>12</v>
      </c>
      <c r="AC621" s="167">
        <v>3.29</v>
      </c>
      <c r="AD621" s="167">
        <v>5.65</v>
      </c>
      <c r="AE621" s="167">
        <v>2.04</v>
      </c>
      <c r="AF621" s="167">
        <v>3.09</v>
      </c>
      <c r="AG621" s="167">
        <v>13.100000000000001</v>
      </c>
      <c r="AH621" s="167">
        <v>8.6999999999999993</v>
      </c>
      <c r="AI621" s="167">
        <v>5.28</v>
      </c>
      <c r="AJ621" s="167">
        <v>0.5</v>
      </c>
      <c r="AK621" s="167">
        <v>3.8</v>
      </c>
      <c r="AL621" s="168">
        <v>2910</v>
      </c>
      <c r="AM621" s="169">
        <v>0.2</v>
      </c>
      <c r="AN621" s="167">
        <v>0.55000000000000004</v>
      </c>
      <c r="AO621" s="170">
        <f t="shared" si="169"/>
        <v>-12.108795117476326</v>
      </c>
      <c r="AP621" s="171">
        <f t="shared" si="170"/>
        <v>9.6115696241650106</v>
      </c>
      <c r="AQ621" s="172">
        <f t="shared" si="171"/>
        <v>72.711611977464059</v>
      </c>
      <c r="AR621" s="157">
        <f>INDEX([1]Historical!$C$7:$C$1231,MATCH(B621,[1]Historical!$B$7:$B$1253,0))*IF(AH621="n/a",1.03,IF(AH621&lt;0,1.01,IF(AH621&gt;10,1.1,(1+AH621/100))))</f>
        <v>1.71746</v>
      </c>
      <c r="AS621" s="166">
        <f t="shared" si="172"/>
        <v>1.808141888</v>
      </c>
      <c r="AT621" s="166">
        <f t="shared" si="178"/>
        <v>1.876851279744</v>
      </c>
      <c r="AU621" s="166">
        <f t="shared" si="178"/>
        <v>1.948171628374272</v>
      </c>
      <c r="AV621" s="166">
        <f t="shared" si="178"/>
        <v>2.0222021502524945</v>
      </c>
      <c r="AW621" s="157">
        <f t="shared" si="174"/>
        <v>9.3728269463707665</v>
      </c>
      <c r="AX621" s="173">
        <f t="shared" si="175"/>
        <v>13.116186602813837</v>
      </c>
      <c r="AY621" s="174">
        <v>0.88</v>
      </c>
      <c r="AZ621" s="169">
        <v>13.120000000000001</v>
      </c>
      <c r="BA621" s="169">
        <v>-32.79</v>
      </c>
      <c r="BB621" s="169">
        <v>-3.84</v>
      </c>
      <c r="BC621" s="169">
        <v>-11.52</v>
      </c>
      <c r="BD621" s="125"/>
      <c r="BE621" s="77">
        <v>2007</v>
      </c>
      <c r="BF621" s="77">
        <f t="shared" si="176"/>
        <v>2</v>
      </c>
      <c r="BG621" s="175">
        <v>7.0000000000000009</v>
      </c>
      <c r="BH621" t="s">
        <v>939</v>
      </c>
      <c r="BI621" t="s">
        <v>940</v>
      </c>
      <c r="BJ621"/>
      <c r="BK621"/>
      <c r="BL621"/>
    </row>
    <row r="622" spans="1:64" s="112" customFormat="1" ht="12.75" customHeight="1" x14ac:dyDescent="0.2">
      <c r="A622" s="112" t="s">
        <v>1653</v>
      </c>
      <c r="B622" s="239" t="s">
        <v>555</v>
      </c>
      <c r="C622" s="154" t="s">
        <v>90</v>
      </c>
      <c r="D622" s="154" t="s">
        <v>969</v>
      </c>
      <c r="E622" s="155">
        <v>13</v>
      </c>
      <c r="F622" s="298">
        <v>302</v>
      </c>
      <c r="G622" s="298" t="s">
        <v>30</v>
      </c>
      <c r="H622" s="298" t="s">
        <v>30</v>
      </c>
      <c r="I622" s="156">
        <v>78.19</v>
      </c>
      <c r="J622" s="157">
        <f t="shared" si="162"/>
        <v>1.4835656733597646</v>
      </c>
      <c r="K622" s="158">
        <v>0.28999999999999998</v>
      </c>
      <c r="L622" s="126">
        <v>4</v>
      </c>
      <c r="M622" s="82">
        <f t="shared" si="163"/>
        <v>1.1599999999999999</v>
      </c>
      <c r="N622" s="159" t="s">
        <v>183</v>
      </c>
      <c r="O622" s="160">
        <v>0.28000000000000003</v>
      </c>
      <c r="P622" s="161">
        <v>44820</v>
      </c>
      <c r="Q622" s="161">
        <v>44837</v>
      </c>
      <c r="R622" s="82">
        <f t="shared" si="164"/>
        <v>3.5714285714285547</v>
      </c>
      <c r="S622" s="162">
        <f>IF(INDEX([1]Historical!$D$7:$D$1229,MATCH(B622,[1]Historical!$B$7:$B$1253,0))=0,"n/a",(INDEX([1]Historical!$C$7:$C$1231,MATCH(B622,[1]Historical!$B$7:$B$1253,0))/INDEX([1]Historical!$D$7:$D$1229,MATCH(B622,[1]Historical!$B$7:$B$1253,0))-1)*100)</f>
        <v>1.8518518518518601</v>
      </c>
      <c r="T622" s="162">
        <f>IF(INDEX([1]Historical!$F$7:$F$1222,MATCH(B622,[1]Historical!$B$7:$B$1253,0))=0,"n/a",((INDEX([1]Historical!$C$7:$C$1231,MATCH(B622,[1]Historical!$B$7:$B$1253,0))/INDEX([1]Historical!$F$7:$F$1222,MATCH(B622,[1]Historical!$B$7:$B$1253,0)))^(1/3)-1)*100)</f>
        <v>4.6422696369909477</v>
      </c>
      <c r="U622" s="162">
        <f>IF(INDEX([1]Historical!$H$7:$H$1222,MATCH(B622,[1]Historical!$B$7:$B$1253,0))=0,"n/a",((INDEX([1]Historical!$C$7:$C$1231,MATCH(B622,[1]Historical!$B$7:$B$1253,0))/INDEX([1]Historical!$H$7:$H$1222,MATCH(B622,[1]Historical!$B$7:$B$1253,0)))^(1/5)-1)*100)</f>
        <v>8.9469447406450122</v>
      </c>
      <c r="V622" s="162">
        <f>IF(INDEX([1]Historical!$N$7:$N$1222,MATCH(B622,[1]Historical!$B$7:$B$1253,0))=0,"n/a",((INDEX([1]Historical!$C$7:$C$1231,MATCH(B622,[1]Historical!$B$7:$B$1253,0))/INDEX([1]Historical!$N$7:$N$1222,MATCH(B622,[1]Historical!$B$7:$B$1253,0)))^(1/10)-1)*100)</f>
        <v>8.6463510264826802</v>
      </c>
      <c r="W622" s="163">
        <f t="shared" si="165"/>
        <v>1.0347653840610509</v>
      </c>
      <c r="X622" s="164">
        <f t="shared" si="166"/>
        <v>0.85208997529952502</v>
      </c>
      <c r="Y622" s="180"/>
      <c r="Z622" s="157">
        <f t="shared" si="167"/>
        <v>37.540453074433657</v>
      </c>
      <c r="AA622" s="166">
        <f t="shared" si="168"/>
        <v>25.3042071197411</v>
      </c>
      <c r="AB622" s="126">
        <v>12</v>
      </c>
      <c r="AC622" s="167">
        <v>3.09</v>
      </c>
      <c r="AD622" s="167">
        <v>2.54</v>
      </c>
      <c r="AE622" s="167">
        <v>9.7899999999999991</v>
      </c>
      <c r="AF622" s="167">
        <v>3.06</v>
      </c>
      <c r="AG622" s="167">
        <v>8.4</v>
      </c>
      <c r="AH622" s="167">
        <v>14.799999999999999</v>
      </c>
      <c r="AI622" s="167">
        <v>24.6</v>
      </c>
      <c r="AJ622" s="167">
        <v>10.5</v>
      </c>
      <c r="AK622" s="167">
        <v>10</v>
      </c>
      <c r="AL622" s="168">
        <v>2190</v>
      </c>
      <c r="AM622" s="169">
        <v>1.6</v>
      </c>
      <c r="AN622" s="167">
        <v>0.03</v>
      </c>
      <c r="AO622" s="170">
        <f t="shared" si="169"/>
        <v>-14.873696705736323</v>
      </c>
      <c r="AP622" s="171">
        <f t="shared" si="170"/>
        <v>10.430510414004777</v>
      </c>
      <c r="AQ622" s="172">
        <f t="shared" si="171"/>
        <v>85.509357399695318</v>
      </c>
      <c r="AR622" s="157">
        <f>INDEX([1]Historical!$C$7:$C$1231,MATCH(B622,[1]Historical!$B$7:$B$1253,0))*IF(AH622="n/a",1.03,IF(AH622&lt;0,1.01,IF(AH622&gt;10,1.1,(1+AH622/100))))</f>
        <v>1.2100000000000002</v>
      </c>
      <c r="AS622" s="166">
        <f t="shared" si="172"/>
        <v>1.3310000000000004</v>
      </c>
      <c r="AT622" s="166">
        <f t="shared" si="178"/>
        <v>1.4641000000000006</v>
      </c>
      <c r="AU622" s="166">
        <f t="shared" si="178"/>
        <v>1.6105100000000008</v>
      </c>
      <c r="AV622" s="166">
        <f t="shared" si="178"/>
        <v>1.7715610000000011</v>
      </c>
      <c r="AW622" s="157">
        <f t="shared" si="174"/>
        <v>7.3871710000000022</v>
      </c>
      <c r="AX622" s="173">
        <f t="shared" si="175"/>
        <v>9.4477183783092507</v>
      </c>
      <c r="AY622" s="174">
        <v>0.69</v>
      </c>
      <c r="AZ622" s="169">
        <v>53.83</v>
      </c>
      <c r="BA622" s="169">
        <v>-0.66</v>
      </c>
      <c r="BB622" s="169">
        <v>12.41</v>
      </c>
      <c r="BC622" s="169">
        <v>28.1</v>
      </c>
      <c r="BD622" s="100"/>
      <c r="BE622" s="77">
        <v>2010</v>
      </c>
      <c r="BF622" s="77">
        <f t="shared" si="176"/>
        <v>1</v>
      </c>
      <c r="BG622" s="175">
        <v>0.8</v>
      </c>
      <c r="BH622" t="s">
        <v>939</v>
      </c>
      <c r="BI622" t="s">
        <v>940</v>
      </c>
      <c r="BJ622"/>
      <c r="BK622"/>
      <c r="BL622"/>
    </row>
    <row r="623" spans="1:64" s="112" customFormat="1" ht="12.75" customHeight="1" x14ac:dyDescent="0.2">
      <c r="A623" s="112" t="s">
        <v>1654</v>
      </c>
      <c r="B623" s="239" t="s">
        <v>468</v>
      </c>
      <c r="C623" s="154" t="s">
        <v>137</v>
      </c>
      <c r="D623" s="154" t="s">
        <v>946</v>
      </c>
      <c r="E623" s="155">
        <v>29</v>
      </c>
      <c r="F623" s="298">
        <v>106</v>
      </c>
      <c r="G623" s="298" t="s">
        <v>88</v>
      </c>
      <c r="H623" s="298" t="s">
        <v>88</v>
      </c>
      <c r="I623" s="167">
        <v>229.24</v>
      </c>
      <c r="J623" s="157">
        <f t="shared" si="162"/>
        <v>1.2127028441807712</v>
      </c>
      <c r="K623" s="209">
        <v>0.69499999999999995</v>
      </c>
      <c r="L623" s="126">
        <v>4</v>
      </c>
      <c r="M623" s="82">
        <f t="shared" si="163"/>
        <v>2.78</v>
      </c>
      <c r="N623" s="159" t="s">
        <v>190</v>
      </c>
      <c r="O623" s="210">
        <v>0.63</v>
      </c>
      <c r="P623" s="161">
        <v>44560</v>
      </c>
      <c r="Q623" s="161">
        <v>44592</v>
      </c>
      <c r="R623" s="82">
        <f t="shared" si="164"/>
        <v>10.317460317460309</v>
      </c>
      <c r="S623" s="162">
        <f>IF(INDEX([1]Historical!$D$7:$D$1229,MATCH(B623,[1]Historical!$B$7:$B$1253,0))=0,"n/a",(INDEX([1]Historical!$C$7:$C$1231,MATCH(B623,[1]Historical!$B$7:$B$1253,0))/INDEX([1]Historical!$D$7:$D$1229,MATCH(B623,[1]Historical!$B$7:$B$1253,0))-1)*100)</f>
        <v>9.5652173913043583</v>
      </c>
      <c r="T623" s="162">
        <f>IF(INDEX([1]Historical!$F$7:$F$1222,MATCH(B623,[1]Historical!$B$7:$B$1253,0))=0,"n/a",((INDEX([1]Historical!$C$7:$C$1231,MATCH(B623,[1]Historical!$B$7:$B$1253,0))/INDEX([1]Historical!$F$7:$F$1222,MATCH(B623,[1]Historical!$B$7:$B$1253,0)))^(1/3)-1)*100)</f>
        <v>10.259046003776074</v>
      </c>
      <c r="U623" s="162">
        <f>IF(INDEX([1]Historical!$H$7:$H$1222,MATCH(B623,[1]Historical!$B$7:$B$1253,0))=0,"n/a",((INDEX([1]Historical!$C$7:$C$1231,MATCH(B623,[1]Historical!$B$7:$B$1253,0))/INDEX([1]Historical!$H$7:$H$1222,MATCH(B623,[1]Historical!$B$7:$B$1253,0)))^(1/5)-1)*100)</f>
        <v>10.639802171942204</v>
      </c>
      <c r="V623" s="162">
        <f>IF(INDEX([1]Historical!$N$7:$N$1222,MATCH(B623,[1]Historical!$B$7:$B$1253,0))=0,"n/a",((INDEX([1]Historical!$C$7:$C$1231,MATCH(B623,[1]Historical!$B$7:$B$1253,0))/INDEX([1]Historical!$N$7:$N$1222,MATCH(B623,[1]Historical!$B$7:$B$1253,0)))^(1/10)-1)*100)</f>
        <v>13.346158167069744</v>
      </c>
      <c r="W623" s="163">
        <f t="shared" si="165"/>
        <v>0.79721834843789041</v>
      </c>
      <c r="X623" s="164">
        <f t="shared" si="166"/>
        <v>2.8756222086330285</v>
      </c>
      <c r="Y623" s="181"/>
      <c r="Z623" s="157">
        <f t="shared" si="167"/>
        <v>51.102941176470587</v>
      </c>
      <c r="AA623" s="166">
        <f t="shared" si="168"/>
        <v>42.139705882352942</v>
      </c>
      <c r="AB623" s="126">
        <v>12</v>
      </c>
      <c r="AC623" s="167">
        <v>5.44</v>
      </c>
      <c r="AD623" s="167">
        <v>5.39</v>
      </c>
      <c r="AE623" s="167">
        <v>4.9000000000000004</v>
      </c>
      <c r="AF623" s="167">
        <v>5.53</v>
      </c>
      <c r="AG623" s="167">
        <v>13.900000000000002</v>
      </c>
      <c r="AH623" s="167">
        <v>24.099999999999998</v>
      </c>
      <c r="AI623" s="167">
        <v>9.9599999999999991</v>
      </c>
      <c r="AJ623" s="167">
        <v>3.6999999999999997</v>
      </c>
      <c r="AK623" s="167">
        <v>7.82</v>
      </c>
      <c r="AL623" s="168">
        <v>86360</v>
      </c>
      <c r="AM623" s="169">
        <v>0.1</v>
      </c>
      <c r="AN623" s="167">
        <v>0.85</v>
      </c>
      <c r="AO623" s="170">
        <f t="shared" si="169"/>
        <v>-30.287200866229966</v>
      </c>
      <c r="AP623" s="171">
        <f t="shared" si="170"/>
        <v>11.852505016122976</v>
      </c>
      <c r="AQ623" s="172">
        <f t="shared" si="171"/>
        <v>221.82298345478463</v>
      </c>
      <c r="AR623" s="157">
        <f>INDEX([1]Historical!$C$7:$C$1231,MATCH(B623,[1]Historical!$B$7:$B$1253,0))*IF(AH623="n/a",1.03,IF(AH623&lt;0,1.01,IF(AH623&gt;10,1.1,(1+AH623/100))))</f>
        <v>2.7720000000000002</v>
      </c>
      <c r="AS623" s="166">
        <f t="shared" si="172"/>
        <v>3.0480912</v>
      </c>
      <c r="AT623" s="166">
        <f t="shared" si="178"/>
        <v>3.2864519318400003</v>
      </c>
      <c r="AU623" s="166">
        <f t="shared" si="178"/>
        <v>3.5434524729098884</v>
      </c>
      <c r="AV623" s="166">
        <f t="shared" si="178"/>
        <v>3.8205504562914419</v>
      </c>
      <c r="AW623" s="157">
        <f t="shared" si="174"/>
        <v>16.470546061041333</v>
      </c>
      <c r="AX623" s="173">
        <f t="shared" si="175"/>
        <v>7.1848482206601521</v>
      </c>
      <c r="AY623" s="174">
        <v>0.99</v>
      </c>
      <c r="AZ623" s="169">
        <v>21.39</v>
      </c>
      <c r="BA623" s="169">
        <v>-18.25</v>
      </c>
      <c r="BB623" s="169">
        <v>7.01</v>
      </c>
      <c r="BC623" s="169">
        <v>-0.85000000000000009</v>
      </c>
      <c r="BD623" s="100"/>
      <c r="BE623" s="77">
        <v>1994</v>
      </c>
      <c r="BF623" s="77">
        <f t="shared" si="176"/>
        <v>3</v>
      </c>
      <c r="BG623" s="175">
        <v>5.8999999999999995</v>
      </c>
      <c r="BH623" t="s">
        <v>939</v>
      </c>
      <c r="BI623" t="s">
        <v>940</v>
      </c>
      <c r="BJ623"/>
      <c r="BK623"/>
      <c r="BL623"/>
    </row>
    <row r="624" spans="1:64" s="112" customFormat="1" ht="12.75" customHeight="1" x14ac:dyDescent="0.2">
      <c r="A624" s="112" t="s">
        <v>1655</v>
      </c>
      <c r="B624" s="239" t="s">
        <v>469</v>
      </c>
      <c r="C624" s="154" t="s">
        <v>127</v>
      </c>
      <c r="D624" s="154" t="s">
        <v>973</v>
      </c>
      <c r="E624" s="155">
        <v>52</v>
      </c>
      <c r="F624" s="298">
        <v>30</v>
      </c>
      <c r="G624" s="298" t="s">
        <v>30</v>
      </c>
      <c r="H624" s="298" t="s">
        <v>104</v>
      </c>
      <c r="I624" s="167">
        <v>86.56</v>
      </c>
      <c r="J624" s="157">
        <f t="shared" si="162"/>
        <v>2.2643253234750462</v>
      </c>
      <c r="K624" s="158">
        <v>0.49</v>
      </c>
      <c r="L624" s="126">
        <v>4</v>
      </c>
      <c r="M624" s="82">
        <f t="shared" si="163"/>
        <v>1.96</v>
      </c>
      <c r="N624" s="159" t="s">
        <v>534</v>
      </c>
      <c r="O624" s="160">
        <v>0.47</v>
      </c>
      <c r="P624" s="161">
        <v>44742</v>
      </c>
      <c r="Q624" s="161">
        <v>44764</v>
      </c>
      <c r="R624" s="82">
        <f t="shared" si="164"/>
        <v>4.2553191489361746</v>
      </c>
      <c r="S624" s="162">
        <f>IF(INDEX([1]Historical!$D$7:$D$1229,MATCH(B624,[1]Historical!$B$7:$B$1253,0))=0,"n/a",(INDEX([1]Historical!$C$7:$C$1231,MATCH(B624,[1]Historical!$B$7:$B$1253,0))/INDEX([1]Historical!$D$7:$D$1229,MATCH(B624,[1]Historical!$B$7:$B$1253,0))-1)*100)</f>
        <v>2.2222222222222143</v>
      </c>
      <c r="T624" s="162">
        <f>IF(INDEX([1]Historical!$F$7:$F$1222,MATCH(B624,[1]Historical!$B$7:$B$1253,0))=0,"n/a",((INDEX([1]Historical!$C$7:$C$1231,MATCH(B624,[1]Historical!$B$7:$B$1253,0))/INDEX([1]Historical!$F$7:$F$1222,MATCH(B624,[1]Historical!$B$7:$B$1253,0)))^(1/3)-1)*100)</f>
        <v>8.5138345254405436</v>
      </c>
      <c r="U624" s="162">
        <f>IF(INDEX([1]Historical!$H$7:$H$1222,MATCH(B624,[1]Historical!$B$7:$B$1253,0))=0,"n/a",((INDEX([1]Historical!$C$7:$C$1231,MATCH(B624,[1]Historical!$B$7:$B$1253,0))/INDEX([1]Historical!$H$7:$H$1222,MATCH(B624,[1]Historical!$B$7:$B$1253,0)))^(1/5)-1)*100)</f>
        <v>8.2129477676936791</v>
      </c>
      <c r="V624" s="162">
        <f>IF(INDEX([1]Historical!$N$7:$N$1222,MATCH(B624,[1]Historical!$B$7:$B$1253,0))=0,"n/a",((INDEX([1]Historical!$C$7:$C$1231,MATCH(B624,[1]Historical!$B$7:$B$1253,0))/INDEX([1]Historical!$N$7:$N$1222,MATCH(B624,[1]Historical!$B$7:$B$1253,0)))^(1/10)-1)*100)</f>
        <v>5.8713493725206511</v>
      </c>
      <c r="W624" s="163">
        <f t="shared" si="165"/>
        <v>1.3988177583388719</v>
      </c>
      <c r="X624" s="164">
        <f t="shared" si="166"/>
        <v>1.6761117893252404</v>
      </c>
      <c r="Y624" s="181"/>
      <c r="Z624" s="157">
        <f t="shared" si="167"/>
        <v>74.242424242424249</v>
      </c>
      <c r="AA624" s="166">
        <f t="shared" si="168"/>
        <v>32.787878787878789</v>
      </c>
      <c r="AB624" s="126">
        <v>6</v>
      </c>
      <c r="AC624" s="167">
        <v>2.64</v>
      </c>
      <c r="AD624" s="167">
        <v>0.79</v>
      </c>
      <c r="AE624" s="167">
        <v>0.62</v>
      </c>
      <c r="AF624" s="167">
        <v>31.73</v>
      </c>
      <c r="AG624" s="167">
        <v>97.1</v>
      </c>
      <c r="AH624" s="167">
        <v>159</v>
      </c>
      <c r="AI624" s="167">
        <v>14.32</v>
      </c>
      <c r="AJ624" s="167">
        <v>4.9000000000000004</v>
      </c>
      <c r="AK624" s="167">
        <v>41.4</v>
      </c>
      <c r="AL624" s="168">
        <v>42440</v>
      </c>
      <c r="AM624" s="169">
        <v>0.2</v>
      </c>
      <c r="AN624" s="167">
        <v>7.7</v>
      </c>
      <c r="AO624" s="170">
        <f t="shared" si="169"/>
        <v>-22.310605696710063</v>
      </c>
      <c r="AP624" s="171">
        <f t="shared" si="170"/>
        <v>10.477273091168726</v>
      </c>
      <c r="AQ624" s="172">
        <f t="shared" si="171"/>
        <v>579.98672991607191</v>
      </c>
      <c r="AR624" s="157">
        <f>INDEX([1]Historical!$C$7:$C$1231,MATCH(B624,[1]Historical!$B$7:$B$1253,0))*IF(AH624="n/a",1.03,IF(AH624&lt;0,1.01,IF(AH624&gt;10,1.1,(1+AH624/100))))</f>
        <v>2.0240000000000005</v>
      </c>
      <c r="AS624" s="166">
        <f t="shared" si="172"/>
        <v>2.2264000000000008</v>
      </c>
      <c r="AT624" s="166">
        <f t="shared" si="178"/>
        <v>2.449040000000001</v>
      </c>
      <c r="AU624" s="166">
        <f t="shared" si="178"/>
        <v>2.6939440000000014</v>
      </c>
      <c r="AV624" s="166">
        <f t="shared" si="178"/>
        <v>2.9633384000000018</v>
      </c>
      <c r="AW624" s="157">
        <f t="shared" si="174"/>
        <v>12.356722400000004</v>
      </c>
      <c r="AX624" s="173">
        <f t="shared" si="175"/>
        <v>14.275326247689469</v>
      </c>
      <c r="AY624" s="174">
        <v>1.08</v>
      </c>
      <c r="AZ624" s="169">
        <v>27.200000000000003</v>
      </c>
      <c r="BA624" s="169">
        <v>-5.43</v>
      </c>
      <c r="BB624" s="169">
        <v>9.6100000000000012</v>
      </c>
      <c r="BC624" s="169">
        <v>5.3100000000000005</v>
      </c>
      <c r="BD624" s="100"/>
      <c r="BE624" s="77">
        <v>1971</v>
      </c>
      <c r="BF624" s="77">
        <f t="shared" si="176"/>
        <v>6</v>
      </c>
      <c r="BG624" s="175">
        <v>6.2</v>
      </c>
      <c r="BH624" t="s">
        <v>939</v>
      </c>
      <c r="BI624" t="s">
        <v>940</v>
      </c>
      <c r="BJ624"/>
      <c r="BK624"/>
      <c r="BL624"/>
    </row>
    <row r="625" spans="1:64" s="112" customFormat="1" ht="12.75" customHeight="1" x14ac:dyDescent="0.2">
      <c r="A625" s="205" t="s">
        <v>1656</v>
      </c>
      <c r="B625" s="239" t="s">
        <v>1198</v>
      </c>
      <c r="C625" s="154" t="s">
        <v>922</v>
      </c>
      <c r="D625" s="154" t="s">
        <v>974</v>
      </c>
      <c r="E625" s="155">
        <v>7</v>
      </c>
      <c r="F625" s="298">
        <v>648</v>
      </c>
      <c r="G625" s="298" t="s">
        <v>88</v>
      </c>
      <c r="H625" s="298" t="s">
        <v>88</v>
      </c>
      <c r="I625" s="156">
        <v>4.0999999999999996</v>
      </c>
      <c r="J625" s="157">
        <f t="shared" si="162"/>
        <v>4.8780487804878057</v>
      </c>
      <c r="K625" s="158">
        <v>0.05</v>
      </c>
      <c r="L625" s="126">
        <v>4</v>
      </c>
      <c r="M625" s="82">
        <f t="shared" si="163"/>
        <v>0.2</v>
      </c>
      <c r="N625" s="159" t="s">
        <v>89</v>
      </c>
      <c r="O625" s="160">
        <v>4.4999999999999998E-2</v>
      </c>
      <c r="P625" s="161">
        <v>44874</v>
      </c>
      <c r="Q625" s="161">
        <v>44895</v>
      </c>
      <c r="R625" s="82">
        <f t="shared" si="164"/>
        <v>11.111111111111121</v>
      </c>
      <c r="S625" s="162">
        <f>IF(INDEX([1]Historical!$D$7:$D$1229,MATCH(B625,[1]Historical!$B$7:$B$1253,0))=0,"n/a",(INDEX([1]Historical!$C$7:$C$1231,MATCH(B625,[1]Historical!$B$7:$B$1253,0))/INDEX([1]Historical!$D$7:$D$1229,MATCH(B625,[1]Historical!$B$7:$B$1253,0))-1)*100)</f>
        <v>13.793103448275868</v>
      </c>
      <c r="T625" s="162">
        <f>IF(INDEX([1]Historical!$F$7:$F$1222,MATCH(B625,[1]Historical!$B$7:$B$1253,0))=0,"n/a",((INDEX([1]Historical!$C$7:$C$1231,MATCH(B625,[1]Historical!$B$7:$B$1253,0))/INDEX([1]Historical!$F$7:$F$1222,MATCH(B625,[1]Historical!$B$7:$B$1253,0)))^(1/3)-1)*100)</f>
        <v>16.260329205681458</v>
      </c>
      <c r="U625" s="162">
        <f>IF(INDEX([1]Historical!$H$7:$H$1222,MATCH(B625,[1]Historical!$B$7:$B$1253,0))=0,"n/a",((INDEX([1]Historical!$C$7:$C$1231,MATCH(B625,[1]Historical!$B$7:$B$1253,0))/INDEX([1]Historical!$H$7:$H$1222,MATCH(B625,[1]Historical!$B$7:$B$1253,0)))^(1/5)-1)*100)</f>
        <v>17.080491296489232</v>
      </c>
      <c r="V625" s="162" t="str">
        <f>IF(INDEX([1]Historical!$N$7:$N$1222,MATCH(B625,[1]Historical!$B$7:$B$1253,0))=0,"n/a",((INDEX([1]Historical!$C$7:$C$1231,MATCH(B625,[1]Historical!$B$7:$B$1253,0))/INDEX([1]Historical!$N$7:$N$1222,MATCH(B625,[1]Historical!$B$7:$B$1253,0)))^(1/10)-1)*100)</f>
        <v>n/a</v>
      </c>
      <c r="W625" s="163" t="str">
        <f t="shared" si="165"/>
        <v>n/a</v>
      </c>
      <c r="X625" s="164">
        <f t="shared" si="166"/>
        <v>0.80950195717958451</v>
      </c>
      <c r="Y625" s="178"/>
      <c r="Z625" s="157">
        <f t="shared" si="167"/>
        <v>31.74603174603175</v>
      </c>
      <c r="AA625" s="166">
        <f t="shared" si="168"/>
        <v>6.507936507936507</v>
      </c>
      <c r="AB625" s="126">
        <v>12</v>
      </c>
      <c r="AC625" s="167">
        <v>0.63</v>
      </c>
      <c r="AD625" s="167" t="s">
        <v>95</v>
      </c>
      <c r="AE625" s="167">
        <v>2.57</v>
      </c>
      <c r="AF625" s="167">
        <v>1.44</v>
      </c>
      <c r="AG625" s="167">
        <v>24.6</v>
      </c>
      <c r="AH625" s="167">
        <v>46.300000000000004</v>
      </c>
      <c r="AI625" s="167" t="s">
        <v>95</v>
      </c>
      <c r="AJ625" s="167">
        <v>21.099999999999998</v>
      </c>
      <c r="AK625" s="167" t="s">
        <v>95</v>
      </c>
      <c r="AL625" s="168">
        <v>23.39</v>
      </c>
      <c r="AM625" s="169">
        <v>5.8999999999999995</v>
      </c>
      <c r="AN625" s="167">
        <v>0</v>
      </c>
      <c r="AO625" s="170">
        <f t="shared" si="169"/>
        <v>15.450603569040531</v>
      </c>
      <c r="AP625" s="171">
        <f t="shared" si="170"/>
        <v>21.958540076977037</v>
      </c>
      <c r="AQ625" s="172">
        <f t="shared" si="171"/>
        <v>-35.462573919628895</v>
      </c>
      <c r="AR625" s="157">
        <f>INDEX([1]Historical!$C$7:$C$1231,MATCH(B625,[1]Historical!$B$7:$B$1253,0))*IF(AH625="n/a",1.03,IF(AH625&lt;0,1.01,IF(AH625&gt;10,1.1,(1+AH625/100))))</f>
        <v>0.18150000000000002</v>
      </c>
      <c r="AS625" s="166">
        <f t="shared" si="172"/>
        <v>0.18694500000000003</v>
      </c>
      <c r="AT625" s="166">
        <f t="shared" si="178"/>
        <v>0.19255335000000004</v>
      </c>
      <c r="AU625" s="166">
        <f t="shared" si="178"/>
        <v>0.19832995050000005</v>
      </c>
      <c r="AV625" s="166">
        <f t="shared" si="178"/>
        <v>0.20427984901500004</v>
      </c>
      <c r="AW625" s="157">
        <f t="shared" si="174"/>
        <v>0.96360814951500018</v>
      </c>
      <c r="AX625" s="173">
        <f t="shared" si="175"/>
        <v>23.502637793048788</v>
      </c>
      <c r="AY625" s="174">
        <v>1.06</v>
      </c>
      <c r="AZ625" s="169">
        <v>29.75</v>
      </c>
      <c r="BA625" s="169">
        <v>-15.479999999999999</v>
      </c>
      <c r="BB625" s="169">
        <v>4.72</v>
      </c>
      <c r="BC625" s="169">
        <v>10.89</v>
      </c>
      <c r="BD625" s="100"/>
      <c r="BE625" s="77">
        <v>2016</v>
      </c>
      <c r="BF625" s="77">
        <f t="shared" si="176"/>
        <v>1</v>
      </c>
      <c r="BG625" s="175">
        <v>22.1</v>
      </c>
      <c r="BH625" t="s">
        <v>939</v>
      </c>
      <c r="BI625" t="s">
        <v>940</v>
      </c>
    </row>
    <row r="626" spans="1:64" s="112" customFormat="1" ht="12.75" customHeight="1" x14ac:dyDescent="0.2">
      <c r="A626" s="204" t="s">
        <v>835</v>
      </c>
      <c r="B626" s="239" t="s">
        <v>836</v>
      </c>
      <c r="C626" s="154" t="s">
        <v>90</v>
      </c>
      <c r="D626" s="154" t="s">
        <v>969</v>
      </c>
      <c r="E626" s="155">
        <v>10</v>
      </c>
      <c r="F626" s="298">
        <v>503</v>
      </c>
      <c r="G626" s="298" t="s">
        <v>88</v>
      </c>
      <c r="H626" s="298" t="s">
        <v>88</v>
      </c>
      <c r="I626" s="156">
        <v>57.91</v>
      </c>
      <c r="J626" s="157">
        <f t="shared" si="162"/>
        <v>2.0721809704714209</v>
      </c>
      <c r="K626" s="158">
        <v>0.3</v>
      </c>
      <c r="L626" s="126">
        <v>4</v>
      </c>
      <c r="M626" s="82">
        <f t="shared" si="163"/>
        <v>1.2</v>
      </c>
      <c r="N626" s="159" t="s">
        <v>119</v>
      </c>
      <c r="O626" s="160">
        <v>0.25</v>
      </c>
      <c r="P626" s="161">
        <v>44812</v>
      </c>
      <c r="Q626" s="161">
        <v>44827</v>
      </c>
      <c r="R626" s="82">
        <f t="shared" si="164"/>
        <v>19.999999999999996</v>
      </c>
      <c r="S626" s="162">
        <f>IF(INDEX([1]Historical!$D$7:$D$1229,MATCH(B626,[1]Historical!$B$7:$B$1253,0))=0,"n/a",(INDEX([1]Historical!$C$7:$C$1231,MATCH(B626,[1]Historical!$B$7:$B$1253,0))/INDEX([1]Historical!$D$7:$D$1229,MATCH(B626,[1]Historical!$B$7:$B$1253,0))-1)*100)</f>
        <v>13.636363636363647</v>
      </c>
      <c r="T626" s="162">
        <f>IF(INDEX([1]Historical!$F$7:$F$1222,MATCH(B626,[1]Historical!$B$7:$B$1253,0))=0,"n/a",((INDEX([1]Historical!$C$7:$C$1231,MATCH(B626,[1]Historical!$B$7:$B$1253,0))/INDEX([1]Historical!$F$7:$F$1222,MATCH(B626,[1]Historical!$B$7:$B$1253,0)))^(1/3)-1)*100)</f>
        <v>12.624788044360603</v>
      </c>
      <c r="U626" s="162">
        <f>IF(INDEX([1]Historical!$H$7:$H$1222,MATCH(B626,[1]Historical!$B$7:$B$1253,0))=0,"n/a",((INDEX([1]Historical!$C$7:$C$1231,MATCH(B626,[1]Historical!$B$7:$B$1253,0))/INDEX([1]Historical!$H$7:$H$1222,MATCH(B626,[1]Historical!$B$7:$B$1253,0)))^(1/5)-1)*100)</f>
        <v>10.756634324829006</v>
      </c>
      <c r="V626" s="162">
        <f>IF(INDEX([1]Historical!$N$7:$N$1222,MATCH(B626,[1]Historical!$B$7:$B$1253,0))=0,"n/a",((INDEX([1]Historical!$C$7:$C$1231,MATCH(B626,[1]Historical!$B$7:$B$1253,0))/INDEX([1]Historical!$N$7:$N$1222,MATCH(B626,[1]Historical!$B$7:$B$1253,0)))^(1/10)-1)*100)</f>
        <v>10.756634324828983</v>
      </c>
      <c r="W626" s="163">
        <f t="shared" si="165"/>
        <v>1.0000000000000022</v>
      </c>
      <c r="X626" s="164">
        <f t="shared" si="166"/>
        <v>0.70767331084401364</v>
      </c>
      <c r="Y626" s="180"/>
      <c r="Z626" s="157">
        <f t="shared" si="167"/>
        <v>32.697547683923709</v>
      </c>
      <c r="AA626" s="166">
        <f t="shared" si="168"/>
        <v>15.779291553133515</v>
      </c>
      <c r="AB626" s="126">
        <v>12</v>
      </c>
      <c r="AC626" s="167">
        <v>3.67</v>
      </c>
      <c r="AD626" s="167">
        <v>2.23</v>
      </c>
      <c r="AE626" s="167">
        <v>5.71</v>
      </c>
      <c r="AF626" s="167">
        <v>1.84</v>
      </c>
      <c r="AG626" s="167">
        <v>10.100000000000001</v>
      </c>
      <c r="AH626" s="167">
        <v>82.399999999999991</v>
      </c>
      <c r="AI626" s="167">
        <v>15.459999999999999</v>
      </c>
      <c r="AJ626" s="167">
        <v>15.2</v>
      </c>
      <c r="AK626" s="167">
        <v>7.0000000000000009</v>
      </c>
      <c r="AL626" s="168">
        <v>1850</v>
      </c>
      <c r="AM626" s="169">
        <v>3.9</v>
      </c>
      <c r="AN626" s="167">
        <v>0.1</v>
      </c>
      <c r="AO626" s="170">
        <f t="shared" si="169"/>
        <v>-2.9504762578330883</v>
      </c>
      <c r="AP626" s="171">
        <f t="shared" si="170"/>
        <v>12.828815295300426</v>
      </c>
      <c r="AQ626" s="172">
        <f t="shared" si="171"/>
        <v>13.59557201418189</v>
      </c>
      <c r="AR626" s="157">
        <f>INDEX([1]Historical!$C$7:$C$1231,MATCH(B626,[1]Historical!$B$7:$B$1253,0))*IF(AH626="n/a",1.03,IF(AH626&lt;0,1.01,IF(AH626&gt;10,1.1,(1+AH626/100))))</f>
        <v>1.1000000000000001</v>
      </c>
      <c r="AS626" s="166">
        <f t="shared" si="172"/>
        <v>1.2100000000000002</v>
      </c>
      <c r="AT626" s="166">
        <f t="shared" si="178"/>
        <v>1.2947000000000002</v>
      </c>
      <c r="AU626" s="166">
        <f t="shared" si="178"/>
        <v>1.3853290000000003</v>
      </c>
      <c r="AV626" s="166">
        <f t="shared" si="178"/>
        <v>1.4823020300000003</v>
      </c>
      <c r="AW626" s="157">
        <f t="shared" si="174"/>
        <v>6.4723310300000012</v>
      </c>
      <c r="AX626" s="173">
        <f t="shared" si="175"/>
        <v>11.176534329131412</v>
      </c>
      <c r="AY626" s="174">
        <v>0.57999999999999996</v>
      </c>
      <c r="AZ626" s="169">
        <v>54.800000000000004</v>
      </c>
      <c r="BA626" s="169">
        <v>1.1900000000000002</v>
      </c>
      <c r="BB626" s="169">
        <v>20.23</v>
      </c>
      <c r="BC626" s="169">
        <v>29.43</v>
      </c>
      <c r="BD626" s="100"/>
      <c r="BE626" s="77">
        <v>2014</v>
      </c>
      <c r="BF626" s="77">
        <f t="shared" si="176"/>
        <v>1</v>
      </c>
      <c r="BG626" s="175">
        <v>1.0999999999999999</v>
      </c>
      <c r="BH626" t="s">
        <v>939</v>
      </c>
      <c r="BI626" t="s">
        <v>940</v>
      </c>
      <c r="BJ626"/>
      <c r="BK626"/>
      <c r="BL626"/>
    </row>
    <row r="627" spans="1:64" s="112" customFormat="1" ht="12.75" customHeight="1" x14ac:dyDescent="0.2">
      <c r="A627" s="205" t="s">
        <v>1808</v>
      </c>
      <c r="B627" s="239" t="s">
        <v>1809</v>
      </c>
      <c r="C627" s="154" t="s">
        <v>90</v>
      </c>
      <c r="D627" s="154" t="s">
        <v>969</v>
      </c>
      <c r="E627" s="155">
        <v>8</v>
      </c>
      <c r="F627" s="298">
        <v>575</v>
      </c>
      <c r="G627" s="298" t="s">
        <v>88</v>
      </c>
      <c r="H627" s="298" t="s">
        <v>88</v>
      </c>
      <c r="I627" s="156">
        <v>63.99</v>
      </c>
      <c r="J627" s="157">
        <f t="shared" si="162"/>
        <v>4.3894358493514609</v>
      </c>
      <c r="K627" s="158">
        <v>0.70220000000000005</v>
      </c>
      <c r="L627" s="126">
        <v>4</v>
      </c>
      <c r="M627" s="82">
        <f t="shared" si="163"/>
        <v>2.8088000000000002</v>
      </c>
      <c r="N627" s="159" t="s">
        <v>309</v>
      </c>
      <c r="O627" s="160">
        <v>0.621</v>
      </c>
      <c r="P627" s="161">
        <v>44568</v>
      </c>
      <c r="Q627" s="161">
        <v>44592</v>
      </c>
      <c r="R627" s="82">
        <f t="shared" si="164"/>
        <v>13.075684380032214</v>
      </c>
      <c r="S627" s="162">
        <f>IF(INDEX([1]Historical!$D$7:$D$1229,MATCH(B627,[1]Historical!$B$7:$B$1253,0))=0,"n/a",(INDEX([1]Historical!$C$7:$C$1231,MATCH(B627,[1]Historical!$B$7:$B$1253,0))/INDEX([1]Historical!$D$7:$D$1229,MATCH(B627,[1]Historical!$B$7:$B$1253,0))-1)*100)</f>
        <v>8.7225929456625551</v>
      </c>
      <c r="T627" s="162">
        <f>IF(INDEX([1]Historical!$F$7:$F$1222,MATCH(B627,[1]Historical!$B$7:$B$1253,0))=0,"n/a",((INDEX([1]Historical!$C$7:$C$1231,MATCH(B627,[1]Historical!$B$7:$B$1253,0))/INDEX([1]Historical!$F$7:$F$1222,MATCH(B627,[1]Historical!$B$7:$B$1253,0)))^(1/3)-1)*100)</f>
        <v>7.1952760829538498</v>
      </c>
      <c r="U627" s="162">
        <f>IF(INDEX([1]Historical!$H$7:$H$1222,MATCH(B627,[1]Historical!$B$7:$B$1253,0))=0,"n/a",((INDEX([1]Historical!$C$7:$C$1231,MATCH(B627,[1]Historical!$B$7:$B$1253,0))/INDEX([1]Historical!$H$7:$H$1222,MATCH(B627,[1]Historical!$B$7:$B$1253,0)))^(1/5)-1)*100)</f>
        <v>9.1064924396400784</v>
      </c>
      <c r="V627" s="162">
        <f>IF(INDEX([1]Historical!$N$7:$N$1222,MATCH(B627,[1]Historical!$B$7:$B$1253,0))=0,"n/a",((INDEX([1]Historical!$C$7:$C$1231,MATCH(B627,[1]Historical!$B$7:$B$1253,0))/INDEX([1]Historical!$N$7:$N$1222,MATCH(B627,[1]Historical!$B$7:$B$1253,0)))^(1/10)-1)*100)</f>
        <v>6.6526842742349102</v>
      </c>
      <c r="W627" s="163">
        <f t="shared" si="165"/>
        <v>1.3688448247737366</v>
      </c>
      <c r="X627" s="164">
        <f t="shared" si="166"/>
        <v>0.86728499425143601</v>
      </c>
      <c r="Y627" s="180" t="s">
        <v>1794</v>
      </c>
      <c r="Z627" s="157">
        <f t="shared" si="167"/>
        <v>48.261168384879724</v>
      </c>
      <c r="AA627" s="166">
        <f t="shared" si="168"/>
        <v>10.994845360824742</v>
      </c>
      <c r="AB627" s="126">
        <v>10</v>
      </c>
      <c r="AC627" s="167">
        <v>5.82</v>
      </c>
      <c r="AD627" s="167">
        <v>1.28</v>
      </c>
      <c r="AE627" s="167">
        <v>4.6900000000000004</v>
      </c>
      <c r="AF627" s="167">
        <v>1.66</v>
      </c>
      <c r="AG627" s="167">
        <v>15.1</v>
      </c>
      <c r="AH627" s="167">
        <v>20.100000000000001</v>
      </c>
      <c r="AI627" s="167">
        <v>8.48</v>
      </c>
      <c r="AJ627" s="167">
        <v>10.5</v>
      </c>
      <c r="AK627" s="167">
        <v>8.6499999999999986</v>
      </c>
      <c r="AL627" s="168">
        <v>116850</v>
      </c>
      <c r="AM627" s="169">
        <v>0.1</v>
      </c>
      <c r="AN627" s="167">
        <v>3.5</v>
      </c>
      <c r="AO627" s="170">
        <f t="shared" si="169"/>
        <v>2.501082928166797</v>
      </c>
      <c r="AP627" s="171">
        <f t="shared" si="170"/>
        <v>13.495928288991539</v>
      </c>
      <c r="AQ627" s="172">
        <f t="shared" si="171"/>
        <v>-9.9347315702685179</v>
      </c>
      <c r="AR627" s="157">
        <f>INDEX([1]Historical!$C$7:$C$1231,MATCH(B627,[1]Historical!$B$7:$B$1253,0))*IF(AH627="n/a",1.03,IF(AH627&lt;0,1.01,IF(AH627&gt;10,1.1,(1+AH627/100))))</f>
        <v>2.7600100000000003</v>
      </c>
      <c r="AS627" s="166">
        <f t="shared" si="172"/>
        <v>2.9940588480000003</v>
      </c>
      <c r="AT627" s="166">
        <f t="shared" si="178"/>
        <v>3.2530449383520006</v>
      </c>
      <c r="AU627" s="166">
        <f t="shared" si="178"/>
        <v>3.5344333255194487</v>
      </c>
      <c r="AV627" s="166">
        <f t="shared" si="178"/>
        <v>3.8401618081768811</v>
      </c>
      <c r="AW627" s="157">
        <f t="shared" si="174"/>
        <v>16.381708920048329</v>
      </c>
      <c r="AX627" s="173">
        <f t="shared" si="175"/>
        <v>25.600420253240081</v>
      </c>
      <c r="AY627" s="174">
        <v>0.89</v>
      </c>
      <c r="AZ627" s="169">
        <v>11.73</v>
      </c>
      <c r="BA627" s="169">
        <v>-25.61</v>
      </c>
      <c r="BB627" s="169">
        <v>0.11</v>
      </c>
      <c r="BC627" s="169">
        <v>-10.209999999999999</v>
      </c>
      <c r="BD627" s="100"/>
      <c r="BE627" s="77">
        <v>2015</v>
      </c>
      <c r="BF627" s="77">
        <f t="shared" si="176"/>
        <v>1</v>
      </c>
      <c r="BG627" s="175">
        <v>0.8</v>
      </c>
      <c r="BH627" t="s">
        <v>1023</v>
      </c>
      <c r="BI627" t="s">
        <v>940</v>
      </c>
    </row>
    <row r="628" spans="1:64" s="112" customFormat="1" ht="12.75" customHeight="1" x14ac:dyDescent="0.2">
      <c r="A628" s="112" t="s">
        <v>1657</v>
      </c>
      <c r="B628" s="239" t="s">
        <v>472</v>
      </c>
      <c r="C628" s="154" t="s">
        <v>981</v>
      </c>
      <c r="D628" s="154" t="s">
        <v>1185</v>
      </c>
      <c r="E628" s="155">
        <v>48</v>
      </c>
      <c r="F628" s="298">
        <v>50</v>
      </c>
      <c r="G628" s="298" t="s">
        <v>30</v>
      </c>
      <c r="H628" s="298" t="s">
        <v>30</v>
      </c>
      <c r="I628" s="167">
        <v>17</v>
      </c>
      <c r="J628" s="157">
        <f t="shared" si="162"/>
        <v>4.2352941176470589</v>
      </c>
      <c r="K628" s="158">
        <v>0.18</v>
      </c>
      <c r="L628" s="126">
        <v>4</v>
      </c>
      <c r="M628" s="82">
        <f t="shared" si="163"/>
        <v>0.72</v>
      </c>
      <c r="N628" s="159" t="s">
        <v>628</v>
      </c>
      <c r="O628" s="160">
        <v>0.17499999999999999</v>
      </c>
      <c r="P628" s="161">
        <v>44634</v>
      </c>
      <c r="Q628" s="161">
        <v>44651</v>
      </c>
      <c r="R628" s="82">
        <f t="shared" si="164"/>
        <v>2.8571428571428599</v>
      </c>
      <c r="S628" s="162">
        <f>IF(INDEX([1]Historical!$D$7:$D$1229,MATCH(B628,[1]Historical!$B$7:$B$1253,0))=0,"n/a",(INDEX([1]Historical!$C$7:$C$1231,MATCH(B628,[1]Historical!$B$7:$B$1253,0))/INDEX([1]Historical!$D$7:$D$1229,MATCH(B628,[1]Historical!$B$7:$B$1253,0))-1)*100)</f>
        <v>2.9411764705882248</v>
      </c>
      <c r="T628" s="162">
        <f>IF(INDEX([1]Historical!$F$7:$F$1222,MATCH(B628,[1]Historical!$B$7:$B$1253,0))=0,"n/a",((INDEX([1]Historical!$C$7:$C$1231,MATCH(B628,[1]Historical!$B$7:$B$1253,0))/INDEX([1]Historical!$F$7:$F$1222,MATCH(B628,[1]Historical!$B$7:$B$1253,0)))^(1/3)-1)*100)</f>
        <v>3.0321324952139239</v>
      </c>
      <c r="U628" s="162">
        <f>IF(INDEX([1]Historical!$H$7:$H$1222,MATCH(B628,[1]Historical!$B$7:$B$1253,0))=0,"n/a",((INDEX([1]Historical!$C$7:$C$1231,MATCH(B628,[1]Historical!$B$7:$B$1253,0))/INDEX([1]Historical!$H$7:$H$1222,MATCH(B628,[1]Historical!$B$7:$B$1253,0)))^(1/5)-1)*100)</f>
        <v>3.4082686025700637</v>
      </c>
      <c r="V628" s="162">
        <f>IF(INDEX([1]Historical!$N$7:$N$1222,MATCH(B628,[1]Historical!$B$7:$B$1253,0))=0,"n/a",((INDEX([1]Historical!$C$7:$C$1231,MATCH(B628,[1]Historical!$B$7:$B$1253,0))/INDEX([1]Historical!$N$7:$N$1222,MATCH(B628,[1]Historical!$B$7:$B$1253,0)))^(1/10)-1)*100)</f>
        <v>4.0638809026424916</v>
      </c>
      <c r="W628" s="163">
        <f t="shared" si="165"/>
        <v>0.83867334801910076</v>
      </c>
      <c r="X628" s="164">
        <f t="shared" si="166"/>
        <v>0.16152931765734901</v>
      </c>
      <c r="Y628" s="153"/>
      <c r="Z628" s="157">
        <f t="shared" si="167"/>
        <v>80.898876404494374</v>
      </c>
      <c r="AA628" s="166">
        <f t="shared" si="168"/>
        <v>19.101123595505619</v>
      </c>
      <c r="AB628" s="126">
        <v>12</v>
      </c>
      <c r="AC628" s="167">
        <v>0.89</v>
      </c>
      <c r="AD628" s="167" t="s">
        <v>95</v>
      </c>
      <c r="AE628" s="167">
        <v>0.35</v>
      </c>
      <c r="AF628" s="167">
        <v>0.4</v>
      </c>
      <c r="AG628" s="167">
        <v>2.1</v>
      </c>
      <c r="AH628" s="179">
        <v>-48.699999999999996</v>
      </c>
      <c r="AI628" s="179">
        <v>-4.54</v>
      </c>
      <c r="AJ628" s="167">
        <v>21.099999999999998</v>
      </c>
      <c r="AK628" s="167" t="s">
        <v>95</v>
      </c>
      <c r="AL628" s="168">
        <v>1880</v>
      </c>
      <c r="AM628" s="169">
        <v>0.3</v>
      </c>
      <c r="AN628" s="167">
        <v>0.71</v>
      </c>
      <c r="AO628" s="170">
        <f t="shared" si="169"/>
        <v>-11.457560875288497</v>
      </c>
      <c r="AP628" s="171">
        <f t="shared" si="170"/>
        <v>7.6435627202171226</v>
      </c>
      <c r="AQ628" s="172">
        <f t="shared" si="171"/>
        <v>-41.726890370706435</v>
      </c>
      <c r="AR628" s="157">
        <f>INDEX([1]Historical!$C$7:$C$1231,MATCH(B628,[1]Historical!$B$7:$B$1253,0))*IF(AH628="n/a",1.03,IF(AH628&lt;0,1.01,IF(AH628&gt;10,1.1,(1+AH628/100))))</f>
        <v>0.70699999999999996</v>
      </c>
      <c r="AS628" s="166">
        <f t="shared" si="172"/>
        <v>0.71406999999999998</v>
      </c>
      <c r="AT628" s="166">
        <f t="shared" si="178"/>
        <v>0.73549209999999998</v>
      </c>
      <c r="AU628" s="166">
        <f t="shared" si="178"/>
        <v>0.75755686300000002</v>
      </c>
      <c r="AV628" s="166">
        <f t="shared" si="178"/>
        <v>0.78028356889000006</v>
      </c>
      <c r="AW628" s="157">
        <f t="shared" si="174"/>
        <v>3.6944025318899998</v>
      </c>
      <c r="AX628" s="173">
        <f t="shared" si="175"/>
        <v>21.73177959935294</v>
      </c>
      <c r="AY628" s="174">
        <v>1.07</v>
      </c>
      <c r="AZ628" s="169">
        <v>25.55</v>
      </c>
      <c r="BA628" s="169">
        <v>-20.82</v>
      </c>
      <c r="BB628" s="169">
        <v>9.39</v>
      </c>
      <c r="BC628" s="169">
        <v>-1.77</v>
      </c>
      <c r="BD628" s="100"/>
      <c r="BE628" s="77">
        <v>1975</v>
      </c>
      <c r="BF628" s="77">
        <f t="shared" si="176"/>
        <v>5</v>
      </c>
      <c r="BG628" s="175">
        <v>0.70000000000000007</v>
      </c>
      <c r="BH628" t="s">
        <v>939</v>
      </c>
      <c r="BI628" t="s">
        <v>940</v>
      </c>
      <c r="BJ628"/>
      <c r="BK628"/>
      <c r="BL628"/>
    </row>
    <row r="629" spans="1:64" s="112" customFormat="1" ht="12.75" customHeight="1" x14ac:dyDescent="0.2">
      <c r="A629" s="112" t="s">
        <v>556</v>
      </c>
      <c r="B629" s="239" t="s">
        <v>557</v>
      </c>
      <c r="C629" s="154" t="s">
        <v>922</v>
      </c>
      <c r="D629" s="154" t="s">
        <v>974</v>
      </c>
      <c r="E629" s="155">
        <v>9</v>
      </c>
      <c r="F629" s="298">
        <v>544</v>
      </c>
      <c r="G629" s="298" t="s">
        <v>88</v>
      </c>
      <c r="H629" s="298" t="s">
        <v>88</v>
      </c>
      <c r="I629" s="156">
        <v>122.23</v>
      </c>
      <c r="J629" s="157">
        <f t="shared" si="162"/>
        <v>1.8326106520494152</v>
      </c>
      <c r="K629" s="158">
        <v>0.56000000000000005</v>
      </c>
      <c r="L629" s="126">
        <v>4</v>
      </c>
      <c r="M629" s="82">
        <f t="shared" si="163"/>
        <v>2.2400000000000002</v>
      </c>
      <c r="N629" s="159" t="s">
        <v>153</v>
      </c>
      <c r="O629" s="160">
        <v>0.5</v>
      </c>
      <c r="P629" s="161">
        <v>44700</v>
      </c>
      <c r="Q629" s="161">
        <v>44715</v>
      </c>
      <c r="R629" s="82">
        <f t="shared" si="164"/>
        <v>12.000000000000011</v>
      </c>
      <c r="S629" s="162">
        <f>IF(INDEX([1]Historical!$D$7:$D$1229,MATCH(B629,[1]Historical!$B$7:$B$1253,0))=0,"n/a",(INDEX([1]Historical!$C$7:$C$1231,MATCH(B629,[1]Historical!$B$7:$B$1253,0))/INDEX([1]Historical!$D$7:$D$1229,MATCH(B629,[1]Historical!$B$7:$B$1253,0))-1)*100)</f>
        <v>4.2105263157894868</v>
      </c>
      <c r="T629" s="162">
        <f>IF(INDEX([1]Historical!$F$7:$F$1222,MATCH(B629,[1]Historical!$B$7:$B$1253,0))=0,"n/a",((INDEX([1]Historical!$C$7:$C$1231,MATCH(B629,[1]Historical!$B$7:$B$1253,0))/INDEX([1]Historical!$F$7:$F$1222,MATCH(B629,[1]Historical!$B$7:$B$1253,0)))^(1/3)-1)*100)</f>
        <v>4.8042548330827772</v>
      </c>
      <c r="U629" s="162">
        <f>IF(INDEX([1]Historical!$H$7:$H$1222,MATCH(B629,[1]Historical!$B$7:$B$1253,0))=0,"n/a",((INDEX([1]Historical!$C$7:$C$1231,MATCH(B629,[1]Historical!$B$7:$B$1253,0))/INDEX([1]Historical!$H$7:$H$1222,MATCH(B629,[1]Historical!$B$7:$B$1253,0)))^(1/5)-1)*100)</f>
        <v>6.5762756635474151</v>
      </c>
      <c r="V629" s="162">
        <f>IF(INDEX([1]Historical!$N$7:$N$1222,MATCH(B629,[1]Historical!$B$7:$B$1253,0))=0,"n/a",((INDEX([1]Historical!$C$7:$C$1231,MATCH(B629,[1]Historical!$B$7:$B$1253,0))/INDEX([1]Historical!$N$7:$N$1222,MATCH(B629,[1]Historical!$B$7:$B$1253,0)))^(1/10)-1)*100)</f>
        <v>10.957513286220966</v>
      </c>
      <c r="W629" s="163">
        <f t="shared" si="165"/>
        <v>0.60016132235194808</v>
      </c>
      <c r="X629" s="164">
        <f t="shared" si="166"/>
        <v>1.0606896231528089</v>
      </c>
      <c r="Y629" s="178" t="s">
        <v>833</v>
      </c>
      <c r="Z629" s="157">
        <f t="shared" si="167"/>
        <v>29.319371727748695</v>
      </c>
      <c r="AA629" s="166">
        <f t="shared" si="168"/>
        <v>15.99869109947644</v>
      </c>
      <c r="AB629" s="126">
        <v>9</v>
      </c>
      <c r="AC629" s="167">
        <v>7.64</v>
      </c>
      <c r="AD629" s="167">
        <v>1.55</v>
      </c>
      <c r="AE629" s="167">
        <v>2.42</v>
      </c>
      <c r="AF629" s="167">
        <v>3.79</v>
      </c>
      <c r="AG629" s="167">
        <v>23.599999999999998</v>
      </c>
      <c r="AH629" s="167">
        <v>968</v>
      </c>
      <c r="AI629" s="167">
        <v>4.29</v>
      </c>
      <c r="AJ629" s="167">
        <v>6.2</v>
      </c>
      <c r="AK629" s="167">
        <v>10.36</v>
      </c>
      <c r="AL629" s="168">
        <v>38060</v>
      </c>
      <c r="AM629" s="169">
        <v>0.1</v>
      </c>
      <c r="AN629" s="167">
        <v>0.4</v>
      </c>
      <c r="AO629" s="170">
        <f t="shared" si="169"/>
        <v>-7.5898047838796092</v>
      </c>
      <c r="AP629" s="171">
        <f t="shared" si="170"/>
        <v>8.4088863155968312</v>
      </c>
      <c r="AQ629" s="172">
        <f t="shared" si="171"/>
        <v>64.161220575676367</v>
      </c>
      <c r="AR629" s="157">
        <f>INDEX([1]Historical!$C$7:$C$1231,MATCH(B629,[1]Historical!$B$7:$B$1253,0))*IF(AH629="n/a",1.03,IF(AH629&lt;0,1.01,IF(AH629&gt;10,1.1,(1+AH629/100))))</f>
        <v>2.1779999999999999</v>
      </c>
      <c r="AS629" s="166">
        <f t="shared" si="172"/>
        <v>2.2714361999999997</v>
      </c>
      <c r="AT629" s="166">
        <f t="shared" si="178"/>
        <v>2.4985798199999998</v>
      </c>
      <c r="AU629" s="166">
        <f t="shared" si="178"/>
        <v>2.7484378019999998</v>
      </c>
      <c r="AV629" s="166">
        <f t="shared" si="178"/>
        <v>3.0232815822000001</v>
      </c>
      <c r="AW629" s="157">
        <f t="shared" si="174"/>
        <v>12.719735404199998</v>
      </c>
      <c r="AX629" s="173">
        <f t="shared" si="175"/>
        <v>10.406394014726333</v>
      </c>
      <c r="AY629" s="174">
        <v>1.31</v>
      </c>
      <c r="AZ629" s="169">
        <v>16.68</v>
      </c>
      <c r="BA629" s="169">
        <v>-26.56</v>
      </c>
      <c r="BB629" s="169">
        <v>1.9300000000000002</v>
      </c>
      <c r="BC629" s="169">
        <v>-4.1900000000000004</v>
      </c>
      <c r="BD629" s="100"/>
      <c r="BE629" s="77">
        <v>2013</v>
      </c>
      <c r="BF629" s="77">
        <f t="shared" si="176"/>
        <v>1</v>
      </c>
      <c r="BG629" s="175">
        <v>11.700000000000001</v>
      </c>
      <c r="BH629" t="s">
        <v>939</v>
      </c>
      <c r="BI629" t="s">
        <v>940</v>
      </c>
    </row>
    <row r="630" spans="1:64" s="112" customFormat="1" ht="12.75" customHeight="1" x14ac:dyDescent="0.2">
      <c r="A630" s="112" t="s">
        <v>1658</v>
      </c>
      <c r="B630" s="239" t="s">
        <v>1199</v>
      </c>
      <c r="C630" s="154" t="s">
        <v>90</v>
      </c>
      <c r="D630" s="154" t="s">
        <v>969</v>
      </c>
      <c r="E630" s="155">
        <v>12</v>
      </c>
      <c r="F630" s="298">
        <v>376</v>
      </c>
      <c r="G630" s="298" t="s">
        <v>104</v>
      </c>
      <c r="H630" s="298" t="s">
        <v>104</v>
      </c>
      <c r="I630" s="156">
        <v>44.79</v>
      </c>
      <c r="J630" s="157">
        <f t="shared" si="162"/>
        <v>4.6438937262781872</v>
      </c>
      <c r="K630" s="158">
        <v>0.52</v>
      </c>
      <c r="L630" s="126">
        <v>4</v>
      </c>
      <c r="M630" s="82">
        <f t="shared" si="163"/>
        <v>2.08</v>
      </c>
      <c r="N630" s="159" t="s">
        <v>116</v>
      </c>
      <c r="O630" s="160">
        <v>0.48</v>
      </c>
      <c r="P630" s="161">
        <v>44784</v>
      </c>
      <c r="Q630" s="161">
        <v>44805</v>
      </c>
      <c r="R630" s="82">
        <f t="shared" si="164"/>
        <v>8.333333333333341</v>
      </c>
      <c r="S630" s="162">
        <f>IF(INDEX([1]Historical!$D$7:$D$1229,MATCH(B630,[1]Historical!$B$7:$B$1253,0))=0,"n/a",(INDEX([1]Historical!$C$7:$C$1231,MATCH(B630,[1]Historical!$B$7:$B$1253,0))/INDEX([1]Historical!$D$7:$D$1229,MATCH(B630,[1]Historical!$B$7:$B$1253,0))-1)*100)</f>
        <v>3.3333333333333437</v>
      </c>
      <c r="T630" s="162">
        <f>IF(INDEX([1]Historical!$F$7:$F$1222,MATCH(B630,[1]Historical!$B$7:$B$1253,0))=0,"n/a",((INDEX([1]Historical!$C$7:$C$1231,MATCH(B630,[1]Historical!$B$7:$B$1253,0))/INDEX([1]Historical!$F$7:$F$1222,MATCH(B630,[1]Historical!$B$7:$B$1253,0)))^(1/3)-1)*100)</f>
        <v>7.0779637422353936</v>
      </c>
      <c r="U630" s="162">
        <f>IF(INDEX([1]Historical!$H$7:$H$1222,MATCH(B630,[1]Historical!$B$7:$B$1253,0))=0,"n/a",((INDEX([1]Historical!$C$7:$C$1231,MATCH(B630,[1]Historical!$B$7:$B$1253,0))/INDEX([1]Historical!$H$7:$H$1222,MATCH(B630,[1]Historical!$B$7:$B$1253,0)))^(1/5)-1)*100)</f>
        <v>10.093840223689398</v>
      </c>
      <c r="V630" s="162">
        <f>IF(INDEX([1]Historical!$N$7:$N$1222,MATCH(B630,[1]Historical!$B$7:$B$1253,0))=0,"n/a",((INDEX([1]Historical!$C$7:$C$1231,MATCH(B630,[1]Historical!$B$7:$B$1253,0))/INDEX([1]Historical!$N$7:$N$1222,MATCH(B630,[1]Historical!$B$7:$B$1253,0)))^(1/10)-1)*100)</f>
        <v>11.258524744047516</v>
      </c>
      <c r="W630" s="163">
        <f t="shared" si="165"/>
        <v>0.89655087617283979</v>
      </c>
      <c r="X630" s="164">
        <f t="shared" si="166"/>
        <v>1.0093840223689399</v>
      </c>
      <c r="Y630" s="180"/>
      <c r="Z630" s="157">
        <f t="shared" si="167"/>
        <v>47.706422018348619</v>
      </c>
      <c r="AA630" s="166">
        <f t="shared" si="168"/>
        <v>10.272935779816512</v>
      </c>
      <c r="AB630" s="126">
        <v>12</v>
      </c>
      <c r="AC630" s="167">
        <v>4.3600000000000003</v>
      </c>
      <c r="AD630" s="167">
        <v>5.0599999999999996</v>
      </c>
      <c r="AE630" s="167">
        <v>3.96</v>
      </c>
      <c r="AF630" s="167">
        <v>1.06</v>
      </c>
      <c r="AG630" s="167">
        <v>10.100000000000001</v>
      </c>
      <c r="AH630" s="167">
        <v>45.1</v>
      </c>
      <c r="AI630" s="167">
        <v>4.5900000000000007</v>
      </c>
      <c r="AJ630" s="167">
        <v>10</v>
      </c>
      <c r="AK630" s="167">
        <v>2.04</v>
      </c>
      <c r="AL630" s="168">
        <v>58620</v>
      </c>
      <c r="AM630" s="169">
        <v>0.1</v>
      </c>
      <c r="AN630" s="167">
        <v>0.54</v>
      </c>
      <c r="AO630" s="170">
        <f t="shared" si="169"/>
        <v>4.4647981701510719</v>
      </c>
      <c r="AP630" s="171">
        <f t="shared" si="170"/>
        <v>14.737733949967584</v>
      </c>
      <c r="AQ630" s="172">
        <f t="shared" si="171"/>
        <v>-30.432089368715065</v>
      </c>
      <c r="AR630" s="157">
        <f>INDEX([1]Historical!$C$7:$C$1231,MATCH(B630,[1]Historical!$B$7:$B$1253,0))*IF(AH630="n/a",1.03,IF(AH630&lt;0,1.01,IF(AH630&gt;10,1.1,(1+AH630/100))))</f>
        <v>2.0460000000000003</v>
      </c>
      <c r="AS630" s="166">
        <f t="shared" si="172"/>
        <v>2.1399114000000004</v>
      </c>
      <c r="AT630" s="166">
        <f t="shared" si="178"/>
        <v>2.1835655925600004</v>
      </c>
      <c r="AU630" s="166">
        <f t="shared" si="178"/>
        <v>2.2281103306482244</v>
      </c>
      <c r="AV630" s="166">
        <f t="shared" si="178"/>
        <v>2.2735637813934479</v>
      </c>
      <c r="AW630" s="157">
        <f t="shared" si="174"/>
        <v>10.871151104601672</v>
      </c>
      <c r="AX630" s="173">
        <f t="shared" si="175"/>
        <v>24.271380005808602</v>
      </c>
      <c r="AY630" s="174">
        <v>1.08</v>
      </c>
      <c r="AZ630" s="169">
        <v>11.959999999999999</v>
      </c>
      <c r="BA630" s="169">
        <v>-35.04</v>
      </c>
      <c r="BB630" s="169">
        <v>-1.87</v>
      </c>
      <c r="BC630" s="169">
        <v>-13.270000000000001</v>
      </c>
      <c r="BD630" s="100"/>
      <c r="BE630" s="77">
        <v>2011</v>
      </c>
      <c r="BF630" s="77">
        <f t="shared" si="176"/>
        <v>1</v>
      </c>
      <c r="BG630" s="175">
        <v>1.0999999999999999</v>
      </c>
      <c r="BH630" t="s">
        <v>939</v>
      </c>
      <c r="BI630" t="s">
        <v>940</v>
      </c>
      <c r="BJ630"/>
      <c r="BK630"/>
      <c r="BL630"/>
    </row>
    <row r="631" spans="1:64" s="112" customFormat="1" ht="12.75" customHeight="1" x14ac:dyDescent="0.2">
      <c r="A631" s="204" t="s">
        <v>1200</v>
      </c>
      <c r="B631" s="239" t="s">
        <v>1201</v>
      </c>
      <c r="C631" s="154" t="s">
        <v>90</v>
      </c>
      <c r="D631" s="154" t="s">
        <v>959</v>
      </c>
      <c r="E631" s="155">
        <v>8</v>
      </c>
      <c r="F631" s="298">
        <v>568</v>
      </c>
      <c r="G631" s="298" t="s">
        <v>88</v>
      </c>
      <c r="H631" s="298" t="s">
        <v>88</v>
      </c>
      <c r="I631" s="156">
        <v>14.05</v>
      </c>
      <c r="J631" s="157">
        <f t="shared" si="162"/>
        <v>8.042704626334519</v>
      </c>
      <c r="K631" s="158">
        <v>0.28249999999999997</v>
      </c>
      <c r="L631" s="126">
        <v>4</v>
      </c>
      <c r="M631" s="82">
        <f t="shared" si="163"/>
        <v>1.1299999999999999</v>
      </c>
      <c r="N631" s="159" t="s">
        <v>156</v>
      </c>
      <c r="O631" s="160">
        <v>0.28000000000000003</v>
      </c>
      <c r="P631" s="182">
        <v>44442</v>
      </c>
      <c r="Q631" s="182">
        <v>44460</v>
      </c>
      <c r="R631" s="82">
        <f t="shared" si="164"/>
        <v>0.8928571428571237</v>
      </c>
      <c r="S631" s="162">
        <f>IF(INDEX([1]Historical!$D$7:$D$1229,MATCH(B631,[1]Historical!$B$7:$B$1253,0))=0,"n/a",(INDEX([1]Historical!$C$7:$C$1231,MATCH(B631,[1]Historical!$B$7:$B$1253,0))/INDEX([1]Historical!$D$7:$D$1229,MATCH(B631,[1]Historical!$B$7:$B$1253,0))-1)*100)</f>
        <v>0.44642857142855874</v>
      </c>
      <c r="T631" s="162">
        <f>IF(INDEX([1]Historical!$F$7:$F$1222,MATCH(B631,[1]Historical!$B$7:$B$1253,0))=0,"n/a",((INDEX([1]Historical!$C$7:$C$1231,MATCH(B631,[1]Historical!$B$7:$B$1253,0))/INDEX([1]Historical!$F$7:$F$1222,MATCH(B631,[1]Historical!$B$7:$B$1253,0)))^(1/3)-1)*100)</f>
        <v>10.227784577092326</v>
      </c>
      <c r="U631" s="162">
        <f>IF(INDEX([1]Historical!$H$7:$H$1222,MATCH(B631,[1]Historical!$B$7:$B$1253,0))=0,"n/a",((INDEX([1]Historical!$C$7:$C$1231,MATCH(B631,[1]Historical!$B$7:$B$1253,0))/INDEX([1]Historical!$H$7:$H$1222,MATCH(B631,[1]Historical!$B$7:$B$1253,0)))^(1/5)-1)*100)</f>
        <v>20.112443398143132</v>
      </c>
      <c r="V631" s="162" t="str">
        <f>IF(INDEX([1]Historical!$N$7:$N$1222,MATCH(B631,[1]Historical!$B$7:$B$1253,0))=0,"n/a",((INDEX([1]Historical!$C$7:$C$1231,MATCH(B631,[1]Historical!$B$7:$B$1253,0))/INDEX([1]Historical!$N$7:$N$1222,MATCH(B631,[1]Historical!$B$7:$B$1253,0)))^(1/10)-1)*100)</f>
        <v>n/a</v>
      </c>
      <c r="W631" s="163" t="str">
        <f t="shared" si="165"/>
        <v>n/a</v>
      </c>
      <c r="X631" s="164">
        <f t="shared" si="166"/>
        <v>67.041477993810446</v>
      </c>
      <c r="Y631" s="165"/>
      <c r="Z631" s="157">
        <f t="shared" si="167"/>
        <v>491.30434782608694</v>
      </c>
      <c r="AA631" s="166">
        <f t="shared" si="168"/>
        <v>61.086956521739133</v>
      </c>
      <c r="AB631" s="126">
        <v>12</v>
      </c>
      <c r="AC631" s="167">
        <v>0.23</v>
      </c>
      <c r="AD631" s="167" t="s">
        <v>95</v>
      </c>
      <c r="AE631" s="167">
        <v>9.68</v>
      </c>
      <c r="AF631" s="167">
        <v>2.1800000000000002</v>
      </c>
      <c r="AG631" s="167">
        <v>3.5999999999999996</v>
      </c>
      <c r="AH631" s="167">
        <v>-3.1</v>
      </c>
      <c r="AI631" s="167">
        <v>-18.75</v>
      </c>
      <c r="AJ631" s="167">
        <v>0.3</v>
      </c>
      <c r="AK631" s="167" t="s">
        <v>95</v>
      </c>
      <c r="AL631" s="168">
        <v>3700</v>
      </c>
      <c r="AM631" s="169">
        <v>0.2</v>
      </c>
      <c r="AN631" s="167">
        <v>0</v>
      </c>
      <c r="AO631" s="170">
        <f t="shared" si="169"/>
        <v>-32.931808497261486</v>
      </c>
      <c r="AP631" s="171">
        <f t="shared" si="170"/>
        <v>28.155148024477651</v>
      </c>
      <c r="AQ631" s="172">
        <f t="shared" si="171"/>
        <v>143.282702693701</v>
      </c>
      <c r="AR631" s="157">
        <f>INDEX([1]Historical!$C$7:$C$1231,MATCH(B631,[1]Historical!$B$7:$B$1253,0))*IF(AH631="n/a",1.03,IF(AH631&lt;0,1.01,IF(AH631&gt;10,1.1,(1+AH631/100))))</f>
        <v>1.13625</v>
      </c>
      <c r="AS631" s="166">
        <f t="shared" si="172"/>
        <v>1.1476124999999999</v>
      </c>
      <c r="AT631" s="166">
        <f t="shared" ref="AT631:AV646" si="179">IF($AK631="n/a",1.03*AS631,IF($AK631&lt;0,1.01*AS631,IF($AK631&gt;10,1.1*AS631,(1+$AK631/100)*AS631)))</f>
        <v>1.182040875</v>
      </c>
      <c r="AU631" s="166">
        <f t="shared" si="179"/>
        <v>1.21750210125</v>
      </c>
      <c r="AV631" s="166">
        <f t="shared" si="179"/>
        <v>1.2540271642875001</v>
      </c>
      <c r="AW631" s="157">
        <f t="shared" si="174"/>
        <v>5.9374326405374998</v>
      </c>
      <c r="AX631" s="173">
        <f t="shared" si="175"/>
        <v>42.259307050088964</v>
      </c>
      <c r="AY631" s="174">
        <v>0.52</v>
      </c>
      <c r="AZ631" s="169">
        <v>12.85</v>
      </c>
      <c r="BA631" s="169">
        <v>-30.919999999999998</v>
      </c>
      <c r="BB631" s="169">
        <v>2.78</v>
      </c>
      <c r="BC631" s="169">
        <v>-6.419999999999999</v>
      </c>
      <c r="BD631" s="100"/>
      <c r="BE631" s="77">
        <v>2014</v>
      </c>
      <c r="BF631" s="77">
        <f t="shared" si="176"/>
        <v>1</v>
      </c>
      <c r="BG631" s="175">
        <v>0.4</v>
      </c>
      <c r="BH631" t="s">
        <v>939</v>
      </c>
      <c r="BI631" t="s">
        <v>940</v>
      </c>
    </row>
    <row r="632" spans="1:64" s="112" customFormat="1" ht="12.75" customHeight="1" x14ac:dyDescent="0.2">
      <c r="A632" s="112" t="s">
        <v>1659</v>
      </c>
      <c r="B632" s="239" t="s">
        <v>471</v>
      </c>
      <c r="C632" s="154" t="s">
        <v>100</v>
      </c>
      <c r="D632" s="154" t="s">
        <v>1040</v>
      </c>
      <c r="E632" s="155">
        <v>55</v>
      </c>
      <c r="F632" s="298">
        <v>20</v>
      </c>
      <c r="G632" s="298" t="s">
        <v>104</v>
      </c>
      <c r="H632" s="298" t="s">
        <v>104</v>
      </c>
      <c r="I632" s="167">
        <v>164.25</v>
      </c>
      <c r="J632" s="157">
        <f t="shared" si="162"/>
        <v>2.6301369863013702</v>
      </c>
      <c r="K632" s="158">
        <v>1.08</v>
      </c>
      <c r="L632" s="126">
        <v>4</v>
      </c>
      <c r="M632" s="82">
        <f t="shared" si="163"/>
        <v>4.32</v>
      </c>
      <c r="N632" s="159" t="s">
        <v>151</v>
      </c>
      <c r="O632" s="160">
        <v>0.9</v>
      </c>
      <c r="P632" s="161">
        <v>44789</v>
      </c>
      <c r="Q632" s="161">
        <v>44814</v>
      </c>
      <c r="R632" s="82">
        <f t="shared" si="164"/>
        <v>20.000000000000004</v>
      </c>
      <c r="S632" s="162">
        <f>IF(INDEX([1]Historical!$D$7:$D$1229,MATCH(B632,[1]Historical!$B$7:$B$1253,0))=0,"n/a",(INDEX([1]Historical!$C$7:$C$1231,MATCH(B632,[1]Historical!$B$7:$B$1253,0))/INDEX([1]Historical!$D$7:$D$1229,MATCH(B632,[1]Historical!$B$7:$B$1253,0))-1)*100)</f>
        <v>17.910447761194035</v>
      </c>
      <c r="T632" s="162">
        <f>IF(INDEX([1]Historical!$F$7:$F$1222,MATCH(B632,[1]Historical!$B$7:$B$1253,0))=0,"n/a",((INDEX([1]Historical!$C$7:$C$1231,MATCH(B632,[1]Historical!$B$7:$B$1253,0))/INDEX([1]Historical!$F$7:$F$1222,MATCH(B632,[1]Historical!$B$7:$B$1253,0)))^(1/3)-1)*100)</f>
        <v>7.8356053416644755</v>
      </c>
      <c r="U632" s="162">
        <f>IF(INDEX([1]Historical!$H$7:$H$1222,MATCH(B632,[1]Historical!$B$7:$B$1253,0))=0,"n/a",((INDEX([1]Historical!$C$7:$C$1231,MATCH(B632,[1]Historical!$B$7:$B$1253,0))/INDEX([1]Historical!$H$7:$H$1222,MATCH(B632,[1]Historical!$B$7:$B$1253,0)))^(1/5)-1)*100)</f>
        <v>6.3750603655610361</v>
      </c>
      <c r="V632" s="162">
        <f>IF(INDEX([1]Historical!$N$7:$N$1222,MATCH(B632,[1]Historical!$B$7:$B$1253,0))=0,"n/a",((INDEX([1]Historical!$C$7:$C$1231,MATCH(B632,[1]Historical!$B$7:$B$1253,0))/INDEX([1]Historical!$N$7:$N$1222,MATCH(B632,[1]Historical!$B$7:$B$1253,0)))^(1/10)-1)*100)</f>
        <v>11.129520316167785</v>
      </c>
      <c r="W632" s="163">
        <f t="shared" si="165"/>
        <v>0.57280639097266628</v>
      </c>
      <c r="X632" s="164">
        <f t="shared" si="166"/>
        <v>0.25297858593496175</v>
      </c>
      <c r="Y632" s="153"/>
      <c r="Z632" s="157">
        <f t="shared" si="167"/>
        <v>49.035187287173663</v>
      </c>
      <c r="AA632" s="166">
        <f t="shared" si="168"/>
        <v>18.643586833144152</v>
      </c>
      <c r="AB632" s="126">
        <v>1</v>
      </c>
      <c r="AC632" s="167">
        <v>8.81</v>
      </c>
      <c r="AD632" s="167">
        <v>0.97</v>
      </c>
      <c r="AE632" s="167">
        <v>0.71</v>
      </c>
      <c r="AF632" s="167">
        <v>7.3</v>
      </c>
      <c r="AG632" s="167">
        <v>35.199999999999996</v>
      </c>
      <c r="AH632" s="167">
        <v>63.1</v>
      </c>
      <c r="AI632" s="167">
        <v>48.25</v>
      </c>
      <c r="AJ632" s="167">
        <v>25.2</v>
      </c>
      <c r="AK632" s="167">
        <v>19.59</v>
      </c>
      <c r="AL632" s="168">
        <v>76820</v>
      </c>
      <c r="AM632" s="169">
        <v>0.21</v>
      </c>
      <c r="AN632" s="167">
        <v>1.43</v>
      </c>
      <c r="AO632" s="170">
        <f t="shared" si="169"/>
        <v>-9.6383894812817452</v>
      </c>
      <c r="AP632" s="171">
        <f t="shared" si="170"/>
        <v>9.0051973518624067</v>
      </c>
      <c r="AQ632" s="172">
        <f t="shared" si="171"/>
        <v>145.94324899316126</v>
      </c>
      <c r="AR632" s="157">
        <f>INDEX([1]Historical!$C$7:$C$1231,MATCH(B632,[1]Historical!$B$7:$B$1253,0))*IF(AH632="n/a",1.03,IF(AH632&lt;0,1.01,IF(AH632&gt;10,1.1,(1+AH632/100))))</f>
        <v>3.4760000000000004</v>
      </c>
      <c r="AS632" s="166">
        <f t="shared" si="172"/>
        <v>3.8236000000000008</v>
      </c>
      <c r="AT632" s="166">
        <f t="shared" si="179"/>
        <v>4.205960000000001</v>
      </c>
      <c r="AU632" s="166">
        <f t="shared" si="179"/>
        <v>4.6265560000000017</v>
      </c>
      <c r="AV632" s="166">
        <f t="shared" si="179"/>
        <v>5.0892116000000023</v>
      </c>
      <c r="AW632" s="157">
        <f t="shared" si="174"/>
        <v>21.221327600000006</v>
      </c>
      <c r="AX632" s="173">
        <f t="shared" si="175"/>
        <v>12.920138569254188</v>
      </c>
      <c r="AY632" s="174">
        <v>1.03</v>
      </c>
      <c r="AZ632" s="169">
        <v>19.75</v>
      </c>
      <c r="BA632" s="169">
        <v>-38.940000000000005</v>
      </c>
      <c r="BB632" s="169">
        <v>2.81</v>
      </c>
      <c r="BC632" s="169">
        <v>-10.85</v>
      </c>
      <c r="BD632" s="100"/>
      <c r="BE632" s="77">
        <v>1968</v>
      </c>
      <c r="BF632" s="77">
        <f t="shared" si="176"/>
        <v>7</v>
      </c>
      <c r="BG632" s="175">
        <v>8</v>
      </c>
      <c r="BH632" t="s">
        <v>939</v>
      </c>
      <c r="BI632" t="s">
        <v>940</v>
      </c>
      <c r="BJ632"/>
      <c r="BK632"/>
      <c r="BL632"/>
    </row>
    <row r="633" spans="1:64" s="112" customFormat="1" ht="12.75" customHeight="1" x14ac:dyDescent="0.2">
      <c r="A633" s="176" t="s">
        <v>1660</v>
      </c>
      <c r="B633" s="239" t="s">
        <v>301</v>
      </c>
      <c r="C633" s="154" t="s">
        <v>90</v>
      </c>
      <c r="D633" s="154" t="s">
        <v>969</v>
      </c>
      <c r="E633" s="155">
        <v>33</v>
      </c>
      <c r="F633" s="298">
        <v>85</v>
      </c>
      <c r="G633" s="298" t="s">
        <v>88</v>
      </c>
      <c r="H633" s="298" t="s">
        <v>88</v>
      </c>
      <c r="I633" s="167">
        <v>48.49</v>
      </c>
      <c r="J633" s="157">
        <f t="shared" si="162"/>
        <v>2.2272633532687149</v>
      </c>
      <c r="K633" s="209">
        <v>0.54</v>
      </c>
      <c r="L633" s="126">
        <v>2</v>
      </c>
      <c r="M633" s="82">
        <f t="shared" si="163"/>
        <v>1.08</v>
      </c>
      <c r="N633" s="159" t="s">
        <v>176</v>
      </c>
      <c r="O633" s="210">
        <v>0.53</v>
      </c>
      <c r="P633" s="161">
        <v>44728</v>
      </c>
      <c r="Q633" s="161">
        <v>44743</v>
      </c>
      <c r="R633" s="82">
        <f t="shared" si="164"/>
        <v>1.8867924528301903</v>
      </c>
      <c r="S633" s="162">
        <f>IF(INDEX([1]Historical!$D$7:$D$1229,MATCH(B633,[1]Historical!$B$7:$B$1253,0))=0,"n/a",(INDEX([1]Historical!$C$7:$C$1231,MATCH(B633,[1]Historical!$B$7:$B$1253,0))/INDEX([1]Historical!$D$7:$D$1229,MATCH(B633,[1]Historical!$B$7:$B$1253,0))-1)*100)</f>
        <v>1.9230769230769162</v>
      </c>
      <c r="T633" s="162">
        <f>IF(INDEX([1]Historical!$F$7:$F$1222,MATCH(B633,[1]Historical!$B$7:$B$1253,0))=0,"n/a",((INDEX([1]Historical!$C$7:$C$1231,MATCH(B633,[1]Historical!$B$7:$B$1253,0))/INDEX([1]Historical!$F$7:$F$1222,MATCH(B633,[1]Historical!$B$7:$B$1253,0)))^(1/3)-1)*100)</f>
        <v>1.2904649119013012</v>
      </c>
      <c r="U633" s="162">
        <f>IF(INDEX([1]Historical!$H$7:$H$1222,MATCH(B633,[1]Historical!$B$7:$B$1253,0))=0,"n/a",((INDEX([1]Historical!$C$7:$C$1231,MATCH(B633,[1]Historical!$B$7:$B$1253,0))/INDEX([1]Historical!$H$7:$H$1222,MATCH(B633,[1]Historical!$B$7:$B$1253,0)))^(1/5)-1)*100)</f>
        <v>1.3757625808976881</v>
      </c>
      <c r="V633" s="162">
        <f>IF(INDEX([1]Historical!$N$7:$N$1222,MATCH(B633,[1]Historical!$B$7:$B$1253,0))=0,"n/a",((INDEX([1]Historical!$C$7:$C$1231,MATCH(B633,[1]Historical!$B$7:$B$1253,0))/INDEX([1]Historical!$N$7:$N$1222,MATCH(B633,[1]Historical!$B$7:$B$1253,0)))^(1/10)-1)*100)</f>
        <v>1.3169929633276789</v>
      </c>
      <c r="W633" s="163">
        <f t="shared" si="165"/>
        <v>1.0446240938307785</v>
      </c>
      <c r="X633" s="164">
        <f t="shared" si="166"/>
        <v>0.26456972709570925</v>
      </c>
      <c r="Y633" s="178"/>
      <c r="Z633" s="157">
        <f t="shared" si="167"/>
        <v>21.513944223107572</v>
      </c>
      <c r="AA633" s="166">
        <f t="shared" si="168"/>
        <v>9.6593625498007984</v>
      </c>
      <c r="AB633" s="126">
        <v>12</v>
      </c>
      <c r="AC633" s="167">
        <v>5.0199999999999996</v>
      </c>
      <c r="AD633" s="167" t="s">
        <v>95</v>
      </c>
      <c r="AE633" s="167">
        <v>3.4</v>
      </c>
      <c r="AF633" s="167">
        <v>1.3</v>
      </c>
      <c r="AG633" s="167">
        <v>11.3</v>
      </c>
      <c r="AH633" s="167">
        <v>2.2999999999999998</v>
      </c>
      <c r="AI633" s="167">
        <v>-7.04</v>
      </c>
      <c r="AJ633" s="167">
        <v>5.2</v>
      </c>
      <c r="AK633" s="167" t="s">
        <v>95</v>
      </c>
      <c r="AL633" s="175">
        <v>578.25</v>
      </c>
      <c r="AM633" s="169">
        <v>8.82</v>
      </c>
      <c r="AN633" s="167">
        <v>0</v>
      </c>
      <c r="AO633" s="170">
        <f t="shared" si="169"/>
        <v>-6.056336615634395</v>
      </c>
      <c r="AP633" s="171">
        <f t="shared" si="170"/>
        <v>3.603025934166403</v>
      </c>
      <c r="AQ633" s="172">
        <f t="shared" si="171"/>
        <v>-25.294143276622584</v>
      </c>
      <c r="AR633" s="157">
        <f>INDEX([1]Historical!$C$7:$C$1231,MATCH(B633,[1]Historical!$B$7:$B$1253,0))*IF(AH633="n/a",1.03,IF(AH633&lt;0,1.01,IF(AH633&gt;10,1.1,(1+AH633/100))))</f>
        <v>1.0843799999999999</v>
      </c>
      <c r="AS633" s="166">
        <f t="shared" si="172"/>
        <v>1.0952237999999999</v>
      </c>
      <c r="AT633" s="166">
        <f t="shared" si="179"/>
        <v>1.1280805139999999</v>
      </c>
      <c r="AU633" s="166">
        <f t="shared" si="179"/>
        <v>1.16192292942</v>
      </c>
      <c r="AV633" s="166">
        <f t="shared" si="179"/>
        <v>1.1967806173026001</v>
      </c>
      <c r="AW633" s="157">
        <f t="shared" si="174"/>
        <v>5.6663878607225993</v>
      </c>
      <c r="AX633" s="173">
        <f t="shared" si="175"/>
        <v>11.685683358883479</v>
      </c>
      <c r="AY633" s="174">
        <v>0.61</v>
      </c>
      <c r="AZ633" s="169">
        <v>16.84</v>
      </c>
      <c r="BA633" s="169">
        <v>-1.04</v>
      </c>
      <c r="BB633" s="169">
        <v>3.58</v>
      </c>
      <c r="BC633" s="169">
        <v>7.1</v>
      </c>
      <c r="BD633" s="100"/>
      <c r="BE633" s="77">
        <v>1989</v>
      </c>
      <c r="BF633" s="77">
        <f t="shared" si="176"/>
        <v>4</v>
      </c>
      <c r="BG633" s="175">
        <v>1.2</v>
      </c>
      <c r="BH633" t="s">
        <v>939</v>
      </c>
      <c r="BI633" t="s">
        <v>940</v>
      </c>
      <c r="BJ633"/>
      <c r="BK633"/>
      <c r="BL633"/>
    </row>
    <row r="634" spans="1:64" s="112" customFormat="1" ht="12.75" customHeight="1" x14ac:dyDescent="0.2">
      <c r="A634" s="176" t="s">
        <v>1661</v>
      </c>
      <c r="B634" s="239" t="s">
        <v>318</v>
      </c>
      <c r="C634" s="154" t="s">
        <v>90</v>
      </c>
      <c r="D634" s="154" t="s">
        <v>110</v>
      </c>
      <c r="E634" s="155">
        <v>17</v>
      </c>
      <c r="F634" s="298">
        <v>232</v>
      </c>
      <c r="G634" s="298" t="s">
        <v>88</v>
      </c>
      <c r="H634" s="298" t="s">
        <v>88</v>
      </c>
      <c r="I634" s="156">
        <v>146.49</v>
      </c>
      <c r="J634" s="157">
        <f t="shared" si="162"/>
        <v>2.047921359819783</v>
      </c>
      <c r="K634" s="158">
        <v>0.75</v>
      </c>
      <c r="L634" s="126">
        <v>4</v>
      </c>
      <c r="M634" s="82">
        <f t="shared" si="163"/>
        <v>3</v>
      </c>
      <c r="N634" s="159" t="s">
        <v>628</v>
      </c>
      <c r="O634" s="160">
        <v>0.7</v>
      </c>
      <c r="P634" s="161">
        <v>44545</v>
      </c>
      <c r="Q634" s="161">
        <v>44560</v>
      </c>
      <c r="R634" s="82">
        <f t="shared" si="164"/>
        <v>7.1428571428571495</v>
      </c>
      <c r="S634" s="162">
        <f>IF(INDEX([1]Historical!$D$7:$D$1229,MATCH(B634,[1]Historical!$B$7:$B$1253,0))=0,"n/a",(INDEX([1]Historical!$C$7:$C$1231,MATCH(B634,[1]Historical!$B$7:$B$1253,0))/INDEX([1]Historical!$D$7:$D$1229,MATCH(B634,[1]Historical!$B$7:$B$1253,0))-1)*100)</f>
        <v>7.547169811320753</v>
      </c>
      <c r="T634" s="162">
        <f>IF(INDEX([1]Historical!$F$7:$F$1222,MATCH(B634,[1]Historical!$B$7:$B$1253,0))=0,"n/a",((INDEX([1]Historical!$C$7:$C$1231,MATCH(B634,[1]Historical!$B$7:$B$1253,0))/INDEX([1]Historical!$F$7:$F$1222,MATCH(B634,[1]Historical!$B$7:$B$1253,0)))^(1/3)-1)*100)</f>
        <v>8.6835865964923542</v>
      </c>
      <c r="U634" s="162">
        <f>IF(INDEX([1]Historical!$H$7:$H$1222,MATCH(B634,[1]Historical!$B$7:$B$1253,0))=0,"n/a",((INDEX([1]Historical!$C$7:$C$1231,MATCH(B634,[1]Historical!$B$7:$B$1253,0))/INDEX([1]Historical!$H$7:$H$1222,MATCH(B634,[1]Historical!$B$7:$B$1253,0)))^(1/5)-1)*100)</f>
        <v>8.6769401487293507</v>
      </c>
      <c r="V634" s="162">
        <f>IF(INDEX([1]Historical!$N$7:$N$1222,MATCH(B634,[1]Historical!$B$7:$B$1253,0))=0,"n/a",((INDEX([1]Historical!$C$7:$C$1231,MATCH(B634,[1]Historical!$B$7:$B$1253,0))/INDEX([1]Historical!$N$7:$N$1222,MATCH(B634,[1]Historical!$B$7:$B$1253,0)))^(1/10)-1)*100)</f>
        <v>9.7410809684315147</v>
      </c>
      <c r="W634" s="163">
        <f t="shared" si="165"/>
        <v>0.89075741972058475</v>
      </c>
      <c r="X634" s="164">
        <f t="shared" si="166"/>
        <v>0.17564656171516904</v>
      </c>
      <c r="Y634" s="180"/>
      <c r="Z634" s="157">
        <f t="shared" si="167"/>
        <v>33.149171270718227</v>
      </c>
      <c r="AA634" s="166">
        <f t="shared" si="168"/>
        <v>16.186740331491713</v>
      </c>
      <c r="AB634" s="126">
        <v>12</v>
      </c>
      <c r="AC634" s="167">
        <v>9.0500000000000007</v>
      </c>
      <c r="AD634" s="167">
        <v>1.03</v>
      </c>
      <c r="AE634" s="167">
        <v>0.94</v>
      </c>
      <c r="AF634" s="167">
        <v>2.0099999999999998</v>
      </c>
      <c r="AG634" s="167">
        <v>11.200000000000001</v>
      </c>
      <c r="AH634" s="167">
        <v>21.4</v>
      </c>
      <c r="AI634" s="167">
        <v>24.05</v>
      </c>
      <c r="AJ634" s="179">
        <v>49.4</v>
      </c>
      <c r="AK634" s="179">
        <v>15.5</v>
      </c>
      <c r="AL634" s="168">
        <v>5000</v>
      </c>
      <c r="AM634" s="169">
        <v>1</v>
      </c>
      <c r="AN634" s="167">
        <v>0.3</v>
      </c>
      <c r="AO634" s="170">
        <f t="shared" si="169"/>
        <v>-5.4618788229425785</v>
      </c>
      <c r="AP634" s="171">
        <f t="shared" si="170"/>
        <v>10.724861508549134</v>
      </c>
      <c r="AQ634" s="172">
        <f t="shared" si="171"/>
        <v>20.25038335129161</v>
      </c>
      <c r="AR634" s="157">
        <f>INDEX([1]Historical!$C$7:$C$1231,MATCH(B634,[1]Historical!$B$7:$B$1253,0))*IF(AH634="n/a",1.03,IF(AH634&lt;0,1.01,IF(AH634&gt;10,1.1,(1+AH634/100))))</f>
        <v>3.1350000000000002</v>
      </c>
      <c r="AS634" s="166">
        <f t="shared" si="172"/>
        <v>3.4485000000000006</v>
      </c>
      <c r="AT634" s="166">
        <f t="shared" si="179"/>
        <v>3.7933500000000011</v>
      </c>
      <c r="AU634" s="166">
        <f t="shared" si="179"/>
        <v>4.1726850000000013</v>
      </c>
      <c r="AV634" s="166">
        <f t="shared" si="179"/>
        <v>4.5899535000000018</v>
      </c>
      <c r="AW634" s="157">
        <f t="shared" si="174"/>
        <v>19.139488500000006</v>
      </c>
      <c r="AX634" s="173">
        <f t="shared" si="175"/>
        <v>13.065389105058371</v>
      </c>
      <c r="AY634" s="174">
        <v>0.71</v>
      </c>
      <c r="AZ634" s="169">
        <v>20.380000000000003</v>
      </c>
      <c r="BA634" s="169">
        <v>-5.82</v>
      </c>
      <c r="BB634" s="169">
        <v>9.1999999999999993</v>
      </c>
      <c r="BC634" s="169">
        <v>4.33</v>
      </c>
      <c r="BD634" s="100"/>
      <c r="BE634" s="77">
        <v>2006</v>
      </c>
      <c r="BF634" s="77">
        <f t="shared" si="176"/>
        <v>2</v>
      </c>
      <c r="BG634" s="175">
        <v>2.2999999999999998</v>
      </c>
      <c r="BH634" t="s">
        <v>939</v>
      </c>
      <c r="BI634" t="s">
        <v>940</v>
      </c>
      <c r="BJ634"/>
      <c r="BK634"/>
      <c r="BL634"/>
    </row>
    <row r="635" spans="1:64" s="112" customFormat="1" ht="12.75" customHeight="1" x14ac:dyDescent="0.2">
      <c r="A635" s="112" t="s">
        <v>1662</v>
      </c>
      <c r="B635" s="239" t="s">
        <v>559</v>
      </c>
      <c r="C635" s="154" t="s">
        <v>100</v>
      </c>
      <c r="D635" s="154" t="s">
        <v>1202</v>
      </c>
      <c r="E635" s="155">
        <v>13</v>
      </c>
      <c r="F635" s="298">
        <v>312</v>
      </c>
      <c r="G635" s="298" t="s">
        <v>88</v>
      </c>
      <c r="H635" s="298" t="s">
        <v>88</v>
      </c>
      <c r="I635" s="156">
        <v>81.47</v>
      </c>
      <c r="J635" s="157">
        <f t="shared" si="162"/>
        <v>2.2094022339511477</v>
      </c>
      <c r="K635" s="158">
        <v>0.45</v>
      </c>
      <c r="L635" s="126">
        <v>4</v>
      </c>
      <c r="M635" s="82">
        <f t="shared" si="163"/>
        <v>1.8</v>
      </c>
      <c r="N635" s="159" t="s">
        <v>281</v>
      </c>
      <c r="O635" s="160">
        <v>0.43</v>
      </c>
      <c r="P635" s="161">
        <v>44859</v>
      </c>
      <c r="Q635" s="161">
        <v>44874</v>
      </c>
      <c r="R635" s="82">
        <f t="shared" si="164"/>
        <v>4.6511627906976782</v>
      </c>
      <c r="S635" s="162">
        <f>IF(INDEX([1]Historical!$D$7:$D$1229,MATCH(B635,[1]Historical!$B$7:$B$1253,0))=0,"n/a",(INDEX([1]Historical!$C$7:$C$1231,MATCH(B635,[1]Historical!$B$7:$B$1253,0))/INDEX([1]Historical!$D$7:$D$1229,MATCH(B635,[1]Historical!$B$7:$B$1253,0))-1)*100)</f>
        <v>3.105590062111796</v>
      </c>
      <c r="T635" s="162">
        <f>IF(INDEX([1]Historical!$F$7:$F$1222,MATCH(B635,[1]Historical!$B$7:$B$1253,0))=0,"n/a",((INDEX([1]Historical!$C$7:$C$1231,MATCH(B635,[1]Historical!$B$7:$B$1253,0))/INDEX([1]Historical!$F$7:$F$1222,MATCH(B635,[1]Historical!$B$7:$B$1253,0)))^(1/3)-1)*100)</f>
        <v>3.4361331000678952</v>
      </c>
      <c r="U635" s="162">
        <f>IF(INDEX([1]Historical!$H$7:$H$1222,MATCH(B635,[1]Historical!$B$7:$B$1253,0))=0,"n/a",((INDEX([1]Historical!$C$7:$C$1231,MATCH(B635,[1]Historical!$B$7:$B$1253,0))/INDEX([1]Historical!$H$7:$H$1222,MATCH(B635,[1]Historical!$B$7:$B$1253,0)))^(1/5)-1)*100)</f>
        <v>5.6689783679528372</v>
      </c>
      <c r="V635" s="162">
        <f>IF(INDEX([1]Historical!$N$7:$N$1222,MATCH(B635,[1]Historical!$B$7:$B$1253,0))=0,"n/a",((INDEX([1]Historical!$C$7:$C$1231,MATCH(B635,[1]Historical!$B$7:$B$1253,0))/INDEX([1]Historical!$N$7:$N$1222,MATCH(B635,[1]Historical!$B$7:$B$1253,0)))^(1/10)-1)*100)</f>
        <v>13.943500495031724</v>
      </c>
      <c r="W635" s="163">
        <f t="shared" si="165"/>
        <v>0.40656780339863569</v>
      </c>
      <c r="X635" s="164">
        <f t="shared" si="166"/>
        <v>0.23819236840137975</v>
      </c>
      <c r="Y635" s="165"/>
      <c r="Z635" s="157">
        <f t="shared" si="167"/>
        <v>8.7378640776699026</v>
      </c>
      <c r="AA635" s="166">
        <f t="shared" si="168"/>
        <v>3.9548543689320383</v>
      </c>
      <c r="AB635" s="126">
        <v>7</v>
      </c>
      <c r="AC635" s="167">
        <v>20.6</v>
      </c>
      <c r="AD635" s="167">
        <v>0.68</v>
      </c>
      <c r="AE635" s="167">
        <v>0.26</v>
      </c>
      <c r="AF635" s="167">
        <v>1.25</v>
      </c>
      <c r="AG635" s="167">
        <v>34.1</v>
      </c>
      <c r="AH635" s="167">
        <v>73.7</v>
      </c>
      <c r="AI635" s="167">
        <v>3.36</v>
      </c>
      <c r="AJ635" s="167">
        <v>23.799999999999997</v>
      </c>
      <c r="AK635" s="167">
        <v>5.8999999999999995</v>
      </c>
      <c r="AL635" s="168">
        <v>4280</v>
      </c>
      <c r="AM635" s="169">
        <v>2.9000000000000004</v>
      </c>
      <c r="AN635" s="167">
        <v>0.5</v>
      </c>
      <c r="AO635" s="170">
        <f t="shared" si="169"/>
        <v>3.923526232971946</v>
      </c>
      <c r="AP635" s="171">
        <f t="shared" si="170"/>
        <v>7.8783806019039844</v>
      </c>
      <c r="AQ635" s="172">
        <f t="shared" si="171"/>
        <v>-53.126325980638626</v>
      </c>
      <c r="AR635" s="157">
        <f>INDEX([1]Historical!$C$7:$C$1231,MATCH(B635,[1]Historical!$B$7:$B$1253,0))*IF(AH635="n/a",1.03,IF(AH635&lt;0,1.01,IF(AH635&gt;10,1.1,(1+AH635/100))))</f>
        <v>1.8260000000000001</v>
      </c>
      <c r="AS635" s="166">
        <f t="shared" si="172"/>
        <v>1.8873536000000002</v>
      </c>
      <c r="AT635" s="166">
        <f t="shared" si="179"/>
        <v>1.9987074624000001</v>
      </c>
      <c r="AU635" s="166">
        <f t="shared" si="179"/>
        <v>2.1166312026815999</v>
      </c>
      <c r="AV635" s="166">
        <f t="shared" si="179"/>
        <v>2.2415124436398139</v>
      </c>
      <c r="AW635" s="157">
        <f t="shared" si="174"/>
        <v>10.070204708721413</v>
      </c>
      <c r="AX635" s="173">
        <f t="shared" si="175"/>
        <v>12.360629322108032</v>
      </c>
      <c r="AY635" s="174">
        <v>1.69</v>
      </c>
      <c r="AZ635" s="169">
        <v>22.96</v>
      </c>
      <c r="BA635" s="169">
        <v>-29.439999999999998</v>
      </c>
      <c r="BB635" s="169">
        <v>4.71</v>
      </c>
      <c r="BC635" s="169">
        <v>-0.89999999999999991</v>
      </c>
      <c r="BD635" s="100"/>
      <c r="BE635" s="77">
        <v>2011</v>
      </c>
      <c r="BF635" s="77">
        <f t="shared" si="176"/>
        <v>1</v>
      </c>
      <c r="BG635" s="175">
        <v>14.899999999999999</v>
      </c>
      <c r="BH635" t="s">
        <v>939</v>
      </c>
      <c r="BI635" t="s">
        <v>940</v>
      </c>
      <c r="BJ635"/>
      <c r="BK635"/>
      <c r="BL635"/>
    </row>
    <row r="636" spans="1:64" s="112" customFormat="1" ht="12.75" customHeight="1" x14ac:dyDescent="0.2">
      <c r="A636" s="238" t="s">
        <v>1663</v>
      </c>
      <c r="B636" s="239" t="s">
        <v>926</v>
      </c>
      <c r="C636" s="154" t="s">
        <v>94</v>
      </c>
      <c r="D636" s="154" t="s">
        <v>101</v>
      </c>
      <c r="E636" s="155">
        <v>9</v>
      </c>
      <c r="F636" s="298">
        <v>542</v>
      </c>
      <c r="G636" s="298" t="s">
        <v>88</v>
      </c>
      <c r="H636" s="298" t="s">
        <v>88</v>
      </c>
      <c r="I636" s="116">
        <v>71.290000000000006</v>
      </c>
      <c r="J636" s="157">
        <f t="shared" si="162"/>
        <v>1.7393743863094402</v>
      </c>
      <c r="K636" s="112">
        <v>0.31</v>
      </c>
      <c r="L636" s="298">
        <v>4</v>
      </c>
      <c r="M636" s="82">
        <f t="shared" si="163"/>
        <v>1.24</v>
      </c>
      <c r="N636" s="298" t="s">
        <v>915</v>
      </c>
      <c r="O636" s="239">
        <v>0.3</v>
      </c>
      <c r="P636" s="161">
        <v>44694</v>
      </c>
      <c r="Q636" s="161">
        <v>44714</v>
      </c>
      <c r="R636" s="82">
        <f t="shared" si="164"/>
        <v>3.3333333333333366</v>
      </c>
      <c r="S636" s="162">
        <f>IF(INDEX([1]Historical!$D$7:$D$1229,MATCH(B636,[1]Historical!$B$7:$B$1253,0))=0,"n/a",(INDEX([1]Historical!$C$7:$C$1231,MATCH(B636,[1]Historical!$B$7:$B$1253,0))/INDEX([1]Historical!$D$7:$D$1229,MATCH(B636,[1]Historical!$B$7:$B$1253,0))-1)*100)</f>
        <v>5.3097345132743445</v>
      </c>
      <c r="T636" s="162">
        <f>IF(INDEX([1]Historical!$F$7:$F$1222,MATCH(B636,[1]Historical!$B$7:$B$1253,0))=0,"n/a",((INDEX([1]Historical!$C$7:$C$1231,MATCH(B636,[1]Historical!$B$7:$B$1253,0))/INDEX([1]Historical!$F$7:$F$1222,MATCH(B636,[1]Historical!$B$7:$B$1253,0)))^(1/3)-1)*100)</f>
        <v>2.3468924774241895</v>
      </c>
      <c r="U636" s="162">
        <f>IF(INDEX([1]Historical!$H$7:$H$1222,MATCH(B636,[1]Historical!$B$7:$B$1253,0))=0,"n/a",((INDEX([1]Historical!$C$7:$C$1231,MATCH(B636,[1]Historical!$B$7:$B$1253,0))/INDEX([1]Historical!$H$7:$H$1222,MATCH(B636,[1]Historical!$B$7:$B$1253,0)))^(1/5)-1)*100)</f>
        <v>2.7312859363656905</v>
      </c>
      <c r="V636" s="162">
        <f>IF(INDEX([1]Historical!$N$7:$N$1222,MATCH(B636,[1]Historical!$B$7:$B$1253,0))=0,"n/a",((INDEX([1]Historical!$C$7:$C$1231,MATCH(B636,[1]Historical!$B$7:$B$1253,0))/INDEX([1]Historical!$N$7:$N$1222,MATCH(B636,[1]Historical!$B$7:$B$1253,0)))^(1/10)-1)*100)</f>
        <v>4.3146333384732172</v>
      </c>
      <c r="W636" s="163">
        <f t="shared" si="165"/>
        <v>0.63302851531114979</v>
      </c>
      <c r="X636" s="164">
        <f t="shared" si="166"/>
        <v>0.12414936074389503</v>
      </c>
      <c r="Y636" s="180"/>
      <c r="Z636" s="157">
        <f t="shared" si="167"/>
        <v>24.899598393574294</v>
      </c>
      <c r="AA636" s="166">
        <f t="shared" si="168"/>
        <v>14.315261044176706</v>
      </c>
      <c r="AB636" s="126">
        <v>12</v>
      </c>
      <c r="AC636" s="175">
        <v>4.9800000000000004</v>
      </c>
      <c r="AD636" s="175">
        <v>1.18</v>
      </c>
      <c r="AE636" s="167">
        <v>1.1299999999999999</v>
      </c>
      <c r="AF636" s="167">
        <v>2.46</v>
      </c>
      <c r="AG636" s="167">
        <v>16.8</v>
      </c>
      <c r="AH636" s="167">
        <v>28.7</v>
      </c>
      <c r="AI636" s="167">
        <v>12.15</v>
      </c>
      <c r="AJ636" s="241">
        <v>22</v>
      </c>
      <c r="AK636" s="241">
        <v>12</v>
      </c>
      <c r="AL636" s="175">
        <v>4990</v>
      </c>
      <c r="AM636" s="175">
        <v>2</v>
      </c>
      <c r="AN636" s="175">
        <v>0.85</v>
      </c>
      <c r="AO636" s="170">
        <f t="shared" si="169"/>
        <v>-9.8446007215015747</v>
      </c>
      <c r="AP636" s="171">
        <f t="shared" si="170"/>
        <v>4.4706603226751307</v>
      </c>
      <c r="AQ636" s="172">
        <f t="shared" si="171"/>
        <v>25.105363893665778</v>
      </c>
      <c r="AR636" s="157">
        <f>INDEX([1]Historical!$C$7:$C$1231,MATCH(B636,[1]Historical!$B$7:$B$1253,0))*IF(AH636="n/a",1.03,IF(AH636&lt;0,1.01,IF(AH636&gt;10,1.1,(1+AH636/100))))</f>
        <v>1.3089999999999999</v>
      </c>
      <c r="AS636" s="166">
        <f t="shared" si="172"/>
        <v>1.4399</v>
      </c>
      <c r="AT636" s="166">
        <f t="shared" si="179"/>
        <v>1.58389</v>
      </c>
      <c r="AU636" s="166">
        <f t="shared" si="179"/>
        <v>1.7422790000000001</v>
      </c>
      <c r="AV636" s="166">
        <f t="shared" si="179"/>
        <v>1.9165069000000003</v>
      </c>
      <c r="AW636" s="157">
        <f t="shared" si="174"/>
        <v>7.9915759000000008</v>
      </c>
      <c r="AX636" s="173">
        <f t="shared" si="175"/>
        <v>11.209953569925656</v>
      </c>
      <c r="AY636" s="225">
        <v>1.56</v>
      </c>
      <c r="AZ636" s="167">
        <v>40.200000000000003</v>
      </c>
      <c r="BA636" s="167">
        <v>-9.1999999999999993</v>
      </c>
      <c r="BB636" s="167">
        <v>10.66</v>
      </c>
      <c r="BC636" s="167">
        <v>14.610000000000001</v>
      </c>
      <c r="BD636" s="100"/>
      <c r="BE636" s="77">
        <v>2014</v>
      </c>
      <c r="BF636" s="77">
        <f t="shared" si="176"/>
        <v>1</v>
      </c>
      <c r="BG636" s="175">
        <v>7.0000000000000009</v>
      </c>
      <c r="BH636" t="s">
        <v>939</v>
      </c>
      <c r="BI636" t="s">
        <v>940</v>
      </c>
    </row>
    <row r="637" spans="1:64" s="112" customFormat="1" ht="12.75" customHeight="1" x14ac:dyDescent="0.2">
      <c r="A637" s="205" t="s">
        <v>1783</v>
      </c>
      <c r="B637" s="239" t="s">
        <v>1784</v>
      </c>
      <c r="C637" s="154" t="s">
        <v>137</v>
      </c>
      <c r="D637" s="154" t="s">
        <v>938</v>
      </c>
      <c r="E637" s="155">
        <v>5</v>
      </c>
      <c r="F637" s="298">
        <v>704</v>
      </c>
      <c r="G637" s="298" t="s">
        <v>88</v>
      </c>
      <c r="H637" s="298" t="s">
        <v>88</v>
      </c>
      <c r="I637" s="156">
        <v>513.97</v>
      </c>
      <c r="J637" s="157">
        <f t="shared" si="162"/>
        <v>0.23347666206198803</v>
      </c>
      <c r="K637" s="158">
        <v>0.3</v>
      </c>
      <c r="L637" s="126">
        <v>4</v>
      </c>
      <c r="M637" s="82">
        <f t="shared" si="163"/>
        <v>1.2</v>
      </c>
      <c r="N637" s="159" t="s">
        <v>164</v>
      </c>
      <c r="O637" s="160">
        <v>0.26</v>
      </c>
      <c r="P637" s="161">
        <v>44635</v>
      </c>
      <c r="Q637" s="161">
        <v>44665</v>
      </c>
      <c r="R637" s="82">
        <f t="shared" si="164"/>
        <v>15.384615384615378</v>
      </c>
      <c r="S637" s="162">
        <f>IF(INDEX([1]Historical!$D$7:$D$1229,MATCH(B637,[1]Historical!$B$7:$B$1253,0))=0,"n/a",(INDEX([1]Historical!$C$7:$C$1231,MATCH(B637,[1]Historical!$B$7:$B$1253,0))/INDEX([1]Historical!$D$7:$D$1229,MATCH(B637,[1]Historical!$B$7:$B$1253,0))-1)*100)</f>
        <v>17.647058823529392</v>
      </c>
      <c r="T637" s="162">
        <f>IF(INDEX([1]Historical!$F$7:$F$1222,MATCH(B637,[1]Historical!$B$7:$B$1253,0))=0,"n/a",((INDEX([1]Historical!$C$7:$C$1231,MATCH(B637,[1]Historical!$B$7:$B$1253,0))/INDEX([1]Historical!$F$7:$F$1222,MATCH(B637,[1]Historical!$B$7:$B$1253,0)))^(1/3)-1)*100)</f>
        <v>14.855559430448251</v>
      </c>
      <c r="U637" s="162">
        <f>IF(INDEX([1]Historical!$H$7:$H$1222,MATCH(B637,[1]Historical!$B$7:$B$1253,0))=0,"n/a",((INDEX([1]Historical!$C$7:$C$1231,MATCH(B637,[1]Historical!$B$7:$B$1253,0))/INDEX([1]Historical!$H$7:$H$1222,MATCH(B637,[1]Historical!$B$7:$B$1253,0)))^(1/5)-1)*100)</f>
        <v>10.756634324829006</v>
      </c>
      <c r="V637" s="162" t="str">
        <f>IF(INDEX([1]Historical!$N$7:$N$1222,MATCH(B637,[1]Historical!$B$7:$B$1253,0))=0,"n/a",((INDEX([1]Historical!$C$7:$C$1231,MATCH(B637,[1]Historical!$B$7:$B$1253,0))/INDEX([1]Historical!$N$7:$N$1222,MATCH(B637,[1]Historical!$B$7:$B$1253,0)))^(1/10)-1)*100)</f>
        <v>n/a</v>
      </c>
      <c r="W637" s="163" t="str">
        <f t="shared" si="165"/>
        <v>n/a</v>
      </c>
      <c r="X637" s="164">
        <f t="shared" si="166"/>
        <v>0.35037896823547254</v>
      </c>
      <c r="Y637" s="180"/>
      <c r="Z637" s="157">
        <f t="shared" si="167"/>
        <v>6.7453625632377738</v>
      </c>
      <c r="AA637" s="166">
        <f t="shared" si="168"/>
        <v>28.890949971894326</v>
      </c>
      <c r="AB637" s="126">
        <v>12</v>
      </c>
      <c r="AC637" s="167">
        <v>17.79</v>
      </c>
      <c r="AD637" s="167">
        <v>6.31</v>
      </c>
      <c r="AE637" s="167">
        <v>4.42</v>
      </c>
      <c r="AF637" s="167">
        <v>4.67</v>
      </c>
      <c r="AG637" s="167">
        <v>18.7</v>
      </c>
      <c r="AH637" s="167">
        <v>21.8</v>
      </c>
      <c r="AI637" s="167">
        <v>2.08</v>
      </c>
      <c r="AJ637" s="167">
        <v>30.7</v>
      </c>
      <c r="AK637" s="167">
        <v>4.49</v>
      </c>
      <c r="AL637" s="168">
        <v>195240</v>
      </c>
      <c r="AM637" s="169">
        <v>0.1</v>
      </c>
      <c r="AN637" s="167">
        <v>0.72</v>
      </c>
      <c r="AO637" s="170">
        <f t="shared" si="169"/>
        <v>-17.900838985003332</v>
      </c>
      <c r="AP637" s="171">
        <f t="shared" si="170"/>
        <v>10.990110986890995</v>
      </c>
      <c r="AQ637" s="172">
        <f t="shared" si="171"/>
        <v>144.87705429346147</v>
      </c>
      <c r="AR637" s="157">
        <f>INDEX([1]Historical!$C$7:$C$1231,MATCH(B637,[1]Historical!$B$7:$B$1253,0))*IF(AH637="n/a",1.03,IF(AH637&lt;0,1.01,IF(AH637&gt;10,1.1,(1+AH637/100))))</f>
        <v>1.1000000000000001</v>
      </c>
      <c r="AS637" s="166">
        <f t="shared" si="172"/>
        <v>1.1228800000000001</v>
      </c>
      <c r="AT637" s="166">
        <f t="shared" si="179"/>
        <v>1.1732973120000001</v>
      </c>
      <c r="AU637" s="166">
        <f t="shared" si="179"/>
        <v>1.2259783613088</v>
      </c>
      <c r="AV637" s="166">
        <f t="shared" si="179"/>
        <v>1.281024789731565</v>
      </c>
      <c r="AW637" s="157">
        <f t="shared" si="174"/>
        <v>5.903180463040365</v>
      </c>
      <c r="AX637" s="173">
        <f t="shared" si="175"/>
        <v>1.1485457250501712</v>
      </c>
      <c r="AY637" s="174">
        <v>0.83</v>
      </c>
      <c r="AZ637" s="169">
        <v>7.46</v>
      </c>
      <c r="BA637" s="169">
        <v>-23.56</v>
      </c>
      <c r="BB637" s="169">
        <v>-3.7199999999999998</v>
      </c>
      <c r="BC637" s="169">
        <v>-7.2499999999999991</v>
      </c>
      <c r="BD637" s="100"/>
      <c r="BE637" s="77">
        <v>2018</v>
      </c>
      <c r="BF637" s="77">
        <f t="shared" si="176"/>
        <v>1</v>
      </c>
      <c r="BG637" s="175">
        <v>8.6</v>
      </c>
      <c r="BH637" t="s">
        <v>939</v>
      </c>
      <c r="BI637" t="s">
        <v>940</v>
      </c>
    </row>
    <row r="638" spans="1:64" s="112" customFormat="1" ht="12.75" customHeight="1" x14ac:dyDescent="0.2">
      <c r="A638" s="112" t="s">
        <v>1664</v>
      </c>
      <c r="B638" s="239" t="s">
        <v>478</v>
      </c>
      <c r="C638" s="154" t="s">
        <v>90</v>
      </c>
      <c r="D638" s="154" t="s">
        <v>969</v>
      </c>
      <c r="E638" s="155">
        <v>36</v>
      </c>
      <c r="F638" s="298">
        <v>80</v>
      </c>
      <c r="G638" s="298" t="s">
        <v>30</v>
      </c>
      <c r="H638" s="298" t="s">
        <v>30</v>
      </c>
      <c r="I638" s="167">
        <v>82.84</v>
      </c>
      <c r="J638" s="157">
        <f t="shared" si="162"/>
        <v>2.8971511347175278</v>
      </c>
      <c r="K638" s="209">
        <v>0.6</v>
      </c>
      <c r="L638" s="126">
        <v>4</v>
      </c>
      <c r="M638" s="82">
        <f t="shared" si="163"/>
        <v>2.4</v>
      </c>
      <c r="N638" s="159" t="s">
        <v>89</v>
      </c>
      <c r="O638" s="210">
        <v>0.56999999999999995</v>
      </c>
      <c r="P638" s="161">
        <v>44872</v>
      </c>
      <c r="Q638" s="161">
        <v>44880</v>
      </c>
      <c r="R638" s="82">
        <f t="shared" si="164"/>
        <v>5.2631578947368478</v>
      </c>
      <c r="S638" s="162">
        <f>IF(INDEX([1]Historical!$D$7:$D$1229,MATCH(B638,[1]Historical!$B$7:$B$1253,0))=0,"n/a",(INDEX([1]Historical!$C$7:$C$1231,MATCH(B638,[1]Historical!$B$7:$B$1253,0))/INDEX([1]Historical!$D$7:$D$1229,MATCH(B638,[1]Historical!$B$7:$B$1253,0))-1)*100)</f>
        <v>4.2857142857142705</v>
      </c>
      <c r="T638" s="162">
        <f>IF(INDEX([1]Historical!$F$7:$F$1222,MATCH(B638,[1]Historical!$B$7:$B$1253,0))=0,"n/a",((INDEX([1]Historical!$C$7:$C$1231,MATCH(B638,[1]Historical!$B$7:$B$1253,0))/INDEX([1]Historical!$F$7:$F$1222,MATCH(B638,[1]Historical!$B$7:$B$1253,0)))^(1/3)-1)*100)</f>
        <v>4.1231891867710369</v>
      </c>
      <c r="U638" s="162">
        <f>IF(INDEX([1]Historical!$H$7:$H$1222,MATCH(B638,[1]Historical!$B$7:$B$1253,0))=0,"n/a",((INDEX([1]Historical!$C$7:$C$1231,MATCH(B638,[1]Historical!$B$7:$B$1253,0))/INDEX([1]Historical!$H$7:$H$1222,MATCH(B638,[1]Historical!$B$7:$B$1253,0)))^(1/5)-1)*100)</f>
        <v>4.3504123829797958</v>
      </c>
      <c r="V638" s="162">
        <f>IF(INDEX([1]Historical!$N$7:$N$1222,MATCH(B638,[1]Historical!$B$7:$B$1253,0))=0,"n/a",((INDEX([1]Historical!$C$7:$C$1231,MATCH(B638,[1]Historical!$B$7:$B$1253,0))/INDEX([1]Historical!$N$7:$N$1222,MATCH(B638,[1]Historical!$B$7:$B$1253,0)))^(1/10)-1)*100)</f>
        <v>4.5758992840875479</v>
      </c>
      <c r="W638" s="163">
        <f t="shared" si="165"/>
        <v>0.95072293179793732</v>
      </c>
      <c r="X638" s="164">
        <f t="shared" si="166"/>
        <v>0.47806729483294463</v>
      </c>
      <c r="Y638" s="251"/>
      <c r="Z638" s="157">
        <f t="shared" si="167"/>
        <v>41.166380789022291</v>
      </c>
      <c r="AA638" s="166">
        <f t="shared" si="168"/>
        <v>14.20926243567753</v>
      </c>
      <c r="AB638" s="126">
        <v>12</v>
      </c>
      <c r="AC638" s="167">
        <v>5.83</v>
      </c>
      <c r="AD638" s="167">
        <v>1.78</v>
      </c>
      <c r="AE638" s="167">
        <v>4.82</v>
      </c>
      <c r="AF638" s="167">
        <v>1.91</v>
      </c>
      <c r="AG638" s="167">
        <v>12.7</v>
      </c>
      <c r="AH638" s="167">
        <v>16.3</v>
      </c>
      <c r="AI638" s="167">
        <v>0.03</v>
      </c>
      <c r="AJ638" s="167">
        <v>9.1</v>
      </c>
      <c r="AK638" s="167">
        <v>8</v>
      </c>
      <c r="AL638" s="168">
        <v>1170</v>
      </c>
      <c r="AM638" s="169">
        <v>1.2</v>
      </c>
      <c r="AN638" s="167">
        <v>0</v>
      </c>
      <c r="AO638" s="170">
        <f t="shared" si="169"/>
        <v>-6.9616989179802067</v>
      </c>
      <c r="AP638" s="171">
        <f t="shared" si="170"/>
        <v>7.2475635176973237</v>
      </c>
      <c r="AQ638" s="172">
        <f t="shared" si="171"/>
        <v>9.8275238769996331</v>
      </c>
      <c r="AR638" s="157">
        <f>INDEX([1]Historical!$C$7:$C$1231,MATCH(B638,[1]Historical!$B$7:$B$1253,0))*IF(AH638="n/a",1.03,IF(AH638&lt;0,1.01,IF(AH638&gt;10,1.1,(1+AH638/100))))</f>
        <v>2.4090000000000003</v>
      </c>
      <c r="AS638" s="166">
        <f t="shared" si="172"/>
        <v>2.4097227000000001</v>
      </c>
      <c r="AT638" s="166">
        <f t="shared" si="179"/>
        <v>2.6025005160000001</v>
      </c>
      <c r="AU638" s="166">
        <f t="shared" si="179"/>
        <v>2.8107005572800001</v>
      </c>
      <c r="AV638" s="166">
        <f t="shared" si="179"/>
        <v>3.0355566018624005</v>
      </c>
      <c r="AW638" s="157">
        <f t="shared" si="174"/>
        <v>13.267480375142402</v>
      </c>
      <c r="AX638" s="173">
        <f t="shared" si="175"/>
        <v>16.015789926535977</v>
      </c>
      <c r="AY638" s="174">
        <v>0.64</v>
      </c>
      <c r="AZ638" s="169">
        <v>20.93</v>
      </c>
      <c r="BA638" s="169">
        <v>-4.1399999999999997</v>
      </c>
      <c r="BB638" s="169">
        <v>9.4600000000000009</v>
      </c>
      <c r="BC638" s="169">
        <v>8.7099999999999991</v>
      </c>
      <c r="BD638" s="100"/>
      <c r="BE638" s="77">
        <v>1987</v>
      </c>
      <c r="BF638" s="77">
        <f t="shared" si="176"/>
        <v>4</v>
      </c>
      <c r="BG638" s="175">
        <v>1.0999999999999999</v>
      </c>
      <c r="BH638" t="s">
        <v>939</v>
      </c>
      <c r="BI638" t="s">
        <v>940</v>
      </c>
      <c r="BJ638"/>
      <c r="BK638"/>
      <c r="BL638"/>
    </row>
    <row r="639" spans="1:64" s="112" customFormat="1" ht="12.75" customHeight="1" x14ac:dyDescent="0.2">
      <c r="A639" s="112" t="s">
        <v>473</v>
      </c>
      <c r="B639" s="239" t="s">
        <v>474</v>
      </c>
      <c r="C639" s="154" t="s">
        <v>94</v>
      </c>
      <c r="D639" s="154" t="s">
        <v>101</v>
      </c>
      <c r="E639" s="155">
        <v>51</v>
      </c>
      <c r="F639" s="298">
        <v>38</v>
      </c>
      <c r="G639" s="298" t="s">
        <v>30</v>
      </c>
      <c r="H639" s="298" t="s">
        <v>30</v>
      </c>
      <c r="I639" s="167">
        <v>58.25</v>
      </c>
      <c r="J639" s="157">
        <f t="shared" si="162"/>
        <v>1.8197424892703862</v>
      </c>
      <c r="K639" s="158">
        <v>0.26500000000000001</v>
      </c>
      <c r="L639" s="126">
        <v>4</v>
      </c>
      <c r="M639" s="82">
        <f t="shared" si="163"/>
        <v>1.06</v>
      </c>
      <c r="N639" s="159" t="s">
        <v>167</v>
      </c>
      <c r="O639" s="160">
        <v>0.25</v>
      </c>
      <c r="P639" s="161">
        <v>44894</v>
      </c>
      <c r="Q639" s="161">
        <v>44910</v>
      </c>
      <c r="R639" s="82">
        <f t="shared" si="164"/>
        <v>6.0000000000000053</v>
      </c>
      <c r="S639" s="162">
        <f>IF(INDEX([1]Historical!$D$7:$D$1229,MATCH(B639,[1]Historical!$B$7:$B$1253,0))=0,"n/a",(INDEX([1]Historical!$C$7:$C$1231,MATCH(B639,[1]Historical!$B$7:$B$1253,0))/INDEX([1]Historical!$D$7:$D$1229,MATCH(B639,[1]Historical!$B$7:$B$1253,0))-1)*100)</f>
        <v>5.6179775280898792</v>
      </c>
      <c r="T639" s="162">
        <f>IF(INDEX([1]Historical!$F$7:$F$1222,MATCH(B639,[1]Historical!$B$7:$B$1253,0))=0,"n/a",((INDEX([1]Historical!$C$7:$C$1231,MATCH(B639,[1]Historical!$B$7:$B$1253,0))/INDEX([1]Historical!$F$7:$F$1222,MATCH(B639,[1]Historical!$B$7:$B$1253,0)))^(1/3)-1)*100)</f>
        <v>3.4116916688413434</v>
      </c>
      <c r="U639" s="162">
        <f>IF(INDEX([1]Historical!$H$7:$H$1222,MATCH(B639,[1]Historical!$B$7:$B$1253,0))=0,"n/a",((INDEX([1]Historical!$C$7:$C$1231,MATCH(B639,[1]Historical!$B$7:$B$1253,0))/INDEX([1]Historical!$H$7:$H$1222,MATCH(B639,[1]Historical!$B$7:$B$1253,0)))^(1/5)-1)*100)</f>
        <v>3.0216655759383704</v>
      </c>
      <c r="V639" s="162">
        <f>IF(INDEX([1]Historical!$N$7:$N$1222,MATCH(B639,[1]Historical!$B$7:$B$1253,0))=0,"n/a",((INDEX([1]Historical!$C$7:$C$1231,MATCH(B639,[1]Historical!$B$7:$B$1253,0))/INDEX([1]Historical!$N$7:$N$1222,MATCH(B639,[1]Historical!$B$7:$B$1253,0)))^(1/10)-1)*100)</f>
        <v>3.2908601695392115</v>
      </c>
      <c r="W639" s="163">
        <f t="shared" si="165"/>
        <v>0.91819932183914887</v>
      </c>
      <c r="X639" s="164">
        <f t="shared" si="166"/>
        <v>0.52097682343764995</v>
      </c>
      <c r="Y639" s="180"/>
      <c r="Z639" s="157">
        <f t="shared" si="167"/>
        <v>35.333333333333336</v>
      </c>
      <c r="AA639" s="166">
        <f t="shared" si="168"/>
        <v>19.416666666666668</v>
      </c>
      <c r="AB639" s="126">
        <v>12</v>
      </c>
      <c r="AC639" s="167">
        <v>3</v>
      </c>
      <c r="AD639" s="167">
        <v>1.32</v>
      </c>
      <c r="AE639" s="167">
        <v>1</v>
      </c>
      <c r="AF639" s="167">
        <v>2.54</v>
      </c>
      <c r="AG639" s="167">
        <v>12.9</v>
      </c>
      <c r="AH639" s="179">
        <v>90.4</v>
      </c>
      <c r="AI639" s="179">
        <v>16.619999999999997</v>
      </c>
      <c r="AJ639" s="167">
        <v>5.8000000000000007</v>
      </c>
      <c r="AK639" s="167">
        <v>15</v>
      </c>
      <c r="AL639" s="168">
        <v>1080</v>
      </c>
      <c r="AM639" s="169">
        <v>0.70000000000000007</v>
      </c>
      <c r="AN639" s="167">
        <v>0.61</v>
      </c>
      <c r="AO639" s="170">
        <f t="shared" si="169"/>
        <v>-14.575258601457911</v>
      </c>
      <c r="AP639" s="171">
        <f t="shared" si="170"/>
        <v>4.841408065208757</v>
      </c>
      <c r="AQ639" s="172">
        <f t="shared" si="171"/>
        <v>48.051542576425923</v>
      </c>
      <c r="AR639" s="157">
        <f>INDEX([1]Historical!$C$7:$C$1231,MATCH(B639,[1]Historical!$B$7:$B$1253,0))*IF(AH639="n/a",1.03,IF(AH639&lt;0,1.01,IF(AH639&gt;10,1.1,(1+AH639/100))))</f>
        <v>1.034</v>
      </c>
      <c r="AS639" s="166">
        <f t="shared" si="172"/>
        <v>1.1374000000000002</v>
      </c>
      <c r="AT639" s="166">
        <f t="shared" si="179"/>
        <v>1.2511400000000004</v>
      </c>
      <c r="AU639" s="166">
        <f t="shared" si="179"/>
        <v>1.3762540000000005</v>
      </c>
      <c r="AV639" s="166">
        <f t="shared" si="179"/>
        <v>1.5138794000000007</v>
      </c>
      <c r="AW639" s="157">
        <f t="shared" si="174"/>
        <v>6.3126734000000013</v>
      </c>
      <c r="AX639" s="173">
        <f t="shared" si="175"/>
        <v>10.837207553648071</v>
      </c>
      <c r="AY639" s="174">
        <v>1.03</v>
      </c>
      <c r="AZ639" s="169">
        <v>6.1</v>
      </c>
      <c r="BA639" s="169">
        <v>-31.740000000000002</v>
      </c>
      <c r="BB639" s="169">
        <v>-3.06</v>
      </c>
      <c r="BC639" s="169">
        <v>-13.239999999999998</v>
      </c>
      <c r="BD639" s="100"/>
      <c r="BE639" s="77">
        <v>1973</v>
      </c>
      <c r="BF639" s="77">
        <f t="shared" si="176"/>
        <v>6</v>
      </c>
      <c r="BG639" s="175">
        <v>5.4</v>
      </c>
      <c r="BH639" t="s">
        <v>939</v>
      </c>
      <c r="BI639" t="s">
        <v>940</v>
      </c>
      <c r="BJ639"/>
      <c r="BK639"/>
      <c r="BL639"/>
    </row>
    <row r="640" spans="1:64" s="112" customFormat="1" ht="12.75" customHeight="1" x14ac:dyDescent="0.2">
      <c r="A640" s="204" t="s">
        <v>1665</v>
      </c>
      <c r="B640" s="239" t="s">
        <v>740</v>
      </c>
      <c r="C640" s="154" t="s">
        <v>90</v>
      </c>
      <c r="D640" s="154" t="s">
        <v>969</v>
      </c>
      <c r="E640" s="155">
        <v>11</v>
      </c>
      <c r="F640" s="298">
        <v>429</v>
      </c>
      <c r="G640" s="298" t="s">
        <v>30</v>
      </c>
      <c r="H640" s="298" t="s">
        <v>30</v>
      </c>
      <c r="I640" s="156">
        <v>32.94</v>
      </c>
      <c r="J640" s="157">
        <f t="shared" si="162"/>
        <v>2.7929568913175475</v>
      </c>
      <c r="K640" s="158">
        <v>0.23</v>
      </c>
      <c r="L640" s="126">
        <v>4</v>
      </c>
      <c r="M640" s="82">
        <f t="shared" si="163"/>
        <v>0.92</v>
      </c>
      <c r="N640" s="159" t="s">
        <v>741</v>
      </c>
      <c r="O640" s="160">
        <v>0.2</v>
      </c>
      <c r="P640" s="161">
        <v>44741</v>
      </c>
      <c r="Q640" s="161">
        <v>44754</v>
      </c>
      <c r="R640" s="82">
        <f t="shared" si="164"/>
        <v>15</v>
      </c>
      <c r="S640" s="162">
        <f>IF(INDEX([1]Historical!$D$7:$D$1229,MATCH(B640,[1]Historical!$B$7:$B$1253,0))=0,"n/a",(INDEX([1]Historical!$C$7:$C$1231,MATCH(B640,[1]Historical!$B$7:$B$1253,0))/INDEX([1]Historical!$D$7:$D$1229,MATCH(B640,[1]Historical!$B$7:$B$1253,0))-1)*100)</f>
        <v>5.555555555555558</v>
      </c>
      <c r="T640" s="162">
        <f>IF(INDEX([1]Historical!$F$7:$F$1222,MATCH(B640,[1]Historical!$B$7:$B$1253,0))=0,"n/a",((INDEX([1]Historical!$C$7:$C$1231,MATCH(B640,[1]Historical!$B$7:$B$1253,0))/INDEX([1]Historical!$F$7:$F$1222,MATCH(B640,[1]Historical!$B$7:$B$1253,0)))^(1/3)-1)*100)</f>
        <v>8.1983855523197757</v>
      </c>
      <c r="U640" s="162">
        <f>IF(INDEX([1]Historical!$H$7:$H$1222,MATCH(B640,[1]Historical!$B$7:$B$1253,0))=0,"n/a",((INDEX([1]Historical!$C$7:$C$1231,MATCH(B640,[1]Historical!$B$7:$B$1253,0))/INDEX([1]Historical!$H$7:$H$1222,MATCH(B640,[1]Historical!$B$7:$B$1253,0)))^(1/5)-1)*100)</f>
        <v>8.7348394571074905</v>
      </c>
      <c r="V640" s="162">
        <f>IF(INDEX([1]Historical!$N$7:$N$1222,MATCH(B640,[1]Historical!$B$7:$B$1253,0))=0,"n/a",((INDEX([1]Historical!$C$7:$C$1231,MATCH(B640,[1]Historical!$B$7:$B$1253,0))/INDEX([1]Historical!$N$7:$N$1222,MATCH(B640,[1]Historical!$B$7:$B$1253,0)))^(1/10)-1)*100)</f>
        <v>9.3578666855607793</v>
      </c>
      <c r="W640" s="163">
        <f t="shared" si="165"/>
        <v>0.93342208759880907</v>
      </c>
      <c r="X640" s="164">
        <f t="shared" si="166"/>
        <v>0.43028765798559065</v>
      </c>
      <c r="Y640" s="180"/>
      <c r="Z640" s="157">
        <f t="shared" si="167"/>
        <v>36.507936507936513</v>
      </c>
      <c r="AA640" s="166">
        <f t="shared" si="168"/>
        <v>13.071428571428571</v>
      </c>
      <c r="AB640" s="126">
        <v>12</v>
      </c>
      <c r="AC640" s="167">
        <v>2.52</v>
      </c>
      <c r="AD640" s="167" t="s">
        <v>95</v>
      </c>
      <c r="AE640" s="167">
        <v>5.05</v>
      </c>
      <c r="AF640" s="167">
        <v>1.27</v>
      </c>
      <c r="AG640" s="167">
        <v>10.199999999999999</v>
      </c>
      <c r="AH640" s="167">
        <v>47.699999999999996</v>
      </c>
      <c r="AI640" s="167">
        <v>16.100000000000001</v>
      </c>
      <c r="AJ640" s="167">
        <v>20.3</v>
      </c>
      <c r="AK640" s="167" t="s">
        <v>95</v>
      </c>
      <c r="AL640" s="168">
        <v>2260</v>
      </c>
      <c r="AM640" s="169">
        <v>26.3</v>
      </c>
      <c r="AN640" s="167">
        <v>0.27</v>
      </c>
      <c r="AO640" s="170">
        <f t="shared" si="169"/>
        <v>-1.5436322230035326</v>
      </c>
      <c r="AP640" s="171">
        <f t="shared" si="170"/>
        <v>11.527796348425039</v>
      </c>
      <c r="AQ640" s="172">
        <f t="shared" si="171"/>
        <v>-14.104160530935861</v>
      </c>
      <c r="AR640" s="157">
        <f>INDEX([1]Historical!$C$7:$C$1231,MATCH(B640,[1]Historical!$B$7:$B$1253,0))*IF(AH640="n/a",1.03,IF(AH640&lt;0,1.01,IF(AH640&gt;10,1.1,(1+AH640/100))))</f>
        <v>0.83600000000000008</v>
      </c>
      <c r="AS640" s="166">
        <f t="shared" si="172"/>
        <v>0.9196000000000002</v>
      </c>
      <c r="AT640" s="166">
        <f t="shared" si="179"/>
        <v>0.94718800000000025</v>
      </c>
      <c r="AU640" s="166">
        <f t="shared" si="179"/>
        <v>0.97560364000000033</v>
      </c>
      <c r="AV640" s="166">
        <f t="shared" si="179"/>
        <v>1.0048717492000003</v>
      </c>
      <c r="AW640" s="157">
        <f t="shared" si="174"/>
        <v>4.6832633892000013</v>
      </c>
      <c r="AX640" s="173">
        <f t="shared" si="175"/>
        <v>14.2175573442623</v>
      </c>
      <c r="AY640" s="174">
        <v>1</v>
      </c>
      <c r="AZ640" s="169">
        <v>25.82</v>
      </c>
      <c r="BA640" s="169">
        <v>-5.3199999999999994</v>
      </c>
      <c r="BB640" s="169">
        <v>14.7</v>
      </c>
      <c r="BC640" s="169">
        <v>12.120000000000001</v>
      </c>
      <c r="BD640" s="100"/>
      <c r="BE640" s="77">
        <v>2012</v>
      </c>
      <c r="BF640" s="77">
        <f t="shared" si="176"/>
        <v>1</v>
      </c>
      <c r="BG640" s="175">
        <v>1.2</v>
      </c>
      <c r="BH640" t="s">
        <v>939</v>
      </c>
      <c r="BI640" t="s">
        <v>940</v>
      </c>
      <c r="BJ640"/>
      <c r="BK640"/>
      <c r="BL640"/>
    </row>
    <row r="641" spans="1:64" s="112" customFormat="1" ht="12.75" customHeight="1" x14ac:dyDescent="0.2">
      <c r="A641" s="176" t="s">
        <v>1666</v>
      </c>
      <c r="B641" s="239" t="s">
        <v>476</v>
      </c>
      <c r="C641" s="154" t="s">
        <v>109</v>
      </c>
      <c r="D641" s="154" t="s">
        <v>1028</v>
      </c>
      <c r="E641" s="155">
        <v>17</v>
      </c>
      <c r="F641" s="298">
        <v>233</v>
      </c>
      <c r="G641" s="298" t="s">
        <v>88</v>
      </c>
      <c r="H641" s="298" t="s">
        <v>88</v>
      </c>
      <c r="I641" s="156">
        <v>2303.87</v>
      </c>
      <c r="J641" s="157">
        <f t="shared" si="162"/>
        <v>0.52086272228901809</v>
      </c>
      <c r="K641" s="158">
        <v>3</v>
      </c>
      <c r="L641" s="126">
        <v>4</v>
      </c>
      <c r="M641" s="82">
        <f t="shared" si="163"/>
        <v>12</v>
      </c>
      <c r="N641" s="159" t="s">
        <v>167</v>
      </c>
      <c r="O641" s="160">
        <v>2.75</v>
      </c>
      <c r="P641" s="161">
        <v>44627</v>
      </c>
      <c r="Q641" s="161">
        <v>44635</v>
      </c>
      <c r="R641" s="82">
        <f t="shared" si="164"/>
        <v>9.0909090909090917</v>
      </c>
      <c r="S641" s="162">
        <f>IF(INDEX([1]Historical!$D$7:$D$1229,MATCH(B641,[1]Historical!$B$7:$B$1253,0))=0,"n/a",(INDEX([1]Historical!$C$7:$C$1231,MATCH(B641,[1]Historical!$B$7:$B$1253,0))/INDEX([1]Historical!$D$7:$D$1229,MATCH(B641,[1]Historical!$B$7:$B$1253,0))-1)*100)</f>
        <v>10.000000000000009</v>
      </c>
      <c r="T641" s="162">
        <f>IF(INDEX([1]Historical!$F$7:$F$1222,MATCH(B641,[1]Historical!$B$7:$B$1253,0))=0,"n/a",((INDEX([1]Historical!$C$7:$C$1231,MATCH(B641,[1]Historical!$B$7:$B$1253,0))/INDEX([1]Historical!$F$7:$F$1222,MATCH(B641,[1]Historical!$B$7:$B$1253,0)))^(1/3)-1)*100)</f>
        <v>118.81031702423104</v>
      </c>
      <c r="U641" s="162">
        <f>IF(INDEX([1]Historical!$H$7:$H$1222,MATCH(B641,[1]Historical!$B$7:$B$1253,0))=0,"n/a",((INDEX([1]Historical!$C$7:$C$1231,MATCH(B641,[1]Historical!$B$7:$B$1253,0))/INDEX([1]Historical!$H$7:$H$1222,MATCH(B641,[1]Historical!$B$7:$B$1253,0)))^(1/5)-1)*100)</f>
        <v>104.17670846269766</v>
      </c>
      <c r="V641" s="162">
        <f>IF(INDEX([1]Historical!$N$7:$N$1222,MATCH(B641,[1]Historical!$B$7:$B$1253,0))=0,"n/a",((INDEX([1]Historical!$C$7:$C$1231,MATCH(B641,[1]Historical!$B$7:$B$1253,0))/INDEX([1]Historical!$N$7:$N$1222,MATCH(B641,[1]Historical!$B$7:$B$1253,0)))^(1/10)-1)*100)</f>
        <v>48.565284529167371</v>
      </c>
      <c r="W641" s="163">
        <f t="shared" si="165"/>
        <v>2.1450859286149377</v>
      </c>
      <c r="X641" s="164">
        <f t="shared" si="166"/>
        <v>2.2746006214562806</v>
      </c>
      <c r="Y641" s="178"/>
      <c r="Z641" s="157">
        <f t="shared" si="167"/>
        <v>24.47481133999592</v>
      </c>
      <c r="AA641" s="166">
        <f t="shared" si="168"/>
        <v>46.988986334897</v>
      </c>
      <c r="AB641" s="126">
        <v>12</v>
      </c>
      <c r="AC641" s="167">
        <v>49.03</v>
      </c>
      <c r="AD641" s="167">
        <v>2.36</v>
      </c>
      <c r="AE641" s="167">
        <v>28.91</v>
      </c>
      <c r="AF641" s="167">
        <v>27.79</v>
      </c>
      <c r="AG641" s="179">
        <v>57.8</v>
      </c>
      <c r="AH641" s="167">
        <v>53.400000000000006</v>
      </c>
      <c r="AI641" s="167">
        <v>-0.61</v>
      </c>
      <c r="AJ641" s="167">
        <v>45.800000000000004</v>
      </c>
      <c r="AK641" s="167">
        <v>20.03</v>
      </c>
      <c r="AL641" s="168">
        <v>17180</v>
      </c>
      <c r="AM641" s="169">
        <v>0.8</v>
      </c>
      <c r="AN641" s="167">
        <v>0</v>
      </c>
      <c r="AO641" s="170">
        <f t="shared" si="169"/>
        <v>57.708584850089686</v>
      </c>
      <c r="AP641" s="171">
        <f t="shared" si="170"/>
        <v>104.69757118498669</v>
      </c>
      <c r="AQ641" s="172">
        <f t="shared" si="171"/>
        <v>661.81768896553888</v>
      </c>
      <c r="AR641" s="157">
        <f>INDEX([1]Historical!$C$7:$C$1231,MATCH(B641,[1]Historical!$B$7:$B$1253,0))*IF(AH641="n/a",1.03,IF(AH641&lt;0,1.01,IF(AH641&gt;10,1.1,(1+AH641/100))))</f>
        <v>12.100000000000001</v>
      </c>
      <c r="AS641" s="166">
        <f t="shared" si="172"/>
        <v>12.221000000000002</v>
      </c>
      <c r="AT641" s="166">
        <f t="shared" si="179"/>
        <v>13.443100000000003</v>
      </c>
      <c r="AU641" s="166">
        <f t="shared" si="179"/>
        <v>14.787410000000005</v>
      </c>
      <c r="AV641" s="166">
        <f t="shared" si="179"/>
        <v>16.266151000000008</v>
      </c>
      <c r="AW641" s="157">
        <f t="shared" si="174"/>
        <v>68.817661000000015</v>
      </c>
      <c r="AX641" s="173">
        <f t="shared" si="175"/>
        <v>2.9870461875019001</v>
      </c>
      <c r="AY641" s="174">
        <v>1.97</v>
      </c>
      <c r="AZ641" s="169">
        <v>146.38999999999999</v>
      </c>
      <c r="BA641" s="169">
        <v>-0.69</v>
      </c>
      <c r="BB641" s="169">
        <v>21.38</v>
      </c>
      <c r="BC641" s="169">
        <v>50.77</v>
      </c>
      <c r="BD641" s="100"/>
      <c r="BE641" s="77">
        <v>2004</v>
      </c>
      <c r="BF641" s="77">
        <f t="shared" si="176"/>
        <v>2</v>
      </c>
      <c r="BG641" s="175">
        <v>49.3</v>
      </c>
      <c r="BH641" t="s">
        <v>939</v>
      </c>
      <c r="BI641" t="s">
        <v>940</v>
      </c>
      <c r="BJ641"/>
      <c r="BK641"/>
      <c r="BL641"/>
    </row>
    <row r="642" spans="1:64" s="112" customFormat="1" ht="12.75" customHeight="1" x14ac:dyDescent="0.2">
      <c r="A642" s="112" t="s">
        <v>1667</v>
      </c>
      <c r="B642" s="239" t="s">
        <v>479</v>
      </c>
      <c r="C642" s="154" t="s">
        <v>127</v>
      </c>
      <c r="D642" s="154" t="s">
        <v>951</v>
      </c>
      <c r="E642" s="155">
        <v>52</v>
      </c>
      <c r="F642" s="298">
        <v>28</v>
      </c>
      <c r="G642" s="298" t="s">
        <v>88</v>
      </c>
      <c r="H642" s="298" t="s">
        <v>88</v>
      </c>
      <c r="I642" s="167">
        <v>40.39</v>
      </c>
      <c r="J642" s="157">
        <f t="shared" si="162"/>
        <v>0.89130973013122061</v>
      </c>
      <c r="K642" s="158">
        <v>0.09</v>
      </c>
      <c r="L642" s="126">
        <v>4</v>
      </c>
      <c r="M642" s="82">
        <f t="shared" si="163"/>
        <v>0.36</v>
      </c>
      <c r="N642" s="159" t="s">
        <v>198</v>
      </c>
      <c r="O642" s="226">
        <v>8.7378640776699018E-2</v>
      </c>
      <c r="P642" s="182">
        <v>44259</v>
      </c>
      <c r="Q642" s="182">
        <v>44281</v>
      </c>
      <c r="R642" s="82">
        <f t="shared" si="164"/>
        <v>3.0000000000000093</v>
      </c>
      <c r="S642" s="162">
        <f>IF(INDEX([1]Historical!$D$7:$D$1229,MATCH(B642,[1]Historical!$B$7:$B$1253,0))=0,"n/a",(INDEX([1]Historical!$C$7:$C$1231,MATCH(B642,[1]Historical!$B$7:$B$1253,0))/INDEX([1]Historical!$D$7:$D$1229,MATCH(B642,[1]Historical!$B$7:$B$1253,0))-1)*100)</f>
        <v>3.0000000000000027</v>
      </c>
      <c r="T642" s="162">
        <f>IF(INDEX([1]Historical!$F$7:$F$1222,MATCH(B642,[1]Historical!$B$7:$B$1253,0))=0,"n/a",((INDEX([1]Historical!$C$7:$C$1231,MATCH(B642,[1]Historical!$B$7:$B$1253,0))/INDEX([1]Historical!$F$7:$F$1222,MATCH(B642,[1]Historical!$B$7:$B$1253,0)))^(1/3)-1)*100)</f>
        <v>3.0000000000000027</v>
      </c>
      <c r="U642" s="162">
        <f>IF(INDEX([1]Historical!$H$7:$H$1222,MATCH(B642,[1]Historical!$B$7:$B$1253,0))=0,"n/a",((INDEX([1]Historical!$C$7:$C$1231,MATCH(B642,[1]Historical!$B$7:$B$1253,0))/INDEX([1]Historical!$H$7:$H$1222,MATCH(B642,[1]Historical!$B$7:$B$1253,0)))^(1/5)-1)*100)</f>
        <v>3.0000000000000027</v>
      </c>
      <c r="V642" s="162">
        <f>IF(INDEX([1]Historical!$N$7:$N$1222,MATCH(B642,[1]Historical!$B$7:$B$1253,0))=0,"n/a",((INDEX([1]Historical!$C$7:$C$1231,MATCH(B642,[1]Historical!$B$7:$B$1253,0))/INDEX([1]Historical!$N$7:$N$1222,MATCH(B642,[1]Historical!$B$7:$B$1253,0)))^(1/10)-1)*100)</f>
        <v>4.3756231074200347</v>
      </c>
      <c r="W642" s="163">
        <f t="shared" si="165"/>
        <v>0.68561663707111875</v>
      </c>
      <c r="X642" s="164">
        <f t="shared" si="166"/>
        <v>4.2857142857142891</v>
      </c>
      <c r="Y642" s="218" t="s">
        <v>834</v>
      </c>
      <c r="Z642" s="157">
        <f t="shared" si="167"/>
        <v>36</v>
      </c>
      <c r="AA642" s="166">
        <f t="shared" si="168"/>
        <v>40.39</v>
      </c>
      <c r="AB642" s="126">
        <v>12</v>
      </c>
      <c r="AC642" s="167">
        <v>1</v>
      </c>
      <c r="AD642" s="167">
        <v>4.5</v>
      </c>
      <c r="AE642" s="167">
        <v>4.3600000000000003</v>
      </c>
      <c r="AF642" s="167">
        <v>3.64</v>
      </c>
      <c r="AG642" s="167">
        <v>9</v>
      </c>
      <c r="AH642" s="167">
        <v>12.5</v>
      </c>
      <c r="AI642" s="167" t="s">
        <v>95</v>
      </c>
      <c r="AJ642" s="167">
        <v>0.70000000000000007</v>
      </c>
      <c r="AK642" s="167">
        <v>9</v>
      </c>
      <c r="AL642" s="168">
        <v>2770</v>
      </c>
      <c r="AM642" s="169">
        <v>35.22</v>
      </c>
      <c r="AN642" s="167">
        <v>0.01</v>
      </c>
      <c r="AO642" s="170">
        <f t="shared" si="169"/>
        <v>-36.498690269868774</v>
      </c>
      <c r="AP642" s="171">
        <f t="shared" si="170"/>
        <v>3.8913097301312232</v>
      </c>
      <c r="AQ642" s="172">
        <f t="shared" si="171"/>
        <v>155.62089985845139</v>
      </c>
      <c r="AR642" s="157">
        <f>INDEX([1]Historical!$C$7:$C$1231,MATCH(B642,[1]Historical!$B$7:$B$1253,0))*IF(AH642="n/a",1.03,IF(AH642&lt;0,1.01,IF(AH642&gt;10,1.1,(1+AH642/100))))</f>
        <v>0.39023300970873787</v>
      </c>
      <c r="AS642" s="166">
        <f t="shared" si="172"/>
        <v>0.40194000000000002</v>
      </c>
      <c r="AT642" s="166">
        <f t="shared" si="179"/>
        <v>0.43811460000000008</v>
      </c>
      <c r="AU642" s="166">
        <f t="shared" si="179"/>
        <v>0.4775449140000001</v>
      </c>
      <c r="AV642" s="166">
        <f t="shared" si="179"/>
        <v>0.52052395626000014</v>
      </c>
      <c r="AW642" s="157">
        <f t="shared" si="174"/>
        <v>2.2283564799687383</v>
      </c>
      <c r="AX642" s="173">
        <f t="shared" si="175"/>
        <v>5.5170994799919244</v>
      </c>
      <c r="AY642" s="174">
        <v>7.0000000000000007E-2</v>
      </c>
      <c r="AZ642" s="169">
        <v>32.409999999999997</v>
      </c>
      <c r="BA642" s="169">
        <v>-0.64</v>
      </c>
      <c r="BB642" s="169">
        <v>13.020000000000001</v>
      </c>
      <c r="BC642" s="169">
        <v>17.16</v>
      </c>
      <c r="BD642" s="100"/>
      <c r="BE642" s="77">
        <v>1967</v>
      </c>
      <c r="BF642" s="77">
        <f t="shared" si="176"/>
        <v>7</v>
      </c>
      <c r="BG642" s="175">
        <v>6.8000000000000007</v>
      </c>
      <c r="BH642" t="s">
        <v>939</v>
      </c>
      <c r="BI642" t="s">
        <v>940</v>
      </c>
      <c r="BJ642"/>
      <c r="BK642"/>
      <c r="BL642"/>
    </row>
    <row r="643" spans="1:64" s="112" customFormat="1" ht="12.75" customHeight="1" x14ac:dyDescent="0.2">
      <c r="A643" s="112" t="s">
        <v>1668</v>
      </c>
      <c r="B643" s="239" t="s">
        <v>477</v>
      </c>
      <c r="C643" s="154" t="s">
        <v>90</v>
      </c>
      <c r="D643" s="154" t="s">
        <v>972</v>
      </c>
      <c r="E643" s="155">
        <v>29</v>
      </c>
      <c r="F643" s="298">
        <v>108</v>
      </c>
      <c r="G643" s="298" t="s">
        <v>88</v>
      </c>
      <c r="H643" s="298" t="s">
        <v>88</v>
      </c>
      <c r="I643" s="156">
        <v>106.28</v>
      </c>
      <c r="J643" s="157">
        <f t="shared" si="162"/>
        <v>1.6748212269476852</v>
      </c>
      <c r="K643" s="158">
        <v>0.44500000000000001</v>
      </c>
      <c r="L643" s="126">
        <v>4</v>
      </c>
      <c r="M643" s="82">
        <f t="shared" si="163"/>
        <v>1.78</v>
      </c>
      <c r="N643" s="159" t="s">
        <v>167</v>
      </c>
      <c r="O643" s="160">
        <v>0.40500000000000003</v>
      </c>
      <c r="P643" s="161">
        <v>44615</v>
      </c>
      <c r="Q643" s="161">
        <v>44635</v>
      </c>
      <c r="R643" s="82">
        <f t="shared" si="164"/>
        <v>9.8765432098765373</v>
      </c>
      <c r="S643" s="162">
        <f>IF(INDEX([1]Historical!$D$7:$D$1229,MATCH(B643,[1]Historical!$B$7:$B$1253,0))=0,"n/a",(INDEX([1]Historical!$C$7:$C$1231,MATCH(B643,[1]Historical!$B$7:$B$1253,0))/INDEX([1]Historical!$D$7:$D$1229,MATCH(B643,[1]Historical!$B$7:$B$1253,0))-1)*100)</f>
        <v>6.578947368421062</v>
      </c>
      <c r="T643" s="162">
        <f>IF(INDEX([1]Historical!$F$7:$F$1222,MATCH(B643,[1]Historical!$B$7:$B$1253,0))=0,"n/a",((INDEX([1]Historical!$C$7:$C$1231,MATCH(B643,[1]Historical!$B$7:$B$1253,0))/INDEX([1]Historical!$F$7:$F$1222,MATCH(B643,[1]Historical!$B$7:$B$1253,0)))^(1/3)-1)*100)</f>
        <v>5.3630693663860862</v>
      </c>
      <c r="U643" s="162">
        <f>IF(INDEX([1]Historical!$H$7:$H$1222,MATCH(B643,[1]Historical!$B$7:$B$1253,0))=0,"n/a",((INDEX([1]Historical!$C$7:$C$1231,MATCH(B643,[1]Historical!$B$7:$B$1253,0))/INDEX([1]Historical!$H$7:$H$1222,MATCH(B643,[1]Historical!$B$7:$B$1253,0)))^(1/5)-1)*100)</f>
        <v>3.5607581659516718</v>
      </c>
      <c r="V643" s="162">
        <f>IF(INDEX([1]Historical!$N$7:$N$1222,MATCH(B643,[1]Historical!$B$7:$B$1253,0))=0,"n/a",((INDEX([1]Historical!$C$7:$C$1231,MATCH(B643,[1]Historical!$B$7:$B$1253,0))/INDEX([1]Historical!$N$7:$N$1222,MATCH(B643,[1]Historical!$B$7:$B$1253,0)))^(1/10)-1)*100)</f>
        <v>2.7091967876371026</v>
      </c>
      <c r="W643" s="163">
        <f t="shared" si="165"/>
        <v>1.3143224523964097</v>
      </c>
      <c r="X643" s="164">
        <f t="shared" si="166"/>
        <v>6.9818787567679841E-2</v>
      </c>
      <c r="Y643" s="178" t="s">
        <v>253</v>
      </c>
      <c r="Z643" s="157">
        <f t="shared" si="167"/>
        <v>163.30275229357798</v>
      </c>
      <c r="AA643" s="166">
        <f t="shared" si="168"/>
        <v>97.504587155963293</v>
      </c>
      <c r="AB643" s="126">
        <v>12</v>
      </c>
      <c r="AC643" s="167">
        <v>1.0900000000000001</v>
      </c>
      <c r="AD643" s="167">
        <v>4.4000000000000004</v>
      </c>
      <c r="AE643" s="167">
        <v>7.79</v>
      </c>
      <c r="AF643" s="167">
        <v>3.94</v>
      </c>
      <c r="AG643" s="167">
        <v>3.4000000000000004</v>
      </c>
      <c r="AH643" s="167">
        <v>399.2</v>
      </c>
      <c r="AI643" s="167">
        <v>32.269999999999996</v>
      </c>
      <c r="AJ643" s="167">
        <v>51</v>
      </c>
      <c r="AK643" s="167">
        <v>22.400000000000002</v>
      </c>
      <c r="AL643" s="168">
        <v>50850</v>
      </c>
      <c r="AM643" s="169">
        <v>55.000000000000007</v>
      </c>
      <c r="AN643" s="167">
        <v>0.31</v>
      </c>
      <c r="AO643" s="170">
        <f t="shared" si="169"/>
        <v>-92.269007763063939</v>
      </c>
      <c r="AP643" s="171">
        <f t="shared" si="170"/>
        <v>5.235579392899357</v>
      </c>
      <c r="AQ643" s="172">
        <f t="shared" si="171"/>
        <v>313.20862279617188</v>
      </c>
      <c r="AR643" s="157">
        <f>INDEX([1]Historical!$C$7:$C$1231,MATCH(B643,[1]Historical!$B$7:$B$1253,0))*IF(AH643="n/a",1.03,IF(AH643&lt;0,1.01,IF(AH643&gt;10,1.1,(1+AH643/100))))</f>
        <v>1.7820000000000003</v>
      </c>
      <c r="AS643" s="166">
        <f t="shared" si="172"/>
        <v>1.9602000000000004</v>
      </c>
      <c r="AT643" s="166">
        <f t="shared" si="179"/>
        <v>2.1562200000000007</v>
      </c>
      <c r="AU643" s="166">
        <f t="shared" si="179"/>
        <v>2.3718420000000009</v>
      </c>
      <c r="AV643" s="166">
        <f t="shared" si="179"/>
        <v>2.6090262000000011</v>
      </c>
      <c r="AW643" s="157">
        <f t="shared" si="174"/>
        <v>10.879288200000003</v>
      </c>
      <c r="AX643" s="173">
        <f t="shared" si="175"/>
        <v>10.236439781708697</v>
      </c>
      <c r="AY643" s="174">
        <v>0.56000000000000005</v>
      </c>
      <c r="AZ643" s="169">
        <v>16.09</v>
      </c>
      <c r="BA643" s="169">
        <v>-14.01</v>
      </c>
      <c r="BB643" s="169">
        <v>-0.88</v>
      </c>
      <c r="BC643" s="169">
        <v>1.22</v>
      </c>
      <c r="BD643" s="100"/>
      <c r="BE643" s="77">
        <v>1995</v>
      </c>
      <c r="BF643" s="77">
        <f t="shared" si="176"/>
        <v>3</v>
      </c>
      <c r="BG643" s="175">
        <v>2.1</v>
      </c>
      <c r="BH643" t="s">
        <v>939</v>
      </c>
      <c r="BI643" t="s">
        <v>940</v>
      </c>
      <c r="BJ643"/>
      <c r="BK643"/>
      <c r="BL643"/>
    </row>
    <row r="644" spans="1:64" s="112" customFormat="1" ht="12.75" customHeight="1" x14ac:dyDescent="0.2">
      <c r="A644" s="204" t="s">
        <v>1669</v>
      </c>
      <c r="B644" s="239" t="s">
        <v>645</v>
      </c>
      <c r="C644" s="154" t="s">
        <v>94</v>
      </c>
      <c r="D644" s="154" t="s">
        <v>101</v>
      </c>
      <c r="E644" s="155">
        <v>12</v>
      </c>
      <c r="F644" s="298">
        <v>326</v>
      </c>
      <c r="G644" s="298" t="s">
        <v>88</v>
      </c>
      <c r="H644" s="298" t="s">
        <v>88</v>
      </c>
      <c r="I644" s="156">
        <v>28.53</v>
      </c>
      <c r="J644" s="157">
        <f t="shared" si="162"/>
        <v>3.224675779880827</v>
      </c>
      <c r="K644" s="158">
        <v>0.23</v>
      </c>
      <c r="L644" s="126">
        <v>4</v>
      </c>
      <c r="M644" s="82">
        <f t="shared" si="163"/>
        <v>0.92</v>
      </c>
      <c r="N644" s="159" t="s">
        <v>190</v>
      </c>
      <c r="O644" s="160">
        <v>0.21</v>
      </c>
      <c r="P644" s="161">
        <v>44574</v>
      </c>
      <c r="Q644" s="161">
        <v>44592</v>
      </c>
      <c r="R644" s="82">
        <f t="shared" si="164"/>
        <v>9.5238095238095326</v>
      </c>
      <c r="S644" s="162">
        <f>IF(INDEX([1]Historical!$D$7:$D$1229,MATCH(B644,[1]Historical!$B$7:$B$1253,0))=0,"n/a",(INDEX([1]Historical!$C$7:$C$1231,MATCH(B644,[1]Historical!$B$7:$B$1253,0))/INDEX([1]Historical!$D$7:$D$1229,MATCH(B644,[1]Historical!$B$7:$B$1253,0))-1)*100)</f>
        <v>10.526315789473673</v>
      </c>
      <c r="T644" s="162">
        <f>IF(INDEX([1]Historical!$F$7:$F$1222,MATCH(B644,[1]Historical!$B$7:$B$1253,0))=0,"n/a",((INDEX([1]Historical!$C$7:$C$1231,MATCH(B644,[1]Historical!$B$7:$B$1253,0))/INDEX([1]Historical!$F$7:$F$1222,MATCH(B644,[1]Historical!$B$7:$B$1253,0)))^(1/3)-1)*100)</f>
        <v>17.33438845558204</v>
      </c>
      <c r="U644" s="162">
        <f>IF(INDEX([1]Historical!$H$7:$H$1222,MATCH(B644,[1]Historical!$B$7:$B$1253,0))=0,"n/a",((INDEX([1]Historical!$C$7:$C$1231,MATCH(B644,[1]Historical!$B$7:$B$1253,0))/INDEX([1]Historical!$H$7:$H$1222,MATCH(B644,[1]Historical!$B$7:$B$1253,0)))^(1/5)-1)*100)</f>
        <v>13.80604263098537</v>
      </c>
      <c r="V644" s="162">
        <f>IF(INDEX([1]Historical!$N$7:$N$1222,MATCH(B644,[1]Historical!$B$7:$B$1253,0))=0,"n/a",((INDEX([1]Historical!$C$7:$C$1231,MATCH(B644,[1]Historical!$B$7:$B$1253,0))/INDEX([1]Historical!$N$7:$N$1222,MATCH(B644,[1]Historical!$B$7:$B$1253,0)))^(1/10)-1)*100)</f>
        <v>17.322966750298342</v>
      </c>
      <c r="W644" s="163">
        <f t="shared" si="165"/>
        <v>0.79697911044871095</v>
      </c>
      <c r="X644" s="164" t="str">
        <f t="shared" si="166"/>
        <v>n/a</v>
      </c>
      <c r="Y644" s="180"/>
      <c r="Z644" s="157">
        <f t="shared" si="167"/>
        <v>180.39215686274511</v>
      </c>
      <c r="AA644" s="166">
        <f t="shared" si="168"/>
        <v>55.941176470588239</v>
      </c>
      <c r="AB644" s="126">
        <v>12</v>
      </c>
      <c r="AC644" s="167">
        <v>0.51</v>
      </c>
      <c r="AD644" s="167">
        <v>5.56</v>
      </c>
      <c r="AE644" s="167">
        <v>1.35</v>
      </c>
      <c r="AF644" s="167">
        <v>2.29</v>
      </c>
      <c r="AG644" s="167">
        <v>16</v>
      </c>
      <c r="AH644" s="167">
        <v>113.3</v>
      </c>
      <c r="AI644" s="167">
        <v>97.48</v>
      </c>
      <c r="AJ644" s="167">
        <v>-19.400000000000002</v>
      </c>
      <c r="AK644" s="167">
        <v>10</v>
      </c>
      <c r="AL644" s="168">
        <v>2190</v>
      </c>
      <c r="AM644" s="169">
        <v>1.0999999999999999</v>
      </c>
      <c r="AN644" s="167">
        <v>5.46</v>
      </c>
      <c r="AO644" s="170">
        <f t="shared" si="169"/>
        <v>-38.910458059722046</v>
      </c>
      <c r="AP644" s="171">
        <f t="shared" si="170"/>
        <v>17.030718410866196</v>
      </c>
      <c r="AQ644" s="172">
        <f t="shared" si="171"/>
        <v>138.61199943529621</v>
      </c>
      <c r="AR644" s="157">
        <f>INDEX([1]Historical!$C$7:$C$1231,MATCH(B644,[1]Historical!$B$7:$B$1253,0))*IF(AH644="n/a",1.03,IF(AH644&lt;0,1.01,IF(AH644&gt;10,1.1,(1+AH644/100))))</f>
        <v>0.92400000000000004</v>
      </c>
      <c r="AS644" s="166">
        <f t="shared" si="172"/>
        <v>1.0164000000000002</v>
      </c>
      <c r="AT644" s="166">
        <f t="shared" si="179"/>
        <v>1.1180400000000004</v>
      </c>
      <c r="AU644" s="166">
        <f t="shared" si="179"/>
        <v>1.2298440000000006</v>
      </c>
      <c r="AV644" s="166">
        <f t="shared" si="179"/>
        <v>1.3528284000000008</v>
      </c>
      <c r="AW644" s="157">
        <f t="shared" si="174"/>
        <v>5.6411124000000026</v>
      </c>
      <c r="AX644" s="173">
        <f t="shared" si="175"/>
        <v>19.772563617245016</v>
      </c>
      <c r="AY644" s="174">
        <v>1.35</v>
      </c>
      <c r="AZ644" s="169">
        <v>36.25</v>
      </c>
      <c r="BA644" s="169">
        <v>-19.29</v>
      </c>
      <c r="BB644" s="169">
        <v>19.079999999999998</v>
      </c>
      <c r="BC644" s="169">
        <v>6.11</v>
      </c>
      <c r="BD644" s="100"/>
      <c r="BE644" s="77">
        <v>2012</v>
      </c>
      <c r="BF644" s="77">
        <f t="shared" si="176"/>
        <v>1</v>
      </c>
      <c r="BG644" s="175">
        <v>1.9</v>
      </c>
      <c r="BH644" t="s">
        <v>939</v>
      </c>
      <c r="BI644" t="s">
        <v>940</v>
      </c>
      <c r="BJ644"/>
      <c r="BK644"/>
      <c r="BL644"/>
    </row>
    <row r="645" spans="1:64" s="112" customFormat="1" ht="12.75" customHeight="1" x14ac:dyDescent="0.2">
      <c r="A645" s="176" t="s">
        <v>1670</v>
      </c>
      <c r="B645" s="239" t="s">
        <v>558</v>
      </c>
      <c r="C645" s="154" t="s">
        <v>947</v>
      </c>
      <c r="D645" s="154" t="s">
        <v>948</v>
      </c>
      <c r="E645" s="155">
        <v>12</v>
      </c>
      <c r="F645" s="298">
        <v>381</v>
      </c>
      <c r="G645" s="298" t="s">
        <v>88</v>
      </c>
      <c r="H645" s="298" t="s">
        <v>88</v>
      </c>
      <c r="I645" s="156">
        <v>57.14</v>
      </c>
      <c r="J645" s="157">
        <f t="shared" si="162"/>
        <v>2.8001400070003504</v>
      </c>
      <c r="K645" s="158">
        <v>0.4</v>
      </c>
      <c r="L645" s="126">
        <v>4</v>
      </c>
      <c r="M645" s="82">
        <f t="shared" si="163"/>
        <v>1.6</v>
      </c>
      <c r="N645" s="159" t="s">
        <v>296</v>
      </c>
      <c r="O645" s="160">
        <v>0.34</v>
      </c>
      <c r="P645" s="161">
        <v>44833</v>
      </c>
      <c r="Q645" s="161">
        <v>44848</v>
      </c>
      <c r="R645" s="82">
        <f t="shared" si="164"/>
        <v>17.647058823529409</v>
      </c>
      <c r="S645" s="162">
        <f>IF(INDEX([1]Historical!$D$7:$D$1229,MATCH(B645,[1]Historical!$B$7:$B$1253,0))=0,"n/a",(INDEX([1]Historical!$C$7:$C$1231,MATCH(B645,[1]Historical!$B$7:$B$1253,0))/INDEX([1]Historical!$D$7:$D$1229,MATCH(B645,[1]Historical!$B$7:$B$1253,0))-1)*100)</f>
        <v>9.9999999999999858</v>
      </c>
      <c r="T645" s="162">
        <f>IF(INDEX([1]Historical!$F$7:$F$1222,MATCH(B645,[1]Historical!$B$7:$B$1253,0))=0,"n/a",((INDEX([1]Historical!$C$7:$C$1231,MATCH(B645,[1]Historical!$B$7:$B$1253,0))/INDEX([1]Historical!$F$7:$F$1222,MATCH(B645,[1]Historical!$B$7:$B$1253,0)))^(1/3)-1)*100)</f>
        <v>10.369130283278437</v>
      </c>
      <c r="U645" s="162">
        <f>IF(INDEX([1]Historical!$H$7:$H$1222,MATCH(B645,[1]Historical!$B$7:$B$1253,0))=0,"n/a",((INDEX([1]Historical!$C$7:$C$1231,MATCH(B645,[1]Historical!$B$7:$B$1253,0))/INDEX([1]Historical!$H$7:$H$1222,MATCH(B645,[1]Historical!$B$7:$B$1253,0)))^(1/5)-1)*100)</f>
        <v>9.7474291467755769</v>
      </c>
      <c r="V645" s="162">
        <f>IF(INDEX([1]Historical!$N$7:$N$1222,MATCH(B645,[1]Historical!$B$7:$B$1253,0))=0,"n/a",((INDEX([1]Historical!$C$7:$C$1231,MATCH(B645,[1]Historical!$B$7:$B$1253,0))/INDEX([1]Historical!$N$7:$N$1222,MATCH(B645,[1]Historical!$B$7:$B$1253,0)))^(1/10)-1)*100)</f>
        <v>14.965203277566186</v>
      </c>
      <c r="W645" s="163">
        <f t="shared" si="165"/>
        <v>0.65133957527911479</v>
      </c>
      <c r="X645" s="164">
        <f t="shared" si="166"/>
        <v>0.26487579203194506</v>
      </c>
      <c r="Y645" s="178"/>
      <c r="Z645" s="157">
        <f t="shared" si="167"/>
        <v>70.175438596491233</v>
      </c>
      <c r="AA645" s="166">
        <f t="shared" si="168"/>
        <v>25.061403508771932</v>
      </c>
      <c r="AB645" s="126">
        <v>12</v>
      </c>
      <c r="AC645" s="167">
        <v>2.2799999999999998</v>
      </c>
      <c r="AD645" s="167">
        <v>2.5099999999999998</v>
      </c>
      <c r="AE645" s="167">
        <v>16.98</v>
      </c>
      <c r="AF645" s="167">
        <v>2.02</v>
      </c>
      <c r="AG645" s="167">
        <v>8.5</v>
      </c>
      <c r="AH645" s="167">
        <v>5.4</v>
      </c>
      <c r="AI645" s="167">
        <v>-29.34</v>
      </c>
      <c r="AJ645" s="167">
        <v>36.799999999999997</v>
      </c>
      <c r="AK645" s="167">
        <v>10</v>
      </c>
      <c r="AL645" s="168">
        <v>4200</v>
      </c>
      <c r="AM645" s="169">
        <v>1.9</v>
      </c>
      <c r="AN645" s="167">
        <v>0.34</v>
      </c>
      <c r="AO645" s="170">
        <f t="shared" si="169"/>
        <v>-12.513834354996003</v>
      </c>
      <c r="AP645" s="171">
        <f t="shared" si="170"/>
        <v>12.547569153775928</v>
      </c>
      <c r="AQ645" s="172">
        <f t="shared" si="171"/>
        <v>49.998570493513263</v>
      </c>
      <c r="AR645" s="157">
        <f>INDEX([1]Historical!$C$7:$C$1231,MATCH(B645,[1]Historical!$B$7:$B$1253,0))*IF(AH645="n/a",1.03,IF(AH645&lt;0,1.01,IF(AH645&gt;10,1.1,(1+AH645/100))))</f>
        <v>1.2753399999999999</v>
      </c>
      <c r="AS645" s="166">
        <f t="shared" si="172"/>
        <v>1.2880933999999999</v>
      </c>
      <c r="AT645" s="166">
        <f t="shared" si="179"/>
        <v>1.41690274</v>
      </c>
      <c r="AU645" s="166">
        <f t="shared" si="179"/>
        <v>1.5585930140000002</v>
      </c>
      <c r="AV645" s="166">
        <f t="shared" si="179"/>
        <v>1.7144523154000004</v>
      </c>
      <c r="AW645" s="157">
        <f t="shared" si="174"/>
        <v>7.2533814694000007</v>
      </c>
      <c r="AX645" s="173">
        <f t="shared" si="175"/>
        <v>12.694052274063704</v>
      </c>
      <c r="AY645" s="174">
        <v>0.81</v>
      </c>
      <c r="AZ645" s="169">
        <v>13.459999999999999</v>
      </c>
      <c r="BA645" s="169">
        <v>-33.56</v>
      </c>
      <c r="BB645" s="169">
        <v>-0.25</v>
      </c>
      <c r="BC645" s="169">
        <v>-11.129999999999999</v>
      </c>
      <c r="BD645" s="100"/>
      <c r="BE645" s="77">
        <v>2011</v>
      </c>
      <c r="BF645" s="77">
        <f t="shared" si="176"/>
        <v>1</v>
      </c>
      <c r="BG645" s="175">
        <v>6</v>
      </c>
      <c r="BH645" t="s">
        <v>939</v>
      </c>
      <c r="BI645" t="s">
        <v>945</v>
      </c>
      <c r="BJ645"/>
      <c r="BK645"/>
      <c r="BL645"/>
    </row>
    <row r="646" spans="1:64" s="112" customFormat="1" ht="12.75" customHeight="1" x14ac:dyDescent="0.2">
      <c r="A646" s="176" t="s">
        <v>1671</v>
      </c>
      <c r="B646" s="239" t="s">
        <v>470</v>
      </c>
      <c r="C646" s="154" t="s">
        <v>90</v>
      </c>
      <c r="D646" s="154" t="s">
        <v>972</v>
      </c>
      <c r="E646" s="155">
        <v>36</v>
      </c>
      <c r="F646" s="298">
        <v>77</v>
      </c>
      <c r="G646" s="298" t="s">
        <v>88</v>
      </c>
      <c r="H646" s="298" t="s">
        <v>88</v>
      </c>
      <c r="I646" s="167">
        <v>106.16</v>
      </c>
      <c r="J646" s="157">
        <f t="shared" si="162"/>
        <v>4.5214770158251696</v>
      </c>
      <c r="K646" s="209">
        <v>1.2</v>
      </c>
      <c r="L646" s="126">
        <v>4</v>
      </c>
      <c r="M646" s="82">
        <f t="shared" si="163"/>
        <v>4.8</v>
      </c>
      <c r="N646" s="159" t="s">
        <v>119</v>
      </c>
      <c r="O646" s="210">
        <v>1.08</v>
      </c>
      <c r="P646" s="161">
        <v>44634</v>
      </c>
      <c r="Q646" s="161">
        <v>44650</v>
      </c>
      <c r="R646" s="82">
        <f t="shared" si="164"/>
        <v>11.1111111111111</v>
      </c>
      <c r="S646" s="162">
        <f>IF(INDEX([1]Historical!$D$7:$D$1229,MATCH(B646,[1]Historical!$B$7:$B$1253,0))=0,"n/a",(INDEX([1]Historical!$C$7:$C$1231,MATCH(B646,[1]Historical!$B$7:$B$1253,0))/INDEX([1]Historical!$D$7:$D$1229,MATCH(B646,[1]Historical!$B$7:$B$1253,0))-1)*100)</f>
        <v>19.999999999999996</v>
      </c>
      <c r="T646" s="162">
        <f>IF(INDEX([1]Historical!$F$7:$F$1222,MATCH(B646,[1]Historical!$B$7:$B$1253,0))=0,"n/a",((INDEX([1]Historical!$C$7:$C$1231,MATCH(B646,[1]Historical!$B$7:$B$1253,0))/INDEX([1]Historical!$F$7:$F$1222,MATCH(B646,[1]Historical!$B$7:$B$1253,0)))^(1/3)-1)*100)</f>
        <v>15.551407133250738</v>
      </c>
      <c r="U646" s="162">
        <f>IF(INDEX([1]Historical!$H$7:$H$1222,MATCH(B646,[1]Historical!$B$7:$B$1253,0))=0,"n/a",((INDEX([1]Historical!$C$7:$C$1231,MATCH(B646,[1]Historical!$B$7:$B$1253,0))/INDEX([1]Historical!$H$7:$H$1222,MATCH(B646,[1]Historical!$B$7:$B$1253,0)))^(1/5)-1)*100)</f>
        <v>14.869835499703509</v>
      </c>
      <c r="V646" s="162">
        <f>IF(INDEX([1]Historical!$N$7:$N$1222,MATCH(B646,[1]Historical!$B$7:$B$1253,0))=0,"n/a",((INDEX([1]Historical!$C$7:$C$1231,MATCH(B646,[1]Historical!$B$7:$B$1253,0))/INDEX([1]Historical!$N$7:$N$1222,MATCH(B646,[1]Historical!$B$7:$B$1253,0)))^(1/10)-1)*100)</f>
        <v>13.293816279458316</v>
      </c>
      <c r="W646" s="163">
        <f t="shared" si="165"/>
        <v>1.1185528058395442</v>
      </c>
      <c r="X646" s="164">
        <f t="shared" si="166"/>
        <v>0.66088157776460044</v>
      </c>
      <c r="Y646" s="165"/>
      <c r="Z646" s="157">
        <f t="shared" si="167"/>
        <v>46.332046332046332</v>
      </c>
      <c r="AA646" s="166">
        <f t="shared" si="168"/>
        <v>10.247104247104247</v>
      </c>
      <c r="AB646" s="126">
        <v>12</v>
      </c>
      <c r="AC646" s="167">
        <v>10.36</v>
      </c>
      <c r="AD646" s="167" t="s">
        <v>95</v>
      </c>
      <c r="AE646" s="167">
        <v>3.3</v>
      </c>
      <c r="AF646" s="167">
        <v>2.75</v>
      </c>
      <c r="AG646" s="167">
        <v>22.1</v>
      </c>
      <c r="AH646" s="167">
        <v>31.5</v>
      </c>
      <c r="AI646" s="167">
        <v>-8.2900000000000009</v>
      </c>
      <c r="AJ646" s="167">
        <v>22.5</v>
      </c>
      <c r="AK646" s="167" t="s">
        <v>95</v>
      </c>
      <c r="AL646" s="168">
        <v>24070</v>
      </c>
      <c r="AM646" s="169">
        <v>0.4</v>
      </c>
      <c r="AN646" s="167">
        <v>0</v>
      </c>
      <c r="AO646" s="170">
        <f t="shared" si="169"/>
        <v>9.1442082684244319</v>
      </c>
      <c r="AP646" s="171">
        <f t="shared" si="170"/>
        <v>19.391312515528679</v>
      </c>
      <c r="AQ646" s="172">
        <f t="shared" si="171"/>
        <v>11.911744353479371</v>
      </c>
      <c r="AR646" s="157">
        <f>INDEX([1]Historical!$C$7:$C$1231,MATCH(B646,[1]Historical!$B$7:$B$1253,0))*IF(AH646="n/a",1.03,IF(AH646&lt;0,1.01,IF(AH646&gt;10,1.1,(1+AH646/100))))</f>
        <v>4.7520000000000007</v>
      </c>
      <c r="AS646" s="166">
        <f t="shared" si="172"/>
        <v>4.7995200000000011</v>
      </c>
      <c r="AT646" s="166">
        <f t="shared" si="179"/>
        <v>4.9435056000000017</v>
      </c>
      <c r="AU646" s="166">
        <f t="shared" si="179"/>
        <v>5.091810768000002</v>
      </c>
      <c r="AV646" s="166">
        <f t="shared" si="179"/>
        <v>5.2445650910400019</v>
      </c>
      <c r="AW646" s="157">
        <f t="shared" si="174"/>
        <v>24.831401459040009</v>
      </c>
      <c r="AX646" s="173">
        <f t="shared" si="175"/>
        <v>23.390543951620206</v>
      </c>
      <c r="AY646" s="174">
        <v>1.28</v>
      </c>
      <c r="AZ646" s="169">
        <v>13.5</v>
      </c>
      <c r="BA646" s="169">
        <v>-52.470000000000006</v>
      </c>
      <c r="BB646" s="169">
        <v>-5.18</v>
      </c>
      <c r="BC646" s="169">
        <v>-17.29</v>
      </c>
      <c r="BD646" s="100"/>
      <c r="BE646" s="77">
        <v>1987</v>
      </c>
      <c r="BF646" s="77">
        <f t="shared" si="176"/>
        <v>4</v>
      </c>
      <c r="BG646" s="175">
        <v>16.3</v>
      </c>
      <c r="BH646" t="s">
        <v>939</v>
      </c>
      <c r="BI646" t="s">
        <v>940</v>
      </c>
      <c r="BJ646"/>
      <c r="BK646"/>
      <c r="BL646"/>
    </row>
    <row r="647" spans="1:64" s="112" customFormat="1" ht="12.75" customHeight="1" x14ac:dyDescent="0.2">
      <c r="A647" s="205" t="s">
        <v>1203</v>
      </c>
      <c r="B647" s="239" t="s">
        <v>1204</v>
      </c>
      <c r="C647" s="154" t="s">
        <v>94</v>
      </c>
      <c r="D647" s="154" t="s">
        <v>962</v>
      </c>
      <c r="E647" s="155">
        <v>6</v>
      </c>
      <c r="F647" s="298">
        <v>651</v>
      </c>
      <c r="G647" s="298" t="s">
        <v>88</v>
      </c>
      <c r="H647" s="298" t="s">
        <v>88</v>
      </c>
      <c r="I647" s="156">
        <v>60.69</v>
      </c>
      <c r="J647" s="157">
        <f t="shared" ref="J647:J710" si="180">(M647/I647)*100</f>
        <v>4.2840665678035927</v>
      </c>
      <c r="K647" s="158">
        <v>0.65</v>
      </c>
      <c r="L647" s="126">
        <v>4</v>
      </c>
      <c r="M647" s="82">
        <f t="shared" ref="M647:M710" si="181">K647*L647</f>
        <v>2.6</v>
      </c>
      <c r="N647" s="159" t="s">
        <v>156</v>
      </c>
      <c r="O647" s="160">
        <v>0.56999999999999995</v>
      </c>
      <c r="P647" s="161">
        <v>44538</v>
      </c>
      <c r="Q647" s="161">
        <v>44553</v>
      </c>
      <c r="R647" s="82">
        <f t="shared" ref="R647:R710" si="182">(K647-O647)/O647*100</f>
        <v>14.035087719298259</v>
      </c>
      <c r="S647" s="162">
        <f>IF(INDEX([1]Historical!$D$7:$D$1229,MATCH(B647,[1]Historical!$B$7:$B$1253,0))=0,"n/a",(INDEX([1]Historical!$C$7:$C$1231,MATCH(B647,[1]Historical!$B$7:$B$1253,0))/INDEX([1]Historical!$D$7:$D$1229,MATCH(B647,[1]Historical!$B$7:$B$1253,0))-1)*100)</f>
        <v>10.7981220657277</v>
      </c>
      <c r="T647" s="162">
        <f>IF(INDEX([1]Historical!$F$7:$F$1222,MATCH(B647,[1]Historical!$B$7:$B$1253,0))=0,"n/a",((INDEX([1]Historical!$C$7:$C$1231,MATCH(B647,[1]Historical!$B$7:$B$1253,0))/INDEX([1]Historical!$F$7:$F$1222,MATCH(B647,[1]Historical!$B$7:$B$1253,0)))^(1/3)-1)*100)</f>
        <v>5.4966450190959248</v>
      </c>
      <c r="U647" s="162">
        <f>IF(INDEX([1]Historical!$H$7:$H$1222,MATCH(B647,[1]Historical!$B$7:$B$1253,0))=0,"n/a",((INDEX([1]Historical!$C$7:$C$1231,MATCH(B647,[1]Historical!$B$7:$B$1253,0))/INDEX([1]Historical!$H$7:$H$1222,MATCH(B647,[1]Historical!$B$7:$B$1253,0)))^(1/5)-1)*100)</f>
        <v>21.264560951279755</v>
      </c>
      <c r="V647" s="162" t="str">
        <f>IF(INDEX([1]Historical!$N$7:$N$1222,MATCH(B647,[1]Historical!$B$7:$B$1253,0))=0,"n/a",((INDEX([1]Historical!$C$7:$C$1231,MATCH(B647,[1]Historical!$B$7:$B$1253,0))/INDEX([1]Historical!$N$7:$N$1222,MATCH(B647,[1]Historical!$B$7:$B$1253,0)))^(1/10)-1)*100)</f>
        <v>n/a</v>
      </c>
      <c r="W647" s="163" t="str">
        <f t="shared" ref="W647:W710" si="183">IF(OR(U647&lt;=0,U647="n/a",V647&lt;=0,V647="n/a"),"n/a",U647/V647)</f>
        <v>n/a</v>
      </c>
      <c r="X647" s="164">
        <f t="shared" ref="X647:X710" si="184">IF(OR(AJ647&lt;=0,AJ647="n/a",U647&lt;=0,U647="n/a"),"n/a",U647/AJ647)</f>
        <v>0.21285846798077832</v>
      </c>
      <c r="Y647" s="180"/>
      <c r="Z647" s="157">
        <f t="shared" ref="Z647:Z710" si="185">IF(OR(AC647&lt;0.01,AC647="n/a"),"n/a",M647/AC647*100)</f>
        <v>25.565388397246807</v>
      </c>
      <c r="AA647" s="166">
        <f t="shared" ref="AA647:AA710" si="186">IF(OR(AC647&lt;0.01,AC647="n/a"),"n/a",I647/AC647)</f>
        <v>5.9675516224188785</v>
      </c>
      <c r="AB647" s="126">
        <v>12</v>
      </c>
      <c r="AC647" s="167">
        <v>10.17</v>
      </c>
      <c r="AD647" s="167">
        <v>0.59</v>
      </c>
      <c r="AE647" s="167">
        <v>2.04</v>
      </c>
      <c r="AF647" s="167">
        <v>1.51</v>
      </c>
      <c r="AG647" s="167">
        <v>27.800000000000004</v>
      </c>
      <c r="AH647" s="167">
        <v>73.7</v>
      </c>
      <c r="AI647" s="167">
        <v>-5.56</v>
      </c>
      <c r="AJ647" s="167">
        <v>99.9</v>
      </c>
      <c r="AK647" s="167">
        <v>10</v>
      </c>
      <c r="AL647" s="168">
        <v>3720</v>
      </c>
      <c r="AM647" s="169">
        <v>0.1</v>
      </c>
      <c r="AN647" s="167">
        <v>3.31</v>
      </c>
      <c r="AO647" s="170">
        <f t="shared" ref="AO647:AO710" si="187">IF(U647="n/a","n/a",IF(AA647&lt;0,"n/a",IF(AA647="n/a","n/a",J647+U647-AA647)))</f>
        <v>19.581075896664469</v>
      </c>
      <c r="AP647" s="171">
        <f t="shared" ref="AP647:AP710" si="188">IF(U647="n/a","n/a",J647+U647)</f>
        <v>25.548627519083347</v>
      </c>
      <c r="AQ647" s="172">
        <f t="shared" ref="AQ647:AQ710" si="189">IF(OR(AC647&lt;0.01,AC647="n/a",AF647="n/a"),"n/a",(I647/SQRT(22.5*AC647*(I647/AF647))-1)*100)</f>
        <v>-36.715798180474401</v>
      </c>
      <c r="AR647" s="157">
        <f>INDEX([1]Historical!$C$7:$C$1231,MATCH(B647,[1]Historical!$B$7:$B$1253,0))*IF(AH647="n/a",1.03,IF(AH647&lt;0,1.01,IF(AH647&gt;10,1.1,(1+AH647/100))))</f>
        <v>2.5960000000000001</v>
      </c>
      <c r="AS647" s="166">
        <f t="shared" ref="AS647:AS710" si="190">IF($AI647="n/a",1.03*AR647,IF($AI647&lt;0,1.01*AR647,IF($AI647&gt;10,1.1*AR647,(1+$AI647/100)*AR647)))</f>
        <v>2.6219600000000001</v>
      </c>
      <c r="AT647" s="166">
        <f t="shared" ref="AT647:AV662" si="191">IF($AK647="n/a",1.03*AS647,IF($AK647&lt;0,1.01*AS647,IF($AK647&gt;10,1.1*AS647,(1+$AK647/100)*AS647)))</f>
        <v>2.8841560000000004</v>
      </c>
      <c r="AU647" s="166">
        <f t="shared" si="191"/>
        <v>3.1725716000000008</v>
      </c>
      <c r="AV647" s="166">
        <f t="shared" si="191"/>
        <v>3.4898287600000013</v>
      </c>
      <c r="AW647" s="157">
        <f t="shared" ref="AW647:AW710" si="192">SUM(AR647:AV647)</f>
        <v>14.764516360000004</v>
      </c>
      <c r="AX647" s="173">
        <f t="shared" ref="AX647:AX710" si="193">AW647/I647*100</f>
        <v>24.327758049101998</v>
      </c>
      <c r="AY647" s="174">
        <v>1.46</v>
      </c>
      <c r="AZ647" s="169">
        <v>24.77</v>
      </c>
      <c r="BA647" s="169">
        <v>-16.100000000000001</v>
      </c>
      <c r="BB647" s="169">
        <v>3.15</v>
      </c>
      <c r="BC647" s="169">
        <v>-0.8</v>
      </c>
      <c r="BD647" s="100"/>
      <c r="BE647" s="77">
        <v>2016</v>
      </c>
      <c r="BF647" s="77">
        <f t="shared" ref="BF647:BF710" si="194">IF(BE647&gt;2020,0,IF(BE647&gt;2008,1,IF(BE647&gt;2001,2,IF(BE647&gt;1990,3,IF(BE647&gt;1980,4,IF(BE647&gt;1973,5,IF(BE647&gt;1970,6,IF(BE647&gt;1960,7,IF(BE647&gt;1958,8,IF(BE647&gt;1953,9,10))))))))))</f>
        <v>1</v>
      </c>
      <c r="BG647" s="175">
        <v>5.3</v>
      </c>
      <c r="BH647" t="s">
        <v>939</v>
      </c>
      <c r="BI647" t="s">
        <v>940</v>
      </c>
    </row>
    <row r="648" spans="1:64" s="112" customFormat="1" ht="12.75" customHeight="1" x14ac:dyDescent="0.2">
      <c r="A648" s="176" t="s">
        <v>1672</v>
      </c>
      <c r="B648" s="239" t="s">
        <v>778</v>
      </c>
      <c r="C648" s="154" t="s">
        <v>90</v>
      </c>
      <c r="D648" s="154" t="s">
        <v>969</v>
      </c>
      <c r="E648" s="155">
        <v>10</v>
      </c>
      <c r="F648" s="298">
        <v>476</v>
      </c>
      <c r="G648" s="298" t="s">
        <v>88</v>
      </c>
      <c r="H648" s="298" t="s">
        <v>88</v>
      </c>
      <c r="I648" s="156">
        <v>63.16</v>
      </c>
      <c r="J648" s="157">
        <f t="shared" si="180"/>
        <v>2.1532615579480687</v>
      </c>
      <c r="K648" s="158">
        <v>0.34</v>
      </c>
      <c r="L648" s="126">
        <v>4</v>
      </c>
      <c r="M648" s="82">
        <f t="shared" si="181"/>
        <v>1.36</v>
      </c>
      <c r="N648" s="159" t="s">
        <v>628</v>
      </c>
      <c r="O648" s="160">
        <v>0.3</v>
      </c>
      <c r="P648" s="161">
        <v>44628</v>
      </c>
      <c r="Q648" s="161">
        <v>44645</v>
      </c>
      <c r="R648" s="82">
        <f t="shared" si="182"/>
        <v>13.333333333333346</v>
      </c>
      <c r="S648" s="162">
        <f>IF(INDEX([1]Historical!$D$7:$D$1229,MATCH(B648,[1]Historical!$B$7:$B$1253,0))=0,"n/a",(INDEX([1]Historical!$C$7:$C$1231,MATCH(B648,[1]Historical!$B$7:$B$1253,0))/INDEX([1]Historical!$D$7:$D$1229,MATCH(B648,[1]Historical!$B$7:$B$1253,0))-1)*100)</f>
        <v>7.1428571428571397</v>
      </c>
      <c r="T648" s="162">
        <f>IF(INDEX([1]Historical!$F$7:$F$1222,MATCH(B648,[1]Historical!$B$7:$B$1253,0))=0,"n/a",((INDEX([1]Historical!$C$7:$C$1231,MATCH(B648,[1]Historical!$B$7:$B$1253,0))/INDEX([1]Historical!$F$7:$F$1222,MATCH(B648,[1]Historical!$B$7:$B$1253,0)))^(1/3)-1)*100)</f>
        <v>10.891823393038823</v>
      </c>
      <c r="U648" s="162">
        <f>IF(INDEX([1]Historical!$H$7:$H$1222,MATCH(B648,[1]Historical!$B$7:$B$1253,0))=0,"n/a",((INDEX([1]Historical!$C$7:$C$1231,MATCH(B648,[1]Historical!$B$7:$B$1253,0))/INDEX([1]Historical!$H$7:$H$1222,MATCH(B648,[1]Historical!$B$7:$B$1253,0)))^(1/5)-1)*100)</f>
        <v>10.756634324829006</v>
      </c>
      <c r="V648" s="162" t="str">
        <f>IF(INDEX([1]Historical!$N$7:$N$1222,MATCH(B648,[1]Historical!$B$7:$B$1253,0))=0,"n/a",((INDEX([1]Historical!$C$7:$C$1231,MATCH(B648,[1]Historical!$B$7:$B$1253,0))/INDEX([1]Historical!$N$7:$N$1222,MATCH(B648,[1]Historical!$B$7:$B$1253,0)))^(1/10)-1)*100)</f>
        <v>n/a</v>
      </c>
      <c r="W648" s="163" t="str">
        <f t="shared" si="183"/>
        <v>n/a</v>
      </c>
      <c r="X648" s="164" t="str">
        <f t="shared" si="184"/>
        <v>n/a</v>
      </c>
      <c r="Y648" s="244"/>
      <c r="Z648" s="157" t="str">
        <f t="shared" si="185"/>
        <v>n/a</v>
      </c>
      <c r="AA648" s="166" t="str">
        <f t="shared" si="186"/>
        <v>n/a</v>
      </c>
      <c r="AB648" s="126">
        <v>12</v>
      </c>
      <c r="AC648" s="167" t="s">
        <v>95</v>
      </c>
      <c r="AD648" s="167" t="s">
        <v>95</v>
      </c>
      <c r="AE648" s="167" t="s">
        <v>95</v>
      </c>
      <c r="AF648" s="167" t="s">
        <v>95</v>
      </c>
      <c r="AG648" s="167" t="s">
        <v>95</v>
      </c>
      <c r="AH648" s="167" t="s">
        <v>95</v>
      </c>
      <c r="AI648" s="167" t="s">
        <v>95</v>
      </c>
      <c r="AJ648" s="167" t="s">
        <v>95</v>
      </c>
      <c r="AK648" s="167" t="s">
        <v>95</v>
      </c>
      <c r="AL648" s="168" t="s">
        <v>95</v>
      </c>
      <c r="AM648" s="169" t="s">
        <v>95</v>
      </c>
      <c r="AN648" s="167" t="s">
        <v>95</v>
      </c>
      <c r="AO648" s="170" t="str">
        <f t="shared" si="187"/>
        <v>n/a</v>
      </c>
      <c r="AP648" s="171">
        <f t="shared" si="188"/>
        <v>12.909895882777075</v>
      </c>
      <c r="AQ648" s="172" t="str">
        <f t="shared" si="189"/>
        <v>n/a</v>
      </c>
      <c r="AR648" s="157">
        <f>INDEX([1]Historical!$C$7:$C$1231,MATCH(B648,[1]Historical!$B$7:$B$1253,0))*IF(AH648="n/a",1.03,IF(AH648&lt;0,1.01,IF(AH648&gt;10,1.1,(1+AH648/100))))</f>
        <v>1.236</v>
      </c>
      <c r="AS648" s="166">
        <f t="shared" si="190"/>
        <v>1.27308</v>
      </c>
      <c r="AT648" s="166">
        <f t="shared" si="191"/>
        <v>1.3112724</v>
      </c>
      <c r="AU648" s="166">
        <f t="shared" si="191"/>
        <v>1.3506105720000001</v>
      </c>
      <c r="AV648" s="166">
        <f t="shared" si="191"/>
        <v>1.3911288891600002</v>
      </c>
      <c r="AW648" s="157">
        <f t="shared" si="192"/>
        <v>6.5620918611599999</v>
      </c>
      <c r="AX648" s="173">
        <f t="shared" si="193"/>
        <v>10.38963245908803</v>
      </c>
      <c r="AY648" s="174" t="s">
        <v>95</v>
      </c>
      <c r="AZ648" s="169" t="s">
        <v>95</v>
      </c>
      <c r="BA648" s="169" t="s">
        <v>95</v>
      </c>
      <c r="BB648" s="169" t="s">
        <v>95</v>
      </c>
      <c r="BC648" s="169" t="s">
        <v>95</v>
      </c>
      <c r="BD648" s="100" t="s">
        <v>932</v>
      </c>
      <c r="BE648" s="77">
        <v>2013</v>
      </c>
      <c r="BF648" s="77">
        <f t="shared" si="194"/>
        <v>1</v>
      </c>
      <c r="BG648" s="175" t="s">
        <v>95</v>
      </c>
      <c r="BH648" t="s">
        <v>939</v>
      </c>
      <c r="BI648" t="s">
        <v>940</v>
      </c>
      <c r="BJ648"/>
      <c r="BK648"/>
      <c r="BL648"/>
    </row>
    <row r="649" spans="1:64" s="112" customFormat="1" ht="12.75" customHeight="1" x14ac:dyDescent="0.2">
      <c r="A649" s="176" t="s">
        <v>1673</v>
      </c>
      <c r="B649" s="239" t="s">
        <v>483</v>
      </c>
      <c r="C649" s="154" t="s">
        <v>90</v>
      </c>
      <c r="D649" s="154" t="s">
        <v>110</v>
      </c>
      <c r="E649" s="155">
        <v>18</v>
      </c>
      <c r="F649" s="298">
        <v>217</v>
      </c>
      <c r="G649" s="298" t="s">
        <v>104</v>
      </c>
      <c r="H649" s="298" t="s">
        <v>104</v>
      </c>
      <c r="I649" s="156">
        <v>184.46</v>
      </c>
      <c r="J649" s="157">
        <f t="shared" si="180"/>
        <v>2.0166973869673646</v>
      </c>
      <c r="K649" s="158">
        <v>0.93</v>
      </c>
      <c r="L649" s="126">
        <v>4</v>
      </c>
      <c r="M649" s="82">
        <f t="shared" si="181"/>
        <v>3.72</v>
      </c>
      <c r="N649" s="159" t="s">
        <v>628</v>
      </c>
      <c r="O649" s="160">
        <v>0.88</v>
      </c>
      <c r="P649" s="161">
        <v>44721</v>
      </c>
      <c r="Q649" s="161">
        <v>44742</v>
      </c>
      <c r="R649" s="82">
        <f t="shared" si="182"/>
        <v>5.681818181818187</v>
      </c>
      <c r="S649" s="162">
        <f>IF(INDEX([1]Historical!$D$7:$D$1229,MATCH(B649,[1]Historical!$B$7:$B$1253,0))=0,"n/a",(INDEX([1]Historical!$C$7:$C$1231,MATCH(B649,[1]Historical!$B$7:$B$1253,0))/INDEX([1]Historical!$D$7:$D$1229,MATCH(B649,[1]Historical!$B$7:$B$1253,0))-1)*100)</f>
        <v>3.5608308605341366</v>
      </c>
      <c r="T649" s="162">
        <f>IF(INDEX([1]Historical!$F$7:$F$1222,MATCH(B649,[1]Historical!$B$7:$B$1253,0))=0,"n/a",((INDEX([1]Historical!$C$7:$C$1231,MATCH(B649,[1]Historical!$B$7:$B$1253,0))/INDEX([1]Historical!$F$7:$F$1222,MATCH(B649,[1]Historical!$B$7:$B$1253,0)))^(1/3)-1)*100)</f>
        <v>4.8240494332797423</v>
      </c>
      <c r="U649" s="162">
        <f>IF(INDEX([1]Historical!$H$7:$H$1222,MATCH(B649,[1]Historical!$B$7:$B$1253,0))=0,"n/a",((INDEX([1]Historical!$C$7:$C$1231,MATCH(B649,[1]Historical!$B$7:$B$1253,0))/INDEX([1]Historical!$H$7:$H$1222,MATCH(B649,[1]Historical!$B$7:$B$1253,0)))^(1/5)-1)*100)</f>
        <v>5.9021621896794496</v>
      </c>
      <c r="V649" s="162">
        <f>IF(INDEX([1]Historical!$N$7:$N$1222,MATCH(B649,[1]Historical!$B$7:$B$1253,0))=0,"n/a",((INDEX([1]Historical!$C$7:$C$1231,MATCH(B649,[1]Historical!$B$7:$B$1253,0))/INDEX([1]Historical!$N$7:$N$1222,MATCH(B649,[1]Historical!$B$7:$B$1253,0)))^(1/10)-1)*100)</f>
        <v>8.1789670528565228</v>
      </c>
      <c r="W649" s="163">
        <f t="shared" si="183"/>
        <v>0.72162684499604457</v>
      </c>
      <c r="X649" s="164">
        <f t="shared" si="184"/>
        <v>0.83129044925062678</v>
      </c>
      <c r="Y649" s="153"/>
      <c r="Z649" s="157">
        <f t="shared" si="185"/>
        <v>27.173119065010958</v>
      </c>
      <c r="AA649" s="166">
        <f t="shared" si="186"/>
        <v>13.474068663257853</v>
      </c>
      <c r="AB649" s="126">
        <v>12</v>
      </c>
      <c r="AC649" s="167">
        <v>13.69</v>
      </c>
      <c r="AD649" s="167">
        <v>2.4900000000000002</v>
      </c>
      <c r="AE649" s="167">
        <v>1.1499999999999999</v>
      </c>
      <c r="AF649" s="167">
        <v>2.15</v>
      </c>
      <c r="AG649" s="167">
        <v>13.700000000000001</v>
      </c>
      <c r="AH649" s="167">
        <v>37.799999999999997</v>
      </c>
      <c r="AI649" s="167">
        <v>12.02</v>
      </c>
      <c r="AJ649" s="167">
        <v>7.1</v>
      </c>
      <c r="AK649" s="167">
        <v>5.34</v>
      </c>
      <c r="AL649" s="168">
        <v>41620</v>
      </c>
      <c r="AM649" s="169">
        <v>0.2</v>
      </c>
      <c r="AN649" s="167">
        <v>0.37</v>
      </c>
      <c r="AO649" s="170">
        <f t="shared" si="187"/>
        <v>-5.5552090866110388</v>
      </c>
      <c r="AP649" s="171">
        <f t="shared" si="188"/>
        <v>7.9188595766468142</v>
      </c>
      <c r="AQ649" s="172">
        <f t="shared" si="189"/>
        <v>13.469031753659833</v>
      </c>
      <c r="AR649" s="157">
        <f>INDEX([1]Historical!$C$7:$C$1231,MATCH(B649,[1]Historical!$B$7:$B$1253,0))*IF(AH649="n/a",1.03,IF(AH649&lt;0,1.01,IF(AH649&gt;10,1.1,(1+AH649/100))))</f>
        <v>3.8390000000000004</v>
      </c>
      <c r="AS649" s="166">
        <f t="shared" si="190"/>
        <v>4.222900000000001</v>
      </c>
      <c r="AT649" s="166">
        <f t="shared" si="191"/>
        <v>4.4484028600000007</v>
      </c>
      <c r="AU649" s="166">
        <f t="shared" si="191"/>
        <v>4.6859475727240003</v>
      </c>
      <c r="AV649" s="166">
        <f t="shared" si="191"/>
        <v>4.9361771731074615</v>
      </c>
      <c r="AW649" s="157">
        <f t="shared" si="192"/>
        <v>22.132427605831467</v>
      </c>
      <c r="AX649" s="173">
        <f t="shared" si="193"/>
        <v>11.998497021485127</v>
      </c>
      <c r="AY649" s="174">
        <v>0.65</v>
      </c>
      <c r="AZ649" s="169">
        <v>26.86</v>
      </c>
      <c r="BA649" s="169">
        <v>-1.87</v>
      </c>
      <c r="BB649" s="169">
        <v>12.41</v>
      </c>
      <c r="BC649" s="169">
        <v>8.9499999999999993</v>
      </c>
      <c r="BD649" s="100"/>
      <c r="BE649" s="77">
        <v>2005</v>
      </c>
      <c r="BF649" s="77">
        <f t="shared" si="194"/>
        <v>2</v>
      </c>
      <c r="BG649" s="175">
        <v>2.8000000000000003</v>
      </c>
      <c r="BH649" t="s">
        <v>939</v>
      </c>
      <c r="BI649" t="s">
        <v>940</v>
      </c>
      <c r="BJ649"/>
      <c r="BK649"/>
      <c r="BL649"/>
    </row>
    <row r="650" spans="1:64" s="112" customFormat="1" ht="12.75" customHeight="1" x14ac:dyDescent="0.2">
      <c r="A650" s="176" t="s">
        <v>1674</v>
      </c>
      <c r="B650" s="239" t="s">
        <v>777</v>
      </c>
      <c r="C650" s="154" t="s">
        <v>90</v>
      </c>
      <c r="D650" s="154" t="s">
        <v>959</v>
      </c>
      <c r="E650" s="155">
        <v>10</v>
      </c>
      <c r="F650" s="298">
        <v>468</v>
      </c>
      <c r="G650" s="298" t="s">
        <v>88</v>
      </c>
      <c r="H650" s="298" t="s">
        <v>88</v>
      </c>
      <c r="I650" s="156">
        <v>29.62</v>
      </c>
      <c r="J650" s="157">
        <f t="shared" si="180"/>
        <v>2.9709655638082375</v>
      </c>
      <c r="K650" s="158">
        <v>0.22</v>
      </c>
      <c r="L650" s="126">
        <v>4</v>
      </c>
      <c r="M650" s="82">
        <f t="shared" si="181"/>
        <v>0.88</v>
      </c>
      <c r="N650" s="159" t="s">
        <v>143</v>
      </c>
      <c r="O650" s="160">
        <v>0.21</v>
      </c>
      <c r="P650" s="161">
        <v>44602</v>
      </c>
      <c r="Q650" s="161">
        <v>44617</v>
      </c>
      <c r="R650" s="82">
        <f t="shared" si="182"/>
        <v>4.7619047619047663</v>
      </c>
      <c r="S650" s="162">
        <f>IF(INDEX([1]Historical!$D$7:$D$1229,MATCH(B650,[1]Historical!$B$7:$B$1253,0))=0,"n/a",(INDEX([1]Historical!$C$7:$C$1231,MATCH(B650,[1]Historical!$B$7:$B$1253,0))/INDEX([1]Historical!$D$7:$D$1229,MATCH(B650,[1]Historical!$B$7:$B$1253,0))-1)*100)</f>
        <v>4.9999999999999822</v>
      </c>
      <c r="T650" s="162">
        <f>IF(INDEX([1]Historical!$F$7:$F$1222,MATCH(B650,[1]Historical!$B$7:$B$1253,0))=0,"n/a",((INDEX([1]Historical!$C$7:$C$1231,MATCH(B650,[1]Historical!$B$7:$B$1253,0))/INDEX([1]Historical!$F$7:$F$1222,MATCH(B650,[1]Historical!$B$7:$B$1253,0)))^(1/3)-1)*100)</f>
        <v>17.33438845558204</v>
      </c>
      <c r="U650" s="162">
        <f>IF(INDEX([1]Historical!$H$7:$H$1222,MATCH(B650,[1]Historical!$B$7:$B$1253,0))=0,"n/a",((INDEX([1]Historical!$C$7:$C$1231,MATCH(B650,[1]Historical!$B$7:$B$1253,0))/INDEX([1]Historical!$H$7:$H$1222,MATCH(B650,[1]Historical!$B$7:$B$1253,0)))^(1/5)-1)*100)</f>
        <v>19.828486453496662</v>
      </c>
      <c r="V650" s="162" t="str">
        <f>IF(INDEX([1]Historical!$N$7:$N$1222,MATCH(B650,[1]Historical!$B$7:$B$1253,0))=0,"n/a",((INDEX([1]Historical!$C$7:$C$1231,MATCH(B650,[1]Historical!$B$7:$B$1253,0))/INDEX([1]Historical!$N$7:$N$1222,MATCH(B650,[1]Historical!$B$7:$B$1253,0)))^(1/10)-1)*100)</f>
        <v>n/a</v>
      </c>
      <c r="W650" s="163" t="str">
        <f t="shared" si="183"/>
        <v>n/a</v>
      </c>
      <c r="X650" s="164">
        <f t="shared" si="184"/>
        <v>1.1015825807498145</v>
      </c>
      <c r="Y650" s="165" t="s">
        <v>872</v>
      </c>
      <c r="Z650" s="157">
        <f t="shared" si="185"/>
        <v>32.835820895522389</v>
      </c>
      <c r="AA650" s="166">
        <f t="shared" si="186"/>
        <v>11.052238805970148</v>
      </c>
      <c r="AB650" s="126">
        <v>12</v>
      </c>
      <c r="AC650" s="167">
        <v>2.68</v>
      </c>
      <c r="AD650" s="167">
        <v>0.84</v>
      </c>
      <c r="AE650" s="167">
        <v>4.32</v>
      </c>
      <c r="AF650" s="167">
        <v>1.1299999999999999</v>
      </c>
      <c r="AG650" s="167">
        <v>10.7</v>
      </c>
      <c r="AH650" s="167">
        <v>13.4</v>
      </c>
      <c r="AI650" s="167" t="s">
        <v>95</v>
      </c>
      <c r="AJ650" s="167">
        <v>18</v>
      </c>
      <c r="AK650" s="167">
        <v>13</v>
      </c>
      <c r="AL650" s="168">
        <v>238.79</v>
      </c>
      <c r="AM650" s="169">
        <v>0.8</v>
      </c>
      <c r="AN650" s="167">
        <v>0</v>
      </c>
      <c r="AO650" s="170">
        <f t="shared" si="187"/>
        <v>11.747213211334753</v>
      </c>
      <c r="AP650" s="171">
        <f t="shared" si="188"/>
        <v>22.799452017304901</v>
      </c>
      <c r="AQ650" s="172">
        <f t="shared" si="189"/>
        <v>-25.497114595037274</v>
      </c>
      <c r="AR650" s="157">
        <f>INDEX([1]Historical!$C$7:$C$1231,MATCH(B650,[1]Historical!$B$7:$B$1253,0))*IF(AH650="n/a",1.03,IF(AH650&lt;0,1.01,IF(AH650&gt;10,1.1,(1+AH650/100))))</f>
        <v>0.92400000000000004</v>
      </c>
      <c r="AS650" s="166">
        <f t="shared" si="190"/>
        <v>0.95172000000000012</v>
      </c>
      <c r="AT650" s="166">
        <f t="shared" si="191"/>
        <v>1.0468920000000002</v>
      </c>
      <c r="AU650" s="166">
        <f t="shared" si="191"/>
        <v>1.1515812000000003</v>
      </c>
      <c r="AV650" s="166">
        <f t="shared" si="191"/>
        <v>1.2667393200000003</v>
      </c>
      <c r="AW650" s="157">
        <f t="shared" si="192"/>
        <v>5.3409325200000008</v>
      </c>
      <c r="AX650" s="173">
        <f t="shared" si="193"/>
        <v>18.031507494935855</v>
      </c>
      <c r="AY650" s="174">
        <v>0.93</v>
      </c>
      <c r="AZ650" s="169">
        <v>23.16</v>
      </c>
      <c r="BA650" s="169">
        <v>-0.8</v>
      </c>
      <c r="BB650" s="169">
        <v>7.0000000000000009</v>
      </c>
      <c r="BC650" s="169">
        <v>10.67</v>
      </c>
      <c r="BD650" s="100"/>
      <c r="BE650" s="77">
        <v>2013</v>
      </c>
      <c r="BF650" s="77">
        <f t="shared" si="194"/>
        <v>1</v>
      </c>
      <c r="BG650" s="175">
        <v>1.2</v>
      </c>
      <c r="BH650" t="s">
        <v>939</v>
      </c>
      <c r="BI650" t="s">
        <v>940</v>
      </c>
      <c r="BJ650"/>
      <c r="BK650"/>
      <c r="BL650"/>
    </row>
    <row r="651" spans="1:64" s="112" customFormat="1" ht="12.75" customHeight="1" x14ac:dyDescent="0.2">
      <c r="A651" s="112" t="s">
        <v>481</v>
      </c>
      <c r="B651" s="239" t="s">
        <v>482</v>
      </c>
      <c r="C651" s="154" t="s">
        <v>100</v>
      </c>
      <c r="D651" s="154" t="s">
        <v>989</v>
      </c>
      <c r="E651" s="155">
        <v>13</v>
      </c>
      <c r="F651" s="298">
        <v>277</v>
      </c>
      <c r="G651" s="298" t="s">
        <v>88</v>
      </c>
      <c r="H651" s="298" t="s">
        <v>88</v>
      </c>
      <c r="I651" s="156">
        <v>219.77</v>
      </c>
      <c r="J651" s="157">
        <f t="shared" si="180"/>
        <v>1.6744778632206396</v>
      </c>
      <c r="K651" s="158">
        <v>0.92</v>
      </c>
      <c r="L651" s="126">
        <v>4</v>
      </c>
      <c r="M651" s="82">
        <f t="shared" si="181"/>
        <v>3.68</v>
      </c>
      <c r="N651" s="159" t="s">
        <v>461</v>
      </c>
      <c r="O651" s="160">
        <v>0.52</v>
      </c>
      <c r="P651" s="161">
        <v>44609</v>
      </c>
      <c r="Q651" s="161">
        <v>44628</v>
      </c>
      <c r="R651" s="82">
        <f t="shared" si="182"/>
        <v>76.923076923076934</v>
      </c>
      <c r="S651" s="162">
        <f>IF(INDEX([1]Historical!$D$7:$D$1229,MATCH(B651,[1]Historical!$B$7:$B$1253,0))=0,"n/a",(INDEX([1]Historical!$C$7:$C$1231,MATCH(B651,[1]Historical!$B$7:$B$1253,0))/INDEX([1]Historical!$D$7:$D$1229,MATCH(B651,[1]Historical!$B$7:$B$1253,0))-1)*100)</f>
        <v>38.666666666666671</v>
      </c>
      <c r="T651" s="162">
        <f>IF(INDEX([1]Historical!$F$7:$F$1222,MATCH(B651,[1]Historical!$B$7:$B$1253,0))=0,"n/a",((INDEX([1]Historical!$C$7:$C$1231,MATCH(B651,[1]Historical!$B$7:$B$1253,0))/INDEX([1]Historical!$F$7:$F$1222,MATCH(B651,[1]Historical!$B$7:$B$1253,0)))^(1/3)-1)*100)</f>
        <v>20.123329994304417</v>
      </c>
      <c r="U651" s="162">
        <f>IF(INDEX([1]Historical!$H$7:$H$1222,MATCH(B651,[1]Historical!$B$7:$B$1253,0))=0,"n/a",((INDEX([1]Historical!$C$7:$C$1231,MATCH(B651,[1]Historical!$B$7:$B$1253,0))/INDEX([1]Historical!$H$7:$H$1222,MATCH(B651,[1]Historical!$B$7:$B$1253,0)))^(1/5)-1)*100)</f>
        <v>17.721314133738453</v>
      </c>
      <c r="V651" s="162">
        <f>IF(INDEX([1]Historical!$N$7:$N$1222,MATCH(B651,[1]Historical!$B$7:$B$1253,0))=0,"n/a",((INDEX([1]Historical!$C$7:$C$1231,MATCH(B651,[1]Historical!$B$7:$B$1253,0))/INDEX([1]Historical!$N$7:$N$1222,MATCH(B651,[1]Historical!$B$7:$B$1253,0)))^(1/10)-1)*100)</f>
        <v>25.47652640059659</v>
      </c>
      <c r="W651" s="163">
        <f t="shared" si="183"/>
        <v>0.69559381271551479</v>
      </c>
      <c r="X651" s="164">
        <f t="shared" si="184"/>
        <v>0.82809879129618946</v>
      </c>
      <c r="Y651" s="153"/>
      <c r="Z651" s="157">
        <f t="shared" si="185"/>
        <v>39.956568946796956</v>
      </c>
      <c r="AA651" s="166">
        <f t="shared" si="186"/>
        <v>23.862106406080347</v>
      </c>
      <c r="AB651" s="126">
        <v>12</v>
      </c>
      <c r="AC651" s="167">
        <v>9.2100000000000009</v>
      </c>
      <c r="AD651" s="167">
        <v>2.31</v>
      </c>
      <c r="AE651" s="167">
        <v>1.77</v>
      </c>
      <c r="AF651" s="167">
        <v>13.01</v>
      </c>
      <c r="AG651" s="167">
        <v>51.9</v>
      </c>
      <c r="AH651" s="167">
        <v>35</v>
      </c>
      <c r="AI651" s="167">
        <v>8.9</v>
      </c>
      <c r="AJ651" s="167">
        <v>21.4</v>
      </c>
      <c r="AK651" s="167">
        <v>10.5</v>
      </c>
      <c r="AL651" s="168">
        <v>23900</v>
      </c>
      <c r="AM651" s="169">
        <v>0.1</v>
      </c>
      <c r="AN651" s="167">
        <v>0.54</v>
      </c>
      <c r="AO651" s="170">
        <f t="shared" si="187"/>
        <v>-4.466314409121253</v>
      </c>
      <c r="AP651" s="171">
        <f t="shared" si="188"/>
        <v>19.395791996959094</v>
      </c>
      <c r="AQ651" s="172">
        <f t="shared" si="189"/>
        <v>271.4512106996948</v>
      </c>
      <c r="AR651" s="157">
        <f>INDEX([1]Historical!$C$7:$C$1231,MATCH(B651,[1]Historical!$B$7:$B$1253,0))*IF(AH651="n/a",1.03,IF(AH651&lt;0,1.01,IF(AH651&gt;10,1.1,(1+AH651/100))))</f>
        <v>2.2880000000000003</v>
      </c>
      <c r="AS651" s="166">
        <f t="shared" si="190"/>
        <v>2.4916320000000001</v>
      </c>
      <c r="AT651" s="166">
        <f t="shared" si="191"/>
        <v>2.7407952000000004</v>
      </c>
      <c r="AU651" s="166">
        <f t="shared" si="191"/>
        <v>3.0148747200000008</v>
      </c>
      <c r="AV651" s="166">
        <f t="shared" si="191"/>
        <v>3.316362192000001</v>
      </c>
      <c r="AW651" s="157">
        <f t="shared" si="192"/>
        <v>13.851664112000003</v>
      </c>
      <c r="AX651" s="173">
        <f t="shared" si="193"/>
        <v>6.3028002511716803</v>
      </c>
      <c r="AY651" s="174">
        <v>0.89</v>
      </c>
      <c r="AZ651" s="169">
        <v>32</v>
      </c>
      <c r="BA651" s="169">
        <v>-9.01</v>
      </c>
      <c r="BB651" s="169">
        <v>11.85</v>
      </c>
      <c r="BC651" s="169">
        <v>7.26</v>
      </c>
      <c r="BD651" s="100"/>
      <c r="BE651" s="77">
        <v>2010</v>
      </c>
      <c r="BF651" s="77">
        <f t="shared" si="194"/>
        <v>1</v>
      </c>
      <c r="BG651" s="175">
        <v>12.9</v>
      </c>
      <c r="BH651" t="s">
        <v>939</v>
      </c>
      <c r="BI651" t="s">
        <v>940</v>
      </c>
      <c r="BJ651"/>
      <c r="BK651"/>
      <c r="BL651"/>
    </row>
    <row r="652" spans="1:64" s="112" customFormat="1" ht="12.75" customHeight="1" x14ac:dyDescent="0.2">
      <c r="A652" s="176" t="s">
        <v>1675</v>
      </c>
      <c r="B652" s="239" t="s">
        <v>779</v>
      </c>
      <c r="C652" s="154" t="s">
        <v>127</v>
      </c>
      <c r="D652" s="154" t="s">
        <v>951</v>
      </c>
      <c r="E652" s="155">
        <v>10</v>
      </c>
      <c r="F652" s="298">
        <v>453</v>
      </c>
      <c r="G652" s="298" t="s">
        <v>30</v>
      </c>
      <c r="H652" s="298" t="s">
        <v>104</v>
      </c>
      <c r="I652" s="156">
        <v>68.349999999999994</v>
      </c>
      <c r="J652" s="157">
        <f t="shared" si="180"/>
        <v>2.6920263350402345</v>
      </c>
      <c r="K652" s="158">
        <v>0.46</v>
      </c>
      <c r="L652" s="126">
        <v>4</v>
      </c>
      <c r="M652" s="82">
        <f t="shared" si="181"/>
        <v>1.84</v>
      </c>
      <c r="N652" s="159" t="s">
        <v>167</v>
      </c>
      <c r="O652" s="160">
        <v>0.44500000000000001</v>
      </c>
      <c r="P652" s="224">
        <v>44530</v>
      </c>
      <c r="Q652" s="224">
        <v>44635</v>
      </c>
      <c r="R652" s="82">
        <f t="shared" si="182"/>
        <v>3.3707865168539355</v>
      </c>
      <c r="S652" s="162">
        <f>IF(INDEX([1]Historical!$D$7:$D$1229,MATCH(B652,[1]Historical!$B$7:$B$1253,0))=0,"n/a",(INDEX([1]Historical!$C$7:$C$1231,MATCH(B652,[1]Historical!$B$7:$B$1253,0))/INDEX([1]Historical!$D$7:$D$1229,MATCH(B652,[1]Historical!$B$7:$B$1253,0))-1)*100)</f>
        <v>5.2785923753665642</v>
      </c>
      <c r="T652" s="162">
        <f>IF(INDEX([1]Historical!$F$7:$F$1222,MATCH(B652,[1]Historical!$B$7:$B$1253,0))=0,"n/a",((INDEX([1]Historical!$C$7:$C$1231,MATCH(B652,[1]Historical!$B$7:$B$1253,0))/INDEX([1]Historical!$F$7:$F$1222,MATCH(B652,[1]Historical!$B$7:$B$1253,0)))^(1/3)-1)*100)</f>
        <v>12.077410802873523</v>
      </c>
      <c r="U652" s="162">
        <f>IF(INDEX([1]Historical!$H$7:$H$1222,MATCH(B652,[1]Historical!$B$7:$B$1253,0))=0,"n/a",((INDEX([1]Historical!$C$7:$C$1231,MATCH(B652,[1]Historical!$B$7:$B$1253,0))/INDEX([1]Historical!$H$7:$H$1222,MATCH(B652,[1]Historical!$B$7:$B$1253,0)))^(1/5)-1)*100)</f>
        <v>24.503809661745724</v>
      </c>
      <c r="V652" s="162">
        <f>IF(INDEX([1]Historical!$N$7:$N$1222,MATCH(B652,[1]Historical!$B$7:$B$1253,0))=0,"n/a",((INDEX([1]Historical!$C$7:$C$1231,MATCH(B652,[1]Historical!$B$7:$B$1253,0))/INDEX([1]Historical!$N$7:$N$1222,MATCH(B652,[1]Historical!$B$7:$B$1253,0)))^(1/10)-1)*100)</f>
        <v>27.348679786137311</v>
      </c>
      <c r="W652" s="163">
        <f t="shared" si="183"/>
        <v>0.89597778954457563</v>
      </c>
      <c r="X652" s="164">
        <f t="shared" si="184"/>
        <v>1.8849084355189019</v>
      </c>
      <c r="Y652" s="178"/>
      <c r="Z652" s="157">
        <f t="shared" si="185"/>
        <v>16.502242152466369</v>
      </c>
      <c r="AA652" s="166">
        <f t="shared" si="186"/>
        <v>6.1300448430493271</v>
      </c>
      <c r="AB652" s="126">
        <v>9</v>
      </c>
      <c r="AC652" s="167">
        <v>11.15</v>
      </c>
      <c r="AD652" s="167">
        <v>0.82</v>
      </c>
      <c r="AE652" s="167">
        <v>0.46</v>
      </c>
      <c r="AF652" s="167">
        <v>1.27</v>
      </c>
      <c r="AG652" s="167">
        <v>21.8</v>
      </c>
      <c r="AH652" s="167">
        <v>48</v>
      </c>
      <c r="AI652" s="167">
        <v>-13.91</v>
      </c>
      <c r="AJ652" s="167">
        <v>13</v>
      </c>
      <c r="AK652" s="167">
        <v>7.5</v>
      </c>
      <c r="AL652" s="168">
        <v>24240</v>
      </c>
      <c r="AM652" s="169">
        <v>0.1</v>
      </c>
      <c r="AN652" s="167">
        <v>0.43</v>
      </c>
      <c r="AO652" s="170">
        <f t="shared" si="187"/>
        <v>21.065791153736633</v>
      </c>
      <c r="AP652" s="171">
        <f t="shared" si="188"/>
        <v>27.195835996785959</v>
      </c>
      <c r="AQ652" s="172">
        <f t="shared" si="189"/>
        <v>-41.177642381025656</v>
      </c>
      <c r="AR652" s="157">
        <f>INDEX([1]Historical!$C$7:$C$1231,MATCH(B652,[1]Historical!$B$7:$B$1253,0))*IF(AH652="n/a",1.03,IF(AH652&lt;0,1.01,IF(AH652&gt;10,1.1,(1+AH652/100))))</f>
        <v>1.9745000000000001</v>
      </c>
      <c r="AS652" s="166">
        <f t="shared" si="190"/>
        <v>1.9942450000000003</v>
      </c>
      <c r="AT652" s="166">
        <f t="shared" si="191"/>
        <v>2.1438133750000001</v>
      </c>
      <c r="AU652" s="166">
        <f t="shared" si="191"/>
        <v>2.3045993781250003</v>
      </c>
      <c r="AV652" s="166">
        <f t="shared" si="191"/>
        <v>2.4774443314843753</v>
      </c>
      <c r="AW652" s="157">
        <f t="shared" si="192"/>
        <v>10.894602084609375</v>
      </c>
      <c r="AX652" s="173">
        <f t="shared" si="193"/>
        <v>15.939432457365582</v>
      </c>
      <c r="AY652" s="174">
        <v>0.72</v>
      </c>
      <c r="AZ652" s="169">
        <v>8.6</v>
      </c>
      <c r="BA652" s="169">
        <v>-32.14</v>
      </c>
      <c r="BB652" s="169">
        <v>-3.2099999999999995</v>
      </c>
      <c r="BC652" s="169">
        <v>-18.93</v>
      </c>
      <c r="BD652" s="100"/>
      <c r="BE652" s="77">
        <v>2013</v>
      </c>
      <c r="BF652" s="77">
        <f t="shared" si="194"/>
        <v>1</v>
      </c>
      <c r="BG652" s="175">
        <v>11.200000000000001</v>
      </c>
      <c r="BH652" t="s">
        <v>939</v>
      </c>
      <c r="BI652" t="s">
        <v>940</v>
      </c>
      <c r="BJ652"/>
      <c r="BK652"/>
      <c r="BL652"/>
    </row>
    <row r="653" spans="1:64" s="112" customFormat="1" ht="12.75" customHeight="1" x14ac:dyDescent="0.2">
      <c r="A653" s="112" t="s">
        <v>1676</v>
      </c>
      <c r="B653" s="239" t="s">
        <v>480</v>
      </c>
      <c r="C653" s="154" t="s">
        <v>94</v>
      </c>
      <c r="D653" s="154" t="s">
        <v>101</v>
      </c>
      <c r="E653" s="155">
        <v>13</v>
      </c>
      <c r="F653" s="298">
        <v>273</v>
      </c>
      <c r="G653" s="298" t="s">
        <v>30</v>
      </c>
      <c r="H653" s="298" t="s">
        <v>104</v>
      </c>
      <c r="I653" s="156">
        <v>105.43</v>
      </c>
      <c r="J653" s="157">
        <f t="shared" si="180"/>
        <v>1.138195959404344</v>
      </c>
      <c r="K653" s="158">
        <v>0.3</v>
      </c>
      <c r="L653" s="126">
        <v>4</v>
      </c>
      <c r="M653" s="82">
        <f t="shared" si="181"/>
        <v>1.2</v>
      </c>
      <c r="N653" s="159" t="s">
        <v>126</v>
      </c>
      <c r="O653" s="160">
        <v>0.26250000000000001</v>
      </c>
      <c r="P653" s="161">
        <v>44557</v>
      </c>
      <c r="Q653" s="161">
        <v>44572</v>
      </c>
      <c r="R653" s="82">
        <f t="shared" si="182"/>
        <v>14.285714285714276</v>
      </c>
      <c r="S653" s="162">
        <f>IF(INDEX([1]Historical!$D$7:$D$1229,MATCH(B653,[1]Historical!$B$7:$B$1253,0))=0,"n/a",(INDEX([1]Historical!$C$7:$C$1231,MATCH(B653,[1]Historical!$B$7:$B$1253,0))/INDEX([1]Historical!$D$7:$D$1229,MATCH(B653,[1]Historical!$B$7:$B$1253,0))-1)*100)</f>
        <v>5.0000000000000044</v>
      </c>
      <c r="T653" s="162">
        <f>IF(INDEX([1]Historical!$F$7:$F$1222,MATCH(B653,[1]Historical!$B$7:$B$1253,0))=0,"n/a",((INDEX([1]Historical!$C$7:$C$1231,MATCH(B653,[1]Historical!$B$7:$B$1253,0))/INDEX([1]Historical!$F$7:$F$1222,MATCH(B653,[1]Historical!$B$7:$B$1253,0)))^(1/3)-1)*100)</f>
        <v>9.4879784971972256</v>
      </c>
      <c r="U653" s="162">
        <f>IF(INDEX([1]Historical!$H$7:$H$1222,MATCH(B653,[1]Historical!$B$7:$B$1253,0))=0,"n/a",((INDEX([1]Historical!$C$7:$C$1231,MATCH(B653,[1]Historical!$B$7:$B$1253,0))/INDEX([1]Historical!$H$7:$H$1222,MATCH(B653,[1]Historical!$B$7:$B$1253,0)))^(1/5)-1)*100)</f>
        <v>11.842691472014465</v>
      </c>
      <c r="V653" s="162">
        <f>IF(INDEX([1]Historical!$N$7:$N$1222,MATCH(B653,[1]Historical!$B$7:$B$1253,0))=0,"n/a",((INDEX([1]Historical!$C$7:$C$1231,MATCH(B653,[1]Historical!$B$7:$B$1253,0))/INDEX([1]Historical!$N$7:$N$1222,MATCH(B653,[1]Historical!$B$7:$B$1253,0)))^(1/10)-1)*100)</f>
        <v>18.036393174546372</v>
      </c>
      <c r="W653" s="163">
        <f t="shared" si="183"/>
        <v>0.65659976234756912</v>
      </c>
      <c r="X653" s="164">
        <f t="shared" si="184"/>
        <v>0.91803809860577246</v>
      </c>
      <c r="Y653" s="165"/>
      <c r="Z653" s="157">
        <f t="shared" si="185"/>
        <v>32.967032967032964</v>
      </c>
      <c r="AA653" s="166">
        <f t="shared" si="186"/>
        <v>28.964285714285715</v>
      </c>
      <c r="AB653" s="126">
        <v>10</v>
      </c>
      <c r="AC653" s="167">
        <v>3.64</v>
      </c>
      <c r="AD653" s="167">
        <v>2.88</v>
      </c>
      <c r="AE653" s="167">
        <v>2.52</v>
      </c>
      <c r="AF653" s="167">
        <v>8.7100000000000009</v>
      </c>
      <c r="AG653" s="167">
        <v>32.300000000000004</v>
      </c>
      <c r="AH653" s="167">
        <v>24.5</v>
      </c>
      <c r="AI653" s="167">
        <v>17.82</v>
      </c>
      <c r="AJ653" s="167">
        <v>12.9</v>
      </c>
      <c r="AK653" s="167">
        <v>10.199999999999999</v>
      </c>
      <c r="AL653" s="168">
        <v>10840</v>
      </c>
      <c r="AM653" s="169">
        <v>0.3</v>
      </c>
      <c r="AN653" s="167">
        <v>0.82</v>
      </c>
      <c r="AO653" s="170">
        <f t="shared" si="187"/>
        <v>-15.983398282866906</v>
      </c>
      <c r="AP653" s="171">
        <f t="shared" si="188"/>
        <v>12.980887431418809</v>
      </c>
      <c r="AQ653" s="172">
        <f t="shared" si="189"/>
        <v>234.84917239552536</v>
      </c>
      <c r="AR653" s="157">
        <f>INDEX([1]Historical!$C$7:$C$1231,MATCH(B653,[1]Historical!$B$7:$B$1253,0))*IF(AH653="n/a",1.03,IF(AH653&lt;0,1.01,IF(AH653&gt;10,1.1,(1+AH653/100))))</f>
        <v>1.1550000000000002</v>
      </c>
      <c r="AS653" s="166">
        <f t="shared" si="190"/>
        <v>1.2705000000000004</v>
      </c>
      <c r="AT653" s="166">
        <f t="shared" si="191"/>
        <v>1.3975500000000005</v>
      </c>
      <c r="AU653" s="166">
        <f t="shared" si="191"/>
        <v>1.5373050000000006</v>
      </c>
      <c r="AV653" s="166">
        <f t="shared" si="191"/>
        <v>1.6910355000000008</v>
      </c>
      <c r="AW653" s="157">
        <f t="shared" si="192"/>
        <v>7.0513905000000028</v>
      </c>
      <c r="AX653" s="173">
        <f t="shared" si="193"/>
        <v>6.6882201460684838</v>
      </c>
      <c r="AY653" s="174">
        <v>0.75</v>
      </c>
      <c r="AZ653" s="169">
        <v>46.72</v>
      </c>
      <c r="BA653" s="169">
        <v>-2.16</v>
      </c>
      <c r="BB653" s="169">
        <v>16.18</v>
      </c>
      <c r="BC653" s="169">
        <v>21.12</v>
      </c>
      <c r="BD653" s="100"/>
      <c r="BE653" s="77">
        <v>2010</v>
      </c>
      <c r="BF653" s="77">
        <f t="shared" si="194"/>
        <v>1</v>
      </c>
      <c r="BG653" s="175">
        <v>11.799999999999999</v>
      </c>
      <c r="BH653" t="s">
        <v>939</v>
      </c>
      <c r="BI653" t="s">
        <v>940</v>
      </c>
      <c r="BJ653"/>
      <c r="BK653"/>
      <c r="BL653"/>
    </row>
    <row r="654" spans="1:64" s="112" customFormat="1" ht="12.75" customHeight="1" x14ac:dyDescent="0.2">
      <c r="A654" s="205" t="s">
        <v>1677</v>
      </c>
      <c r="B654" s="239" t="s">
        <v>1205</v>
      </c>
      <c r="C654" s="154" t="s">
        <v>922</v>
      </c>
      <c r="D654" s="154" t="s">
        <v>949</v>
      </c>
      <c r="E654" s="155">
        <v>8</v>
      </c>
      <c r="F654" s="298">
        <v>602</v>
      </c>
      <c r="G654" s="298" t="s">
        <v>88</v>
      </c>
      <c r="H654" s="298" t="s">
        <v>88</v>
      </c>
      <c r="I654" s="156">
        <v>44.47</v>
      </c>
      <c r="J654" s="157">
        <f t="shared" si="180"/>
        <v>2.3386552732179</v>
      </c>
      <c r="K654" s="158">
        <v>0.52</v>
      </c>
      <c r="L654" s="126">
        <v>2</v>
      </c>
      <c r="M654" s="82">
        <f t="shared" si="181"/>
        <v>1.04</v>
      </c>
      <c r="N654" s="159" t="s">
        <v>1206</v>
      </c>
      <c r="O654" s="160">
        <v>0.5</v>
      </c>
      <c r="P654" s="161">
        <v>44844</v>
      </c>
      <c r="Q654" s="161">
        <v>44860</v>
      </c>
      <c r="R654" s="82">
        <f t="shared" si="182"/>
        <v>4.0000000000000036</v>
      </c>
      <c r="S654" s="162">
        <f>IF(INDEX([1]Historical!$D$7:$D$1229,MATCH(B654,[1]Historical!$B$7:$B$1253,0))=0,"n/a",(INDEX([1]Historical!$C$7:$C$1231,MATCH(B654,[1]Historical!$B$7:$B$1253,0))/INDEX([1]Historical!$D$7:$D$1229,MATCH(B654,[1]Historical!$B$7:$B$1253,0))-1)*100)</f>
        <v>21.621621621621621</v>
      </c>
      <c r="T654" s="162">
        <f>IF(INDEX([1]Historical!$F$7:$F$1222,MATCH(B654,[1]Historical!$B$7:$B$1253,0))=0,"n/a",((INDEX([1]Historical!$C$7:$C$1231,MATCH(B654,[1]Historical!$B$7:$B$1253,0))/INDEX([1]Historical!$F$7:$F$1222,MATCH(B654,[1]Historical!$B$7:$B$1253,0)))^(1/3)-1)*100)</f>
        <v>17.840146380897416</v>
      </c>
      <c r="U654" s="162">
        <f>IF(INDEX([1]Historical!$H$7:$H$1222,MATCH(B654,[1]Historical!$B$7:$B$1253,0))=0,"n/a",((INDEX([1]Historical!$C$7:$C$1231,MATCH(B654,[1]Historical!$B$7:$B$1253,0))/INDEX([1]Historical!$H$7:$H$1222,MATCH(B654,[1]Historical!$B$7:$B$1253,0)))^(1/5)-1)*100)</f>
        <v>18.510370533357378</v>
      </c>
      <c r="V654" s="162" t="str">
        <f>IF(INDEX([1]Historical!$N$7:$N$1222,MATCH(B654,[1]Historical!$B$7:$B$1253,0))=0,"n/a",((INDEX([1]Historical!$C$7:$C$1231,MATCH(B654,[1]Historical!$B$7:$B$1253,0))/INDEX([1]Historical!$N$7:$N$1222,MATCH(B654,[1]Historical!$B$7:$B$1253,0)))^(1/10)-1)*100)</f>
        <v>n/a</v>
      </c>
      <c r="W654" s="163" t="str">
        <f t="shared" si="183"/>
        <v>n/a</v>
      </c>
      <c r="X654" s="164">
        <f t="shared" si="184"/>
        <v>0.55420271057956227</v>
      </c>
      <c r="Y654" s="178"/>
      <c r="Z654" s="157">
        <f t="shared" si="185"/>
        <v>48.372093023255822</v>
      </c>
      <c r="AA654" s="166">
        <f t="shared" si="186"/>
        <v>20.683720930232557</v>
      </c>
      <c r="AB654" s="126">
        <v>12</v>
      </c>
      <c r="AC654" s="167">
        <v>2.15</v>
      </c>
      <c r="AD654" s="167">
        <v>2.75</v>
      </c>
      <c r="AE654" s="167">
        <v>0.89</v>
      </c>
      <c r="AF654" s="167">
        <v>3.98</v>
      </c>
      <c r="AG654" s="167">
        <v>19.600000000000001</v>
      </c>
      <c r="AH654" s="167">
        <v>17.8</v>
      </c>
      <c r="AI654" s="167">
        <v>15.85</v>
      </c>
      <c r="AJ654" s="167">
        <v>33.4</v>
      </c>
      <c r="AK654" s="167">
        <v>7.6499999999999995</v>
      </c>
      <c r="AL654" s="168">
        <v>2110</v>
      </c>
      <c r="AM654" s="169">
        <v>0.8</v>
      </c>
      <c r="AN654" s="167">
        <v>0</v>
      </c>
      <c r="AO654" s="170">
        <f t="shared" si="187"/>
        <v>0.16530487634272006</v>
      </c>
      <c r="AP654" s="171">
        <f t="shared" si="188"/>
        <v>20.849025806575277</v>
      </c>
      <c r="AQ654" s="172">
        <f t="shared" si="189"/>
        <v>91.277819243023899</v>
      </c>
      <c r="AR654" s="157">
        <f>INDEX([1]Historical!$C$7:$C$1231,MATCH(B654,[1]Historical!$B$7:$B$1253,0))*IF(AH654="n/a",1.03,IF(AH654&lt;0,1.01,IF(AH654&gt;10,1.1,(1+AH654/100))))</f>
        <v>0.9900000000000001</v>
      </c>
      <c r="AS654" s="166">
        <f t="shared" si="190"/>
        <v>1.0890000000000002</v>
      </c>
      <c r="AT654" s="166">
        <f t="shared" si="191"/>
        <v>1.1723085000000002</v>
      </c>
      <c r="AU654" s="166">
        <f t="shared" si="191"/>
        <v>1.2619901002500002</v>
      </c>
      <c r="AV654" s="166">
        <f t="shared" si="191"/>
        <v>1.3585323429191254</v>
      </c>
      <c r="AW654" s="157">
        <f t="shared" si="192"/>
        <v>5.871830943169126</v>
      </c>
      <c r="AX654" s="173">
        <f t="shared" si="193"/>
        <v>13.204027306429337</v>
      </c>
      <c r="AY654" s="174">
        <v>0.98</v>
      </c>
      <c r="AZ654" s="169">
        <v>9.4</v>
      </c>
      <c r="BA654" s="169">
        <v>-57.099999999999994</v>
      </c>
      <c r="BB654" s="169">
        <v>-7.19</v>
      </c>
      <c r="BC654" s="169">
        <v>-33.18</v>
      </c>
      <c r="BD654" s="100"/>
      <c r="BE654" s="77">
        <v>2015</v>
      </c>
      <c r="BF654" s="77">
        <f t="shared" si="194"/>
        <v>1</v>
      </c>
      <c r="BG654" s="175">
        <v>4.9000000000000004</v>
      </c>
      <c r="BH654" t="s">
        <v>939</v>
      </c>
      <c r="BI654" t="s">
        <v>940</v>
      </c>
    </row>
    <row r="655" spans="1:64" s="112" customFormat="1" ht="12.75" customHeight="1" x14ac:dyDescent="0.2">
      <c r="A655" s="238" t="s">
        <v>1678</v>
      </c>
      <c r="B655" s="239" t="s">
        <v>923</v>
      </c>
      <c r="C655" s="154" t="s">
        <v>94</v>
      </c>
      <c r="D655" s="154" t="s">
        <v>943</v>
      </c>
      <c r="E655" s="155">
        <v>9</v>
      </c>
      <c r="F655" s="298">
        <v>541</v>
      </c>
      <c r="G655" s="298" t="s">
        <v>88</v>
      </c>
      <c r="H655" s="298" t="s">
        <v>88</v>
      </c>
      <c r="I655" s="116">
        <v>141.28</v>
      </c>
      <c r="J655" s="157">
        <f t="shared" si="180"/>
        <v>0.65118912797281991</v>
      </c>
      <c r="K655" s="112">
        <v>0.23</v>
      </c>
      <c r="L655" s="298">
        <v>4</v>
      </c>
      <c r="M655" s="82">
        <f t="shared" si="181"/>
        <v>0.92</v>
      </c>
      <c r="N655" s="298" t="s">
        <v>89</v>
      </c>
      <c r="O655" s="239">
        <v>0.2</v>
      </c>
      <c r="P655" s="161">
        <v>44693</v>
      </c>
      <c r="Q655" s="161">
        <v>44708</v>
      </c>
      <c r="R655" s="82">
        <f t="shared" si="182"/>
        <v>15</v>
      </c>
      <c r="S655" s="162">
        <f>IF(INDEX([1]Historical!$D$7:$D$1229,MATCH(B655,[1]Historical!$B$7:$B$1253,0))=0,"n/a",(INDEX([1]Historical!$C$7:$C$1231,MATCH(B655,[1]Historical!$B$7:$B$1253,0))/INDEX([1]Historical!$D$7:$D$1229,MATCH(B655,[1]Historical!$B$7:$B$1253,0))-1)*100)</f>
        <v>16.666666666666675</v>
      </c>
      <c r="T655" s="162">
        <f>IF(INDEX([1]Historical!$F$7:$F$1222,MATCH(B655,[1]Historical!$B$7:$B$1253,0))=0,"n/a",((INDEX([1]Historical!$C$7:$C$1231,MATCH(B655,[1]Historical!$B$7:$B$1253,0))/INDEX([1]Historical!$F$7:$F$1222,MATCH(B655,[1]Historical!$B$7:$B$1253,0)))^(1/3)-1)*100)</f>
        <v>18.734692314024958</v>
      </c>
      <c r="U655" s="162">
        <f>IF(INDEX([1]Historical!$H$7:$H$1222,MATCH(B655,[1]Historical!$B$7:$B$1253,0))=0,"n/a",((INDEX([1]Historical!$C$7:$C$1231,MATCH(B655,[1]Historical!$B$7:$B$1253,0))/INDEX([1]Historical!$H$7:$H$1222,MATCH(B655,[1]Historical!$B$7:$B$1253,0)))^(1/5)-1)*100)</f>
        <v>17.080491296489232</v>
      </c>
      <c r="V655" s="162" t="str">
        <f>IF(INDEX([1]Historical!$N$7:$N$1222,MATCH(B655,[1]Historical!$B$7:$B$1253,0))=0,"n/a",((INDEX([1]Historical!$C$7:$C$1231,MATCH(B655,[1]Historical!$B$7:$B$1253,0))/INDEX([1]Historical!$N$7:$N$1222,MATCH(B655,[1]Historical!$B$7:$B$1253,0)))^(1/10)-1)*100)</f>
        <v>n/a</v>
      </c>
      <c r="W655" s="163" t="str">
        <f t="shared" si="183"/>
        <v>n/a</v>
      </c>
      <c r="X655" s="164">
        <f t="shared" si="184"/>
        <v>0.69716291006078501</v>
      </c>
      <c r="Y655" s="240"/>
      <c r="Z655" s="157">
        <f t="shared" si="185"/>
        <v>19.008264462809919</v>
      </c>
      <c r="AA655" s="166">
        <f t="shared" si="186"/>
        <v>29.190082644628099</v>
      </c>
      <c r="AB655" s="126">
        <v>9</v>
      </c>
      <c r="AC655" s="175">
        <v>4.84</v>
      </c>
      <c r="AD655" s="175">
        <v>5.95</v>
      </c>
      <c r="AE655" s="167">
        <v>2.58</v>
      </c>
      <c r="AF655" s="167">
        <v>6.26</v>
      </c>
      <c r="AG655" s="167">
        <v>21.4</v>
      </c>
      <c r="AH655" s="167">
        <v>34.799999999999997</v>
      </c>
      <c r="AI655" s="167">
        <v>7.8299999999999992</v>
      </c>
      <c r="AJ655" s="241">
        <v>24.5</v>
      </c>
      <c r="AK655" s="241">
        <v>4.9000000000000004</v>
      </c>
      <c r="AL655" s="175">
        <v>7250</v>
      </c>
      <c r="AM655" s="175">
        <v>0.2</v>
      </c>
      <c r="AN655" s="175">
        <v>0.22</v>
      </c>
      <c r="AO655" s="170">
        <f t="shared" si="187"/>
        <v>-11.458402220166047</v>
      </c>
      <c r="AP655" s="171">
        <f t="shared" si="188"/>
        <v>17.731680424462052</v>
      </c>
      <c r="AQ655" s="172">
        <f t="shared" si="189"/>
        <v>184.97946698382938</v>
      </c>
      <c r="AR655" s="157">
        <f>INDEX([1]Historical!$C$7:$C$1231,MATCH(B655,[1]Historical!$B$7:$B$1253,0))*IF(AH655="n/a",1.03,IF(AH655&lt;0,1.01,IF(AH655&gt;10,1.1,(1+AH655/100))))</f>
        <v>0.84700000000000009</v>
      </c>
      <c r="AS655" s="166">
        <f t="shared" si="190"/>
        <v>0.91332010000000008</v>
      </c>
      <c r="AT655" s="166">
        <f t="shared" si="191"/>
        <v>0.95807278490000003</v>
      </c>
      <c r="AU655" s="166">
        <f t="shared" si="191"/>
        <v>1.0050183513600999</v>
      </c>
      <c r="AV655" s="166">
        <f t="shared" si="191"/>
        <v>1.0542642505767448</v>
      </c>
      <c r="AW655" s="157">
        <f t="shared" si="192"/>
        <v>4.777675486836845</v>
      </c>
      <c r="AX655" s="173">
        <f t="shared" si="193"/>
        <v>3.3817068847939162</v>
      </c>
      <c r="AY655" s="225">
        <v>0.9</v>
      </c>
      <c r="AZ655" s="167">
        <v>19.170000000000002</v>
      </c>
      <c r="BA655" s="167">
        <v>-26.76</v>
      </c>
      <c r="BB655" s="167">
        <v>5.7</v>
      </c>
      <c r="BC655" s="167">
        <v>-0.37</v>
      </c>
      <c r="BD655" s="100"/>
      <c r="BE655" s="77">
        <v>2014</v>
      </c>
      <c r="BF655" s="77">
        <f t="shared" si="194"/>
        <v>1</v>
      </c>
      <c r="BG655" s="175">
        <v>10</v>
      </c>
      <c r="BH655" t="s">
        <v>939</v>
      </c>
      <c r="BI655" t="s">
        <v>940</v>
      </c>
    </row>
    <row r="656" spans="1:64" s="112" customFormat="1" ht="12.75" customHeight="1" x14ac:dyDescent="0.2">
      <c r="A656" s="176" t="s">
        <v>1679</v>
      </c>
      <c r="B656" s="239" t="s">
        <v>475</v>
      </c>
      <c r="C656" s="154" t="s">
        <v>922</v>
      </c>
      <c r="D656" s="154" t="s">
        <v>950</v>
      </c>
      <c r="E656" s="155">
        <v>19</v>
      </c>
      <c r="F656" s="298">
        <v>206</v>
      </c>
      <c r="G656" s="298" t="s">
        <v>30</v>
      </c>
      <c r="H656" s="298" t="s">
        <v>104</v>
      </c>
      <c r="I656" s="156">
        <v>160.63</v>
      </c>
      <c r="J656" s="157">
        <f t="shared" si="180"/>
        <v>3.0878416236070474</v>
      </c>
      <c r="K656" s="158">
        <v>1.24</v>
      </c>
      <c r="L656" s="126">
        <v>4</v>
      </c>
      <c r="M656" s="82">
        <f t="shared" si="181"/>
        <v>4.96</v>
      </c>
      <c r="N656" s="159" t="s">
        <v>111</v>
      </c>
      <c r="O656" s="160">
        <v>1.1499999999999999</v>
      </c>
      <c r="P656" s="161">
        <v>44862</v>
      </c>
      <c r="Q656" s="161">
        <v>44880</v>
      </c>
      <c r="R656" s="82">
        <f t="shared" si="182"/>
        <v>7.8260869565217464</v>
      </c>
      <c r="S656" s="162">
        <f>IF(INDEX([1]Historical!$D$7:$D$1229,MATCH(B656,[1]Historical!$B$7:$B$1253,0))=0,"n/a",(INDEX([1]Historical!$C$7:$C$1231,MATCH(B656,[1]Historical!$B$7:$B$1253,0))/INDEX([1]Historical!$D$7:$D$1229,MATCH(B656,[1]Historical!$B$7:$B$1253,0))-1)*100)</f>
        <v>13.172043010752677</v>
      </c>
      <c r="T656" s="162">
        <f>IF(INDEX([1]Historical!$F$7:$F$1222,MATCH(B656,[1]Historical!$B$7:$B$1253,0))=0,"n/a",((INDEX([1]Historical!$C$7:$C$1231,MATCH(B656,[1]Historical!$B$7:$B$1253,0))/INDEX([1]Historical!$F$7:$F$1222,MATCH(B656,[1]Historical!$B$7:$B$1253,0)))^(1/3)-1)*100)</f>
        <v>16.979236490574646</v>
      </c>
      <c r="U656" s="162">
        <f>IF(INDEX([1]Historical!$H$7:$H$1222,MATCH(B656,[1]Historical!$B$7:$B$1253,0))=0,"n/a",((INDEX([1]Historical!$C$7:$C$1231,MATCH(B656,[1]Historical!$B$7:$B$1253,0))/INDEX([1]Historical!$H$7:$H$1222,MATCH(B656,[1]Historical!$B$7:$B$1253,0)))^(1/5)-1)*100)</f>
        <v>20.750141836299086</v>
      </c>
      <c r="V656" s="162">
        <f>IF(INDEX([1]Historical!$N$7:$N$1222,MATCH(B656,[1]Historical!$B$7:$B$1253,0))=0,"n/a",((INDEX([1]Historical!$C$7:$C$1231,MATCH(B656,[1]Historical!$B$7:$B$1253,0))/INDEX([1]Historical!$N$7:$N$1222,MATCH(B656,[1]Historical!$B$7:$B$1253,0)))^(1/10)-1)*100)</f>
        <v>22.351530656296823</v>
      </c>
      <c r="W656" s="163">
        <f t="shared" si="183"/>
        <v>0.92835440021434967</v>
      </c>
      <c r="X656" s="164">
        <f t="shared" si="184"/>
        <v>1.0978911024496871</v>
      </c>
      <c r="Y656" s="178"/>
      <c r="Z656" s="157">
        <f t="shared" si="185"/>
        <v>51.937172774869097</v>
      </c>
      <c r="AA656" s="166">
        <f t="shared" si="186"/>
        <v>16.819895287958115</v>
      </c>
      <c r="AB656" s="126">
        <v>12</v>
      </c>
      <c r="AC656" s="167">
        <v>9.5500000000000007</v>
      </c>
      <c r="AD656" s="167">
        <v>1.69</v>
      </c>
      <c r="AE656" s="167">
        <v>7.05</v>
      </c>
      <c r="AF656" s="167">
        <v>10.15</v>
      </c>
      <c r="AG656" s="167">
        <v>63.5</v>
      </c>
      <c r="AH656" s="167">
        <v>38.5</v>
      </c>
      <c r="AI656" s="167">
        <v>-13.01</v>
      </c>
      <c r="AJ656" s="167">
        <v>18.899999999999999</v>
      </c>
      <c r="AK656" s="167">
        <v>10</v>
      </c>
      <c r="AL656" s="168">
        <v>142270</v>
      </c>
      <c r="AM656" s="169">
        <v>0.21</v>
      </c>
      <c r="AN656" s="167">
        <v>0.55000000000000004</v>
      </c>
      <c r="AO656" s="170">
        <f t="shared" si="187"/>
        <v>7.018088171948019</v>
      </c>
      <c r="AP656" s="171">
        <f t="shared" si="188"/>
        <v>23.837983459906134</v>
      </c>
      <c r="AQ656" s="172">
        <f t="shared" si="189"/>
        <v>175.45674165144928</v>
      </c>
      <c r="AR656" s="157">
        <f>INDEX([1]Historical!$C$7:$C$1231,MATCH(B656,[1]Historical!$B$7:$B$1253,0))*IF(AH656="n/a",1.03,IF(AH656&lt;0,1.01,IF(AH656&gt;10,1.1,(1+AH656/100))))</f>
        <v>4.6310000000000002</v>
      </c>
      <c r="AS656" s="166">
        <f t="shared" si="190"/>
        <v>4.6773100000000003</v>
      </c>
      <c r="AT656" s="166">
        <f t="shared" si="191"/>
        <v>5.1450410000000009</v>
      </c>
      <c r="AU656" s="166">
        <f t="shared" si="191"/>
        <v>5.6595451000000017</v>
      </c>
      <c r="AV656" s="166">
        <f t="shared" si="191"/>
        <v>6.2254996100000026</v>
      </c>
      <c r="AW656" s="157">
        <f t="shared" si="192"/>
        <v>26.338395710000007</v>
      </c>
      <c r="AX656" s="173">
        <f t="shared" si="193"/>
        <v>16.396934389590992</v>
      </c>
      <c r="AY656" s="174">
        <v>0.98</v>
      </c>
      <c r="AZ656" s="169">
        <v>11.19</v>
      </c>
      <c r="BA656" s="169">
        <v>-19.64</v>
      </c>
      <c r="BB656" s="169">
        <v>-1.23</v>
      </c>
      <c r="BC656" s="169">
        <v>-4.83</v>
      </c>
      <c r="BD656" s="100"/>
      <c r="BE656" s="77">
        <v>2004</v>
      </c>
      <c r="BF656" s="77">
        <f t="shared" si="194"/>
        <v>2</v>
      </c>
      <c r="BG656" s="175">
        <v>35.299999999999997</v>
      </c>
      <c r="BH656" t="s">
        <v>939</v>
      </c>
      <c r="BI656" t="s">
        <v>940</v>
      </c>
      <c r="BJ656"/>
      <c r="BK656"/>
      <c r="BL656"/>
    </row>
    <row r="657" spans="1:64" s="112" customFormat="1" ht="12.75" customHeight="1" x14ac:dyDescent="0.2">
      <c r="A657" s="176" t="s">
        <v>1680</v>
      </c>
      <c r="B657" s="239" t="s">
        <v>707</v>
      </c>
      <c r="C657" s="154" t="s">
        <v>90</v>
      </c>
      <c r="D657" s="154" t="s">
        <v>969</v>
      </c>
      <c r="E657" s="155">
        <v>11</v>
      </c>
      <c r="F657" s="298">
        <v>421</v>
      </c>
      <c r="G657" s="298" t="s">
        <v>88</v>
      </c>
      <c r="H657" s="298" t="s">
        <v>88</v>
      </c>
      <c r="I657" s="156">
        <v>87</v>
      </c>
      <c r="J657" s="157">
        <f t="shared" si="180"/>
        <v>1.7931034482758619</v>
      </c>
      <c r="K657" s="158">
        <v>0.78</v>
      </c>
      <c r="L657" s="126">
        <v>2</v>
      </c>
      <c r="M657" s="82">
        <f t="shared" si="181"/>
        <v>1.56</v>
      </c>
      <c r="N657" s="159" t="s">
        <v>321</v>
      </c>
      <c r="O657" s="160">
        <v>0.75</v>
      </c>
      <c r="P657" s="161">
        <v>44847</v>
      </c>
      <c r="Q657" s="161">
        <v>44865</v>
      </c>
      <c r="R657" s="82">
        <f t="shared" si="182"/>
        <v>4.0000000000000036</v>
      </c>
      <c r="S657" s="162">
        <f>IF(INDEX([1]Historical!$D$7:$D$1229,MATCH(B657,[1]Historical!$B$7:$B$1253,0))=0,"n/a",(INDEX([1]Historical!$C$7:$C$1231,MATCH(B657,[1]Historical!$B$7:$B$1253,0))/INDEX([1]Historical!$D$7:$D$1229,MATCH(B657,[1]Historical!$B$7:$B$1253,0))-1)*100)</f>
        <v>8.3969465648854769</v>
      </c>
      <c r="T657" s="162">
        <f>IF(INDEX([1]Historical!$F$7:$F$1222,MATCH(B657,[1]Historical!$B$7:$B$1253,0))=0,"n/a",((INDEX([1]Historical!$C$7:$C$1231,MATCH(B657,[1]Historical!$B$7:$B$1253,0))/INDEX([1]Historical!$F$7:$F$1222,MATCH(B657,[1]Historical!$B$7:$B$1253,0)))^(1/3)-1)*100)</f>
        <v>8.5563223271687185</v>
      </c>
      <c r="U657" s="162">
        <f>IF(INDEX([1]Historical!$H$7:$H$1222,MATCH(B657,[1]Historical!$B$7:$B$1253,0))=0,"n/a",((INDEX([1]Historical!$C$7:$C$1231,MATCH(B657,[1]Historical!$B$7:$B$1253,0))/INDEX([1]Historical!$H$7:$H$1222,MATCH(B657,[1]Historical!$B$7:$B$1253,0)))^(1/5)-1)*100)</f>
        <v>9.5491890482608532</v>
      </c>
      <c r="V657" s="162" t="str">
        <f>IF(INDEX([1]Historical!$N$7:$N$1222,MATCH(B657,[1]Historical!$B$7:$B$1253,0))=0,"n/a",((INDEX([1]Historical!$C$7:$C$1231,MATCH(B657,[1]Historical!$B$7:$B$1253,0))/INDEX([1]Historical!$N$7:$N$1222,MATCH(B657,[1]Historical!$B$7:$B$1253,0)))^(1/10)-1)*100)</f>
        <v>n/a</v>
      </c>
      <c r="W657" s="163" t="str">
        <f t="shared" si="183"/>
        <v>n/a</v>
      </c>
      <c r="X657" s="164" t="str">
        <f t="shared" si="184"/>
        <v>n/a</v>
      </c>
      <c r="Y657" s="178"/>
      <c r="Z657" s="157" t="str">
        <f t="shared" si="185"/>
        <v>n/a</v>
      </c>
      <c r="AA657" s="166" t="str">
        <f t="shared" si="186"/>
        <v>n/a</v>
      </c>
      <c r="AB657" s="126">
        <v>12</v>
      </c>
      <c r="AC657" s="167" t="s">
        <v>95</v>
      </c>
      <c r="AD657" s="167" t="s">
        <v>95</v>
      </c>
      <c r="AE657" s="167" t="s">
        <v>95</v>
      </c>
      <c r="AF657" s="167" t="s">
        <v>95</v>
      </c>
      <c r="AG657" s="167" t="s">
        <v>95</v>
      </c>
      <c r="AH657" s="167" t="s">
        <v>95</v>
      </c>
      <c r="AI657" s="167" t="s">
        <v>95</v>
      </c>
      <c r="AJ657" s="167" t="s">
        <v>95</v>
      </c>
      <c r="AK657" s="167" t="s">
        <v>95</v>
      </c>
      <c r="AL657" s="168" t="s">
        <v>95</v>
      </c>
      <c r="AM657" s="169" t="s">
        <v>95</v>
      </c>
      <c r="AN657" s="167" t="s">
        <v>95</v>
      </c>
      <c r="AO657" s="170" t="str">
        <f t="shared" si="187"/>
        <v>n/a</v>
      </c>
      <c r="AP657" s="171">
        <f t="shared" si="188"/>
        <v>11.342292496536714</v>
      </c>
      <c r="AQ657" s="172" t="str">
        <f t="shared" si="189"/>
        <v>n/a</v>
      </c>
      <c r="AR657" s="157">
        <f>INDEX([1]Historical!$C$7:$C$1231,MATCH(B657,[1]Historical!$B$7:$B$1253,0))*IF(AH657="n/a",1.03,IF(AH657&lt;0,1.01,IF(AH657&gt;10,1.1,(1+AH657/100))))</f>
        <v>1.4625999999999999</v>
      </c>
      <c r="AS657" s="166">
        <f t="shared" si="190"/>
        <v>1.506478</v>
      </c>
      <c r="AT657" s="166">
        <f t="shared" si="191"/>
        <v>1.5516723400000001</v>
      </c>
      <c r="AU657" s="166">
        <f t="shared" si="191"/>
        <v>1.5982225102000001</v>
      </c>
      <c r="AV657" s="166">
        <f t="shared" si="191"/>
        <v>1.6461691855060001</v>
      </c>
      <c r="AW657" s="157">
        <f t="shared" si="192"/>
        <v>7.7651420357059999</v>
      </c>
      <c r="AX657" s="173">
        <f t="shared" si="193"/>
        <v>8.9254506157540234</v>
      </c>
      <c r="AY657" s="174" t="s">
        <v>95</v>
      </c>
      <c r="AZ657" s="169" t="s">
        <v>95</v>
      </c>
      <c r="BA657" s="169" t="s">
        <v>95</v>
      </c>
      <c r="BB657" s="169" t="s">
        <v>95</v>
      </c>
      <c r="BC657" s="169" t="s">
        <v>95</v>
      </c>
      <c r="BD657" s="100" t="s">
        <v>932</v>
      </c>
      <c r="BE657" s="77">
        <v>2012</v>
      </c>
      <c r="BF657" s="77">
        <f t="shared" si="194"/>
        <v>1</v>
      </c>
      <c r="BG657" s="175" t="s">
        <v>95</v>
      </c>
      <c r="BH657" t="s">
        <v>939</v>
      </c>
      <c r="BI657" t="s">
        <v>940</v>
      </c>
      <c r="BJ657"/>
      <c r="BK657"/>
      <c r="BL657"/>
    </row>
    <row r="658" spans="1:64" s="112" customFormat="1" ht="12.75" customHeight="1" x14ac:dyDescent="0.2">
      <c r="A658" s="176" t="s">
        <v>1681</v>
      </c>
      <c r="B658" s="239" t="s">
        <v>797</v>
      </c>
      <c r="C658" s="154" t="s">
        <v>90</v>
      </c>
      <c r="D658" s="154" t="s">
        <v>969</v>
      </c>
      <c r="E658" s="155">
        <v>33</v>
      </c>
      <c r="F658" s="298">
        <v>87</v>
      </c>
      <c r="G658" s="298" t="s">
        <v>88</v>
      </c>
      <c r="H658" s="298" t="s">
        <v>88</v>
      </c>
      <c r="I658" s="156">
        <v>38.020000000000003</v>
      </c>
      <c r="J658" s="157">
        <f t="shared" si="180"/>
        <v>3.4718569174118885</v>
      </c>
      <c r="K658" s="158">
        <v>0.33</v>
      </c>
      <c r="L658" s="126">
        <v>4</v>
      </c>
      <c r="M658" s="82">
        <f t="shared" si="181"/>
        <v>1.32</v>
      </c>
      <c r="N658" s="159" t="s">
        <v>164</v>
      </c>
      <c r="O658" s="160">
        <v>0.3</v>
      </c>
      <c r="P658" s="161">
        <v>44833</v>
      </c>
      <c r="Q658" s="161">
        <v>44848</v>
      </c>
      <c r="R658" s="82">
        <f t="shared" si="182"/>
        <v>10.000000000000009</v>
      </c>
      <c r="S658" s="162">
        <f>IF(INDEX([1]Historical!$D$7:$D$1229,MATCH(B658,[1]Historical!$B$7:$B$1253,0))=0,"n/a",(INDEX([1]Historical!$C$7:$C$1231,MATCH(B658,[1]Historical!$B$7:$B$1253,0))/INDEX([1]Historical!$D$7:$D$1229,MATCH(B658,[1]Historical!$B$7:$B$1253,0))-1)*100)</f>
        <v>3.5714285714285587</v>
      </c>
      <c r="T658" s="162">
        <f>IF(INDEX([1]Historical!$F$7:$F$1222,MATCH(B658,[1]Historical!$B$7:$B$1253,0))=0,"n/a",((INDEX([1]Historical!$C$7:$C$1231,MATCH(B658,[1]Historical!$B$7:$B$1253,0))/INDEX([1]Historical!$F$7:$F$1222,MATCH(B658,[1]Historical!$B$7:$B$1253,0)))^(1/3)-1)*100)</f>
        <v>5.4243498825128356</v>
      </c>
      <c r="U658" s="162">
        <f>IF(INDEX([1]Historical!$H$7:$H$1222,MATCH(B658,[1]Historical!$B$7:$B$1253,0))=0,"n/a",((INDEX([1]Historical!$C$7:$C$1231,MATCH(B658,[1]Historical!$B$7:$B$1253,0))/INDEX([1]Historical!$H$7:$H$1222,MATCH(B658,[1]Historical!$B$7:$B$1253,0)))^(1/5)-1)*100)</f>
        <v>3.6423498371622509</v>
      </c>
      <c r="V658" s="162">
        <f>IF(INDEX([1]Historical!$N$7:$N$1222,MATCH(B658,[1]Historical!$B$7:$B$1253,0))=0,"n/a",((INDEX([1]Historical!$C$7:$C$1231,MATCH(B658,[1]Historical!$B$7:$B$1253,0))/INDEX([1]Historical!$N$7:$N$1222,MATCH(B658,[1]Historical!$B$7:$B$1253,0)))^(1/10)-1)*100)</f>
        <v>2.3450909293078803</v>
      </c>
      <c r="W658" s="163">
        <f t="shared" si="183"/>
        <v>1.5531806428662609</v>
      </c>
      <c r="X658" s="164" t="str">
        <f t="shared" si="184"/>
        <v>n/a</v>
      </c>
      <c r="Y658" s="180" t="s">
        <v>1755</v>
      </c>
      <c r="Z658" s="157" t="str">
        <f t="shared" si="185"/>
        <v>n/a</v>
      </c>
      <c r="AA658" s="166" t="str">
        <f t="shared" si="186"/>
        <v>n/a</v>
      </c>
      <c r="AB658" s="126">
        <v>12</v>
      </c>
      <c r="AC658" s="167" t="s">
        <v>95</v>
      </c>
      <c r="AD658" s="167" t="s">
        <v>95</v>
      </c>
      <c r="AE658" s="167" t="s">
        <v>95</v>
      </c>
      <c r="AF658" s="167" t="s">
        <v>95</v>
      </c>
      <c r="AG658" s="167" t="s">
        <v>95</v>
      </c>
      <c r="AH658" s="167" t="s">
        <v>95</v>
      </c>
      <c r="AI658" s="167" t="s">
        <v>95</v>
      </c>
      <c r="AJ658" s="167" t="s">
        <v>95</v>
      </c>
      <c r="AK658" s="167" t="s">
        <v>95</v>
      </c>
      <c r="AL658" s="168" t="s">
        <v>95</v>
      </c>
      <c r="AM658" s="169" t="s">
        <v>95</v>
      </c>
      <c r="AN658" s="167" t="s">
        <v>95</v>
      </c>
      <c r="AO658" s="170" t="str">
        <f t="shared" si="187"/>
        <v>n/a</v>
      </c>
      <c r="AP658" s="171">
        <f t="shared" si="188"/>
        <v>7.1142067545741394</v>
      </c>
      <c r="AQ658" s="172" t="str">
        <f t="shared" si="189"/>
        <v>n/a</v>
      </c>
      <c r="AR658" s="157">
        <f>INDEX([1]Historical!$C$7:$C$1231,MATCH(B658,[1]Historical!$B$7:$B$1253,0))*IF(AH658="n/a",1.03,IF(AH658&lt;0,1.01,IF(AH658&gt;10,1.1,(1+AH658/100))))</f>
        <v>1.1947999999999999</v>
      </c>
      <c r="AS658" s="166">
        <f t="shared" si="190"/>
        <v>1.2306439999999998</v>
      </c>
      <c r="AT658" s="166">
        <f t="shared" si="191"/>
        <v>1.2675633199999998</v>
      </c>
      <c r="AU658" s="166">
        <f t="shared" si="191"/>
        <v>1.3055902195999998</v>
      </c>
      <c r="AV658" s="166">
        <f t="shared" si="191"/>
        <v>1.3447579261879998</v>
      </c>
      <c r="AW658" s="157">
        <f t="shared" si="192"/>
        <v>6.3433554657879991</v>
      </c>
      <c r="AX658" s="173">
        <f t="shared" si="193"/>
        <v>16.684259510226195</v>
      </c>
      <c r="AY658" s="174" t="s">
        <v>95</v>
      </c>
      <c r="AZ658" s="169" t="s">
        <v>95</v>
      </c>
      <c r="BA658" s="169" t="s">
        <v>95</v>
      </c>
      <c r="BB658" s="169" t="s">
        <v>95</v>
      </c>
      <c r="BC658" s="169" t="s">
        <v>95</v>
      </c>
      <c r="BD658" s="100" t="s">
        <v>932</v>
      </c>
      <c r="BE658" s="77">
        <v>1992</v>
      </c>
      <c r="BF658" s="77">
        <f t="shared" si="194"/>
        <v>3</v>
      </c>
      <c r="BG658" s="175" t="s">
        <v>95</v>
      </c>
      <c r="BH658" t="s">
        <v>939</v>
      </c>
      <c r="BI658" t="s">
        <v>940</v>
      </c>
      <c r="BJ658"/>
      <c r="BK658"/>
      <c r="BL658"/>
    </row>
    <row r="659" spans="1:64" s="112" customFormat="1" ht="12.75" customHeight="1" x14ac:dyDescent="0.2">
      <c r="A659" s="176" t="s">
        <v>1682</v>
      </c>
      <c r="B659" s="239" t="s">
        <v>873</v>
      </c>
      <c r="C659" s="154" t="s">
        <v>90</v>
      </c>
      <c r="D659" s="154" t="s">
        <v>969</v>
      </c>
      <c r="E659" s="155">
        <v>9</v>
      </c>
      <c r="F659" s="298">
        <v>558</v>
      </c>
      <c r="G659" s="298" t="s">
        <v>88</v>
      </c>
      <c r="H659" s="298" t="s">
        <v>88</v>
      </c>
      <c r="I659" s="156">
        <v>15.02</v>
      </c>
      <c r="J659" s="157">
        <f t="shared" si="180"/>
        <v>4.1944074567243677</v>
      </c>
      <c r="K659" s="158">
        <v>0.1575</v>
      </c>
      <c r="L659" s="126">
        <v>4</v>
      </c>
      <c r="M659" s="82">
        <f t="shared" si="181"/>
        <v>0.63</v>
      </c>
      <c r="N659" s="159" t="s">
        <v>231</v>
      </c>
      <c r="O659" s="160">
        <v>0.155</v>
      </c>
      <c r="P659" s="161">
        <v>44812</v>
      </c>
      <c r="Q659" s="161">
        <v>44824</v>
      </c>
      <c r="R659" s="82">
        <f t="shared" si="182"/>
        <v>1.6129032258064528</v>
      </c>
      <c r="S659" s="162">
        <f>IF(INDEX([1]Historical!$D$7:$D$1229,MATCH(B659,[1]Historical!$B$7:$B$1253,0))=0,"n/a",(INDEX([1]Historical!$C$7:$C$1231,MATCH(B659,[1]Historical!$B$7:$B$1253,0))/INDEX([1]Historical!$D$7:$D$1229,MATCH(B659,[1]Historical!$B$7:$B$1253,0))-1)*100)</f>
        <v>2.6315789473684292</v>
      </c>
      <c r="T659" s="162">
        <f>IF(INDEX([1]Historical!$F$7:$F$1222,MATCH(B659,[1]Historical!$B$7:$B$1253,0))=0,"n/a",((INDEX([1]Historical!$C$7:$C$1231,MATCH(B659,[1]Historical!$B$7:$B$1253,0))/INDEX([1]Historical!$F$7:$F$1222,MATCH(B659,[1]Historical!$B$7:$B$1253,0)))^(1/3)-1)*100)</f>
        <v>4.0041911525952045</v>
      </c>
      <c r="U659" s="162">
        <f>IF(INDEX([1]Historical!$H$7:$H$1222,MATCH(B659,[1]Historical!$B$7:$B$1253,0))=0,"n/a",((INDEX([1]Historical!$C$7:$C$1231,MATCH(B659,[1]Historical!$B$7:$B$1253,0))/INDEX([1]Historical!$H$7:$H$1222,MATCH(B659,[1]Historical!$B$7:$B$1253,0)))^(1/5)-1)*100)</f>
        <v>6.8516702296210097</v>
      </c>
      <c r="V659" s="162">
        <f>IF(INDEX([1]Historical!$N$7:$N$1222,MATCH(B659,[1]Historical!$B$7:$B$1253,0))=0,"n/a",((INDEX([1]Historical!$C$7:$C$1231,MATCH(B659,[1]Historical!$B$7:$B$1253,0))/INDEX([1]Historical!$N$7:$N$1222,MATCH(B659,[1]Historical!$B$7:$B$1253,0)))^(1/10)-1)*100)</f>
        <v>0.43770578064119547</v>
      </c>
      <c r="W659" s="163">
        <f t="shared" si="183"/>
        <v>15.653597765110604</v>
      </c>
      <c r="X659" s="164">
        <f t="shared" si="184"/>
        <v>0.3806483460900561</v>
      </c>
      <c r="Y659" s="212"/>
      <c r="Z659" s="157">
        <f t="shared" si="185"/>
        <v>39.130434782608688</v>
      </c>
      <c r="AA659" s="166">
        <f t="shared" si="186"/>
        <v>9.3291925465838492</v>
      </c>
      <c r="AB659" s="126">
        <v>12</v>
      </c>
      <c r="AC659" s="167">
        <v>1.61</v>
      </c>
      <c r="AD659" s="167">
        <v>0.81</v>
      </c>
      <c r="AE659" s="167">
        <v>3.64</v>
      </c>
      <c r="AF659" s="167">
        <v>1.42</v>
      </c>
      <c r="AG659" s="167">
        <v>13.4</v>
      </c>
      <c r="AH659" s="167">
        <v>17.100000000000001</v>
      </c>
      <c r="AI659" s="167" t="s">
        <v>95</v>
      </c>
      <c r="AJ659" s="167">
        <v>18</v>
      </c>
      <c r="AK659" s="167">
        <v>11.600000000000001</v>
      </c>
      <c r="AL659" s="168">
        <v>90.3</v>
      </c>
      <c r="AM659" s="169">
        <v>6.8000000000000007</v>
      </c>
      <c r="AN659" s="167">
        <v>0.41</v>
      </c>
      <c r="AO659" s="170">
        <f t="shared" si="187"/>
        <v>1.7168851397615281</v>
      </c>
      <c r="AP659" s="171">
        <f t="shared" si="188"/>
        <v>11.046077686345377</v>
      </c>
      <c r="AQ659" s="172">
        <f t="shared" si="189"/>
        <v>-23.268278568482327</v>
      </c>
      <c r="AR659" s="157">
        <f>INDEX([1]Historical!$C$7:$C$1231,MATCH(B659,[1]Historical!$B$7:$B$1253,0))*IF(AH659="n/a",1.03,IF(AH659&lt;0,1.01,IF(AH659&gt;10,1.1,(1+AH659/100))))</f>
        <v>0.64349999999999996</v>
      </c>
      <c r="AS659" s="166">
        <f t="shared" si="190"/>
        <v>0.66280499999999998</v>
      </c>
      <c r="AT659" s="166">
        <f t="shared" si="191"/>
        <v>0.72908550000000005</v>
      </c>
      <c r="AU659" s="166">
        <f t="shared" si="191"/>
        <v>0.80199405000000012</v>
      </c>
      <c r="AV659" s="166">
        <f t="shared" si="191"/>
        <v>0.88219345500000024</v>
      </c>
      <c r="AW659" s="157">
        <f t="shared" si="192"/>
        <v>3.7195780050000007</v>
      </c>
      <c r="AX659" s="173">
        <f t="shared" si="193"/>
        <v>24.764167809587224</v>
      </c>
      <c r="AY659" s="174">
        <v>0.28000000000000003</v>
      </c>
      <c r="AZ659" s="169">
        <v>3.7800000000000002</v>
      </c>
      <c r="BA659" s="169">
        <v>-27.47</v>
      </c>
      <c r="BB659" s="169">
        <v>-4.8099999999999996</v>
      </c>
      <c r="BC659" s="169">
        <v>-8.9499999999999993</v>
      </c>
      <c r="BD659" s="100"/>
      <c r="BE659" s="77">
        <v>2014</v>
      </c>
      <c r="BF659" s="77">
        <f t="shared" si="194"/>
        <v>1</v>
      </c>
      <c r="BG659" s="175">
        <v>1.2</v>
      </c>
      <c r="BH659" t="s">
        <v>939</v>
      </c>
      <c r="BI659" t="s">
        <v>940</v>
      </c>
    </row>
    <row r="660" spans="1:64" s="112" customFormat="1" ht="12.75" customHeight="1" x14ac:dyDescent="0.2">
      <c r="A660" s="205" t="s">
        <v>1810</v>
      </c>
      <c r="B660" s="239" t="s">
        <v>1811</v>
      </c>
      <c r="C660" s="154" t="s">
        <v>90</v>
      </c>
      <c r="D660" s="154" t="s">
        <v>969</v>
      </c>
      <c r="E660" s="155">
        <v>47</v>
      </c>
      <c r="F660" s="298">
        <v>52</v>
      </c>
      <c r="G660" s="298" t="s">
        <v>88</v>
      </c>
      <c r="H660" s="298" t="s">
        <v>88</v>
      </c>
      <c r="I660" s="156">
        <v>42.35</v>
      </c>
      <c r="J660" s="157">
        <f t="shared" si="180"/>
        <v>3.4002361275088546</v>
      </c>
      <c r="K660" s="158">
        <v>0.36</v>
      </c>
      <c r="L660" s="126">
        <v>4</v>
      </c>
      <c r="M660" s="82">
        <f t="shared" si="181"/>
        <v>1.44</v>
      </c>
      <c r="N660" s="159" t="s">
        <v>183</v>
      </c>
      <c r="O660" s="160">
        <v>0.35</v>
      </c>
      <c r="P660" s="161">
        <v>44531</v>
      </c>
      <c r="Q660" s="161">
        <v>44564</v>
      </c>
      <c r="R660" s="82">
        <f t="shared" si="182"/>
        <v>2.8571428571428599</v>
      </c>
      <c r="S660" s="162">
        <f>IF(INDEX([1]Historical!$D$7:$D$1229,MATCH(B660,[1]Historical!$B$7:$B$1253,0))=0,"n/a",(INDEX([1]Historical!$C$7:$C$1231,MATCH(B660,[1]Historical!$B$7:$B$1253,0))/INDEX([1]Historical!$D$7:$D$1229,MATCH(B660,[1]Historical!$B$7:$B$1253,0))-1)*100)</f>
        <v>0</v>
      </c>
      <c r="T660" s="162">
        <f>IF(INDEX([1]Historical!$F$7:$F$1222,MATCH(B660,[1]Historical!$B$7:$B$1253,0))=0,"n/a",((INDEX([1]Historical!$C$7:$C$1231,MATCH(B660,[1]Historical!$B$7:$B$1253,0))/INDEX([1]Historical!$F$7:$F$1222,MATCH(B660,[1]Historical!$B$7:$B$1253,0)))^(1/3)-1)*100)</f>
        <v>0.97093450822418603</v>
      </c>
      <c r="U660" s="162">
        <f>IF(INDEX([1]Historical!$H$7:$H$1222,MATCH(B660,[1]Historical!$B$7:$B$1253,0))=0,"n/a",((INDEX([1]Historical!$C$7:$C$1231,MATCH(B660,[1]Historical!$B$7:$B$1253,0))/INDEX([1]Historical!$H$7:$H$1222,MATCH(B660,[1]Historical!$B$7:$B$1253,0)))^(1/5)-1)*100)</f>
        <v>1.1837616518241667</v>
      </c>
      <c r="V660" s="162">
        <f>IF(INDEX([1]Historical!$N$7:$N$1222,MATCH(B660,[1]Historical!$B$7:$B$1253,0))=0,"n/a",((INDEX([1]Historical!$C$7:$C$1231,MATCH(B660,[1]Historical!$B$7:$B$1253,0))/INDEX([1]Historical!$N$7:$N$1222,MATCH(B660,[1]Historical!$B$7:$B$1253,0)))^(1/10)-1)*100)</f>
        <v>1.5534493002352434</v>
      </c>
      <c r="W660" s="163">
        <f t="shared" si="183"/>
        <v>0.76202142654086369</v>
      </c>
      <c r="X660" s="164">
        <f t="shared" si="184"/>
        <v>0.15996779078704956</v>
      </c>
      <c r="Y660" s="180" t="s">
        <v>1812</v>
      </c>
      <c r="Z660" s="157">
        <f t="shared" si="185"/>
        <v>55.813953488372093</v>
      </c>
      <c r="AA660" s="166">
        <f t="shared" si="186"/>
        <v>16.414728682170544</v>
      </c>
      <c r="AB660" s="126">
        <v>12</v>
      </c>
      <c r="AC660" s="167">
        <v>2.58</v>
      </c>
      <c r="AD660" s="167">
        <v>2.04</v>
      </c>
      <c r="AE660" s="167">
        <v>6.65</v>
      </c>
      <c r="AF660" s="167">
        <v>1.26</v>
      </c>
      <c r="AG660" s="167">
        <v>7.5</v>
      </c>
      <c r="AH660" s="167">
        <v>18</v>
      </c>
      <c r="AI660" s="167">
        <v>3.9800000000000004</v>
      </c>
      <c r="AJ660" s="167">
        <v>7.3999999999999995</v>
      </c>
      <c r="AK660" s="167">
        <v>8</v>
      </c>
      <c r="AL660" s="168">
        <v>5450</v>
      </c>
      <c r="AM660" s="169">
        <v>1.0999999999999999</v>
      </c>
      <c r="AN660" s="167">
        <v>0.06</v>
      </c>
      <c r="AO660" s="170">
        <f t="shared" si="187"/>
        <v>-11.830730902837523</v>
      </c>
      <c r="AP660" s="171">
        <f t="shared" si="188"/>
        <v>4.5839977793330213</v>
      </c>
      <c r="AQ660" s="172">
        <f t="shared" si="189"/>
        <v>-4.1237878198376983</v>
      </c>
      <c r="AR660" s="157">
        <f>INDEX([1]Historical!$C$7:$C$1231,MATCH(B660,[1]Historical!$B$7:$B$1253,0))*IF(AH660="n/a",1.03,IF(AH660&lt;0,1.01,IF(AH660&gt;10,1.1,(1+AH660/100))))</f>
        <v>1.54</v>
      </c>
      <c r="AS660" s="166">
        <f t="shared" si="190"/>
        <v>1.6012920000000002</v>
      </c>
      <c r="AT660" s="166">
        <f t="shared" si="191"/>
        <v>1.7293953600000003</v>
      </c>
      <c r="AU660" s="166">
        <f t="shared" si="191"/>
        <v>1.8677469888000005</v>
      </c>
      <c r="AV660" s="166">
        <f t="shared" si="191"/>
        <v>2.0171667479040005</v>
      </c>
      <c r="AW660" s="157">
        <f t="shared" si="192"/>
        <v>8.7556010967040017</v>
      </c>
      <c r="AX660" s="173">
        <f t="shared" si="193"/>
        <v>20.674382754909093</v>
      </c>
      <c r="AY660" s="174">
        <v>1.1000000000000001</v>
      </c>
      <c r="AZ660" s="169">
        <v>27.91</v>
      </c>
      <c r="BA660" s="169">
        <v>0.41000000000000003</v>
      </c>
      <c r="BB660" s="169">
        <v>12.690000000000001</v>
      </c>
      <c r="BC660" s="169">
        <v>16.470000000000002</v>
      </c>
      <c r="BD660" s="100"/>
      <c r="BE660" s="77">
        <v>1975</v>
      </c>
      <c r="BF660" s="77">
        <f t="shared" si="194"/>
        <v>5</v>
      </c>
      <c r="BG660" s="175">
        <v>1.2</v>
      </c>
      <c r="BH660" t="s">
        <v>939</v>
      </c>
      <c r="BI660" t="s">
        <v>940</v>
      </c>
      <c r="BJ660"/>
      <c r="BK660"/>
      <c r="BL660"/>
    </row>
    <row r="661" spans="1:64" s="112" customFormat="1" ht="12.75" customHeight="1" x14ac:dyDescent="0.2">
      <c r="A661" s="176" t="s">
        <v>1683</v>
      </c>
      <c r="B661" s="239" t="s">
        <v>874</v>
      </c>
      <c r="C661" s="154" t="s">
        <v>90</v>
      </c>
      <c r="D661" s="154" t="s">
        <v>969</v>
      </c>
      <c r="E661" s="155">
        <v>9</v>
      </c>
      <c r="F661" s="298">
        <v>561</v>
      </c>
      <c r="G661" s="298" t="s">
        <v>88</v>
      </c>
      <c r="H661" s="298" t="s">
        <v>88</v>
      </c>
      <c r="I661" s="156">
        <v>38.5</v>
      </c>
      <c r="J661" s="157">
        <f t="shared" si="180"/>
        <v>2.2857142857142856</v>
      </c>
      <c r="K661" s="158">
        <v>0.22</v>
      </c>
      <c r="L661" s="126">
        <v>4</v>
      </c>
      <c r="M661" s="82">
        <f t="shared" si="181"/>
        <v>0.88</v>
      </c>
      <c r="N661" s="159" t="s">
        <v>539</v>
      </c>
      <c r="O661" s="160">
        <v>0.21</v>
      </c>
      <c r="P661" s="161">
        <v>44818</v>
      </c>
      <c r="Q661" s="161">
        <v>44839</v>
      </c>
      <c r="R661" s="82">
        <f t="shared" si="182"/>
        <v>4.7619047619047663</v>
      </c>
      <c r="S661" s="162">
        <f>IF(INDEX([1]Historical!$D$7:$D$1229,MATCH(B661,[1]Historical!$B$7:$B$1253,0))=0,"n/a",(INDEX([1]Historical!$C$7:$C$1231,MATCH(B661,[1]Historical!$B$7:$B$1253,0))/INDEX([1]Historical!$D$7:$D$1229,MATCH(B661,[1]Historical!$B$7:$B$1253,0))-1)*100)</f>
        <v>5.555555555555558</v>
      </c>
      <c r="T661" s="162">
        <f>IF(INDEX([1]Historical!$F$7:$F$1222,MATCH(B661,[1]Historical!$B$7:$B$1253,0))=0,"n/a",((INDEX([1]Historical!$C$7:$C$1231,MATCH(B661,[1]Historical!$B$7:$B$1253,0))/INDEX([1]Historical!$F$7:$F$1222,MATCH(B661,[1]Historical!$B$7:$B$1253,0)))^(1/3)-1)*100)</f>
        <v>13.484552524869731</v>
      </c>
      <c r="U661" s="162">
        <f>IF(INDEX([1]Historical!$H$7:$H$1222,MATCH(B661,[1]Historical!$B$7:$B$1253,0))=0,"n/a",((INDEX([1]Historical!$C$7:$C$1231,MATCH(B661,[1]Historical!$B$7:$B$1253,0))/INDEX([1]Historical!$H$7:$H$1222,MATCH(B661,[1]Historical!$B$7:$B$1253,0)))^(1/5)-1)*100)</f>
        <v>22.104343283362393</v>
      </c>
      <c r="V661" s="162" t="str">
        <f>IF(INDEX([1]Historical!$N$7:$N$1222,MATCH(B661,[1]Historical!$B$7:$B$1253,0))=0,"n/a",((INDEX([1]Historical!$C$7:$C$1231,MATCH(B661,[1]Historical!$B$7:$B$1253,0))/INDEX([1]Historical!$N$7:$N$1222,MATCH(B661,[1]Historical!$B$7:$B$1253,0)))^(1/10)-1)*100)</f>
        <v>n/a</v>
      </c>
      <c r="W661" s="163" t="str">
        <f t="shared" si="183"/>
        <v>n/a</v>
      </c>
      <c r="X661" s="164">
        <f t="shared" si="184"/>
        <v>1.3644656347754565</v>
      </c>
      <c r="Y661" s="178"/>
      <c r="Z661" s="157">
        <f t="shared" si="185"/>
        <v>37.768240343347635</v>
      </c>
      <c r="AA661" s="166">
        <f t="shared" si="186"/>
        <v>16.523605150214593</v>
      </c>
      <c r="AB661" s="126">
        <v>12</v>
      </c>
      <c r="AC661" s="167">
        <v>2.33</v>
      </c>
      <c r="AD661" s="167">
        <v>16.55</v>
      </c>
      <c r="AE661" s="167">
        <v>5.55</v>
      </c>
      <c r="AF661" s="167">
        <v>1.61</v>
      </c>
      <c r="AG661" s="167">
        <v>10.100000000000001</v>
      </c>
      <c r="AH661" s="167">
        <v>55.000000000000007</v>
      </c>
      <c r="AI661" s="167">
        <v>22.400000000000002</v>
      </c>
      <c r="AJ661" s="167">
        <v>16.2</v>
      </c>
      <c r="AK661" s="167">
        <v>1</v>
      </c>
      <c r="AL661" s="168">
        <v>3970</v>
      </c>
      <c r="AM661" s="169">
        <v>0.6</v>
      </c>
      <c r="AN661" s="167">
        <v>0.13</v>
      </c>
      <c r="AO661" s="170">
        <f t="shared" si="187"/>
        <v>7.8664524188620852</v>
      </c>
      <c r="AP661" s="171">
        <f t="shared" si="188"/>
        <v>24.390057569076678</v>
      </c>
      <c r="AQ661" s="172">
        <f t="shared" si="189"/>
        <v>8.7361828603636624</v>
      </c>
      <c r="AR661" s="157">
        <f>INDEX([1]Historical!$C$7:$C$1231,MATCH(B661,[1]Historical!$B$7:$B$1253,0))*IF(AH661="n/a",1.03,IF(AH661&lt;0,1.01,IF(AH661&gt;10,1.1,(1+AH661/100))))</f>
        <v>0.83600000000000008</v>
      </c>
      <c r="AS661" s="166">
        <f t="shared" si="190"/>
        <v>0.9196000000000002</v>
      </c>
      <c r="AT661" s="166">
        <f t="shared" si="191"/>
        <v>0.92879600000000018</v>
      </c>
      <c r="AU661" s="166">
        <f t="shared" si="191"/>
        <v>0.93808396000000016</v>
      </c>
      <c r="AV661" s="166">
        <f t="shared" si="191"/>
        <v>0.94746479960000018</v>
      </c>
      <c r="AW661" s="157">
        <f t="shared" si="192"/>
        <v>4.5699447596000011</v>
      </c>
      <c r="AX661" s="173">
        <f t="shared" si="193"/>
        <v>11.869986388571432</v>
      </c>
      <c r="AY661" s="174">
        <v>1.02</v>
      </c>
      <c r="AZ661" s="169">
        <v>38.24</v>
      </c>
      <c r="BA661" s="169">
        <v>-2.09</v>
      </c>
      <c r="BB661" s="169">
        <v>11.559999999999999</v>
      </c>
      <c r="BC661" s="169">
        <v>14.299999999999999</v>
      </c>
      <c r="BD661" s="100"/>
      <c r="BE661" s="77">
        <v>2014</v>
      </c>
      <c r="BF661" s="77">
        <f t="shared" si="194"/>
        <v>1</v>
      </c>
      <c r="BG661" s="175">
        <v>1.0999999999999999</v>
      </c>
      <c r="BH661" t="s">
        <v>939</v>
      </c>
      <c r="BI661" t="s">
        <v>940</v>
      </c>
    </row>
    <row r="662" spans="1:64" s="112" customFormat="1" ht="12.75" customHeight="1" x14ac:dyDescent="0.2">
      <c r="A662" s="112" t="s">
        <v>1684</v>
      </c>
      <c r="B662" s="239" t="s">
        <v>648</v>
      </c>
      <c r="C662" s="154" t="s">
        <v>947</v>
      </c>
      <c r="D662" s="154" t="s">
        <v>948</v>
      </c>
      <c r="E662" s="155">
        <v>12</v>
      </c>
      <c r="F662" s="298">
        <v>358</v>
      </c>
      <c r="G662" s="298" t="s">
        <v>30</v>
      </c>
      <c r="H662" s="298" t="s">
        <v>30</v>
      </c>
      <c r="I662" s="156">
        <v>39.76</v>
      </c>
      <c r="J662" s="157">
        <f t="shared" si="180"/>
        <v>3.8229376257545273</v>
      </c>
      <c r="K662" s="158">
        <v>0.38</v>
      </c>
      <c r="L662" s="126">
        <v>4</v>
      </c>
      <c r="M662" s="82">
        <f t="shared" si="181"/>
        <v>1.52</v>
      </c>
      <c r="N662" s="159" t="s">
        <v>309</v>
      </c>
      <c r="O662" s="160">
        <v>0.36249999999999999</v>
      </c>
      <c r="P662" s="161">
        <v>44659</v>
      </c>
      <c r="Q662" s="161">
        <v>44683</v>
      </c>
      <c r="R662" s="82">
        <f t="shared" si="182"/>
        <v>4.827586206896556</v>
      </c>
      <c r="S662" s="162">
        <f>IF(INDEX([1]Historical!$D$7:$D$1229,MATCH(B662,[1]Historical!$B$7:$B$1253,0))=0,"n/a",(INDEX([1]Historical!$C$7:$C$1231,MATCH(B662,[1]Historical!$B$7:$B$1253,0))/INDEX([1]Historical!$D$7:$D$1229,MATCH(B662,[1]Historical!$B$7:$B$1253,0))-1)*100)</f>
        <v>1.7574692442882123</v>
      </c>
      <c r="T662" s="162">
        <f>IF(INDEX([1]Historical!$F$7:$F$1222,MATCH(B662,[1]Historical!$B$7:$B$1253,0))=0,"n/a",((INDEX([1]Historical!$C$7:$C$1231,MATCH(B662,[1]Historical!$B$7:$B$1253,0))/INDEX([1]Historical!$F$7:$F$1222,MATCH(B662,[1]Historical!$B$7:$B$1253,0)))^(1/3)-1)*100)</f>
        <v>4.2523582762382217</v>
      </c>
      <c r="U662" s="162">
        <f>IF(INDEX([1]Historical!$H$7:$H$1222,MATCH(B662,[1]Historical!$B$7:$B$1253,0))=0,"n/a",((INDEX([1]Historical!$C$7:$C$1231,MATCH(B662,[1]Historical!$B$7:$B$1253,0))/INDEX([1]Historical!$H$7:$H$1222,MATCH(B662,[1]Historical!$B$7:$B$1253,0)))^(1/5)-1)*100)</f>
        <v>4.482876881476705</v>
      </c>
      <c r="V662" s="162">
        <f>IF(INDEX([1]Historical!$N$7:$N$1222,MATCH(B662,[1]Historical!$B$7:$B$1253,0))=0,"n/a",((INDEX([1]Historical!$C$7:$C$1231,MATCH(B662,[1]Historical!$B$7:$B$1253,0))/INDEX([1]Historical!$N$7:$N$1222,MATCH(B662,[1]Historical!$B$7:$B$1253,0)))^(1/10)-1)*100)</f>
        <v>6.5154937137062108</v>
      </c>
      <c r="W662" s="163">
        <f t="shared" si="183"/>
        <v>0.68803333691296109</v>
      </c>
      <c r="X662" s="164">
        <f t="shared" si="184"/>
        <v>0.42291291334685899</v>
      </c>
      <c r="Y662" s="214"/>
      <c r="Z662" s="157">
        <f t="shared" si="185"/>
        <v>310.20408163265307</v>
      </c>
      <c r="AA662" s="166">
        <f t="shared" si="186"/>
        <v>81.142857142857139</v>
      </c>
      <c r="AB662" s="126">
        <v>12</v>
      </c>
      <c r="AC662" s="167">
        <v>0.49</v>
      </c>
      <c r="AD662" s="167" t="s">
        <v>95</v>
      </c>
      <c r="AE662" s="167">
        <v>8.74</v>
      </c>
      <c r="AF662" s="167">
        <v>3.29</v>
      </c>
      <c r="AG662" s="167">
        <v>4.3</v>
      </c>
      <c r="AH662" s="167">
        <v>137.4</v>
      </c>
      <c r="AI662" s="167">
        <v>112.06</v>
      </c>
      <c r="AJ662" s="167">
        <v>10.6</v>
      </c>
      <c r="AK662" s="167" t="s">
        <v>95</v>
      </c>
      <c r="AL662" s="168">
        <v>12820</v>
      </c>
      <c r="AM662" s="169">
        <v>0.57999999999999996</v>
      </c>
      <c r="AN662" s="167">
        <v>1.44</v>
      </c>
      <c r="AO662" s="170">
        <f t="shared" si="187"/>
        <v>-72.837042635625906</v>
      </c>
      <c r="AP662" s="171">
        <f t="shared" si="188"/>
        <v>8.3058145072312328</v>
      </c>
      <c r="AQ662" s="172">
        <f t="shared" si="189"/>
        <v>244.45448014053886</v>
      </c>
      <c r="AR662" s="157">
        <f>INDEX([1]Historical!$C$7:$C$1231,MATCH(B662,[1]Historical!$B$7:$B$1253,0))*IF(AH662="n/a",1.03,IF(AH662&lt;0,1.01,IF(AH662&gt;10,1.1,(1+AH662/100))))</f>
        <v>1.5922500000000002</v>
      </c>
      <c r="AS662" s="166">
        <f t="shared" si="190"/>
        <v>1.7514750000000003</v>
      </c>
      <c r="AT662" s="166">
        <f t="shared" si="191"/>
        <v>1.8040192500000003</v>
      </c>
      <c r="AU662" s="166">
        <f t="shared" si="191"/>
        <v>1.8581398275000003</v>
      </c>
      <c r="AV662" s="166">
        <f t="shared" si="191"/>
        <v>1.9138840223250004</v>
      </c>
      <c r="AW662" s="157">
        <f t="shared" si="192"/>
        <v>8.9197680998250011</v>
      </c>
      <c r="AX662" s="173">
        <f t="shared" si="193"/>
        <v>22.434024395938131</v>
      </c>
      <c r="AY662" s="174">
        <v>0.71</v>
      </c>
      <c r="AZ662" s="169">
        <v>6.8199999999999994</v>
      </c>
      <c r="BA662" s="169">
        <v>-34.880000000000003</v>
      </c>
      <c r="BB662" s="169">
        <v>-6.8900000000000006</v>
      </c>
      <c r="BC662" s="169">
        <v>-19.670000000000002</v>
      </c>
      <c r="BD662" s="100"/>
      <c r="BE662" s="77">
        <v>2011</v>
      </c>
      <c r="BF662" s="77">
        <f t="shared" si="194"/>
        <v>1</v>
      </c>
      <c r="BG662" s="175">
        <v>1.4000000000000001</v>
      </c>
      <c r="BH662" t="s">
        <v>939</v>
      </c>
      <c r="BI662" t="s">
        <v>945</v>
      </c>
      <c r="BJ662"/>
      <c r="BK662"/>
      <c r="BL662"/>
    </row>
    <row r="663" spans="1:64" s="112" customFormat="1" ht="12.75" customHeight="1" x14ac:dyDescent="0.2">
      <c r="A663" s="112" t="s">
        <v>1685</v>
      </c>
      <c r="B663" s="239" t="s">
        <v>837</v>
      </c>
      <c r="C663" s="154" t="s">
        <v>94</v>
      </c>
      <c r="D663" s="154" t="s">
        <v>760</v>
      </c>
      <c r="E663" s="155">
        <v>10</v>
      </c>
      <c r="F663" s="298">
        <v>494</v>
      </c>
      <c r="G663" s="298" t="s">
        <v>88</v>
      </c>
      <c r="H663" s="298" t="s">
        <v>88</v>
      </c>
      <c r="I663" s="156">
        <v>71.23</v>
      </c>
      <c r="J663" s="157">
        <f t="shared" si="180"/>
        <v>1.4039028499227852</v>
      </c>
      <c r="K663" s="158">
        <v>0.25</v>
      </c>
      <c r="L663" s="126">
        <v>4</v>
      </c>
      <c r="M663" s="82">
        <f t="shared" si="181"/>
        <v>1</v>
      </c>
      <c r="N663" s="159" t="s">
        <v>167</v>
      </c>
      <c r="O663" s="160">
        <v>0.2</v>
      </c>
      <c r="P663" s="161">
        <v>44712</v>
      </c>
      <c r="Q663" s="161">
        <v>44727</v>
      </c>
      <c r="R663" s="82">
        <f t="shared" si="182"/>
        <v>24.999999999999993</v>
      </c>
      <c r="S663" s="162">
        <f>IF(INDEX([1]Historical!$D$7:$D$1229,MATCH(B663,[1]Historical!$B$7:$B$1253,0))=0,"n/a",(INDEX([1]Historical!$C$7:$C$1231,MATCH(B663,[1]Historical!$B$7:$B$1253,0))/INDEX([1]Historical!$D$7:$D$1229,MATCH(B663,[1]Historical!$B$7:$B$1253,0))-1)*100)</f>
        <v>30.000000000000004</v>
      </c>
      <c r="T663" s="162">
        <f>IF(INDEX([1]Historical!$F$7:$F$1222,MATCH(B663,[1]Historical!$B$7:$B$1253,0))=0,"n/a",((INDEX([1]Historical!$C$7:$C$1231,MATCH(B663,[1]Historical!$B$7:$B$1253,0))/INDEX([1]Historical!$F$7:$F$1222,MATCH(B663,[1]Historical!$B$7:$B$1253,0)))^(1/3)-1)*100)</f>
        <v>21.769059567713377</v>
      </c>
      <c r="U663" s="162">
        <f>IF(INDEX([1]Historical!$H$7:$H$1222,MATCH(B663,[1]Historical!$B$7:$B$1253,0))=0,"n/a",((INDEX([1]Historical!$C$7:$C$1231,MATCH(B663,[1]Historical!$B$7:$B$1253,0))/INDEX([1]Historical!$H$7:$H$1222,MATCH(B663,[1]Historical!$B$7:$B$1253,0)))^(1/5)-1)*100)</f>
        <v>17.517642819737709</v>
      </c>
      <c r="V663" s="162">
        <f>IF(INDEX([1]Historical!$N$7:$N$1222,MATCH(B663,[1]Historical!$B$7:$B$1253,0))=0,"n/a",((INDEX([1]Historical!$C$7:$C$1231,MATCH(B663,[1]Historical!$B$7:$B$1253,0))/INDEX([1]Historical!$N$7:$N$1222,MATCH(B663,[1]Historical!$B$7:$B$1253,0)))^(1/10)-1)*100)</f>
        <v>17.164882683060824</v>
      </c>
      <c r="W663" s="163">
        <f t="shared" si="183"/>
        <v>1.0205512698915797</v>
      </c>
      <c r="X663" s="164">
        <f t="shared" si="184"/>
        <v>0.44917032871122331</v>
      </c>
      <c r="Y663" s="178"/>
      <c r="Z663" s="157">
        <f t="shared" si="185"/>
        <v>9.0090090090090094</v>
      </c>
      <c r="AA663" s="166">
        <f t="shared" si="186"/>
        <v>6.417117117117118</v>
      </c>
      <c r="AB663" s="126">
        <v>12</v>
      </c>
      <c r="AC663" s="167">
        <v>11.1</v>
      </c>
      <c r="AD663" s="167">
        <v>0.38</v>
      </c>
      <c r="AE663" s="167">
        <v>0.45</v>
      </c>
      <c r="AF663" s="167">
        <v>1.91</v>
      </c>
      <c r="AG663" s="167" t="s">
        <v>95</v>
      </c>
      <c r="AH663" s="167">
        <v>114.5</v>
      </c>
      <c r="AI663" s="167">
        <v>-24.66</v>
      </c>
      <c r="AJ663" s="167">
        <v>39</v>
      </c>
      <c r="AK663" s="167">
        <v>17</v>
      </c>
      <c r="AL663" s="168">
        <v>4330</v>
      </c>
      <c r="AM663" s="169">
        <v>2.1999999999999997</v>
      </c>
      <c r="AN663" s="167">
        <v>0.14000000000000001</v>
      </c>
      <c r="AO663" s="170">
        <f t="shared" si="187"/>
        <v>12.504428552543377</v>
      </c>
      <c r="AP663" s="171">
        <f t="shared" si="188"/>
        <v>18.921545669660496</v>
      </c>
      <c r="AQ663" s="172">
        <f t="shared" si="189"/>
        <v>-26.193364665367515</v>
      </c>
      <c r="AR663" s="157">
        <f>INDEX([1]Historical!$C$7:$C$1231,MATCH(B663,[1]Historical!$B$7:$B$1253,0))*IF(AH663="n/a",1.03,IF(AH663&lt;0,1.01,IF(AH663&gt;10,1.1,(1+AH663/100))))</f>
        <v>0.71500000000000008</v>
      </c>
      <c r="AS663" s="166">
        <f t="shared" si="190"/>
        <v>0.72215000000000007</v>
      </c>
      <c r="AT663" s="166">
        <f t="shared" ref="AT663:AV678" si="195">IF($AK663="n/a",1.03*AS663,IF($AK663&lt;0,1.01*AS663,IF($AK663&gt;10,1.1*AS663,(1+$AK663/100)*AS663)))</f>
        <v>0.7943650000000001</v>
      </c>
      <c r="AU663" s="166">
        <f t="shared" si="195"/>
        <v>0.87380150000000023</v>
      </c>
      <c r="AV663" s="166">
        <f t="shared" si="195"/>
        <v>0.96118165000000033</v>
      </c>
      <c r="AW663" s="157">
        <f t="shared" si="192"/>
        <v>4.066498150000001</v>
      </c>
      <c r="AX663" s="173">
        <f t="shared" si="193"/>
        <v>5.7089683419907358</v>
      </c>
      <c r="AY663" s="174">
        <v>1.47</v>
      </c>
      <c r="AZ663" s="169">
        <v>11.08</v>
      </c>
      <c r="BA663" s="169">
        <v>-24.86</v>
      </c>
      <c r="BB663" s="169">
        <v>-5.09</v>
      </c>
      <c r="BC663" s="169">
        <v>-9.02</v>
      </c>
      <c r="BD663" s="100"/>
      <c r="BE663" s="77">
        <v>2013</v>
      </c>
      <c r="BF663" s="77">
        <f t="shared" si="194"/>
        <v>1</v>
      </c>
      <c r="BG663" s="175" t="s">
        <v>95</v>
      </c>
      <c r="BH663" t="s">
        <v>939</v>
      </c>
      <c r="BI663" t="s">
        <v>940</v>
      </c>
      <c r="BJ663"/>
      <c r="BK663"/>
      <c r="BL663"/>
    </row>
    <row r="664" spans="1:64" s="112" customFormat="1" ht="12.75" customHeight="1" x14ac:dyDescent="0.2">
      <c r="A664" s="176" t="s">
        <v>1686</v>
      </c>
      <c r="B664" s="239" t="s">
        <v>484</v>
      </c>
      <c r="C664" s="154" t="s">
        <v>117</v>
      </c>
      <c r="D664" s="154" t="s">
        <v>979</v>
      </c>
      <c r="E664" s="155">
        <v>35</v>
      </c>
      <c r="F664" s="298">
        <v>83</v>
      </c>
      <c r="G664" s="298" t="s">
        <v>30</v>
      </c>
      <c r="H664" s="298" t="s">
        <v>30</v>
      </c>
      <c r="I664" s="167">
        <v>35.33</v>
      </c>
      <c r="J664" s="157">
        <f t="shared" si="180"/>
        <v>4.0758562128502689</v>
      </c>
      <c r="K664" s="209">
        <v>0.36</v>
      </c>
      <c r="L664" s="126">
        <v>4</v>
      </c>
      <c r="M664" s="82">
        <f t="shared" si="181"/>
        <v>1.44</v>
      </c>
      <c r="N664" s="159" t="s">
        <v>121</v>
      </c>
      <c r="O664" s="210">
        <v>0.34499999999999997</v>
      </c>
      <c r="P664" s="161">
        <v>44726</v>
      </c>
      <c r="Q664" s="161">
        <v>44743</v>
      </c>
      <c r="R664" s="82">
        <f t="shared" si="182"/>
        <v>4.3478260869565259</v>
      </c>
      <c r="S664" s="162">
        <f>IF(INDEX([1]Historical!$D$7:$D$1229,MATCH(B664,[1]Historical!$B$7:$B$1253,0))=0,"n/a",(INDEX([1]Historical!$C$7:$C$1231,MATCH(B664,[1]Historical!$B$7:$B$1253,0))/INDEX([1]Historical!$D$7:$D$1229,MATCH(B664,[1]Historical!$B$7:$B$1253,0))-1)*100)</f>
        <v>3.0534351145038219</v>
      </c>
      <c r="T664" s="162">
        <f>IF(INDEX([1]Historical!$F$7:$F$1222,MATCH(B664,[1]Historical!$B$7:$B$1253,0))=0,"n/a",((INDEX([1]Historical!$C$7:$C$1231,MATCH(B664,[1]Historical!$B$7:$B$1253,0))/INDEX([1]Historical!$F$7:$F$1222,MATCH(B664,[1]Historical!$B$7:$B$1253,0)))^(1/3)-1)*100)</f>
        <v>9.7938124280034131</v>
      </c>
      <c r="U664" s="162">
        <f>IF(INDEX([1]Historical!$H$7:$H$1222,MATCH(B664,[1]Historical!$B$7:$B$1253,0))=0,"n/a",((INDEX([1]Historical!$C$7:$C$1231,MATCH(B664,[1]Historical!$B$7:$B$1253,0))/INDEX([1]Historical!$H$7:$H$1222,MATCH(B664,[1]Historical!$B$7:$B$1253,0)))^(1/5)-1)*100)</f>
        <v>7.7383112741443938</v>
      </c>
      <c r="V664" s="162">
        <f>IF(INDEX([1]Historical!$N$7:$N$1222,MATCH(B664,[1]Historical!$B$7:$B$1253,0))=0,"n/a",((INDEX([1]Historical!$C$7:$C$1231,MATCH(B664,[1]Historical!$B$7:$B$1253,0))/INDEX([1]Historical!$N$7:$N$1222,MATCH(B664,[1]Historical!$B$7:$B$1253,0)))^(1/10)-1)*100)</f>
        <v>7.0982774025257545</v>
      </c>
      <c r="W664" s="163">
        <f t="shared" si="183"/>
        <v>1.090167492100393</v>
      </c>
      <c r="X664" s="164">
        <f t="shared" si="184"/>
        <v>0.28874295799046246</v>
      </c>
      <c r="Y664" s="178"/>
      <c r="Z664" s="157">
        <f t="shared" si="185"/>
        <v>23.113964686998393</v>
      </c>
      <c r="AA664" s="166">
        <f t="shared" si="186"/>
        <v>5.670947030497592</v>
      </c>
      <c r="AB664" s="126">
        <v>9</v>
      </c>
      <c r="AC664" s="167">
        <v>6.23</v>
      </c>
      <c r="AD664" s="167">
        <v>0.82</v>
      </c>
      <c r="AE664" s="167">
        <v>0.75</v>
      </c>
      <c r="AF664" s="167">
        <v>1.27</v>
      </c>
      <c r="AG664" s="167">
        <v>24.3</v>
      </c>
      <c r="AH664" s="167">
        <v>168.5</v>
      </c>
      <c r="AI664" s="167">
        <v>12.13</v>
      </c>
      <c r="AJ664" s="167">
        <v>26.8</v>
      </c>
      <c r="AK664" s="167">
        <v>6.8500000000000005</v>
      </c>
      <c r="AL664" s="168">
        <v>7240</v>
      </c>
      <c r="AM664" s="169">
        <v>0.2</v>
      </c>
      <c r="AN664" s="167">
        <v>1.1499999999999999</v>
      </c>
      <c r="AO664" s="170">
        <f t="shared" si="187"/>
        <v>6.1432204564970707</v>
      </c>
      <c r="AP664" s="171">
        <f t="shared" si="188"/>
        <v>11.814167486994663</v>
      </c>
      <c r="AQ664" s="172">
        <f t="shared" si="189"/>
        <v>-43.423197809498944</v>
      </c>
      <c r="AR664" s="157">
        <f>INDEX([1]Historical!$C$7:$C$1231,MATCH(B664,[1]Historical!$B$7:$B$1253,0))*IF(AH664="n/a",1.03,IF(AH664&lt;0,1.01,IF(AH664&gt;10,1.1,(1+AH664/100))))</f>
        <v>1.4850000000000003</v>
      </c>
      <c r="AS664" s="166">
        <f t="shared" si="190"/>
        <v>1.6335000000000004</v>
      </c>
      <c r="AT664" s="166">
        <f t="shared" si="195"/>
        <v>1.7453947500000004</v>
      </c>
      <c r="AU664" s="166">
        <f t="shared" si="195"/>
        <v>1.8649542903750005</v>
      </c>
      <c r="AV664" s="166">
        <f t="shared" si="195"/>
        <v>1.9927036592656879</v>
      </c>
      <c r="AW664" s="157">
        <f t="shared" si="192"/>
        <v>8.7215526996406894</v>
      </c>
      <c r="AX664" s="173">
        <f t="shared" si="193"/>
        <v>24.68596858092468</v>
      </c>
      <c r="AY664" s="174">
        <v>1.06</v>
      </c>
      <c r="AZ664" s="169">
        <v>13.270000000000001</v>
      </c>
      <c r="BA664" s="169">
        <v>-24.89</v>
      </c>
      <c r="BB664" s="169">
        <v>-1.6400000000000001</v>
      </c>
      <c r="BC664" s="169">
        <v>-8.32</v>
      </c>
      <c r="BD664" s="100"/>
      <c r="BE664" s="77">
        <v>1988</v>
      </c>
      <c r="BF664" s="77">
        <f t="shared" si="194"/>
        <v>4</v>
      </c>
      <c r="BG664" s="175">
        <v>7.9</v>
      </c>
      <c r="BH664" t="s">
        <v>939</v>
      </c>
      <c r="BI664" t="s">
        <v>940</v>
      </c>
      <c r="BJ664"/>
      <c r="BK664"/>
      <c r="BL664"/>
    </row>
    <row r="665" spans="1:64" s="112" customFormat="1" ht="12.75" customHeight="1" x14ac:dyDescent="0.2">
      <c r="A665" s="176" t="s">
        <v>1687</v>
      </c>
      <c r="B665" s="239" t="s">
        <v>490</v>
      </c>
      <c r="C665" s="154" t="s">
        <v>947</v>
      </c>
      <c r="D665" s="154" t="s">
        <v>948</v>
      </c>
      <c r="E665" s="155">
        <v>37</v>
      </c>
      <c r="F665" s="298">
        <v>75</v>
      </c>
      <c r="G665" s="298" t="s">
        <v>30</v>
      </c>
      <c r="H665" s="298" t="s">
        <v>30</v>
      </c>
      <c r="I665" s="167">
        <v>48.67</v>
      </c>
      <c r="J665" s="157">
        <f t="shared" si="180"/>
        <v>5.8352167659749332</v>
      </c>
      <c r="K665" s="209">
        <v>0.71</v>
      </c>
      <c r="L665" s="126">
        <v>4</v>
      </c>
      <c r="M665" s="82">
        <f t="shared" si="181"/>
        <v>2.84</v>
      </c>
      <c r="N665" s="159" t="s">
        <v>628</v>
      </c>
      <c r="O665" s="210">
        <v>0.70499999999999996</v>
      </c>
      <c r="P665" s="161">
        <v>44728</v>
      </c>
      <c r="Q665" s="161">
        <v>44742</v>
      </c>
      <c r="R665" s="82">
        <f t="shared" si="182"/>
        <v>0.70921985815602906</v>
      </c>
      <c r="S665" s="162">
        <f>IF(INDEX([1]Historical!$D$7:$D$1229,MATCH(B665,[1]Historical!$B$7:$B$1253,0))=0,"n/a",(INDEX([1]Historical!$C$7:$C$1231,MATCH(B665,[1]Historical!$B$7:$B$1253,0))/INDEX([1]Historical!$D$7:$D$1229,MATCH(B665,[1]Historical!$B$7:$B$1253,0))-1)*100)</f>
        <v>1.449275362318847</v>
      </c>
      <c r="T665" s="162">
        <f>IF(INDEX([1]Historical!$F$7:$F$1222,MATCH(B665,[1]Historical!$B$7:$B$1253,0))=0,"n/a",((INDEX([1]Historical!$C$7:$C$1231,MATCH(B665,[1]Historical!$B$7:$B$1253,0))/INDEX([1]Historical!$F$7:$F$1222,MATCH(B665,[1]Historical!$B$7:$B$1253,0)))^(1/3)-1)*100)</f>
        <v>1.470798766517678</v>
      </c>
      <c r="U665" s="162">
        <f>IF(INDEX([1]Historical!$H$7:$H$1222,MATCH(B665,[1]Historical!$B$7:$B$1253,0))=0,"n/a",((INDEX([1]Historical!$C$7:$C$1231,MATCH(B665,[1]Historical!$B$7:$B$1253,0))/INDEX([1]Historical!$H$7:$H$1222,MATCH(B665,[1]Historical!$B$7:$B$1253,0)))^(1/5)-1)*100)</f>
        <v>1.3958888009833581</v>
      </c>
      <c r="V665" s="162">
        <f>IF(INDEX([1]Historical!$N$7:$N$1222,MATCH(B665,[1]Historical!$B$7:$B$1253,0))=0,"n/a",((INDEX([1]Historical!$C$7:$C$1231,MATCH(B665,[1]Historical!$B$7:$B$1253,0))/INDEX([1]Historical!$N$7:$N$1222,MATCH(B665,[1]Historical!$B$7:$B$1253,0)))^(1/10)-1)*100)</f>
        <v>1.4482661324040746</v>
      </c>
      <c r="W665" s="163">
        <f t="shared" si="183"/>
        <v>0.9638344567695083</v>
      </c>
      <c r="X665" s="164">
        <f t="shared" si="184"/>
        <v>3.1724745476894502E-2</v>
      </c>
      <c r="Y665" s="178"/>
      <c r="Z665" s="157">
        <f t="shared" si="185"/>
        <v>36.55083655083655</v>
      </c>
      <c r="AA665" s="166">
        <f t="shared" si="186"/>
        <v>6.2638352638352641</v>
      </c>
      <c r="AB665" s="126">
        <v>12</v>
      </c>
      <c r="AC665" s="167">
        <v>7.77</v>
      </c>
      <c r="AD665" s="167" t="s">
        <v>95</v>
      </c>
      <c r="AE665" s="167">
        <v>7.55</v>
      </c>
      <c r="AF665" s="167">
        <v>2.85</v>
      </c>
      <c r="AG665" s="167">
        <v>50.8</v>
      </c>
      <c r="AH665" s="167">
        <v>460.79999999999995</v>
      </c>
      <c r="AI665" s="167" t="s">
        <v>95</v>
      </c>
      <c r="AJ665" s="167">
        <v>44</v>
      </c>
      <c r="AK665" s="167" t="s">
        <v>95</v>
      </c>
      <c r="AL665" s="168">
        <v>663.25</v>
      </c>
      <c r="AM665" s="169">
        <v>1.7999999999999998</v>
      </c>
      <c r="AN665" s="167">
        <v>1.43</v>
      </c>
      <c r="AO665" s="170">
        <f t="shared" si="187"/>
        <v>0.9672703031230272</v>
      </c>
      <c r="AP665" s="171">
        <f t="shared" si="188"/>
        <v>7.2311055669582913</v>
      </c>
      <c r="AQ665" s="172">
        <f t="shared" si="189"/>
        <v>-10.925922209706073</v>
      </c>
      <c r="AR665" s="157">
        <f>INDEX([1]Historical!$C$7:$C$1231,MATCH(B665,[1]Historical!$B$7:$B$1253,0))*IF(AH665="n/a",1.03,IF(AH665&lt;0,1.01,IF(AH665&gt;10,1.1,(1+AH665/100))))</f>
        <v>3.08</v>
      </c>
      <c r="AS665" s="166">
        <f t="shared" si="190"/>
        <v>3.1724000000000001</v>
      </c>
      <c r="AT665" s="166">
        <f t="shared" si="195"/>
        <v>3.2675720000000004</v>
      </c>
      <c r="AU665" s="166">
        <f t="shared" si="195"/>
        <v>3.3655991600000004</v>
      </c>
      <c r="AV665" s="166">
        <f t="shared" si="195"/>
        <v>3.4665671348000004</v>
      </c>
      <c r="AW665" s="157">
        <f t="shared" si="192"/>
        <v>16.3521382948</v>
      </c>
      <c r="AX665" s="173">
        <f t="shared" si="193"/>
        <v>33.597982935689338</v>
      </c>
      <c r="AY665" s="174">
        <v>0.82</v>
      </c>
      <c r="AZ665" s="169">
        <v>18.940000000000001</v>
      </c>
      <c r="BA665" s="169">
        <v>-20.630000000000003</v>
      </c>
      <c r="BB665" s="169">
        <v>3.92</v>
      </c>
      <c r="BC665" s="169">
        <v>-7.7</v>
      </c>
      <c r="BD665" s="100"/>
      <c r="BE665" s="77">
        <v>1986</v>
      </c>
      <c r="BF665" s="77">
        <f t="shared" si="194"/>
        <v>4</v>
      </c>
      <c r="BG665" s="175">
        <v>18.8</v>
      </c>
      <c r="BH665" t="s">
        <v>939</v>
      </c>
      <c r="BI665" t="s">
        <v>945</v>
      </c>
      <c r="BJ665"/>
      <c r="BK665"/>
      <c r="BL665"/>
    </row>
    <row r="666" spans="1:64" s="112" customFormat="1" ht="12.75" customHeight="1" x14ac:dyDescent="0.2">
      <c r="A666" s="176" t="s">
        <v>1688</v>
      </c>
      <c r="B666" s="239" t="s">
        <v>485</v>
      </c>
      <c r="C666" s="154" t="s">
        <v>90</v>
      </c>
      <c r="D666" s="154" t="s">
        <v>969</v>
      </c>
      <c r="E666" s="155">
        <v>30</v>
      </c>
      <c r="F666" s="298">
        <v>104</v>
      </c>
      <c r="G666" s="298" t="s">
        <v>30</v>
      </c>
      <c r="H666" s="298" t="s">
        <v>30</v>
      </c>
      <c r="I666" s="167">
        <v>83.22</v>
      </c>
      <c r="J666" s="157">
        <f t="shared" si="180"/>
        <v>1.8264840182648401</v>
      </c>
      <c r="K666" s="209">
        <v>0.38</v>
      </c>
      <c r="L666" s="126">
        <v>4</v>
      </c>
      <c r="M666" s="82">
        <f t="shared" si="181"/>
        <v>1.52</v>
      </c>
      <c r="N666" s="159" t="s">
        <v>183</v>
      </c>
      <c r="O666" s="210">
        <v>0.37</v>
      </c>
      <c r="P666" s="161">
        <v>44904</v>
      </c>
      <c r="Q666" s="161">
        <v>44929</v>
      </c>
      <c r="R666" s="82">
        <f t="shared" si="182"/>
        <v>2.7027027027027053</v>
      </c>
      <c r="S666" s="162">
        <f>IF(INDEX([1]Historical!$D$7:$D$1229,MATCH(B666,[1]Historical!$B$7:$B$1253,0))=0,"n/a",(INDEX([1]Historical!$C$7:$C$1231,MATCH(B666,[1]Historical!$B$7:$B$1253,0))/INDEX([1]Historical!$D$7:$D$1229,MATCH(B666,[1]Historical!$B$7:$B$1253,0))-1)*100)</f>
        <v>7.258064516129048</v>
      </c>
      <c r="T666" s="162">
        <f>IF(INDEX([1]Historical!$F$7:$F$1222,MATCH(B666,[1]Historical!$B$7:$B$1253,0))=0,"n/a",((INDEX([1]Historical!$C$7:$C$1231,MATCH(B666,[1]Historical!$B$7:$B$1253,0))/INDEX([1]Historical!$F$7:$F$1222,MATCH(B666,[1]Historical!$B$7:$B$1253,0)))^(1/3)-1)*100)</f>
        <v>5.1192010553945844</v>
      </c>
      <c r="U666" s="162">
        <f>IF(INDEX([1]Historical!$H$7:$H$1222,MATCH(B666,[1]Historical!$B$7:$B$1253,0))=0,"n/a",((INDEX([1]Historical!$C$7:$C$1231,MATCH(B666,[1]Historical!$B$7:$B$1253,0))/INDEX([1]Historical!$H$7:$H$1222,MATCH(B666,[1]Historical!$B$7:$B$1253,0)))^(1/5)-1)*100)</f>
        <v>6.2980048262344379</v>
      </c>
      <c r="V666" s="162">
        <f>IF(INDEX([1]Historical!$N$7:$N$1222,MATCH(B666,[1]Historical!$B$7:$B$1253,0))=0,"n/a",((INDEX([1]Historical!$C$7:$C$1231,MATCH(B666,[1]Historical!$B$7:$B$1253,0))/INDEX([1]Historical!$N$7:$N$1222,MATCH(B666,[1]Historical!$B$7:$B$1253,0)))^(1/10)-1)*100)</f>
        <v>5.4813559178531701</v>
      </c>
      <c r="W666" s="163">
        <f t="shared" si="183"/>
        <v>1.1489866596185414</v>
      </c>
      <c r="X666" s="164">
        <f t="shared" si="184"/>
        <v>0.34228287099100208</v>
      </c>
      <c r="Y666" s="178"/>
      <c r="Z666" s="157">
        <f t="shared" si="185"/>
        <v>18.07372175980975</v>
      </c>
      <c r="AA666" s="166">
        <f t="shared" si="186"/>
        <v>9.8953626634958383</v>
      </c>
      <c r="AB666" s="126">
        <v>12</v>
      </c>
      <c r="AC666" s="167">
        <v>8.41</v>
      </c>
      <c r="AD666" s="167" t="s">
        <v>95</v>
      </c>
      <c r="AE666" s="167">
        <v>3.78</v>
      </c>
      <c r="AF666" s="167">
        <v>1.54</v>
      </c>
      <c r="AG666" s="167">
        <v>14.799999999999999</v>
      </c>
      <c r="AH666" s="167">
        <v>22.2</v>
      </c>
      <c r="AI666" s="167">
        <v>-10.56</v>
      </c>
      <c r="AJ666" s="167">
        <v>18.399999999999999</v>
      </c>
      <c r="AK666" s="167" t="s">
        <v>95</v>
      </c>
      <c r="AL666" s="168">
        <v>3750</v>
      </c>
      <c r="AM666" s="169">
        <v>0.70000000000000007</v>
      </c>
      <c r="AN666" s="167">
        <v>0.15</v>
      </c>
      <c r="AO666" s="170">
        <f t="shared" si="187"/>
        <v>-1.7708738189965594</v>
      </c>
      <c r="AP666" s="171">
        <f t="shared" si="188"/>
        <v>8.1244888444992789</v>
      </c>
      <c r="AQ666" s="172">
        <f t="shared" si="189"/>
        <v>-17.702818998505741</v>
      </c>
      <c r="AR666" s="157">
        <f>INDEX([1]Historical!$C$7:$C$1231,MATCH(B666,[1]Historical!$B$7:$B$1253,0))*IF(AH666="n/a",1.03,IF(AH666&lt;0,1.01,IF(AH666&gt;10,1.1,(1+AH666/100))))</f>
        <v>1.4630000000000003</v>
      </c>
      <c r="AS666" s="166">
        <f t="shared" si="190"/>
        <v>1.4776300000000002</v>
      </c>
      <c r="AT666" s="166">
        <f t="shared" si="195"/>
        <v>1.5219589000000002</v>
      </c>
      <c r="AU666" s="166">
        <f t="shared" si="195"/>
        <v>1.5676176670000004</v>
      </c>
      <c r="AV666" s="166">
        <f t="shared" si="195"/>
        <v>1.6146461970100003</v>
      </c>
      <c r="AW666" s="157">
        <f t="shared" si="192"/>
        <v>7.6448527640100021</v>
      </c>
      <c r="AX666" s="173">
        <f t="shared" si="193"/>
        <v>9.1863167075342496</v>
      </c>
      <c r="AY666" s="174">
        <v>0.84</v>
      </c>
      <c r="AZ666" s="169">
        <v>7.41</v>
      </c>
      <c r="BA666" s="169">
        <v>-25.86</v>
      </c>
      <c r="BB666" s="169">
        <v>-6.2</v>
      </c>
      <c r="BC666" s="169">
        <v>-10.59</v>
      </c>
      <c r="BD666" s="100"/>
      <c r="BE666" s="77">
        <v>1993</v>
      </c>
      <c r="BF666" s="77">
        <f t="shared" si="194"/>
        <v>3</v>
      </c>
      <c r="BG666" s="175">
        <v>1</v>
      </c>
      <c r="BH666" t="s">
        <v>939</v>
      </c>
      <c r="BI666" t="s">
        <v>940</v>
      </c>
      <c r="BJ666"/>
      <c r="BK666"/>
      <c r="BL666"/>
    </row>
    <row r="667" spans="1:64" s="112" customFormat="1" ht="12.75" customHeight="1" x14ac:dyDescent="0.2">
      <c r="A667" s="204" t="s">
        <v>1689</v>
      </c>
      <c r="B667" s="239" t="s">
        <v>780</v>
      </c>
      <c r="C667" s="154" t="s">
        <v>90</v>
      </c>
      <c r="D667" s="154" t="s">
        <v>969</v>
      </c>
      <c r="E667" s="155">
        <v>10</v>
      </c>
      <c r="F667" s="298">
        <v>461</v>
      </c>
      <c r="G667" s="298" t="s">
        <v>88</v>
      </c>
      <c r="H667" s="298" t="s">
        <v>88</v>
      </c>
      <c r="I667" s="156">
        <v>24.66</v>
      </c>
      <c r="J667" s="157">
        <f t="shared" si="180"/>
        <v>5.6772100567721004</v>
      </c>
      <c r="K667" s="158">
        <v>0.35</v>
      </c>
      <c r="L667" s="126">
        <v>4</v>
      </c>
      <c r="M667" s="82">
        <f t="shared" si="181"/>
        <v>1.4</v>
      </c>
      <c r="N667" s="159" t="s">
        <v>174</v>
      </c>
      <c r="O667" s="160">
        <v>0.33</v>
      </c>
      <c r="P667" s="161">
        <v>44588</v>
      </c>
      <c r="Q667" s="161">
        <v>44595</v>
      </c>
      <c r="R667" s="82">
        <f t="shared" si="182"/>
        <v>6.060606060606049</v>
      </c>
      <c r="S667" s="162">
        <f>IF(INDEX([1]Historical!$D$7:$D$1229,MATCH(B667,[1]Historical!$B$7:$B$1253,0))=0,"n/a",(INDEX([1]Historical!$C$7:$C$1231,MATCH(B667,[1]Historical!$B$7:$B$1253,0))/INDEX([1]Historical!$D$7:$D$1229,MATCH(B667,[1]Historical!$B$7:$B$1253,0))-1)*100)</f>
        <v>3.125</v>
      </c>
      <c r="T667" s="162">
        <f>IF(INDEX([1]Historical!$F$7:$F$1222,MATCH(B667,[1]Historical!$B$7:$B$1253,0))=0,"n/a",((INDEX([1]Historical!$C$7:$C$1231,MATCH(B667,[1]Historical!$B$7:$B$1253,0))/INDEX([1]Historical!$F$7:$F$1222,MATCH(B667,[1]Historical!$B$7:$B$1253,0)))^(1/3)-1)*100)</f>
        <v>3.228011545636722</v>
      </c>
      <c r="U667" s="162">
        <f>IF(INDEX([1]Historical!$H$7:$H$1222,MATCH(B667,[1]Historical!$B$7:$B$1253,0))=0,"n/a",((INDEX([1]Historical!$C$7:$C$1231,MATCH(B667,[1]Historical!$B$7:$B$1253,0))/INDEX([1]Historical!$H$7:$H$1222,MATCH(B667,[1]Historical!$B$7:$B$1253,0)))^(1/5)-1)*100)</f>
        <v>3.5261802757145189</v>
      </c>
      <c r="V667" s="162">
        <f>IF(INDEX([1]Historical!$N$7:$N$1222,MATCH(B667,[1]Historical!$B$7:$B$1253,0))=0,"n/a",((INDEX([1]Historical!$C$7:$C$1231,MATCH(B667,[1]Historical!$B$7:$B$1253,0))/INDEX([1]Historical!$N$7:$N$1222,MATCH(B667,[1]Historical!$B$7:$B$1253,0)))^(1/10)-1)*100)</f>
        <v>2.8152162072626385</v>
      </c>
      <c r="W667" s="163">
        <f t="shared" si="183"/>
        <v>1.2525433274424</v>
      </c>
      <c r="X667" s="164">
        <f t="shared" si="184"/>
        <v>0.3962000309791594</v>
      </c>
      <c r="Y667" s="212"/>
      <c r="Z667" s="157">
        <f t="shared" si="185"/>
        <v>49.645390070921984</v>
      </c>
      <c r="AA667" s="166">
        <f t="shared" si="186"/>
        <v>8.7446808510638299</v>
      </c>
      <c r="AB667" s="126">
        <v>12</v>
      </c>
      <c r="AC667" s="167">
        <v>2.82</v>
      </c>
      <c r="AD667" s="167" t="s">
        <v>95</v>
      </c>
      <c r="AE667" s="167">
        <v>2.92</v>
      </c>
      <c r="AF667" s="167">
        <v>1.93</v>
      </c>
      <c r="AG667" s="167">
        <v>17.100000000000001</v>
      </c>
      <c r="AH667" s="167">
        <v>2.5</v>
      </c>
      <c r="AI667" s="167" t="s">
        <v>95</v>
      </c>
      <c r="AJ667" s="167">
        <v>8.9</v>
      </c>
      <c r="AK667" s="167" t="s">
        <v>95</v>
      </c>
      <c r="AL667" s="168">
        <v>116.63</v>
      </c>
      <c r="AM667" s="169">
        <v>0.3</v>
      </c>
      <c r="AN667" s="167">
        <v>0.27</v>
      </c>
      <c r="AO667" s="170">
        <f t="shared" si="187"/>
        <v>0.45870948142279033</v>
      </c>
      <c r="AP667" s="171">
        <f t="shared" si="188"/>
        <v>9.2033903324866202</v>
      </c>
      <c r="AQ667" s="172">
        <f t="shared" si="189"/>
        <v>-13.391727255409268</v>
      </c>
      <c r="AR667" s="157">
        <f>INDEX([1]Historical!$C$7:$C$1231,MATCH(B667,[1]Historical!$B$7:$B$1253,0))*IF(AH667="n/a",1.03,IF(AH667&lt;0,1.01,IF(AH667&gt;10,1.1,(1+AH667/100))))</f>
        <v>1.353</v>
      </c>
      <c r="AS667" s="166">
        <f t="shared" si="190"/>
        <v>1.3935900000000001</v>
      </c>
      <c r="AT667" s="166">
        <f t="shared" si="195"/>
        <v>1.4353977000000002</v>
      </c>
      <c r="AU667" s="166">
        <f t="shared" si="195"/>
        <v>1.4784596310000002</v>
      </c>
      <c r="AV667" s="166">
        <f t="shared" si="195"/>
        <v>1.5228134199300003</v>
      </c>
      <c r="AW667" s="157">
        <f t="shared" si="192"/>
        <v>7.1832607509300006</v>
      </c>
      <c r="AX667" s="173">
        <f t="shared" si="193"/>
        <v>29.12920012542579</v>
      </c>
      <c r="AY667" s="174">
        <v>0.8</v>
      </c>
      <c r="AZ667" s="169">
        <v>15.83</v>
      </c>
      <c r="BA667" s="169">
        <v>-25.35</v>
      </c>
      <c r="BB667" s="169">
        <v>0.9900000000000001</v>
      </c>
      <c r="BC667" s="169">
        <v>-12.049999999999999</v>
      </c>
      <c r="BD667" s="100"/>
      <c r="BE667" s="77">
        <v>2013</v>
      </c>
      <c r="BF667" s="77">
        <f t="shared" si="194"/>
        <v>1</v>
      </c>
      <c r="BG667" s="175">
        <v>1.0999999999999999</v>
      </c>
      <c r="BH667" t="s">
        <v>939</v>
      </c>
      <c r="BI667" t="s">
        <v>940</v>
      </c>
      <c r="BJ667"/>
      <c r="BK667"/>
      <c r="BL667"/>
    </row>
    <row r="668" spans="1:64" s="112" customFormat="1" ht="12.75" customHeight="1" x14ac:dyDescent="0.2">
      <c r="A668" s="112" t="s">
        <v>1690</v>
      </c>
      <c r="B668" s="239" t="s">
        <v>488</v>
      </c>
      <c r="C668" s="154" t="s">
        <v>137</v>
      </c>
      <c r="D668" s="154" t="s">
        <v>942</v>
      </c>
      <c r="E668" s="155">
        <v>13</v>
      </c>
      <c r="F668" s="298">
        <v>293</v>
      </c>
      <c r="G668" s="298" t="s">
        <v>88</v>
      </c>
      <c r="H668" s="298" t="s">
        <v>88</v>
      </c>
      <c r="I668" s="156">
        <v>555.15</v>
      </c>
      <c r="J668" s="157">
        <f t="shared" si="180"/>
        <v>1.1888678735476899</v>
      </c>
      <c r="K668" s="158">
        <v>1.65</v>
      </c>
      <c r="L668" s="126">
        <v>4</v>
      </c>
      <c r="M668" s="82">
        <f t="shared" si="181"/>
        <v>6.6</v>
      </c>
      <c r="N668" s="159" t="s">
        <v>198</v>
      </c>
      <c r="O668" s="160">
        <v>1.45</v>
      </c>
      <c r="P668" s="161">
        <v>44728</v>
      </c>
      <c r="Q668" s="161">
        <v>44740</v>
      </c>
      <c r="R668" s="82">
        <f t="shared" si="182"/>
        <v>13.793103448275859</v>
      </c>
      <c r="S668" s="162">
        <f>IF(INDEX([1]Historical!$D$7:$D$1229,MATCH(B668,[1]Historical!$B$7:$B$1253,0))=0,"n/a",(INDEX([1]Historical!$C$7:$C$1231,MATCH(B668,[1]Historical!$B$7:$B$1253,0))/INDEX([1]Historical!$D$7:$D$1229,MATCH(B668,[1]Historical!$B$7:$B$1253,0))-1)*100)</f>
        <v>15.942028985507228</v>
      </c>
      <c r="T668" s="162">
        <f>IF(INDEX([1]Historical!$F$7:$F$1222,MATCH(B668,[1]Historical!$B$7:$B$1253,0))=0,"n/a",((INDEX([1]Historical!$C$7:$C$1231,MATCH(B668,[1]Historical!$B$7:$B$1253,0))/INDEX([1]Historical!$F$7:$F$1222,MATCH(B668,[1]Historical!$B$7:$B$1253,0)))^(1/3)-1)*100)</f>
        <v>17.523029276290835</v>
      </c>
      <c r="U668" s="162">
        <f>IF(INDEX([1]Historical!$H$7:$H$1222,MATCH(B668,[1]Historical!$B$7:$B$1253,0))=0,"n/a",((INDEX([1]Historical!$C$7:$C$1231,MATCH(B668,[1]Historical!$B$7:$B$1253,0))/INDEX([1]Historical!$H$7:$H$1222,MATCH(B668,[1]Historical!$B$7:$B$1253,0)))^(1/5)-1)*100)</f>
        <v>18.714804762633207</v>
      </c>
      <c r="V668" s="162">
        <f>IF(INDEX([1]Historical!$N$7:$N$1222,MATCH(B668,[1]Historical!$B$7:$B$1253,0))=0,"n/a",((INDEX([1]Historical!$C$7:$C$1231,MATCH(B668,[1]Historical!$B$7:$B$1253,0))/INDEX([1]Historical!$N$7:$N$1222,MATCH(B668,[1]Historical!$B$7:$B$1253,0)))^(1/10)-1)*100)</f>
        <v>24.76943067523958</v>
      </c>
      <c r="W668" s="163">
        <f t="shared" si="183"/>
        <v>0.75556055397515476</v>
      </c>
      <c r="X668" s="164">
        <f t="shared" si="184"/>
        <v>0.93108481406135357</v>
      </c>
      <c r="Y668" s="153"/>
      <c r="Z668" s="157">
        <f t="shared" si="185"/>
        <v>32.33708966193042</v>
      </c>
      <c r="AA668" s="166">
        <f t="shared" si="186"/>
        <v>27.199902008819205</v>
      </c>
      <c r="AB668" s="126">
        <v>12</v>
      </c>
      <c r="AC668" s="167">
        <v>20.41</v>
      </c>
      <c r="AD668" s="167">
        <v>1.9</v>
      </c>
      <c r="AE668" s="167">
        <v>1.61</v>
      </c>
      <c r="AF668" s="167">
        <v>7.09</v>
      </c>
      <c r="AG668" s="167">
        <v>24.3</v>
      </c>
      <c r="AH668" s="167">
        <v>12.8</v>
      </c>
      <c r="AI668" s="167">
        <v>13.18</v>
      </c>
      <c r="AJ668" s="167">
        <v>20.100000000000001</v>
      </c>
      <c r="AK668" s="167">
        <v>14.219999999999999</v>
      </c>
      <c r="AL668" s="168">
        <v>506790</v>
      </c>
      <c r="AM668" s="169">
        <v>0.1</v>
      </c>
      <c r="AN668" s="167">
        <v>0.71</v>
      </c>
      <c r="AO668" s="170">
        <f t="shared" si="187"/>
        <v>-7.2962293726383081</v>
      </c>
      <c r="AP668" s="171">
        <f t="shared" si="188"/>
        <v>19.903672636180897</v>
      </c>
      <c r="AQ668" s="172">
        <f t="shared" si="189"/>
        <v>192.76255471136267</v>
      </c>
      <c r="AR668" s="157">
        <f>INDEX([1]Historical!$C$7:$C$1231,MATCH(B668,[1]Historical!$B$7:$B$1253,0))*IF(AH668="n/a",1.03,IF(AH668&lt;0,1.01,IF(AH668&gt;10,1.1,(1+AH668/100))))</f>
        <v>6.16</v>
      </c>
      <c r="AS668" s="166">
        <f t="shared" si="190"/>
        <v>6.7760000000000007</v>
      </c>
      <c r="AT668" s="166">
        <f t="shared" si="195"/>
        <v>7.4536000000000016</v>
      </c>
      <c r="AU668" s="166">
        <f t="shared" si="195"/>
        <v>8.1989600000000031</v>
      </c>
      <c r="AV668" s="166">
        <f t="shared" si="195"/>
        <v>9.0188560000000049</v>
      </c>
      <c r="AW668" s="157">
        <f t="shared" si="192"/>
        <v>37.607416000000008</v>
      </c>
      <c r="AX668" s="173">
        <f t="shared" si="193"/>
        <v>6.7742801044762695</v>
      </c>
      <c r="AY668" s="174">
        <v>0.75</v>
      </c>
      <c r="AZ668" s="169">
        <v>27.33</v>
      </c>
      <c r="BA668" s="169">
        <v>0.33999999999999997</v>
      </c>
      <c r="BB668" s="169">
        <v>6.2700000000000005</v>
      </c>
      <c r="BC668" s="169">
        <v>9.58</v>
      </c>
      <c r="BD668" s="100"/>
      <c r="BE668" s="77">
        <v>2010</v>
      </c>
      <c r="BF668" s="77">
        <f t="shared" si="194"/>
        <v>1</v>
      </c>
      <c r="BG668" s="175">
        <v>8</v>
      </c>
      <c r="BH668" t="s">
        <v>939</v>
      </c>
      <c r="BI668" t="s">
        <v>940</v>
      </c>
      <c r="BJ668"/>
      <c r="BK668"/>
      <c r="BL668"/>
    </row>
    <row r="669" spans="1:64" s="112" customFormat="1" ht="12.75" customHeight="1" x14ac:dyDescent="0.2">
      <c r="A669" s="112" t="s">
        <v>491</v>
      </c>
      <c r="B669" s="239" t="s">
        <v>492</v>
      </c>
      <c r="C669" s="154" t="s">
        <v>90</v>
      </c>
      <c r="D669" s="154" t="s">
        <v>110</v>
      </c>
      <c r="E669" s="155">
        <v>14</v>
      </c>
      <c r="F669" s="298">
        <v>265</v>
      </c>
      <c r="G669" s="298" t="s">
        <v>104</v>
      </c>
      <c r="H669" s="298" t="s">
        <v>104</v>
      </c>
      <c r="I669" s="156">
        <v>45.59</v>
      </c>
      <c r="J669" s="157">
        <f t="shared" si="180"/>
        <v>2.8953717920596622</v>
      </c>
      <c r="K669" s="158">
        <v>0.33</v>
      </c>
      <c r="L669" s="126">
        <v>4</v>
      </c>
      <c r="M669" s="82">
        <f t="shared" si="181"/>
        <v>1.32</v>
      </c>
      <c r="N669" s="159" t="s">
        <v>98</v>
      </c>
      <c r="O669" s="160">
        <v>0.3</v>
      </c>
      <c r="P669" s="161">
        <v>44770</v>
      </c>
      <c r="Q669" s="161">
        <v>44792</v>
      </c>
      <c r="R669" s="82">
        <f t="shared" si="182"/>
        <v>10.000000000000009</v>
      </c>
      <c r="S669" s="162">
        <f>IF(INDEX([1]Historical!$D$7:$D$1229,MATCH(B669,[1]Historical!$B$7:$B$1253,0))=0,"n/a",(INDEX([1]Historical!$C$7:$C$1231,MATCH(B669,[1]Historical!$B$7:$B$1253,0))/INDEX([1]Historical!$D$7:$D$1229,MATCH(B669,[1]Historical!$B$7:$B$1253,0))-1)*100)</f>
        <v>2.6315789473684292</v>
      </c>
      <c r="T669" s="162">
        <f>IF(INDEX([1]Historical!$F$7:$F$1222,MATCH(B669,[1]Historical!$B$7:$B$1253,0))=0,"n/a",((INDEX([1]Historical!$C$7:$C$1231,MATCH(B669,[1]Historical!$B$7:$B$1253,0))/INDEX([1]Historical!$F$7:$F$1222,MATCH(B669,[1]Historical!$B$7:$B$1253,0)))^(1/3)-1)*100)</f>
        <v>6.0848244434812182</v>
      </c>
      <c r="U669" s="162">
        <f>IF(INDEX([1]Historical!$H$7:$H$1222,MATCH(B669,[1]Historical!$B$7:$B$1253,0))=0,"n/a",((INDEX([1]Historical!$C$7:$C$1231,MATCH(B669,[1]Historical!$B$7:$B$1253,0))/INDEX([1]Historical!$H$7:$H$1222,MATCH(B669,[1]Historical!$B$7:$B$1253,0)))^(1/5)-1)*100)</f>
        <v>8.7274061210073093</v>
      </c>
      <c r="V669" s="162">
        <f>IF(INDEX([1]Historical!$N$7:$N$1222,MATCH(B669,[1]Historical!$B$7:$B$1253,0))=0,"n/a",((INDEX([1]Historical!$C$7:$C$1231,MATCH(B669,[1]Historical!$B$7:$B$1253,0))/INDEX([1]Historical!$N$7:$N$1222,MATCH(B669,[1]Historical!$B$7:$B$1253,0)))^(1/10)-1)*100)</f>
        <v>11.470224709882659</v>
      </c>
      <c r="W669" s="163">
        <f t="shared" si="183"/>
        <v>0.76087490365274557</v>
      </c>
      <c r="X669" s="164">
        <f t="shared" si="184"/>
        <v>21.818515302518271</v>
      </c>
      <c r="Y669" s="180"/>
      <c r="Z669" s="157">
        <f t="shared" si="185"/>
        <v>24.175824175824175</v>
      </c>
      <c r="AA669" s="166">
        <f t="shared" si="186"/>
        <v>8.3498168498168504</v>
      </c>
      <c r="AB669" s="126">
        <v>12</v>
      </c>
      <c r="AC669" s="167">
        <v>5.46</v>
      </c>
      <c r="AD669" s="167">
        <v>0.56999999999999995</v>
      </c>
      <c r="AE669" s="167">
        <v>0.75</v>
      </c>
      <c r="AF669" s="167">
        <v>0.96</v>
      </c>
      <c r="AG669" s="167">
        <v>10.4</v>
      </c>
      <c r="AH669" s="167">
        <v>3.4000000000000004</v>
      </c>
      <c r="AI669" s="167">
        <v>0.96</v>
      </c>
      <c r="AJ669" s="167">
        <v>0.4</v>
      </c>
      <c r="AK669" s="167">
        <v>14.89</v>
      </c>
      <c r="AL669" s="168">
        <v>8960</v>
      </c>
      <c r="AM669" s="169">
        <v>0.89999999999999991</v>
      </c>
      <c r="AN669" s="167">
        <v>0.35</v>
      </c>
      <c r="AO669" s="170">
        <f t="shared" si="187"/>
        <v>3.272961063250122</v>
      </c>
      <c r="AP669" s="171">
        <f t="shared" si="188"/>
        <v>11.622777913066972</v>
      </c>
      <c r="AQ669" s="172">
        <f t="shared" si="189"/>
        <v>-40.312576512396483</v>
      </c>
      <c r="AR669" s="157">
        <f>INDEX([1]Historical!$C$7:$C$1231,MATCH(B669,[1]Historical!$B$7:$B$1253,0))*IF(AH669="n/a",1.03,IF(AH669&lt;0,1.01,IF(AH669&gt;10,1.1,(1+AH669/100))))</f>
        <v>1.2097799999999999</v>
      </c>
      <c r="AS669" s="166">
        <f t="shared" si="190"/>
        <v>1.2213938879999999</v>
      </c>
      <c r="AT669" s="166">
        <f t="shared" si="195"/>
        <v>1.3435332768000001</v>
      </c>
      <c r="AU669" s="166">
        <f t="shared" si="195"/>
        <v>1.4778866044800003</v>
      </c>
      <c r="AV669" s="166">
        <f t="shared" si="195"/>
        <v>1.6256752649280004</v>
      </c>
      <c r="AW669" s="157">
        <f t="shared" si="192"/>
        <v>6.8782690342080013</v>
      </c>
      <c r="AX669" s="173">
        <f t="shared" si="193"/>
        <v>15.087231924123712</v>
      </c>
      <c r="AY669" s="174">
        <v>1.1200000000000001</v>
      </c>
      <c r="AZ669" s="169">
        <v>104.89999999999999</v>
      </c>
      <c r="BA669" s="169">
        <v>-1.1100000000000001</v>
      </c>
      <c r="BB669" s="169">
        <v>12.620000000000001</v>
      </c>
      <c r="BC669" s="169">
        <v>33.94</v>
      </c>
      <c r="BD669" s="100"/>
      <c r="BE669" s="77">
        <v>2009</v>
      </c>
      <c r="BF669" s="77">
        <f t="shared" si="194"/>
        <v>1</v>
      </c>
      <c r="BG669" s="175">
        <v>1.6</v>
      </c>
      <c r="BH669" t="s">
        <v>939</v>
      </c>
      <c r="BI669" t="s">
        <v>940</v>
      </c>
      <c r="BJ669"/>
      <c r="BK669"/>
      <c r="BL669"/>
    </row>
    <row r="670" spans="1:64" s="112" customFormat="1" ht="12.75" customHeight="1" x14ac:dyDescent="0.2">
      <c r="A670" s="176" t="s">
        <v>1691</v>
      </c>
      <c r="B670" s="239" t="s">
        <v>486</v>
      </c>
      <c r="C670" s="154" t="s">
        <v>94</v>
      </c>
      <c r="D670" s="154" t="s">
        <v>1022</v>
      </c>
      <c r="E670" s="155">
        <v>16</v>
      </c>
      <c r="F670" s="298">
        <v>245</v>
      </c>
      <c r="G670" s="298" t="s">
        <v>30</v>
      </c>
      <c r="H670" s="298" t="s">
        <v>30</v>
      </c>
      <c r="I670" s="156">
        <v>197.14</v>
      </c>
      <c r="J670" s="157">
        <f t="shared" si="180"/>
        <v>2.6377193872374964</v>
      </c>
      <c r="K670" s="158">
        <v>1.3</v>
      </c>
      <c r="L670" s="126">
        <v>4</v>
      </c>
      <c r="M670" s="82">
        <f t="shared" si="181"/>
        <v>5.2</v>
      </c>
      <c r="N670" s="159" t="s">
        <v>119</v>
      </c>
      <c r="O670" s="160">
        <v>1.18</v>
      </c>
      <c r="P670" s="161">
        <v>44708</v>
      </c>
      <c r="Q670" s="161">
        <v>44742</v>
      </c>
      <c r="R670" s="82">
        <f t="shared" si="182"/>
        <v>10.169491525423737</v>
      </c>
      <c r="S670" s="162">
        <f>IF(INDEX([1]Historical!$D$7:$D$1229,MATCH(B670,[1]Historical!$B$7:$B$1253,0))=0,"n/a",(INDEX([1]Historical!$C$7:$C$1231,MATCH(B670,[1]Historical!$B$7:$B$1253,0))/INDEX([1]Historical!$D$7:$D$1229,MATCH(B670,[1]Historical!$B$7:$B$1253,0))-1)*100)</f>
        <v>10.567010309278357</v>
      </c>
      <c r="T670" s="162">
        <f>IF(INDEX([1]Historical!$F$7:$F$1222,MATCH(B670,[1]Historical!$B$7:$B$1253,0))=0,"n/a",((INDEX([1]Historical!$C$7:$C$1231,MATCH(B670,[1]Historical!$B$7:$B$1253,0))/INDEX([1]Historical!$F$7:$F$1222,MATCH(B670,[1]Historical!$B$7:$B$1253,0)))^(1/3)-1)*100)</f>
        <v>11.921096219546069</v>
      </c>
      <c r="U670" s="162">
        <f>IF(INDEX([1]Historical!$H$7:$H$1222,MATCH(B670,[1]Historical!$B$7:$B$1253,0))=0,"n/a",((INDEX([1]Historical!$C$7:$C$1231,MATCH(B670,[1]Historical!$B$7:$B$1253,0))/INDEX([1]Historical!$H$7:$H$1222,MATCH(B670,[1]Historical!$B$7:$B$1253,0)))^(1/5)-1)*100)</f>
        <v>13.726624519672392</v>
      </c>
      <c r="V670" s="162">
        <f>IF(INDEX([1]Historical!$N$7:$N$1222,MATCH(B670,[1]Historical!$B$7:$B$1253,0))=0,"n/a",((INDEX([1]Historical!$C$7:$C$1231,MATCH(B670,[1]Historical!$B$7:$B$1253,0))/INDEX([1]Historical!$N$7:$N$1222,MATCH(B670,[1]Historical!$B$7:$B$1253,0)))^(1/10)-1)*100)</f>
        <v>16.089515290023314</v>
      </c>
      <c r="W670" s="163">
        <f t="shared" si="183"/>
        <v>0.85314095995072714</v>
      </c>
      <c r="X670" s="164">
        <f t="shared" si="184"/>
        <v>0.94666375997740637</v>
      </c>
      <c r="Y670" s="180"/>
      <c r="Z670" s="157">
        <f t="shared" si="185"/>
        <v>46.387154326494198</v>
      </c>
      <c r="AA670" s="166">
        <f t="shared" si="186"/>
        <v>17.58608385370205</v>
      </c>
      <c r="AB670" s="126">
        <v>12</v>
      </c>
      <c r="AC670" s="167">
        <v>11.21</v>
      </c>
      <c r="AD670" s="167">
        <v>1.62</v>
      </c>
      <c r="AE670" s="167">
        <v>4.93</v>
      </c>
      <c r="AF670" s="167">
        <v>10.49</v>
      </c>
      <c r="AG670" s="167">
        <v>56.000000000000007</v>
      </c>
      <c r="AH670" s="167">
        <v>26.400000000000002</v>
      </c>
      <c r="AI670" s="167">
        <v>2.94</v>
      </c>
      <c r="AJ670" s="167">
        <v>14.499999999999998</v>
      </c>
      <c r="AK670" s="167">
        <v>10.95</v>
      </c>
      <c r="AL670" s="168">
        <v>120520</v>
      </c>
      <c r="AM670" s="169">
        <v>0.26</v>
      </c>
      <c r="AN670" s="167">
        <v>2.85</v>
      </c>
      <c r="AO670" s="170">
        <f t="shared" si="187"/>
        <v>-1.2217399467921624</v>
      </c>
      <c r="AP670" s="171">
        <f t="shared" si="188"/>
        <v>16.364343906909887</v>
      </c>
      <c r="AQ670" s="172">
        <f t="shared" si="189"/>
        <v>186.33936324681787</v>
      </c>
      <c r="AR670" s="157">
        <f>INDEX([1]Historical!$C$7:$C$1231,MATCH(B670,[1]Historical!$B$7:$B$1253,0))*IF(AH670="n/a",1.03,IF(AH670&lt;0,1.01,IF(AH670&gt;10,1.1,(1+AH670/100))))</f>
        <v>4.7190000000000003</v>
      </c>
      <c r="AS670" s="166">
        <f t="shared" si="190"/>
        <v>4.8577386000000011</v>
      </c>
      <c r="AT670" s="166">
        <f t="shared" si="195"/>
        <v>5.3435124600000012</v>
      </c>
      <c r="AU670" s="166">
        <f t="shared" si="195"/>
        <v>5.8778637060000021</v>
      </c>
      <c r="AV670" s="166">
        <f t="shared" si="195"/>
        <v>6.4656500766000029</v>
      </c>
      <c r="AW670" s="157">
        <f t="shared" si="192"/>
        <v>27.263764842600008</v>
      </c>
      <c r="AX670" s="173">
        <f t="shared" si="193"/>
        <v>13.829646364309633</v>
      </c>
      <c r="AY670" s="174">
        <v>1.1299999999999999</v>
      </c>
      <c r="AZ670" s="169">
        <v>7.32</v>
      </c>
      <c r="BA670" s="169">
        <v>-29.330000000000002</v>
      </c>
      <c r="BB670" s="169">
        <v>-6.6199999999999992</v>
      </c>
      <c r="BC670" s="169">
        <v>-14.000000000000002</v>
      </c>
      <c r="BD670" s="100"/>
      <c r="BE670" s="77">
        <v>2007</v>
      </c>
      <c r="BF670" s="77">
        <f t="shared" si="194"/>
        <v>2</v>
      </c>
      <c r="BG670" s="175">
        <v>11</v>
      </c>
      <c r="BH670" t="s">
        <v>939</v>
      </c>
      <c r="BI670" t="s">
        <v>940</v>
      </c>
      <c r="BJ670"/>
      <c r="BK670"/>
      <c r="BL670"/>
    </row>
    <row r="671" spans="1:64" s="112" customFormat="1" ht="12.75" customHeight="1" x14ac:dyDescent="0.2">
      <c r="A671" s="176" t="s">
        <v>1692</v>
      </c>
      <c r="B671" s="239" t="s">
        <v>875</v>
      </c>
      <c r="C671" s="154" t="s">
        <v>90</v>
      </c>
      <c r="D671" s="154" t="s">
        <v>969</v>
      </c>
      <c r="E671" s="155">
        <v>10</v>
      </c>
      <c r="F671" s="298">
        <v>496</v>
      </c>
      <c r="G671" s="298" t="s">
        <v>88</v>
      </c>
      <c r="H671" s="298" t="s">
        <v>88</v>
      </c>
      <c r="I671" s="156">
        <v>28.66</v>
      </c>
      <c r="J671" s="157">
        <f t="shared" si="180"/>
        <v>1.5352407536636425</v>
      </c>
      <c r="K671" s="158">
        <v>0.11</v>
      </c>
      <c r="L671" s="126">
        <v>4</v>
      </c>
      <c r="M671" s="82">
        <f t="shared" si="181"/>
        <v>0.44</v>
      </c>
      <c r="N671" s="159" t="s">
        <v>628</v>
      </c>
      <c r="O671" s="160">
        <v>0.1</v>
      </c>
      <c r="P671" s="161">
        <v>44721</v>
      </c>
      <c r="Q671" s="161">
        <v>44736</v>
      </c>
      <c r="R671" s="82">
        <f t="shared" si="182"/>
        <v>9.9999999999999947</v>
      </c>
      <c r="S671" s="162">
        <f>IF(INDEX([1]Historical!$D$7:$D$1229,MATCH(B671,[1]Historical!$B$7:$B$1253,0))=0,"n/a",(INDEX([1]Historical!$C$7:$C$1231,MATCH(B671,[1]Historical!$B$7:$B$1253,0))/INDEX([1]Historical!$D$7:$D$1229,MATCH(B671,[1]Historical!$B$7:$B$1253,0))-1)*100)</f>
        <v>12.5</v>
      </c>
      <c r="T671" s="162">
        <f>IF(INDEX([1]Historical!$F$7:$F$1222,MATCH(B671,[1]Historical!$B$7:$B$1253,0))=0,"n/a",((INDEX([1]Historical!$C$7:$C$1231,MATCH(B671,[1]Historical!$B$7:$B$1253,0))/INDEX([1]Historical!$F$7:$F$1222,MATCH(B671,[1]Historical!$B$7:$B$1253,0)))^(1/3)-1)*100)</f>
        <v>10.064241629820891</v>
      </c>
      <c r="U671" s="162">
        <f>IF(INDEX([1]Historical!$H$7:$H$1222,MATCH(B671,[1]Historical!$B$7:$B$1253,0))=0,"n/a",((INDEX([1]Historical!$C$7:$C$1231,MATCH(B671,[1]Historical!$B$7:$B$1253,0))/INDEX([1]Historical!$H$7:$H$1222,MATCH(B671,[1]Historical!$B$7:$B$1253,0)))^(1/5)-1)*100)</f>
        <v>14.869835499703509</v>
      </c>
      <c r="V671" s="162" t="str">
        <f>IF(INDEX([1]Historical!$N$7:$N$1222,MATCH(B671,[1]Historical!$B$7:$B$1253,0))=0,"n/a",((INDEX([1]Historical!$C$7:$C$1231,MATCH(B671,[1]Historical!$B$7:$B$1253,0))/INDEX([1]Historical!$N$7:$N$1222,MATCH(B671,[1]Historical!$B$7:$B$1253,0)))^(1/10)-1)*100)</f>
        <v>n/a</v>
      </c>
      <c r="W671" s="163" t="str">
        <f t="shared" si="183"/>
        <v>n/a</v>
      </c>
      <c r="X671" s="164">
        <f t="shared" si="184"/>
        <v>0.74722791455796522</v>
      </c>
      <c r="Y671" s="180"/>
      <c r="Z671" s="157">
        <f t="shared" si="185"/>
        <v>12.256267409470754</v>
      </c>
      <c r="AA671" s="166">
        <f t="shared" si="186"/>
        <v>7.9832869080779947</v>
      </c>
      <c r="AB671" s="126">
        <v>12</v>
      </c>
      <c r="AC671" s="167">
        <v>3.59</v>
      </c>
      <c r="AD671" s="167" t="s">
        <v>95</v>
      </c>
      <c r="AE671" s="167">
        <v>3.18</v>
      </c>
      <c r="AF671" s="167">
        <v>1.34</v>
      </c>
      <c r="AG671" s="167">
        <v>17.5</v>
      </c>
      <c r="AH671" s="167">
        <v>56.599999999999994</v>
      </c>
      <c r="AI671" s="167">
        <v>8.0399999999999991</v>
      </c>
      <c r="AJ671" s="167">
        <v>19.900000000000002</v>
      </c>
      <c r="AK671" s="167" t="s">
        <v>95</v>
      </c>
      <c r="AL671" s="168">
        <v>295.04000000000002</v>
      </c>
      <c r="AM671" s="169">
        <v>1.4000000000000001</v>
      </c>
      <c r="AN671" s="167">
        <v>0.05</v>
      </c>
      <c r="AO671" s="170">
        <f t="shared" si="187"/>
        <v>8.4217893452891577</v>
      </c>
      <c r="AP671" s="171">
        <f t="shared" si="188"/>
        <v>16.405076253367152</v>
      </c>
      <c r="AQ671" s="172">
        <f t="shared" si="189"/>
        <v>-31.04718374352078</v>
      </c>
      <c r="AR671" s="157">
        <f>INDEX([1]Historical!$C$7:$C$1231,MATCH(B671,[1]Historical!$B$7:$B$1253,0))*IF(AH671="n/a",1.03,IF(AH671&lt;0,1.01,IF(AH671&gt;10,1.1,(1+AH671/100))))</f>
        <v>0.39600000000000002</v>
      </c>
      <c r="AS671" s="166">
        <f t="shared" si="190"/>
        <v>0.42783840000000001</v>
      </c>
      <c r="AT671" s="166">
        <f t="shared" si="195"/>
        <v>0.44067355200000002</v>
      </c>
      <c r="AU671" s="166">
        <f t="shared" si="195"/>
        <v>0.45389375856000003</v>
      </c>
      <c r="AV671" s="166">
        <f t="shared" si="195"/>
        <v>0.46751057131680002</v>
      </c>
      <c r="AW671" s="157">
        <f t="shared" si="192"/>
        <v>2.1859162818768003</v>
      </c>
      <c r="AX671" s="173">
        <f t="shared" si="193"/>
        <v>7.6270630909867423</v>
      </c>
      <c r="AY671" s="174">
        <v>1.05</v>
      </c>
      <c r="AZ671" s="169">
        <v>16.84</v>
      </c>
      <c r="BA671" s="169">
        <v>-8.64</v>
      </c>
      <c r="BB671" s="169">
        <v>6.419999999999999</v>
      </c>
      <c r="BC671" s="169">
        <v>2.8400000000000003</v>
      </c>
      <c r="BD671" s="100"/>
      <c r="BE671" s="77">
        <v>2013</v>
      </c>
      <c r="BF671" s="77">
        <f t="shared" si="194"/>
        <v>1</v>
      </c>
      <c r="BG671" s="175">
        <v>1.7999999999999998</v>
      </c>
      <c r="BH671" t="s">
        <v>939</v>
      </c>
      <c r="BI671" t="s">
        <v>940</v>
      </c>
      <c r="BJ671"/>
      <c r="BK671"/>
      <c r="BL671"/>
    </row>
    <row r="672" spans="1:64" s="112" customFormat="1" ht="12.75" customHeight="1" x14ac:dyDescent="0.2">
      <c r="A672" s="112" t="s">
        <v>1693</v>
      </c>
      <c r="B672" s="239" t="s">
        <v>487</v>
      </c>
      <c r="C672" s="154" t="s">
        <v>94</v>
      </c>
      <c r="D672" s="154" t="s">
        <v>1019</v>
      </c>
      <c r="E672" s="155">
        <v>13</v>
      </c>
      <c r="F672" s="298">
        <v>279</v>
      </c>
      <c r="G672" s="298" t="s">
        <v>104</v>
      </c>
      <c r="H672" s="298" t="s">
        <v>104</v>
      </c>
      <c r="I672" s="156">
        <v>167.77</v>
      </c>
      <c r="J672" s="157">
        <f t="shared" si="180"/>
        <v>3.6240090600226496</v>
      </c>
      <c r="K672" s="158">
        <v>1.52</v>
      </c>
      <c r="L672" s="126">
        <v>4</v>
      </c>
      <c r="M672" s="82">
        <f t="shared" si="181"/>
        <v>6.08</v>
      </c>
      <c r="N672" s="159" t="s">
        <v>162</v>
      </c>
      <c r="O672" s="160">
        <v>1.02</v>
      </c>
      <c r="P672" s="161">
        <v>44610</v>
      </c>
      <c r="Q672" s="161">
        <v>44630</v>
      </c>
      <c r="R672" s="82">
        <f t="shared" si="182"/>
        <v>49.019607843137251</v>
      </c>
      <c r="S672" s="162">
        <f>IF(INDEX([1]Historical!$D$7:$D$1229,MATCH(B672,[1]Historical!$B$7:$B$1253,0))=0,"n/a",(INDEX([1]Historical!$C$7:$C$1231,MATCH(B672,[1]Historical!$B$7:$B$1253,0))/INDEX([1]Historical!$D$7:$D$1229,MATCH(B672,[1]Historical!$B$7:$B$1253,0))-1)*100)</f>
        <v>0.99009900990099098</v>
      </c>
      <c r="T672" s="162">
        <f>IF(INDEX([1]Historical!$F$7:$F$1222,MATCH(B672,[1]Historical!$B$7:$B$1253,0))=0,"n/a",((INDEX([1]Historical!$C$7:$C$1231,MATCH(B672,[1]Historical!$B$7:$B$1253,0))/INDEX([1]Historical!$F$7:$F$1222,MATCH(B672,[1]Historical!$B$7:$B$1253,0)))^(1/3)-1)*100)</f>
        <v>3.8770465378783259</v>
      </c>
      <c r="U672" s="162">
        <f>IF(INDEX([1]Historical!$H$7:$H$1222,MATCH(B672,[1]Historical!$B$7:$B$1253,0))=0,"n/a",((INDEX([1]Historical!$C$7:$C$1231,MATCH(B672,[1]Historical!$B$7:$B$1253,0))/INDEX([1]Historical!$H$7:$H$1222,MATCH(B672,[1]Historical!$B$7:$B$1253,0)))^(1/5)-1)*100)</f>
        <v>5.5118198683204556</v>
      </c>
      <c r="V672" s="162">
        <f>IF(INDEX([1]Historical!$N$7:$N$1222,MATCH(B672,[1]Historical!$B$7:$B$1253,0))=0,"n/a",((INDEX([1]Historical!$C$7:$C$1231,MATCH(B672,[1]Historical!$B$7:$B$1253,0))/INDEX([1]Historical!$N$7:$N$1222,MATCH(B672,[1]Historical!$B$7:$B$1253,0)))^(1/10)-1)*100)</f>
        <v>6.9694302943088537</v>
      </c>
      <c r="W672" s="163">
        <f t="shared" si="183"/>
        <v>0.79085658878335241</v>
      </c>
      <c r="X672" s="164">
        <f t="shared" si="184"/>
        <v>0.18012483229805412</v>
      </c>
      <c r="Y672" s="212"/>
      <c r="Z672" s="157">
        <f t="shared" si="185"/>
        <v>47.6115896632733</v>
      </c>
      <c r="AA672" s="166">
        <f t="shared" si="186"/>
        <v>13.137823022709476</v>
      </c>
      <c r="AB672" s="126">
        <v>12</v>
      </c>
      <c r="AC672" s="167">
        <v>12.77</v>
      </c>
      <c r="AD672" s="167">
        <v>2.64</v>
      </c>
      <c r="AE672" s="167">
        <v>1.43</v>
      </c>
      <c r="AF672" s="167">
        <v>8.9700000000000006</v>
      </c>
      <c r="AG672" s="179">
        <v>74.2</v>
      </c>
      <c r="AH672" s="167">
        <v>852.10000000000014</v>
      </c>
      <c r="AI672" s="167">
        <v>-4.2299999999999995</v>
      </c>
      <c r="AJ672" s="167">
        <v>30.599999999999998</v>
      </c>
      <c r="AK672" s="167">
        <v>4.96</v>
      </c>
      <c r="AL672" s="168">
        <v>144620</v>
      </c>
      <c r="AM672" s="213">
        <v>0.01</v>
      </c>
      <c r="AN672" s="179">
        <v>1.26</v>
      </c>
      <c r="AO672" s="170">
        <f t="shared" si="187"/>
        <v>-4.0019940943663705</v>
      </c>
      <c r="AP672" s="171">
        <f t="shared" si="188"/>
        <v>9.1358289283431056</v>
      </c>
      <c r="AQ672" s="172">
        <f t="shared" si="189"/>
        <v>128.85829920979876</v>
      </c>
      <c r="AR672" s="157">
        <f>INDEX([1]Historical!$C$7:$C$1231,MATCH(B672,[1]Historical!$B$7:$B$1253,0))*IF(AH672="n/a",1.03,IF(AH672&lt;0,1.01,IF(AH672&gt;10,1.1,(1+AH672/100))))</f>
        <v>4.4880000000000004</v>
      </c>
      <c r="AS672" s="166">
        <f t="shared" si="190"/>
        <v>4.5328800000000005</v>
      </c>
      <c r="AT672" s="166">
        <f t="shared" si="195"/>
        <v>4.7577108480000012</v>
      </c>
      <c r="AU672" s="166">
        <f t="shared" si="195"/>
        <v>4.993693306060802</v>
      </c>
      <c r="AV672" s="166">
        <f t="shared" si="195"/>
        <v>5.2413804940414179</v>
      </c>
      <c r="AW672" s="157">
        <f t="shared" si="192"/>
        <v>24.013664648102225</v>
      </c>
      <c r="AX672" s="173">
        <f t="shared" si="193"/>
        <v>14.313443790965144</v>
      </c>
      <c r="AY672" s="174">
        <v>1.1000000000000001</v>
      </c>
      <c r="AZ672" s="169">
        <v>8.33</v>
      </c>
      <c r="BA672" s="169">
        <v>-28.22</v>
      </c>
      <c r="BB672" s="169">
        <v>-5.87</v>
      </c>
      <c r="BC672" s="169">
        <v>-12.11</v>
      </c>
      <c r="BD672" s="100"/>
      <c r="BE672" s="77">
        <v>2010</v>
      </c>
      <c r="BF672" s="77">
        <f t="shared" si="194"/>
        <v>1</v>
      </c>
      <c r="BG672" s="175">
        <v>15.6</v>
      </c>
      <c r="BH672" t="s">
        <v>939</v>
      </c>
      <c r="BI672" t="s">
        <v>940</v>
      </c>
      <c r="BJ672"/>
      <c r="BK672"/>
      <c r="BL672"/>
    </row>
    <row r="673" spans="1:64" s="112" customFormat="1" ht="12.75" customHeight="1" x14ac:dyDescent="0.2">
      <c r="A673" s="176" t="s">
        <v>646</v>
      </c>
      <c r="B673" s="239" t="s">
        <v>647</v>
      </c>
      <c r="C673" s="154" t="s">
        <v>90</v>
      </c>
      <c r="D673" s="154" t="s">
        <v>969</v>
      </c>
      <c r="E673" s="155">
        <v>12</v>
      </c>
      <c r="F673" s="298">
        <v>382</v>
      </c>
      <c r="G673" s="298" t="s">
        <v>30</v>
      </c>
      <c r="H673" s="298" t="s">
        <v>30</v>
      </c>
      <c r="I673" s="156">
        <v>42.45</v>
      </c>
      <c r="J673" s="157">
        <f t="shared" si="180"/>
        <v>4.5229681978798588</v>
      </c>
      <c r="K673" s="158">
        <v>0.48</v>
      </c>
      <c r="L673" s="126">
        <v>4</v>
      </c>
      <c r="M673" s="82">
        <f t="shared" si="181"/>
        <v>1.92</v>
      </c>
      <c r="N673" s="159" t="s">
        <v>112</v>
      </c>
      <c r="O673" s="160">
        <v>0.46</v>
      </c>
      <c r="P673" s="161">
        <v>44833</v>
      </c>
      <c r="Q673" s="161">
        <v>44851</v>
      </c>
      <c r="R673" s="82">
        <f t="shared" si="182"/>
        <v>4.3478260869565135</v>
      </c>
      <c r="S673" s="162">
        <f>IF(INDEX([1]Historical!$D$7:$D$1229,MATCH(B673,[1]Historical!$B$7:$B$1253,0))=0,"n/a",(INDEX([1]Historical!$C$7:$C$1231,MATCH(B673,[1]Historical!$B$7:$B$1253,0))/INDEX([1]Historical!$D$7:$D$1229,MATCH(B673,[1]Historical!$B$7:$B$1253,0))-1)*100)</f>
        <v>2.3809523809523725</v>
      </c>
      <c r="T673" s="162">
        <f>IF(INDEX([1]Historical!$F$7:$F$1222,MATCH(B673,[1]Historical!$B$7:$B$1253,0))=0,"n/a",((INDEX([1]Historical!$C$7:$C$1231,MATCH(B673,[1]Historical!$B$7:$B$1253,0))/INDEX([1]Historical!$F$7:$F$1222,MATCH(B673,[1]Historical!$B$7:$B$1253,0)))^(1/3)-1)*100)</f>
        <v>10.639000049405013</v>
      </c>
      <c r="U673" s="162">
        <f>IF(INDEX([1]Historical!$H$7:$H$1222,MATCH(B673,[1]Historical!$B$7:$B$1253,0))=0,"n/a",((INDEX([1]Historical!$C$7:$C$1231,MATCH(B673,[1]Historical!$B$7:$B$1253,0))/INDEX([1]Historical!$H$7:$H$1222,MATCH(B673,[1]Historical!$B$7:$B$1253,0)))^(1/5)-1)*100)</f>
        <v>10.479686012836131</v>
      </c>
      <c r="V673" s="162">
        <f>IF(INDEX([1]Historical!$N$7:$N$1222,MATCH(B673,[1]Historical!$B$7:$B$1253,0))=0,"n/a",((INDEX([1]Historical!$C$7:$C$1231,MATCH(B673,[1]Historical!$B$7:$B$1253,0))/INDEX([1]Historical!$N$7:$N$1222,MATCH(B673,[1]Historical!$B$7:$B$1253,0)))^(1/10)-1)*100)</f>
        <v>15.004266316146996</v>
      </c>
      <c r="W673" s="163">
        <f t="shared" si="183"/>
        <v>0.69844708111840892</v>
      </c>
      <c r="X673" s="164">
        <f t="shared" si="184"/>
        <v>1.1031248434564349</v>
      </c>
      <c r="Y673" s="180" t="s">
        <v>983</v>
      </c>
      <c r="Z673" s="157">
        <f t="shared" si="185"/>
        <v>45.823389021479713</v>
      </c>
      <c r="AA673" s="166">
        <f t="shared" si="186"/>
        <v>10.13126491646778</v>
      </c>
      <c r="AB673" s="126">
        <v>12</v>
      </c>
      <c r="AC673" s="167">
        <v>4.1900000000000004</v>
      </c>
      <c r="AD673" s="167">
        <v>2.1</v>
      </c>
      <c r="AE673" s="167">
        <v>4.08</v>
      </c>
      <c r="AF673" s="167">
        <v>1.52</v>
      </c>
      <c r="AG673" s="167">
        <v>15.1</v>
      </c>
      <c r="AH673" s="167">
        <v>66.8</v>
      </c>
      <c r="AI673" s="167">
        <v>13.38</v>
      </c>
      <c r="AJ673" s="167">
        <v>9.5</v>
      </c>
      <c r="AK673" s="167">
        <v>4.87</v>
      </c>
      <c r="AL673" s="168">
        <v>62520</v>
      </c>
      <c r="AM673" s="169">
        <v>0.13</v>
      </c>
      <c r="AN673" s="167">
        <v>0.7</v>
      </c>
      <c r="AO673" s="170">
        <f t="shared" si="187"/>
        <v>4.8713892942482104</v>
      </c>
      <c r="AP673" s="171">
        <f t="shared" si="188"/>
        <v>15.00265421071599</v>
      </c>
      <c r="AQ673" s="172">
        <f t="shared" si="189"/>
        <v>-17.270124506772643</v>
      </c>
      <c r="AR673" s="157">
        <f>INDEX([1]Historical!$C$7:$C$1231,MATCH(B673,[1]Historical!$B$7:$B$1253,0))*IF(AH673="n/a",1.03,IF(AH673&lt;0,1.01,IF(AH673&gt;10,1.1,(1+AH673/100))))</f>
        <v>1.8920000000000001</v>
      </c>
      <c r="AS673" s="166">
        <f t="shared" si="190"/>
        <v>2.0812000000000004</v>
      </c>
      <c r="AT673" s="166">
        <f t="shared" si="195"/>
        <v>2.1825544400000005</v>
      </c>
      <c r="AU673" s="166">
        <f t="shared" si="195"/>
        <v>2.2888448412280007</v>
      </c>
      <c r="AV673" s="166">
        <f t="shared" si="195"/>
        <v>2.4003115849958041</v>
      </c>
      <c r="AW673" s="157">
        <f t="shared" si="192"/>
        <v>10.844910866223806</v>
      </c>
      <c r="AX673" s="173">
        <f t="shared" si="193"/>
        <v>25.547493206652071</v>
      </c>
      <c r="AY673" s="174">
        <v>0.98</v>
      </c>
      <c r="AZ673" s="169">
        <v>10.58</v>
      </c>
      <c r="BA673" s="169">
        <v>-33.22</v>
      </c>
      <c r="BB673" s="169">
        <v>-2.7</v>
      </c>
      <c r="BC673" s="169">
        <v>-14.799999999999999</v>
      </c>
      <c r="BD673" s="100"/>
      <c r="BE673" s="77">
        <v>2011</v>
      </c>
      <c r="BF673" s="77">
        <f t="shared" si="194"/>
        <v>1</v>
      </c>
      <c r="BG673" s="175">
        <v>1.2</v>
      </c>
      <c r="BH673" t="s">
        <v>939</v>
      </c>
      <c r="BI673" t="s">
        <v>940</v>
      </c>
      <c r="BJ673"/>
      <c r="BK673"/>
      <c r="BL673"/>
    </row>
    <row r="674" spans="1:64" s="112" customFormat="1" ht="12.75" customHeight="1" x14ac:dyDescent="0.2">
      <c r="A674" s="176" t="s">
        <v>1694</v>
      </c>
      <c r="B674" s="239" t="s">
        <v>1207</v>
      </c>
      <c r="C674" s="154" t="s">
        <v>117</v>
      </c>
      <c r="D674" s="154" t="s">
        <v>953</v>
      </c>
      <c r="E674" s="155">
        <v>8</v>
      </c>
      <c r="F674" s="298">
        <v>578</v>
      </c>
      <c r="G674" s="298" t="s">
        <v>88</v>
      </c>
      <c r="H674" s="298" t="s">
        <v>88</v>
      </c>
      <c r="I674" s="156">
        <v>52.71</v>
      </c>
      <c r="J674" s="157">
        <f t="shared" si="180"/>
        <v>2.9595902105862266</v>
      </c>
      <c r="K674" s="158">
        <v>0.39</v>
      </c>
      <c r="L674" s="126">
        <v>4</v>
      </c>
      <c r="M674" s="82">
        <f t="shared" si="181"/>
        <v>1.56</v>
      </c>
      <c r="N674" s="159" t="s">
        <v>143</v>
      </c>
      <c r="O674" s="160">
        <v>0.38</v>
      </c>
      <c r="P674" s="161">
        <v>44602</v>
      </c>
      <c r="Q674" s="161">
        <v>44617</v>
      </c>
      <c r="R674" s="82">
        <f t="shared" si="182"/>
        <v>2.6315789473684235</v>
      </c>
      <c r="S674" s="162">
        <f>IF(INDEX([1]Historical!$D$7:$D$1229,MATCH(B674,[1]Historical!$B$7:$B$1253,0))=0,"n/a",(INDEX([1]Historical!$C$7:$C$1231,MATCH(B674,[1]Historical!$B$7:$B$1253,0))/INDEX([1]Historical!$D$7:$D$1229,MATCH(B674,[1]Historical!$B$7:$B$1253,0))-1)*100)</f>
        <v>1.3333333333333419</v>
      </c>
      <c r="T674" s="162">
        <f>IF(INDEX([1]Historical!$F$7:$F$1222,MATCH(B674,[1]Historical!$B$7:$B$1253,0))=0,"n/a",((INDEX([1]Historical!$C$7:$C$1231,MATCH(B674,[1]Historical!$B$7:$B$1253,0))/INDEX([1]Historical!$F$7:$F$1222,MATCH(B674,[1]Historical!$B$7:$B$1253,0)))^(1/3)-1)*100)</f>
        <v>1.3515148022100965</v>
      </c>
      <c r="U674" s="162">
        <f>IF(INDEX([1]Historical!$H$7:$H$1222,MATCH(B674,[1]Historical!$B$7:$B$1253,0))=0,"n/a",((INDEX([1]Historical!$C$7:$C$1231,MATCH(B674,[1]Historical!$B$7:$B$1253,0))/INDEX([1]Historical!$H$7:$H$1222,MATCH(B674,[1]Historical!$B$7:$B$1253,0)))^(1/5)-1)*100)</f>
        <v>1.3703739792310987</v>
      </c>
      <c r="V674" s="162">
        <f>IF(INDEX([1]Historical!$N$7:$N$1222,MATCH(B674,[1]Historical!$B$7:$B$1253,0))=0,"n/a",((INDEX([1]Historical!$C$7:$C$1231,MATCH(B674,[1]Historical!$B$7:$B$1253,0))/INDEX([1]Historical!$N$7:$N$1222,MATCH(B674,[1]Historical!$B$7:$B$1253,0)))^(1/10)-1)*100)</f>
        <v>0.9709518023075292</v>
      </c>
      <c r="W674" s="163">
        <f t="shared" si="183"/>
        <v>1.4113717858850636</v>
      </c>
      <c r="X674" s="164">
        <f t="shared" si="184"/>
        <v>0.35137794339258943</v>
      </c>
      <c r="Y674" s="178"/>
      <c r="Z674" s="157">
        <f t="shared" si="185"/>
        <v>60.9375</v>
      </c>
      <c r="AA674" s="166">
        <f t="shared" si="186"/>
        <v>20.58984375</v>
      </c>
      <c r="AB674" s="126">
        <v>12</v>
      </c>
      <c r="AC674" s="167">
        <v>2.56</v>
      </c>
      <c r="AD674" s="167">
        <v>2.94</v>
      </c>
      <c r="AE674" s="167">
        <v>1.58</v>
      </c>
      <c r="AF674" s="167">
        <v>1.84</v>
      </c>
      <c r="AG674" s="167">
        <v>9</v>
      </c>
      <c r="AH674" s="167">
        <v>9.1999999999999993</v>
      </c>
      <c r="AI674" s="167">
        <v>6.59</v>
      </c>
      <c r="AJ674" s="167">
        <v>3.9</v>
      </c>
      <c r="AK674" s="167">
        <v>7.1</v>
      </c>
      <c r="AL674" s="168">
        <v>838.35</v>
      </c>
      <c r="AM674" s="169">
        <v>0.70000000000000007</v>
      </c>
      <c r="AN674" s="167">
        <v>1.18</v>
      </c>
      <c r="AO674" s="170">
        <f t="shared" si="187"/>
        <v>-16.259879560182675</v>
      </c>
      <c r="AP674" s="171">
        <f t="shared" si="188"/>
        <v>4.3299641898173249</v>
      </c>
      <c r="AQ674" s="172">
        <f t="shared" si="189"/>
        <v>29.760998249345594</v>
      </c>
      <c r="AR674" s="157">
        <f>INDEX([1]Historical!$C$7:$C$1231,MATCH(B674,[1]Historical!$B$7:$B$1253,0))*IF(AH674="n/a",1.03,IF(AH674&lt;0,1.01,IF(AH674&gt;10,1.1,(1+AH674/100))))</f>
        <v>1.6598400000000002</v>
      </c>
      <c r="AS674" s="166">
        <f t="shared" si="190"/>
        <v>1.7692234560000004</v>
      </c>
      <c r="AT674" s="166">
        <f t="shared" si="195"/>
        <v>1.8948383213760003</v>
      </c>
      <c r="AU674" s="166">
        <f t="shared" si="195"/>
        <v>2.0293718421936964</v>
      </c>
      <c r="AV674" s="166">
        <f t="shared" si="195"/>
        <v>2.1734572429894485</v>
      </c>
      <c r="AW674" s="157">
        <f t="shared" si="192"/>
        <v>9.5267308625591465</v>
      </c>
      <c r="AX674" s="173">
        <f t="shared" si="193"/>
        <v>18.073858589563926</v>
      </c>
      <c r="AY674" s="174">
        <v>0.47</v>
      </c>
      <c r="AZ674" s="169">
        <v>30.049999999999997</v>
      </c>
      <c r="BA674" s="169">
        <v>-13.74</v>
      </c>
      <c r="BB674" s="169">
        <v>4.8599999999999994</v>
      </c>
      <c r="BC674" s="169">
        <v>0.97</v>
      </c>
      <c r="BD674" s="100"/>
      <c r="BE674" s="77">
        <v>2015</v>
      </c>
      <c r="BF674" s="77">
        <f t="shared" si="194"/>
        <v>1</v>
      </c>
      <c r="BG674" s="175">
        <v>2.7</v>
      </c>
      <c r="BH674" t="s">
        <v>939</v>
      </c>
      <c r="BI674" t="s">
        <v>940</v>
      </c>
    </row>
    <row r="675" spans="1:64" s="112" customFormat="1" ht="12.75" customHeight="1" x14ac:dyDescent="0.2">
      <c r="A675" s="176" t="s">
        <v>1695</v>
      </c>
      <c r="B675" s="239" t="s">
        <v>493</v>
      </c>
      <c r="C675" s="154" t="s">
        <v>137</v>
      </c>
      <c r="D675" s="154" t="s">
        <v>946</v>
      </c>
      <c r="E675" s="155">
        <v>19</v>
      </c>
      <c r="F675" s="298">
        <v>198</v>
      </c>
      <c r="G675" s="298" t="s">
        <v>88</v>
      </c>
      <c r="H675" s="298" t="s">
        <v>88</v>
      </c>
      <c r="I675" s="156">
        <v>89.55</v>
      </c>
      <c r="J675" s="157">
        <f t="shared" si="180"/>
        <v>1.2953657174762701</v>
      </c>
      <c r="K675" s="158">
        <v>0.28999999999999998</v>
      </c>
      <c r="L675" s="126">
        <v>4</v>
      </c>
      <c r="M675" s="82">
        <f t="shared" si="181"/>
        <v>1.1599999999999999</v>
      </c>
      <c r="N675" s="159" t="s">
        <v>99</v>
      </c>
      <c r="O675" s="160">
        <v>0.28499999999999998</v>
      </c>
      <c r="P675" s="161">
        <v>44637</v>
      </c>
      <c r="Q675" s="161">
        <v>44656</v>
      </c>
      <c r="R675" s="82">
        <f t="shared" si="182"/>
        <v>1.7543859649122824</v>
      </c>
      <c r="S675" s="162">
        <f>IF(INDEX([1]Historical!$D$7:$D$1229,MATCH(B675,[1]Historical!$B$7:$B$1253,0))=0,"n/a",(INDEX([1]Historical!$C$7:$C$1231,MATCH(B675,[1]Historical!$B$7:$B$1253,0))/INDEX([1]Historical!$D$7:$D$1229,MATCH(B675,[1]Historical!$B$7:$B$1253,0))-1)*100)</f>
        <v>1.7857142857142572</v>
      </c>
      <c r="T675" s="162">
        <f>IF(INDEX([1]Historical!$F$7:$F$1222,MATCH(B675,[1]Historical!$B$7:$B$1253,0))=0,"n/a",((INDEX([1]Historical!$C$7:$C$1231,MATCH(B675,[1]Historical!$B$7:$B$1253,0))/INDEX([1]Historical!$F$7:$F$1222,MATCH(B675,[1]Historical!$B$7:$B$1253,0)))^(1/3)-1)*100)</f>
        <v>1.8185790714934313</v>
      </c>
      <c r="U675" s="162">
        <f>IF(INDEX([1]Historical!$H$7:$H$1222,MATCH(B675,[1]Historical!$B$7:$B$1253,0))=0,"n/a",((INDEX([1]Historical!$C$7:$C$1231,MATCH(B675,[1]Historical!$B$7:$B$1253,0))/INDEX([1]Historical!$H$7:$H$1222,MATCH(B675,[1]Historical!$B$7:$B$1253,0)))^(1/5)-1)*100)</f>
        <v>1.7554577175587616</v>
      </c>
      <c r="V675" s="162">
        <f>IF(INDEX([1]Historical!$N$7:$N$1222,MATCH(B675,[1]Historical!$B$7:$B$1253,0))=0,"n/a",((INDEX([1]Historical!$C$7:$C$1231,MATCH(B675,[1]Historical!$B$7:$B$1253,0))/INDEX([1]Historical!$N$7:$N$1222,MATCH(B675,[1]Historical!$B$7:$B$1253,0)))^(1/10)-1)*100)</f>
        <v>1.8936933136435075</v>
      </c>
      <c r="W675" s="163">
        <f t="shared" si="183"/>
        <v>0.927002120623863</v>
      </c>
      <c r="X675" s="164">
        <f t="shared" si="184"/>
        <v>0.38162124294755689</v>
      </c>
      <c r="Y675" s="181"/>
      <c r="Z675" s="157">
        <f t="shared" si="185"/>
        <v>27.751196172248804</v>
      </c>
      <c r="AA675" s="166">
        <f t="shared" si="186"/>
        <v>21.423444976076556</v>
      </c>
      <c r="AB675" s="126">
        <v>12</v>
      </c>
      <c r="AC675" s="167">
        <v>4.18</v>
      </c>
      <c r="AD675" s="167" t="s">
        <v>95</v>
      </c>
      <c r="AE675" s="167">
        <v>6.69</v>
      </c>
      <c r="AF675" s="167">
        <v>3.07</v>
      </c>
      <c r="AG675" s="167">
        <v>14.099999999999998</v>
      </c>
      <c r="AH675" s="167">
        <v>34.1</v>
      </c>
      <c r="AI675" s="167" t="s">
        <v>95</v>
      </c>
      <c r="AJ675" s="167">
        <v>4.5999999999999996</v>
      </c>
      <c r="AK675" s="167" t="s">
        <v>95</v>
      </c>
      <c r="AL675" s="168">
        <v>337.07</v>
      </c>
      <c r="AM675" s="169">
        <v>0.2</v>
      </c>
      <c r="AN675" s="167">
        <v>0</v>
      </c>
      <c r="AO675" s="170">
        <f t="shared" si="187"/>
        <v>-18.372621541041525</v>
      </c>
      <c r="AP675" s="171">
        <f t="shared" si="188"/>
        <v>3.0508234350350314</v>
      </c>
      <c r="AQ675" s="172">
        <f t="shared" si="189"/>
        <v>70.971051580286243</v>
      </c>
      <c r="AR675" s="157">
        <f>INDEX([1]Historical!$C$7:$C$1231,MATCH(B675,[1]Historical!$B$7:$B$1253,0))*IF(AH675="n/a",1.03,IF(AH675&lt;0,1.01,IF(AH675&gt;10,1.1,(1+AH675/100))))</f>
        <v>1.254</v>
      </c>
      <c r="AS675" s="166">
        <f t="shared" si="190"/>
        <v>1.29162</v>
      </c>
      <c r="AT675" s="166">
        <f t="shared" si="195"/>
        <v>1.3303686000000001</v>
      </c>
      <c r="AU675" s="166">
        <f t="shared" si="195"/>
        <v>1.3702796580000001</v>
      </c>
      <c r="AV675" s="166">
        <f t="shared" si="195"/>
        <v>1.41138804774</v>
      </c>
      <c r="AW675" s="157">
        <f t="shared" si="192"/>
        <v>6.6576563057400007</v>
      </c>
      <c r="AX675" s="173">
        <f t="shared" si="193"/>
        <v>7.4345687389614747</v>
      </c>
      <c r="AY675" s="174">
        <v>0.32</v>
      </c>
      <c r="AZ675" s="169">
        <v>11.799999999999999</v>
      </c>
      <c r="BA675" s="169">
        <v>-31.879999999999995</v>
      </c>
      <c r="BB675" s="169">
        <v>1.58</v>
      </c>
      <c r="BC675" s="169">
        <v>1.63</v>
      </c>
      <c r="BD675" s="100"/>
      <c r="BE675" s="77">
        <v>2004</v>
      </c>
      <c r="BF675" s="77">
        <f t="shared" si="194"/>
        <v>2</v>
      </c>
      <c r="BG675" s="175">
        <v>13</v>
      </c>
      <c r="BH675" t="s">
        <v>939</v>
      </c>
      <c r="BI675" t="s">
        <v>940</v>
      </c>
      <c r="BJ675"/>
      <c r="BK675"/>
      <c r="BL675"/>
    </row>
    <row r="676" spans="1:64" s="112" customFormat="1" ht="12.75" customHeight="1" x14ac:dyDescent="0.2">
      <c r="A676" s="112" t="s">
        <v>1696</v>
      </c>
      <c r="B676" s="239" t="s">
        <v>489</v>
      </c>
      <c r="C676" s="154" t="s">
        <v>127</v>
      </c>
      <c r="D676" s="154" t="s">
        <v>125</v>
      </c>
      <c r="E676" s="155">
        <v>52</v>
      </c>
      <c r="F676" s="298">
        <v>31</v>
      </c>
      <c r="G676" s="298" t="s">
        <v>30</v>
      </c>
      <c r="H676" s="298" t="s">
        <v>30</v>
      </c>
      <c r="I676" s="167">
        <v>50.61</v>
      </c>
      <c r="J676" s="157">
        <f t="shared" si="180"/>
        <v>6.2438253309622604</v>
      </c>
      <c r="K676" s="158">
        <v>0.79</v>
      </c>
      <c r="L676" s="126">
        <v>4</v>
      </c>
      <c r="M676" s="82">
        <f t="shared" si="181"/>
        <v>3.16</v>
      </c>
      <c r="N676" s="159" t="s">
        <v>246</v>
      </c>
      <c r="O676" s="160">
        <v>0.78</v>
      </c>
      <c r="P676" s="161">
        <v>44750</v>
      </c>
      <c r="Q676" s="161">
        <v>44774</v>
      </c>
      <c r="R676" s="82">
        <f t="shared" si="182"/>
        <v>1.2820512820512833</v>
      </c>
      <c r="S676" s="162">
        <f>IF(INDEX([1]Historical!$D$7:$D$1229,MATCH(B676,[1]Historical!$B$7:$B$1253,0))=0,"n/a",(INDEX([1]Historical!$C$7:$C$1231,MATCH(B676,[1]Historical!$B$7:$B$1253,0))/INDEX([1]Historical!$D$7:$D$1229,MATCH(B676,[1]Historical!$B$7:$B$1253,0))-1)*100)</f>
        <v>1.3071895424836555</v>
      </c>
      <c r="T676" s="162">
        <f>IF(INDEX([1]Historical!$F$7:$F$1222,MATCH(B676,[1]Historical!$B$7:$B$1253,0))=0,"n/a",((INDEX([1]Historical!$C$7:$C$1231,MATCH(B676,[1]Historical!$B$7:$B$1253,0))/INDEX([1]Historical!$F$7:$F$1222,MATCH(B676,[1]Historical!$B$7:$B$1253,0)))^(1/3)-1)*100)</f>
        <v>6.0383062071096782</v>
      </c>
      <c r="U676" s="162">
        <f>IF(INDEX([1]Historical!$H$7:$H$1222,MATCH(B676,[1]Historical!$B$7:$B$1253,0))=0,"n/a",((INDEX([1]Historical!$C$7:$C$1231,MATCH(B676,[1]Historical!$B$7:$B$1253,0))/INDEX([1]Historical!$H$7:$H$1222,MATCH(B676,[1]Historical!$B$7:$B$1253,0)))^(1/5)-1)*100)</f>
        <v>7.8959557987910545</v>
      </c>
      <c r="V676" s="162">
        <f>IF(INDEX([1]Historical!$N$7:$N$1222,MATCH(B676,[1]Historical!$B$7:$B$1253,0))=0,"n/a",((INDEX([1]Historical!$C$7:$C$1231,MATCH(B676,[1]Historical!$B$7:$B$1253,0))/INDEX([1]Historical!$N$7:$N$1222,MATCH(B676,[1]Historical!$B$7:$B$1253,0)))^(1/10)-1)*100)</f>
        <v>4.9073813521243848</v>
      </c>
      <c r="W676" s="163">
        <f t="shared" si="183"/>
        <v>1.6089957621436795</v>
      </c>
      <c r="X676" s="164">
        <f t="shared" si="184"/>
        <v>0.24987201894908398</v>
      </c>
      <c r="Y676" s="178"/>
      <c r="Z676" s="157">
        <f t="shared" si="185"/>
        <v>90.544412607449857</v>
      </c>
      <c r="AA676" s="166">
        <f t="shared" si="186"/>
        <v>14.501432664756447</v>
      </c>
      <c r="AB676" s="126">
        <v>3</v>
      </c>
      <c r="AC676" s="167">
        <v>3.49</v>
      </c>
      <c r="AD676" s="167" t="s">
        <v>95</v>
      </c>
      <c r="AE676" s="167">
        <v>0.55000000000000004</v>
      </c>
      <c r="AF676" s="167">
        <v>0.94</v>
      </c>
      <c r="AG676" s="167">
        <v>6.6000000000000005</v>
      </c>
      <c r="AH676" s="167">
        <v>-1.5</v>
      </c>
      <c r="AI676" s="167" t="s">
        <v>95</v>
      </c>
      <c r="AJ676" s="167">
        <v>31.6</v>
      </c>
      <c r="AK676" s="167" t="s">
        <v>95</v>
      </c>
      <c r="AL676" s="168">
        <v>1200</v>
      </c>
      <c r="AM676" s="169">
        <v>2.8000000000000003</v>
      </c>
      <c r="AN676" s="167">
        <v>0.73</v>
      </c>
      <c r="AO676" s="170">
        <f t="shared" si="187"/>
        <v>-0.36165153500313174</v>
      </c>
      <c r="AP676" s="171">
        <f t="shared" si="188"/>
        <v>14.139781129753315</v>
      </c>
      <c r="AQ676" s="172">
        <f t="shared" si="189"/>
        <v>-22.16442771279943</v>
      </c>
      <c r="AR676" s="157">
        <f>INDEX([1]Historical!$C$7:$C$1231,MATCH(B676,[1]Historical!$B$7:$B$1253,0))*IF(AH676="n/a",1.03,IF(AH676&lt;0,1.01,IF(AH676&gt;10,1.1,(1+AH676/100))))</f>
        <v>3.1310000000000002</v>
      </c>
      <c r="AS676" s="166">
        <f t="shared" si="190"/>
        <v>3.2249300000000005</v>
      </c>
      <c r="AT676" s="166">
        <f t="shared" si="195"/>
        <v>3.3216779000000005</v>
      </c>
      <c r="AU676" s="166">
        <f t="shared" si="195"/>
        <v>3.4213282370000004</v>
      </c>
      <c r="AV676" s="166">
        <f t="shared" si="195"/>
        <v>3.5239680841100007</v>
      </c>
      <c r="AW676" s="157">
        <f t="shared" si="192"/>
        <v>16.622904221110005</v>
      </c>
      <c r="AX676" s="173">
        <f t="shared" si="193"/>
        <v>32.845098243647513</v>
      </c>
      <c r="AY676" s="174">
        <v>0.6</v>
      </c>
      <c r="AZ676" s="169">
        <v>15.97</v>
      </c>
      <c r="BA676" s="169">
        <v>-21.08</v>
      </c>
      <c r="BB676" s="169">
        <v>4.2299999999999995</v>
      </c>
      <c r="BC676" s="169">
        <v>-7.5399999999999991</v>
      </c>
      <c r="BD676" s="100"/>
      <c r="BE676" s="77">
        <v>1972</v>
      </c>
      <c r="BF676" s="77">
        <f t="shared" si="194"/>
        <v>6</v>
      </c>
      <c r="BG676" s="175">
        <v>3.4000000000000004</v>
      </c>
      <c r="BH676" t="s">
        <v>939</v>
      </c>
      <c r="BI676" t="s">
        <v>940</v>
      </c>
      <c r="BJ676"/>
      <c r="BK676"/>
      <c r="BL676"/>
    </row>
    <row r="677" spans="1:64" s="112" customFormat="1" ht="12.75" customHeight="1" x14ac:dyDescent="0.2">
      <c r="A677" s="112" t="s">
        <v>496</v>
      </c>
      <c r="B677" s="239" t="s">
        <v>497</v>
      </c>
      <c r="C677" s="154" t="s">
        <v>922</v>
      </c>
      <c r="D677" s="154" t="s">
        <v>949</v>
      </c>
      <c r="E677" s="155">
        <v>15</v>
      </c>
      <c r="F677" s="298">
        <v>260</v>
      </c>
      <c r="G677" s="298" t="s">
        <v>88</v>
      </c>
      <c r="H677" s="298" t="s">
        <v>88</v>
      </c>
      <c r="I677" s="156">
        <v>207.16</v>
      </c>
      <c r="J677" s="157">
        <f t="shared" si="180"/>
        <v>0.86889360880478861</v>
      </c>
      <c r="K677" s="158">
        <v>0.45</v>
      </c>
      <c r="L677" s="126">
        <v>4</v>
      </c>
      <c r="M677" s="82">
        <f t="shared" si="181"/>
        <v>1.8</v>
      </c>
      <c r="N677" s="159" t="s">
        <v>461</v>
      </c>
      <c r="O677" s="160">
        <v>0.375</v>
      </c>
      <c r="P677" s="161">
        <v>44875</v>
      </c>
      <c r="Q677" s="161">
        <v>44896</v>
      </c>
      <c r="R677" s="82">
        <f t="shared" si="182"/>
        <v>20.000000000000004</v>
      </c>
      <c r="S677" s="162">
        <f>IF(INDEX([1]Historical!$D$7:$D$1229,MATCH(B677,[1]Historical!$B$7:$B$1253,0))=0,"n/a",(INDEX([1]Historical!$C$7:$C$1231,MATCH(B677,[1]Historical!$B$7:$B$1253,0))/INDEX([1]Historical!$D$7:$D$1229,MATCH(B677,[1]Historical!$B$7:$B$1253,0))-1)*100)</f>
        <v>9.426229508196716</v>
      </c>
      <c r="T677" s="162">
        <f>IF(INDEX([1]Historical!$F$7:$F$1222,MATCH(B677,[1]Historical!$B$7:$B$1253,0))=0,"n/a",((INDEX([1]Historical!$C$7:$C$1231,MATCH(B677,[1]Historical!$B$7:$B$1253,0))/INDEX([1]Historical!$F$7:$F$1222,MATCH(B677,[1]Historical!$B$7:$B$1253,0)))^(1/3)-1)*100)</f>
        <v>14.903395987178826</v>
      </c>
      <c r="U677" s="162">
        <f>IF(INDEX([1]Historical!$H$7:$H$1222,MATCH(B677,[1]Historical!$B$7:$B$1253,0))=0,"n/a",((INDEX([1]Historical!$C$7:$C$1231,MATCH(B677,[1]Historical!$B$7:$B$1253,0))/INDEX([1]Historical!$H$7:$H$1222,MATCH(B677,[1]Historical!$B$7:$B$1253,0)))^(1/5)-1)*100)</f>
        <v>17.941074454361395</v>
      </c>
      <c r="V677" s="162">
        <f>IF(INDEX([1]Historical!$N$7:$N$1222,MATCH(B677,[1]Historical!$B$7:$B$1253,0))=0,"n/a",((INDEX([1]Historical!$C$7:$C$1231,MATCH(B677,[1]Historical!$B$7:$B$1253,0))/INDEX([1]Historical!$N$7:$N$1222,MATCH(B677,[1]Historical!$B$7:$B$1253,0)))^(1/10)-1)*100)</f>
        <v>23.068425792255898</v>
      </c>
      <c r="W677" s="163">
        <f t="shared" si="183"/>
        <v>0.77773293314120462</v>
      </c>
      <c r="X677" s="164">
        <f t="shared" si="184"/>
        <v>1.0079255311438986</v>
      </c>
      <c r="Y677" s="178"/>
      <c r="Z677" s="157">
        <f t="shared" si="185"/>
        <v>29.55665024630542</v>
      </c>
      <c r="AA677" s="166">
        <f t="shared" si="186"/>
        <v>34.016420361247945</v>
      </c>
      <c r="AB677" s="126">
        <v>9</v>
      </c>
      <c r="AC677" s="167">
        <v>6.09</v>
      </c>
      <c r="AD677" s="167">
        <v>2.0499999999999998</v>
      </c>
      <c r="AE677" s="167">
        <v>15.69</v>
      </c>
      <c r="AF677" s="167">
        <v>13.34</v>
      </c>
      <c r="AG677" s="167">
        <v>40.400000000000006</v>
      </c>
      <c r="AH677" s="167">
        <v>15.1</v>
      </c>
      <c r="AI677" s="167">
        <v>16.259999999999998</v>
      </c>
      <c r="AJ677" s="167">
        <v>17.8</v>
      </c>
      <c r="AK677" s="167">
        <v>16.75</v>
      </c>
      <c r="AL677" s="168">
        <v>422640</v>
      </c>
      <c r="AM677" s="169">
        <v>0.18</v>
      </c>
      <c r="AN677" s="167">
        <v>0.73</v>
      </c>
      <c r="AO677" s="170">
        <f t="shared" si="187"/>
        <v>-15.206452298081761</v>
      </c>
      <c r="AP677" s="171">
        <f t="shared" si="188"/>
        <v>18.809968063166185</v>
      </c>
      <c r="AQ677" s="172">
        <f t="shared" si="189"/>
        <v>349.08749339029328</v>
      </c>
      <c r="AR677" s="157">
        <f>INDEX([1]Historical!$C$7:$C$1231,MATCH(B677,[1]Historical!$B$7:$B$1253,0))*IF(AH677="n/a",1.03,IF(AH677&lt;0,1.01,IF(AH677&gt;10,1.1,(1+AH677/100))))</f>
        <v>1.4685000000000001</v>
      </c>
      <c r="AS677" s="166">
        <f t="shared" si="190"/>
        <v>1.6153500000000003</v>
      </c>
      <c r="AT677" s="166">
        <f t="shared" si="195"/>
        <v>1.7768850000000005</v>
      </c>
      <c r="AU677" s="166">
        <f t="shared" si="195"/>
        <v>1.9545735000000006</v>
      </c>
      <c r="AV677" s="166">
        <f t="shared" si="195"/>
        <v>2.1500308500000007</v>
      </c>
      <c r="AW677" s="157">
        <f t="shared" si="192"/>
        <v>8.9653393500000025</v>
      </c>
      <c r="AX677" s="173">
        <f t="shared" si="193"/>
        <v>4.3277367011005996</v>
      </c>
      <c r="AY677" s="174">
        <v>0.95</v>
      </c>
      <c r="AZ677" s="169">
        <v>18.649999999999999</v>
      </c>
      <c r="BA677" s="169">
        <v>-12.16</v>
      </c>
      <c r="BB677" s="169">
        <v>7.2900000000000009</v>
      </c>
      <c r="BC677" s="169">
        <v>0.38</v>
      </c>
      <c r="BD677" s="100"/>
      <c r="BE677" s="77">
        <v>2008</v>
      </c>
      <c r="BF677" s="77">
        <f t="shared" si="194"/>
        <v>2</v>
      </c>
      <c r="BG677" s="175">
        <v>16.2</v>
      </c>
      <c r="BH677" t="s">
        <v>939</v>
      </c>
      <c r="BI677" t="s">
        <v>940</v>
      </c>
      <c r="BJ677"/>
      <c r="BK677"/>
      <c r="BL677"/>
    </row>
    <row r="678" spans="1:64" s="112" customFormat="1" ht="12.75" customHeight="1" x14ac:dyDescent="0.2">
      <c r="A678" s="205" t="s">
        <v>1697</v>
      </c>
      <c r="B678" s="239" t="s">
        <v>1208</v>
      </c>
      <c r="C678" s="154" t="s">
        <v>90</v>
      </c>
      <c r="D678" s="154" t="s">
        <v>972</v>
      </c>
      <c r="E678" s="155">
        <v>8</v>
      </c>
      <c r="F678" s="298">
        <v>590</v>
      </c>
      <c r="G678" s="298" t="s">
        <v>88</v>
      </c>
      <c r="H678" s="298" t="s">
        <v>88</v>
      </c>
      <c r="I678" s="156">
        <v>53.6</v>
      </c>
      <c r="J678" s="157">
        <f t="shared" si="180"/>
        <v>1.8656716417910446</v>
      </c>
      <c r="K678" s="158">
        <v>0.25</v>
      </c>
      <c r="L678" s="126">
        <v>4</v>
      </c>
      <c r="M678" s="82">
        <f t="shared" si="181"/>
        <v>1</v>
      </c>
      <c r="N678" t="s">
        <v>700</v>
      </c>
      <c r="O678" s="160">
        <v>0.22</v>
      </c>
      <c r="P678" s="161">
        <v>44680</v>
      </c>
      <c r="Q678" s="161">
        <v>44692</v>
      </c>
      <c r="R678" s="82">
        <f t="shared" si="182"/>
        <v>13.636363636363635</v>
      </c>
      <c r="S678" s="162">
        <f>IF(INDEX([1]Historical!$D$7:$D$1229,MATCH(B678,[1]Historical!$B$7:$B$1253,0))=0,"n/a",(INDEX([1]Historical!$C$7:$C$1231,MATCH(B678,[1]Historical!$B$7:$B$1253,0))/INDEX([1]Historical!$D$7:$D$1229,MATCH(B678,[1]Historical!$B$7:$B$1253,0))-1)*100)</f>
        <v>4.8192771084337505</v>
      </c>
      <c r="T678" s="162">
        <f>IF(INDEX([1]Historical!$F$7:$F$1222,MATCH(B678,[1]Historical!$B$7:$B$1253,0))=0,"n/a",((INDEX([1]Historical!$C$7:$C$1231,MATCH(B678,[1]Historical!$B$7:$B$1253,0))/INDEX([1]Historical!$F$7:$F$1222,MATCH(B678,[1]Historical!$B$7:$B$1253,0)))^(1/3)-1)*100)</f>
        <v>5.0717574498580165</v>
      </c>
      <c r="U678" s="162">
        <f>IF(INDEX([1]Historical!$H$7:$H$1222,MATCH(B678,[1]Historical!$B$7:$B$1253,0))=0,"n/a",((INDEX([1]Historical!$C$7:$C$1231,MATCH(B678,[1]Historical!$B$7:$B$1253,0))/INDEX([1]Historical!$H$7:$H$1222,MATCH(B678,[1]Historical!$B$7:$B$1253,0)))^(1/5)-1)*100)</f>
        <v>5.3631849129711417</v>
      </c>
      <c r="V678" s="162">
        <f>IF(INDEX([1]Historical!$N$7:$N$1222,MATCH(B678,[1]Historical!$B$7:$B$1253,0))=0,"n/a",((INDEX([1]Historical!$C$7:$C$1231,MATCH(B678,[1]Historical!$B$7:$B$1253,0))/INDEX([1]Historical!$N$7:$N$1222,MATCH(B678,[1]Historical!$B$7:$B$1253,0)))^(1/10)-1)*100)</f>
        <v>0.84234274879340099</v>
      </c>
      <c r="W678" s="163">
        <f t="shared" si="183"/>
        <v>6.3669865035979019</v>
      </c>
      <c r="X678" s="164">
        <f t="shared" si="184"/>
        <v>0.28990188718762927</v>
      </c>
      <c r="Y678" s="178"/>
      <c r="Z678" s="157">
        <f t="shared" si="185"/>
        <v>42.553191489361701</v>
      </c>
      <c r="AA678" s="166">
        <f t="shared" si="186"/>
        <v>22.808510638297872</v>
      </c>
      <c r="AB678" s="126">
        <v>13</v>
      </c>
      <c r="AC678" s="167">
        <v>2.35</v>
      </c>
      <c r="AD678" s="167" t="s">
        <v>95</v>
      </c>
      <c r="AE678" s="167">
        <v>14.7</v>
      </c>
      <c r="AF678" s="167">
        <v>7.36</v>
      </c>
      <c r="AG678" s="167">
        <v>28.4</v>
      </c>
      <c r="AH678" s="167">
        <v>2.9000000000000004</v>
      </c>
      <c r="AI678" s="167" t="s">
        <v>95</v>
      </c>
      <c r="AJ678" s="167">
        <v>18.5</v>
      </c>
      <c r="AK678" s="167" t="s">
        <v>95</v>
      </c>
      <c r="AL678" s="168">
        <v>592.59</v>
      </c>
      <c r="AM678" s="169">
        <v>91.19</v>
      </c>
      <c r="AN678" s="167">
        <v>0</v>
      </c>
      <c r="AO678" s="170">
        <f t="shared" si="187"/>
        <v>-15.579654083535685</v>
      </c>
      <c r="AP678" s="171">
        <f t="shared" si="188"/>
        <v>7.2288565547621868</v>
      </c>
      <c r="AQ678" s="172">
        <f t="shared" si="189"/>
        <v>173.14679675374589</v>
      </c>
      <c r="AR678" s="157">
        <f>INDEX([1]Historical!$C$7:$C$1231,MATCH(B678,[1]Historical!$B$7:$B$1253,0))*IF(AH678="n/a",1.03,IF(AH678&lt;0,1.01,IF(AH678&gt;10,1.1,(1+AH678/100))))</f>
        <v>0.89522999999999997</v>
      </c>
      <c r="AS678" s="166">
        <f t="shared" si="190"/>
        <v>0.92208690000000004</v>
      </c>
      <c r="AT678" s="166">
        <f t="shared" si="195"/>
        <v>0.94974950700000005</v>
      </c>
      <c r="AU678" s="166">
        <f t="shared" si="195"/>
        <v>0.97824199221000008</v>
      </c>
      <c r="AV678" s="166">
        <f t="shared" si="195"/>
        <v>1.0075892519763001</v>
      </c>
      <c r="AW678" s="157">
        <f t="shared" si="192"/>
        <v>4.7528976511863004</v>
      </c>
      <c r="AX678" s="173">
        <f t="shared" si="193"/>
        <v>8.8673463641535459</v>
      </c>
      <c r="AY678" s="174">
        <v>0.61</v>
      </c>
      <c r="AZ678" s="169">
        <v>65.739999999999995</v>
      </c>
      <c r="BA678" s="169">
        <v>-54.730000000000004</v>
      </c>
      <c r="BB678" s="169">
        <v>-19.59</v>
      </c>
      <c r="BC678" s="169">
        <v>-19.97</v>
      </c>
      <c r="BD678" s="100"/>
      <c r="BE678" s="77">
        <v>2015</v>
      </c>
      <c r="BF678" s="77">
        <f t="shared" si="194"/>
        <v>1</v>
      </c>
      <c r="BG678" s="175">
        <v>17.5</v>
      </c>
      <c r="BH678" t="s">
        <v>939</v>
      </c>
      <c r="BI678" t="s">
        <v>940</v>
      </c>
    </row>
    <row r="679" spans="1:64" s="112" customFormat="1" ht="12.75" customHeight="1" x14ac:dyDescent="0.2">
      <c r="A679" s="112" t="s">
        <v>1698</v>
      </c>
      <c r="B679" s="239" t="s">
        <v>495</v>
      </c>
      <c r="C679" s="154" t="s">
        <v>100</v>
      </c>
      <c r="D679" s="154" t="s">
        <v>1037</v>
      </c>
      <c r="E679" s="155">
        <v>50</v>
      </c>
      <c r="F679" s="298">
        <v>44</v>
      </c>
      <c r="G679" s="298" t="s">
        <v>104</v>
      </c>
      <c r="H679" s="298" t="s">
        <v>104</v>
      </c>
      <c r="I679" s="167">
        <v>28.25</v>
      </c>
      <c r="J679" s="157">
        <f t="shared" si="180"/>
        <v>7.221238938053097</v>
      </c>
      <c r="K679" s="158">
        <v>0.51</v>
      </c>
      <c r="L679" s="126">
        <v>4</v>
      </c>
      <c r="M679" s="82">
        <f t="shared" si="181"/>
        <v>2.04</v>
      </c>
      <c r="N679" s="159" t="s">
        <v>236</v>
      </c>
      <c r="O679" s="226">
        <v>0.5</v>
      </c>
      <c r="P679" s="161">
        <v>44904</v>
      </c>
      <c r="Q679" s="161">
        <v>44915</v>
      </c>
      <c r="R679" s="82">
        <f t="shared" si="182"/>
        <v>2.0000000000000018</v>
      </c>
      <c r="S679" s="162">
        <f>IF(INDEX([1]Historical!$D$7:$D$1229,MATCH(B679,[1]Historical!$B$7:$B$1253,0))=0,"n/a",(INDEX([1]Historical!$C$7:$C$1231,MATCH(B679,[1]Historical!$B$7:$B$1253,0))/INDEX([1]Historical!$D$7:$D$1229,MATCH(B679,[1]Historical!$B$7:$B$1253,0))-1)*100)</f>
        <v>2.0725388601036343</v>
      </c>
      <c r="T679" s="162">
        <f>IF(INDEX([1]Historical!$F$7:$F$1222,MATCH(B679,[1]Historical!$B$7:$B$1253,0))=0,"n/a",((INDEX([1]Historical!$C$7:$C$1231,MATCH(B679,[1]Historical!$B$7:$B$1253,0))/INDEX([1]Historical!$F$7:$F$1222,MATCH(B679,[1]Historical!$B$7:$B$1253,0)))^(1/3)-1)*100)</f>
        <v>3.4612656591984647</v>
      </c>
      <c r="U679" s="162">
        <f>IF(INDEX([1]Historical!$H$7:$H$1222,MATCH(B679,[1]Historical!$B$7:$B$1253,0))=0,"n/a",((INDEX([1]Historical!$C$7:$C$1231,MATCH(B679,[1]Historical!$B$7:$B$1253,0))/INDEX([1]Historical!$H$7:$H$1222,MATCH(B679,[1]Historical!$B$7:$B$1253,0)))^(1/5)-1)*100)</f>
        <v>6.4684047180649129</v>
      </c>
      <c r="V679" s="162">
        <f>IF(INDEX([1]Historical!$N$7:$N$1222,MATCH(B679,[1]Historical!$B$7:$B$1253,0))=0,"n/a",((INDEX([1]Historical!$C$7:$C$1231,MATCH(B679,[1]Historical!$B$7:$B$1253,0))/INDEX([1]Historical!$N$7:$N$1222,MATCH(B679,[1]Historical!$B$7:$B$1253,0)))^(1/10)-1)*100)</f>
        <v>12.362518486299789</v>
      </c>
      <c r="W679" s="163">
        <f t="shared" si="183"/>
        <v>0.52322710176192933</v>
      </c>
      <c r="X679" s="164">
        <f t="shared" si="184"/>
        <v>0.57242519628893029</v>
      </c>
      <c r="Y679" s="218" t="s">
        <v>1209</v>
      </c>
      <c r="Z679" s="157">
        <f t="shared" si="185"/>
        <v>188.88888888888889</v>
      </c>
      <c r="AA679" s="166">
        <f t="shared" si="186"/>
        <v>26.157407407407405</v>
      </c>
      <c r="AB679" s="126">
        <v>12</v>
      </c>
      <c r="AC679" s="167">
        <v>1.08</v>
      </c>
      <c r="AD679" s="167">
        <v>35.03</v>
      </c>
      <c r="AE679" s="167">
        <v>0.9</v>
      </c>
      <c r="AF679" s="167">
        <v>3.27</v>
      </c>
      <c r="AG679" s="167">
        <v>39.200000000000003</v>
      </c>
      <c r="AH679" s="167">
        <v>242.4</v>
      </c>
      <c r="AI679" s="167">
        <v>15.2</v>
      </c>
      <c r="AJ679" s="167">
        <v>11.3</v>
      </c>
      <c r="AK679" s="167">
        <v>0.75</v>
      </c>
      <c r="AL679" s="168">
        <v>10650</v>
      </c>
      <c r="AM679" s="169">
        <v>0.2</v>
      </c>
      <c r="AN679" s="167">
        <v>1.58</v>
      </c>
      <c r="AO679" s="170">
        <f t="shared" si="187"/>
        <v>-12.467763751289395</v>
      </c>
      <c r="AP679" s="171">
        <f t="shared" si="188"/>
        <v>13.68964365611801</v>
      </c>
      <c r="AQ679" s="172">
        <f t="shared" si="189"/>
        <v>94.975465376455588</v>
      </c>
      <c r="AR679" s="157">
        <f>INDEX([1]Historical!$C$7:$C$1231,MATCH(B679,[1]Historical!$B$7:$B$1253,0))*IF(AH679="n/a",1.03,IF(AH679&lt;0,1.01,IF(AH679&gt;10,1.1,(1+AH679/100))))</f>
        <v>2.1670000000000003</v>
      </c>
      <c r="AS679" s="166">
        <f t="shared" si="190"/>
        <v>2.3837000000000006</v>
      </c>
      <c r="AT679" s="166">
        <f t="shared" ref="AT679:AV694" si="196">IF($AK679="n/a",1.03*AS679,IF($AK679&lt;0,1.01*AS679,IF($AK679&gt;10,1.1*AS679,(1+$AK679/100)*AS679)))</f>
        <v>2.4015777500000008</v>
      </c>
      <c r="AU679" s="166">
        <f t="shared" si="196"/>
        <v>2.4195895831250009</v>
      </c>
      <c r="AV679" s="166">
        <f t="shared" si="196"/>
        <v>2.4377365049984387</v>
      </c>
      <c r="AW679" s="157">
        <f t="shared" si="192"/>
        <v>11.809603838123442</v>
      </c>
      <c r="AX679" s="173">
        <f t="shared" si="193"/>
        <v>41.803907391587401</v>
      </c>
      <c r="AY679" s="174">
        <v>1.39</v>
      </c>
      <c r="AZ679" s="169">
        <v>4.9399999999999995</v>
      </c>
      <c r="BA679" s="169">
        <v>-64.2</v>
      </c>
      <c r="BB679" s="169">
        <v>-20.53</v>
      </c>
      <c r="BC679" s="169">
        <v>-41.839999999999996</v>
      </c>
      <c r="BD679" s="100"/>
      <c r="BE679" s="77">
        <v>1974</v>
      </c>
      <c r="BF679" s="77">
        <f t="shared" si="194"/>
        <v>5</v>
      </c>
      <c r="BG679" s="175">
        <v>10.299999999999999</v>
      </c>
      <c r="BH679" t="s">
        <v>939</v>
      </c>
      <c r="BI679" t="s">
        <v>940</v>
      </c>
      <c r="BJ679"/>
      <c r="BK679"/>
      <c r="BL679"/>
    </row>
    <row r="680" spans="1:64" s="112" customFormat="1" ht="12.75" customHeight="1" x14ac:dyDescent="0.2">
      <c r="A680" s="205" t="s">
        <v>1846</v>
      </c>
      <c r="B680" s="239" t="s">
        <v>1847</v>
      </c>
      <c r="C680" s="154" t="s">
        <v>947</v>
      </c>
      <c r="D680" s="154" t="s">
        <v>948</v>
      </c>
      <c r="E680" s="155">
        <v>5</v>
      </c>
      <c r="F680" s="298">
        <v>718</v>
      </c>
      <c r="G680" s="298" t="s">
        <v>88</v>
      </c>
      <c r="H680" s="298" t="s">
        <v>88</v>
      </c>
      <c r="I680" s="156">
        <v>32.020000000000003</v>
      </c>
      <c r="J680" s="157">
        <f t="shared" si="180"/>
        <v>4.8719550281074326</v>
      </c>
      <c r="K680" s="158">
        <v>0.39</v>
      </c>
      <c r="L680" s="126">
        <v>4</v>
      </c>
      <c r="M680" s="82">
        <f t="shared" si="181"/>
        <v>1.56</v>
      </c>
      <c r="N680" s="159" t="s">
        <v>126</v>
      </c>
      <c r="O680" s="160">
        <v>0.36</v>
      </c>
      <c r="P680" s="161">
        <v>44825</v>
      </c>
      <c r="Q680" s="161">
        <v>44840</v>
      </c>
      <c r="R680" s="82">
        <f t="shared" si="182"/>
        <v>8.333333333333341</v>
      </c>
      <c r="S680" s="162">
        <f>IF(INDEX([1]Historical!$D$7:$D$1229,MATCH(B680,[1]Historical!$B$7:$B$1253,0))=0,"n/a",(INDEX([1]Historical!$C$7:$C$1231,MATCH(B680,[1]Historical!$B$7:$B$1253,0))/INDEX([1]Historical!$D$7:$D$1229,MATCH(B680,[1]Historical!$B$7:$B$1253,0))-1)*100)</f>
        <v>10.429447852760742</v>
      </c>
      <c r="T680" s="162">
        <f>IF(INDEX([1]Historical!$F$7:$F$1222,MATCH(B680,[1]Historical!$B$7:$B$1253,0))=0,"n/a",((INDEX([1]Historical!$C$7:$C$1231,MATCH(B680,[1]Historical!$B$7:$B$1253,0))/INDEX([1]Historical!$F$7:$F$1222,MATCH(B680,[1]Historical!$B$7:$B$1253,0)))^(1/3)-1)*100)</f>
        <v>23.886829859756563</v>
      </c>
      <c r="U680" s="162" t="str">
        <f>IF(INDEX([1]Historical!$H$7:$H$1222,MATCH(B680,[1]Historical!$B$7:$B$1253,0))=0,"n/a",((INDEX([1]Historical!$C$7:$C$1231,MATCH(B680,[1]Historical!$B$7:$B$1253,0))/INDEX([1]Historical!$H$7:$H$1222,MATCH(B680,[1]Historical!$B$7:$B$1253,0)))^(1/5)-1)*100)</f>
        <v>n/a</v>
      </c>
      <c r="V680" s="162" t="str">
        <f>IF(INDEX([1]Historical!$N$7:$N$1222,MATCH(B680,[1]Historical!$B$7:$B$1253,0))=0,"n/a",((INDEX([1]Historical!$C$7:$C$1231,MATCH(B680,[1]Historical!$B$7:$B$1253,0))/INDEX([1]Historical!$N$7:$N$1222,MATCH(B680,[1]Historical!$B$7:$B$1253,0)))^(1/10)-1)*100)</f>
        <v>n/a</v>
      </c>
      <c r="W680" s="163" t="str">
        <f t="shared" si="183"/>
        <v>n/a</v>
      </c>
      <c r="X680" s="164" t="str">
        <f t="shared" si="184"/>
        <v>n/a</v>
      </c>
      <c r="Y680" s="180"/>
      <c r="Z680" s="157">
        <f t="shared" si="185"/>
        <v>154.45544554455446</v>
      </c>
      <c r="AA680" s="166">
        <f t="shared" si="186"/>
        <v>31.702970297029704</v>
      </c>
      <c r="AB680" s="126">
        <v>12</v>
      </c>
      <c r="AC680" s="167">
        <v>1.01</v>
      </c>
      <c r="AD680" s="167">
        <v>4.4800000000000004</v>
      </c>
      <c r="AE680" s="167">
        <v>16.239999999999998</v>
      </c>
      <c r="AF680" s="167">
        <v>1.42</v>
      </c>
      <c r="AG680" s="167">
        <v>4.5</v>
      </c>
      <c r="AH680" s="167">
        <v>0.70000000000000007</v>
      </c>
      <c r="AI680" s="167">
        <v>61.07</v>
      </c>
      <c r="AJ680" s="167">
        <v>10.870000000000001</v>
      </c>
      <c r="AK680" s="167">
        <v>7.1</v>
      </c>
      <c r="AL680" s="168">
        <v>29850</v>
      </c>
      <c r="AM680" s="169">
        <v>0.38999999999999996</v>
      </c>
      <c r="AN680" s="167">
        <v>0.67</v>
      </c>
      <c r="AO680" s="170" t="str">
        <f t="shared" si="187"/>
        <v>n/a</v>
      </c>
      <c r="AP680" s="171" t="str">
        <f t="shared" si="188"/>
        <v>n/a</v>
      </c>
      <c r="AQ680" s="172">
        <f t="shared" si="189"/>
        <v>41.449979885756669</v>
      </c>
      <c r="AR680" s="157">
        <f>INDEX([1]Historical!$C$7:$C$1231,MATCH(B680,[1]Historical!$B$7:$B$1253,0))*IF(AH680="n/a",1.03,IF(AH680&lt;0,1.01,IF(AH680&gt;10,1.1,(1+AH680/100))))</f>
        <v>1.35945</v>
      </c>
      <c r="AS680" s="166">
        <f t="shared" si="190"/>
        <v>1.4953950000000003</v>
      </c>
      <c r="AT680" s="166">
        <f t="shared" si="196"/>
        <v>1.6015680450000003</v>
      </c>
      <c r="AU680" s="166">
        <f t="shared" si="196"/>
        <v>1.7152793761950003</v>
      </c>
      <c r="AV680" s="166">
        <f t="shared" si="196"/>
        <v>1.8370642119048453</v>
      </c>
      <c r="AW680" s="157">
        <f t="shared" si="192"/>
        <v>8.0087566330998463</v>
      </c>
      <c r="AX680" s="173">
        <f t="shared" si="193"/>
        <v>25.011732145845865</v>
      </c>
      <c r="AY680" s="174">
        <v>1.01</v>
      </c>
      <c r="AZ680" s="169">
        <v>22.07</v>
      </c>
      <c r="BA680" s="169">
        <v>-10.280000000000001</v>
      </c>
      <c r="BB680" s="169">
        <v>0.44</v>
      </c>
      <c r="BC680" s="169">
        <v>5.71</v>
      </c>
      <c r="BD680" s="100"/>
      <c r="BE680" s="77">
        <v>2018</v>
      </c>
      <c r="BF680" s="77">
        <f t="shared" si="194"/>
        <v>1</v>
      </c>
      <c r="BG680" s="175">
        <v>2.8000000000000003</v>
      </c>
      <c r="BH680" t="s">
        <v>939</v>
      </c>
      <c r="BI680" t="s">
        <v>945</v>
      </c>
    </row>
    <row r="681" spans="1:64" s="112" customFormat="1" ht="12.75" customHeight="1" x14ac:dyDescent="0.2">
      <c r="A681" s="112" t="s">
        <v>1699</v>
      </c>
      <c r="B681" s="239" t="s">
        <v>876</v>
      </c>
      <c r="C681" s="154" t="s">
        <v>96</v>
      </c>
      <c r="D681" s="154" t="s">
        <v>1142</v>
      </c>
      <c r="E681" s="155">
        <v>9</v>
      </c>
      <c r="F681" s="298">
        <v>527</v>
      </c>
      <c r="G681" s="298" t="s">
        <v>88</v>
      </c>
      <c r="H681" s="298" t="s">
        <v>88</v>
      </c>
      <c r="I681" s="156">
        <v>163.69999999999999</v>
      </c>
      <c r="J681" s="157">
        <f t="shared" si="180"/>
        <v>0.9773976786805133</v>
      </c>
      <c r="K681" s="158">
        <v>0.4</v>
      </c>
      <c r="L681" s="126">
        <v>4</v>
      </c>
      <c r="M681" s="82">
        <f t="shared" si="181"/>
        <v>1.6</v>
      </c>
      <c r="N681" s="159" t="s">
        <v>153</v>
      </c>
      <c r="O681" s="160">
        <v>0.37</v>
      </c>
      <c r="P681" s="161">
        <v>44620</v>
      </c>
      <c r="Q681" s="161">
        <v>44634</v>
      </c>
      <c r="R681" s="82">
        <f t="shared" si="182"/>
        <v>8.1081081081081159</v>
      </c>
      <c r="S681" s="162">
        <f>IF(INDEX([1]Historical!$D$7:$D$1229,MATCH(B681,[1]Historical!$B$7:$B$1253,0))=0,"n/a",(INDEX([1]Historical!$C$7:$C$1231,MATCH(B681,[1]Historical!$B$7:$B$1253,0))/INDEX([1]Historical!$D$7:$D$1229,MATCH(B681,[1]Historical!$B$7:$B$1253,0))-1)*100)</f>
        <v>8.8235294117646959</v>
      </c>
      <c r="T681" s="162">
        <f>IF(INDEX([1]Historical!$F$7:$F$1222,MATCH(B681,[1]Historical!$B$7:$B$1253,0))=0,"n/a",((INDEX([1]Historical!$C$7:$C$1231,MATCH(B681,[1]Historical!$B$7:$B$1253,0))/INDEX([1]Historical!$F$7:$F$1222,MATCH(B681,[1]Historical!$B$7:$B$1253,0)))^(1/3)-1)*100)</f>
        <v>9.735689700133566</v>
      </c>
      <c r="U681" s="162">
        <f>IF(INDEX([1]Historical!$H$7:$H$1222,MATCH(B681,[1]Historical!$B$7:$B$1253,0))=0,"n/a",((INDEX([1]Historical!$C$7:$C$1231,MATCH(B681,[1]Historical!$B$7:$B$1253,0))/INDEX([1]Historical!$H$7:$H$1222,MATCH(B681,[1]Historical!$B$7:$B$1253,0)))^(1/5)-1)*100)</f>
        <v>13.09264089979596</v>
      </c>
      <c r="V681" s="162">
        <f>IF(INDEX([1]Historical!$N$7:$N$1222,MATCH(B681,[1]Historical!$B$7:$B$1253,0))=0,"n/a",((INDEX([1]Historical!$C$7:$C$1231,MATCH(B681,[1]Historical!$B$7:$B$1253,0))/INDEX([1]Historical!$N$7:$N$1222,MATCH(B681,[1]Historical!$B$7:$B$1253,0)))^(1/10)-1)*100)</f>
        <v>6.8919038400907962</v>
      </c>
      <c r="W681" s="163">
        <f t="shared" si="183"/>
        <v>1.8997132292582122</v>
      </c>
      <c r="X681" s="164">
        <f t="shared" si="184"/>
        <v>1.2835922450780353</v>
      </c>
      <c r="Y681" s="165"/>
      <c r="Z681" s="157">
        <f t="shared" si="185"/>
        <v>35.010940919037196</v>
      </c>
      <c r="AA681" s="166">
        <f t="shared" si="186"/>
        <v>35.820568927789928</v>
      </c>
      <c r="AB681" s="126">
        <v>12</v>
      </c>
      <c r="AC681" s="167">
        <v>4.57</v>
      </c>
      <c r="AD681" s="167">
        <v>2.2799999999999998</v>
      </c>
      <c r="AE681" s="167">
        <v>3.25</v>
      </c>
      <c r="AF681" s="167">
        <v>3.28</v>
      </c>
      <c r="AG681" s="167">
        <v>9</v>
      </c>
      <c r="AH681" s="167">
        <v>14.399999999999999</v>
      </c>
      <c r="AI681" s="167">
        <v>26.479999999999997</v>
      </c>
      <c r="AJ681" s="167">
        <v>10.199999999999999</v>
      </c>
      <c r="AK681" s="167">
        <v>15.950000000000001</v>
      </c>
      <c r="AL681" s="168">
        <v>21540</v>
      </c>
      <c r="AM681" s="169">
        <v>0.21</v>
      </c>
      <c r="AN681" s="167">
        <v>0.61</v>
      </c>
      <c r="AO681" s="170">
        <f t="shared" si="187"/>
        <v>-21.750530349313458</v>
      </c>
      <c r="AP681" s="171">
        <f t="shared" si="188"/>
        <v>14.070038578476472</v>
      </c>
      <c r="AQ681" s="172">
        <f t="shared" si="189"/>
        <v>128.51352119795743</v>
      </c>
      <c r="AR681" s="157">
        <f>INDEX([1]Historical!$C$7:$C$1231,MATCH(B681,[1]Historical!$B$7:$B$1253,0))*IF(AH681="n/a",1.03,IF(AH681&lt;0,1.01,IF(AH681&gt;10,1.1,(1+AH681/100))))</f>
        <v>1.6280000000000001</v>
      </c>
      <c r="AS681" s="166">
        <f t="shared" si="190"/>
        <v>1.7908000000000002</v>
      </c>
      <c r="AT681" s="166">
        <f t="shared" si="196"/>
        <v>1.9698800000000003</v>
      </c>
      <c r="AU681" s="166">
        <f t="shared" si="196"/>
        <v>2.1668680000000005</v>
      </c>
      <c r="AV681" s="166">
        <f t="shared" si="196"/>
        <v>2.3835548000000006</v>
      </c>
      <c r="AW681" s="157">
        <f t="shared" si="192"/>
        <v>9.9391028000000023</v>
      </c>
      <c r="AX681" s="173">
        <f t="shared" si="193"/>
        <v>6.0715350030543691</v>
      </c>
      <c r="AY681" s="174">
        <v>0.78</v>
      </c>
      <c r="AZ681" s="169">
        <v>19.02</v>
      </c>
      <c r="BA681" s="169">
        <v>-23.380000000000003</v>
      </c>
      <c r="BB681" s="169">
        <v>1.05</v>
      </c>
      <c r="BC681" s="169">
        <v>-2.9000000000000004</v>
      </c>
      <c r="BD681" s="100"/>
      <c r="BE681" s="77">
        <v>2014</v>
      </c>
      <c r="BF681" s="77">
        <f t="shared" si="194"/>
        <v>1</v>
      </c>
      <c r="BG681" s="175">
        <v>4.3</v>
      </c>
      <c r="BH681" t="s">
        <v>939</v>
      </c>
      <c r="BI681" t="s">
        <v>940</v>
      </c>
    </row>
    <row r="682" spans="1:64" s="112" customFormat="1" ht="12.75" customHeight="1" x14ac:dyDescent="0.2">
      <c r="A682" s="205" t="s">
        <v>1746</v>
      </c>
      <c r="B682" s="239" t="s">
        <v>1747</v>
      </c>
      <c r="C682" s="154" t="s">
        <v>922</v>
      </c>
      <c r="D682" s="154" t="s">
        <v>974</v>
      </c>
      <c r="E682" s="155">
        <v>6</v>
      </c>
      <c r="F682" s="298">
        <v>650</v>
      </c>
      <c r="G682" s="298" t="s">
        <v>88</v>
      </c>
      <c r="H682" s="298" t="s">
        <v>88</v>
      </c>
      <c r="I682" s="156">
        <v>20.91</v>
      </c>
      <c r="J682" s="157">
        <f t="shared" si="180"/>
        <v>1.9129603060736491</v>
      </c>
      <c r="K682" s="158">
        <v>0.1</v>
      </c>
      <c r="L682" s="126">
        <v>4</v>
      </c>
      <c r="M682" s="82">
        <f t="shared" si="181"/>
        <v>0.4</v>
      </c>
      <c r="N682" s="159" t="s">
        <v>119</v>
      </c>
      <c r="O682" s="160">
        <v>9.5000000000000001E-2</v>
      </c>
      <c r="P682" s="161">
        <v>44536</v>
      </c>
      <c r="Q682" s="161">
        <v>44547</v>
      </c>
      <c r="R682" s="82">
        <f t="shared" si="182"/>
        <v>5.2631578947368469</v>
      </c>
      <c r="S682" s="162">
        <f>IF(INDEX([1]Historical!$D$7:$D$1229,MATCH(B682,[1]Historical!$B$7:$B$1253,0))=0,"n/a",(INDEX([1]Historical!$C$7:$C$1231,MATCH(B682,[1]Historical!$B$7:$B$1253,0))/INDEX([1]Historical!$D$7:$D$1229,MATCH(B682,[1]Historical!$B$7:$B$1253,0))-1)*100)</f>
        <v>1.3157894736842035</v>
      </c>
      <c r="T682" s="162">
        <f>IF(INDEX([1]Historical!$F$7:$F$1222,MATCH(B682,[1]Historical!$B$7:$B$1253,0))=0,"n/a",((INDEX([1]Historical!$C$7:$C$1231,MATCH(B682,[1]Historical!$B$7:$B$1253,0))/INDEX([1]Historical!$F$7:$F$1222,MATCH(B682,[1]Historical!$B$7:$B$1253,0)))^(1/3)-1)*100)</f>
        <v>6.082481477261914</v>
      </c>
      <c r="U682" s="162">
        <f>IF(INDEX([1]Historical!$H$7:$H$1222,MATCH(B682,[1]Historical!$B$7:$B$1253,0))=0,"n/a",((INDEX([1]Historical!$C$7:$C$1231,MATCH(B682,[1]Historical!$B$7:$B$1253,0))/INDEX([1]Historical!$H$7:$H$1222,MATCH(B682,[1]Historical!$B$7:$B$1253,0)))^(1/5)-1)*100)</f>
        <v>9.0194895299878333</v>
      </c>
      <c r="V682" s="162" t="str">
        <f>IF(INDEX([1]Historical!$N$7:$N$1222,MATCH(B682,[1]Historical!$B$7:$B$1253,0))=0,"n/a",((INDEX([1]Historical!$C$7:$C$1231,MATCH(B682,[1]Historical!$B$7:$B$1253,0))/INDEX([1]Historical!$N$7:$N$1222,MATCH(B682,[1]Historical!$B$7:$B$1253,0)))^(1/10)-1)*100)</f>
        <v>n/a</v>
      </c>
      <c r="W682" s="163" t="str">
        <f t="shared" si="183"/>
        <v>n/a</v>
      </c>
      <c r="X682" s="164">
        <f t="shared" si="184"/>
        <v>0.20223070695039985</v>
      </c>
      <c r="Y682" s="180"/>
      <c r="Z682" s="157">
        <f t="shared" si="185"/>
        <v>16.597510373443981</v>
      </c>
      <c r="AA682" s="166">
        <f t="shared" si="186"/>
        <v>8.6763485477178417</v>
      </c>
      <c r="AB682" s="126">
        <v>12</v>
      </c>
      <c r="AC682" s="167">
        <v>2.41</v>
      </c>
      <c r="AD682" s="167" t="s">
        <v>95</v>
      </c>
      <c r="AE682" s="167">
        <v>0.86</v>
      </c>
      <c r="AF682" s="167">
        <v>1.65</v>
      </c>
      <c r="AG682" s="167">
        <v>19.600000000000001</v>
      </c>
      <c r="AH682" s="167">
        <v>142.30000000000001</v>
      </c>
      <c r="AI682" s="167">
        <v>-10.45</v>
      </c>
      <c r="AJ682" s="167">
        <v>44.6</v>
      </c>
      <c r="AK682" s="167">
        <v>-6.7</v>
      </c>
      <c r="AL682" s="168">
        <v>2920</v>
      </c>
      <c r="AM682" s="169">
        <v>0.6</v>
      </c>
      <c r="AN682" s="167">
        <v>0</v>
      </c>
      <c r="AO682" s="170">
        <f t="shared" si="187"/>
        <v>2.2561012883436415</v>
      </c>
      <c r="AP682" s="171">
        <f t="shared" si="188"/>
        <v>10.932449836061483</v>
      </c>
      <c r="AQ682" s="172">
        <f t="shared" si="189"/>
        <v>-20.233743966137219</v>
      </c>
      <c r="AR682" s="157">
        <f>INDEX([1]Historical!$C$7:$C$1231,MATCH(B682,[1]Historical!$B$7:$B$1253,0))*IF(AH682="n/a",1.03,IF(AH682&lt;0,1.01,IF(AH682&gt;10,1.1,(1+AH682/100))))</f>
        <v>0.42350000000000004</v>
      </c>
      <c r="AS682" s="166">
        <f t="shared" si="190"/>
        <v>0.42773500000000003</v>
      </c>
      <c r="AT682" s="166">
        <f t="shared" si="196"/>
        <v>0.43201235000000004</v>
      </c>
      <c r="AU682" s="166">
        <f t="shared" si="196"/>
        <v>0.43633247350000004</v>
      </c>
      <c r="AV682" s="166">
        <f t="shared" si="196"/>
        <v>0.44069579823500005</v>
      </c>
      <c r="AW682" s="157">
        <f t="shared" si="192"/>
        <v>2.1602756217350003</v>
      </c>
      <c r="AX682" s="173">
        <f t="shared" si="193"/>
        <v>10.33130378639407</v>
      </c>
      <c r="AY682" s="174">
        <v>1.31</v>
      </c>
      <c r="AZ682" s="169">
        <v>25.019999999999996</v>
      </c>
      <c r="BA682" s="169">
        <v>-7.93</v>
      </c>
      <c r="BB682" s="169">
        <v>8.19</v>
      </c>
      <c r="BC682" s="169">
        <v>7.5399999999999991</v>
      </c>
      <c r="BD682" s="100"/>
      <c r="BE682" s="77">
        <v>2016</v>
      </c>
      <c r="BF682" s="77">
        <f t="shared" si="194"/>
        <v>1</v>
      </c>
      <c r="BG682" s="175">
        <v>9.9</v>
      </c>
      <c r="BH682" t="s">
        <v>939</v>
      </c>
      <c r="BI682" t="s">
        <v>940</v>
      </c>
    </row>
    <row r="683" spans="1:64" s="112" customFormat="1" ht="12.75" customHeight="1" x14ac:dyDescent="0.2">
      <c r="A683" s="205" t="s">
        <v>1210</v>
      </c>
      <c r="B683" s="239" t="s">
        <v>1211</v>
      </c>
      <c r="C683" s="154" t="s">
        <v>96</v>
      </c>
      <c r="D683" s="154" t="s">
        <v>911</v>
      </c>
      <c r="E683" s="155">
        <v>6</v>
      </c>
      <c r="F683" s="298">
        <v>642</v>
      </c>
      <c r="G683" s="298" t="s">
        <v>88</v>
      </c>
      <c r="H683" s="298" t="s">
        <v>88</v>
      </c>
      <c r="I683" s="156">
        <v>29.36</v>
      </c>
      <c r="J683" s="157">
        <f t="shared" si="180"/>
        <v>1.7029972752043598</v>
      </c>
      <c r="K683" s="158">
        <v>0.125</v>
      </c>
      <c r="L683" s="126">
        <v>4</v>
      </c>
      <c r="M683" s="82">
        <f t="shared" si="181"/>
        <v>0.5</v>
      </c>
      <c r="N683" s="159" t="s">
        <v>167</v>
      </c>
      <c r="O683" s="160">
        <v>0.113</v>
      </c>
      <c r="P683" s="182">
        <v>44162</v>
      </c>
      <c r="Q683" s="182">
        <v>44180</v>
      </c>
      <c r="R683" s="82">
        <f t="shared" si="182"/>
        <v>10.61946902654867</v>
      </c>
      <c r="S683" s="162">
        <f>IF(INDEX([1]Historical!$D$7:$D$1229,MATCH(B683,[1]Historical!$B$7:$B$1253,0))=0,"n/a",(INDEX([1]Historical!$C$7:$C$1231,MATCH(B683,[1]Historical!$B$7:$B$1253,0))/INDEX([1]Historical!$D$7:$D$1229,MATCH(B683,[1]Historical!$B$7:$B$1253,0))-1)*100)</f>
        <v>7.7586206896551602</v>
      </c>
      <c r="T683" s="162">
        <f>IF(INDEX([1]Historical!$F$7:$F$1222,MATCH(B683,[1]Historical!$B$7:$B$1253,0))=0,"n/a",((INDEX([1]Historical!$C$7:$C$1231,MATCH(B683,[1]Historical!$B$7:$B$1253,0))/INDEX([1]Historical!$F$7:$F$1222,MATCH(B683,[1]Historical!$B$7:$B$1253,0)))^(1/3)-1)*100)</f>
        <v>14.913625951679933</v>
      </c>
      <c r="U683" s="162">
        <f>IF(INDEX([1]Historical!$H$7:$H$1222,MATCH(B683,[1]Historical!$B$7:$B$1253,0))=0,"n/a",((INDEX([1]Historical!$C$7:$C$1231,MATCH(B683,[1]Historical!$B$7:$B$1253,0))/INDEX([1]Historical!$H$7:$H$1222,MATCH(B683,[1]Historical!$B$7:$B$1253,0)))^(1/5)-1)*100)</f>
        <v>59.13099740264505</v>
      </c>
      <c r="V683" s="162" t="str">
        <f>IF(INDEX([1]Historical!$N$7:$N$1222,MATCH(B683,[1]Historical!$B$7:$B$1253,0))=0,"n/a",((INDEX([1]Historical!$C$7:$C$1231,MATCH(B683,[1]Historical!$B$7:$B$1253,0))/INDEX([1]Historical!$N$7:$N$1222,MATCH(B683,[1]Historical!$B$7:$B$1253,0)))^(1/10)-1)*100)</f>
        <v>n/a</v>
      </c>
      <c r="W683" s="163" t="str">
        <f t="shared" si="183"/>
        <v>n/a</v>
      </c>
      <c r="X683" s="164">
        <f t="shared" si="184"/>
        <v>5.1418258610995693</v>
      </c>
      <c r="Y683" s="180" t="s">
        <v>1750</v>
      </c>
      <c r="Z683" s="157">
        <f t="shared" si="185"/>
        <v>20.746887966804977</v>
      </c>
      <c r="AA683" s="166">
        <f t="shared" si="186"/>
        <v>12.182572614107883</v>
      </c>
      <c r="AB683" s="126">
        <v>9</v>
      </c>
      <c r="AC683" s="167">
        <v>2.41</v>
      </c>
      <c r="AD683" s="167">
        <v>1.22</v>
      </c>
      <c r="AE683" s="167">
        <v>1.45</v>
      </c>
      <c r="AF683" s="167">
        <v>23.25</v>
      </c>
      <c r="AG683" s="167">
        <v>239</v>
      </c>
      <c r="AH683" s="167">
        <v>35.699999999999996</v>
      </c>
      <c r="AI683" s="167">
        <v>-11.16</v>
      </c>
      <c r="AJ683" s="167">
        <v>11.5</v>
      </c>
      <c r="AK683" s="167">
        <v>10</v>
      </c>
      <c r="AL683" s="168">
        <v>5130</v>
      </c>
      <c r="AM683" s="169">
        <v>0.2</v>
      </c>
      <c r="AN683" s="167">
        <v>7.52</v>
      </c>
      <c r="AO683" s="170">
        <f t="shared" si="187"/>
        <v>48.651422063741528</v>
      </c>
      <c r="AP683" s="171">
        <f t="shared" si="188"/>
        <v>60.833994677849411</v>
      </c>
      <c r="AQ683" s="172">
        <f t="shared" si="189"/>
        <v>254.80499387567082</v>
      </c>
      <c r="AR683" s="157">
        <f>INDEX([1]Historical!$C$7:$C$1231,MATCH(B683,[1]Historical!$B$7:$B$1253,0))*IF(AH683="n/a",1.03,IF(AH683&lt;0,1.01,IF(AH683&gt;10,1.1,(1+AH683/100))))</f>
        <v>0.55000000000000004</v>
      </c>
      <c r="AS683" s="166">
        <f t="shared" si="190"/>
        <v>0.5555000000000001</v>
      </c>
      <c r="AT683" s="166">
        <f t="shared" si="196"/>
        <v>0.6110500000000002</v>
      </c>
      <c r="AU683" s="166">
        <f t="shared" si="196"/>
        <v>0.67215500000000028</v>
      </c>
      <c r="AV683" s="166">
        <f t="shared" si="196"/>
        <v>0.73937050000000037</v>
      </c>
      <c r="AW683" s="157">
        <f t="shared" si="192"/>
        <v>3.1280755000000013</v>
      </c>
      <c r="AX683" s="173">
        <f t="shared" si="193"/>
        <v>10.654208106267035</v>
      </c>
      <c r="AY683" s="174">
        <v>1.36</v>
      </c>
      <c r="AZ683" s="169">
        <v>20.330000000000002</v>
      </c>
      <c r="BA683" s="169">
        <v>-22.67</v>
      </c>
      <c r="BB683" s="169">
        <v>6.04</v>
      </c>
      <c r="BC683" s="169">
        <v>-2.9499999999999997</v>
      </c>
      <c r="BD683" s="100"/>
      <c r="BE683" s="77">
        <v>2016</v>
      </c>
      <c r="BF683" s="77">
        <f t="shared" si="194"/>
        <v>1</v>
      </c>
      <c r="BG683" s="175">
        <v>13.4</v>
      </c>
      <c r="BH683" t="s">
        <v>939</v>
      </c>
      <c r="BI683" t="s">
        <v>940</v>
      </c>
    </row>
    <row r="684" spans="1:64" s="112" customFormat="1" ht="12.75" customHeight="1" x14ac:dyDescent="0.2">
      <c r="A684" s="176" t="s">
        <v>1700</v>
      </c>
      <c r="B684" s="239" t="s">
        <v>494</v>
      </c>
      <c r="C684" s="154" t="s">
        <v>981</v>
      </c>
      <c r="D684" s="154" t="s">
        <v>1013</v>
      </c>
      <c r="E684" s="155">
        <v>18</v>
      </c>
      <c r="F684" s="298">
        <v>226</v>
      </c>
      <c r="G684" s="298" t="s">
        <v>104</v>
      </c>
      <c r="H684" s="298" t="s">
        <v>30</v>
      </c>
      <c r="I684" s="156">
        <v>37.369999999999997</v>
      </c>
      <c r="J684" s="157">
        <f t="shared" si="180"/>
        <v>6.984211934706984</v>
      </c>
      <c r="K684" s="158">
        <v>0.65249999999999997</v>
      </c>
      <c r="L684" s="126">
        <v>4</v>
      </c>
      <c r="M684" s="82">
        <f t="shared" si="181"/>
        <v>2.61</v>
      </c>
      <c r="N684" s="159" t="s">
        <v>201</v>
      </c>
      <c r="O684" s="160">
        <v>0.64</v>
      </c>
      <c r="P684" s="161">
        <v>44840</v>
      </c>
      <c r="Q684" s="161">
        <v>44866</v>
      </c>
      <c r="R684" s="82">
        <f t="shared" si="182"/>
        <v>1.9531249999999931</v>
      </c>
      <c r="S684" s="162">
        <f>IF(INDEX([1]Historical!$D$7:$D$1229,MATCH(B684,[1]Historical!$B$7:$B$1253,0))=0,"n/a",(INDEX([1]Historical!$C$7:$C$1231,MATCH(B684,[1]Historical!$B$7:$B$1253,0))/INDEX([1]Historical!$D$7:$D$1229,MATCH(B684,[1]Historical!$B$7:$B$1253,0))-1)*100)</f>
        <v>2.0222446916076775</v>
      </c>
      <c r="T684" s="162">
        <f>IF(INDEX([1]Historical!$F$7:$F$1222,MATCH(B684,[1]Historical!$B$7:$B$1253,0))=0,"n/a",((INDEX([1]Historical!$C$7:$C$1231,MATCH(B684,[1]Historical!$B$7:$B$1253,0))/INDEX([1]Historical!$F$7:$F$1222,MATCH(B684,[1]Historical!$B$7:$B$1253,0)))^(1/3)-1)*100)</f>
        <v>2.0645639803166471</v>
      </c>
      <c r="U684" s="162">
        <f>IF(INDEX([1]Historical!$H$7:$H$1222,MATCH(B684,[1]Historical!$B$7:$B$1253,0))=0,"n/a",((INDEX([1]Historical!$C$7:$C$1231,MATCH(B684,[1]Historical!$B$7:$B$1253,0))/INDEX([1]Historical!$H$7:$H$1222,MATCH(B684,[1]Historical!$B$7:$B$1253,0)))^(1/5)-1)*100)</f>
        <v>2.109337068892958</v>
      </c>
      <c r="V684" s="162">
        <f>IF(INDEX([1]Historical!$N$7:$N$1222,MATCH(B684,[1]Historical!$B$7:$B$1253,0))=0,"n/a",((INDEX([1]Historical!$C$7:$C$1231,MATCH(B684,[1]Historical!$B$7:$B$1253,0))/INDEX([1]Historical!$N$7:$N$1222,MATCH(B684,[1]Historical!$B$7:$B$1253,0)))^(1/10)-1)*100)</f>
        <v>2.5420866989174007</v>
      </c>
      <c r="W684" s="163">
        <f t="shared" si="183"/>
        <v>0.82976598311586391</v>
      </c>
      <c r="X684" s="164">
        <f t="shared" si="184"/>
        <v>0.19899406310310924</v>
      </c>
      <c r="Y684" s="212"/>
      <c r="Z684" s="157">
        <f t="shared" si="185"/>
        <v>56.739130434782616</v>
      </c>
      <c r="AA684" s="166">
        <f t="shared" si="186"/>
        <v>8.1239130434782609</v>
      </c>
      <c r="AB684" s="126">
        <v>12</v>
      </c>
      <c r="AC684" s="167">
        <v>4.5999999999999996</v>
      </c>
      <c r="AD684" s="167">
        <v>3.74</v>
      </c>
      <c r="AE684" s="167">
        <v>1.1200000000000001</v>
      </c>
      <c r="AF684" s="167">
        <v>1.81</v>
      </c>
      <c r="AG684" s="179">
        <v>22.8</v>
      </c>
      <c r="AH684" s="167">
        <v>23.7</v>
      </c>
      <c r="AI684" s="167">
        <v>-2.04</v>
      </c>
      <c r="AJ684" s="167">
        <v>10.6</v>
      </c>
      <c r="AK684" s="167">
        <v>2.19</v>
      </c>
      <c r="AL684" s="168">
        <v>151950</v>
      </c>
      <c r="AM684" s="169">
        <v>0.06</v>
      </c>
      <c r="AN684" s="167">
        <v>1.69</v>
      </c>
      <c r="AO684" s="170">
        <f t="shared" si="187"/>
        <v>0.96963596012168196</v>
      </c>
      <c r="AP684" s="171">
        <f t="shared" si="188"/>
        <v>9.0935490035999429</v>
      </c>
      <c r="AQ684" s="172">
        <f t="shared" si="189"/>
        <v>-19.159189050481139</v>
      </c>
      <c r="AR684" s="157">
        <f>INDEX([1]Historical!$C$7:$C$1231,MATCH(B684,[1]Historical!$B$7:$B$1253,0))*IF(AH684="n/a",1.03,IF(AH684&lt;0,1.01,IF(AH684&gt;10,1.1,(1+AH684/100))))</f>
        <v>2.77475</v>
      </c>
      <c r="AS684" s="166">
        <f t="shared" si="190"/>
        <v>2.8024974999999999</v>
      </c>
      <c r="AT684" s="166">
        <f t="shared" si="196"/>
        <v>2.8638721952499999</v>
      </c>
      <c r="AU684" s="166">
        <f t="shared" si="196"/>
        <v>2.9265909963259751</v>
      </c>
      <c r="AV684" s="166">
        <f t="shared" si="196"/>
        <v>2.9906833391455141</v>
      </c>
      <c r="AW684" s="157">
        <f t="shared" si="192"/>
        <v>14.35839403072149</v>
      </c>
      <c r="AX684" s="173">
        <f t="shared" si="193"/>
        <v>38.422247874555772</v>
      </c>
      <c r="AY684" s="174">
        <v>0.35</v>
      </c>
      <c r="AZ684" s="169">
        <v>8.16</v>
      </c>
      <c r="BA684" s="169">
        <v>-32.68</v>
      </c>
      <c r="BB684" s="169">
        <v>-5.71</v>
      </c>
      <c r="BC684" s="169">
        <v>-22</v>
      </c>
      <c r="BD684" s="100"/>
      <c r="BE684" s="77">
        <v>2005</v>
      </c>
      <c r="BF684" s="77">
        <f t="shared" si="194"/>
        <v>2</v>
      </c>
      <c r="BG684" s="175">
        <v>5.2</v>
      </c>
      <c r="BH684" t="s">
        <v>939</v>
      </c>
      <c r="BI684" t="s">
        <v>940</v>
      </c>
      <c r="BJ684"/>
      <c r="BK684"/>
      <c r="BL684"/>
    </row>
    <row r="685" spans="1:64" s="112" customFormat="1" ht="12.75" customHeight="1" x14ac:dyDescent="0.2">
      <c r="A685" s="112" t="s">
        <v>1701</v>
      </c>
      <c r="B685" s="239" t="s">
        <v>506</v>
      </c>
      <c r="C685" s="154" t="s">
        <v>90</v>
      </c>
      <c r="D685" s="154" t="s">
        <v>969</v>
      </c>
      <c r="E685" s="155">
        <v>30</v>
      </c>
      <c r="F685" s="298">
        <v>95</v>
      </c>
      <c r="G685" s="298" t="s">
        <v>30</v>
      </c>
      <c r="H685" s="298" t="s">
        <v>104</v>
      </c>
      <c r="I685" s="167">
        <v>62.73</v>
      </c>
      <c r="J685" s="157">
        <f t="shared" si="180"/>
        <v>2.6781444285031086</v>
      </c>
      <c r="K685" s="209">
        <v>0.42</v>
      </c>
      <c r="L685" s="126">
        <v>4</v>
      </c>
      <c r="M685" s="82">
        <f t="shared" si="181"/>
        <v>1.68</v>
      </c>
      <c r="N685" s="159" t="s">
        <v>381</v>
      </c>
      <c r="O685" s="210">
        <v>0.41</v>
      </c>
      <c r="P685" s="224">
        <v>44505</v>
      </c>
      <c r="Q685" s="224">
        <v>44519</v>
      </c>
      <c r="R685" s="82">
        <f t="shared" si="182"/>
        <v>2.4390243902439046</v>
      </c>
      <c r="S685" s="162">
        <f>IF(INDEX([1]Historical!$D$7:$D$1229,MATCH(B685,[1]Historical!$B$7:$B$1253,0))=0,"n/a",(INDEX([1]Historical!$C$7:$C$1231,MATCH(B685,[1]Historical!$B$7:$B$1253,0))/INDEX([1]Historical!$D$7:$D$1229,MATCH(B685,[1]Historical!$B$7:$B$1253,0))-1)*100)</f>
        <v>0.60975609756097615</v>
      </c>
      <c r="T685" s="162">
        <f>IF(INDEX([1]Historical!$F$7:$F$1222,MATCH(B685,[1]Historical!$B$7:$B$1253,0))=0,"n/a",((INDEX([1]Historical!$C$7:$C$1231,MATCH(B685,[1]Historical!$B$7:$B$1253,0))/INDEX([1]Historical!$F$7:$F$1222,MATCH(B685,[1]Historical!$B$7:$B$1253,0)))^(1/3)-1)*100)</f>
        <v>1.0310005155547586</v>
      </c>
      <c r="U685" s="162">
        <f>IF(INDEX([1]Historical!$H$7:$H$1222,MATCH(B685,[1]Historical!$B$7:$B$1253,0))=0,"n/a",((INDEX([1]Historical!$C$7:$C$1231,MATCH(B685,[1]Historical!$B$7:$B$1253,0))/INDEX([1]Historical!$H$7:$H$1222,MATCH(B685,[1]Historical!$B$7:$B$1253,0)))^(1/5)-1)*100)</f>
        <v>1.1281049835639045</v>
      </c>
      <c r="V685" s="162">
        <f>IF(INDEX([1]Historical!$N$7:$N$1222,MATCH(B685,[1]Historical!$B$7:$B$1253,0))=0,"n/a",((INDEX([1]Historical!$C$7:$C$1231,MATCH(B685,[1]Historical!$B$7:$B$1253,0))/INDEX([1]Historical!$N$7:$N$1222,MATCH(B685,[1]Historical!$B$7:$B$1253,0)))^(1/10)-1)*100)</f>
        <v>1.3005012216313228</v>
      </c>
      <c r="W685" s="163">
        <f t="shared" si="183"/>
        <v>0.86743861889559182</v>
      </c>
      <c r="X685" s="164">
        <f t="shared" si="184"/>
        <v>0.16115785479484349</v>
      </c>
      <c r="Y685" s="180"/>
      <c r="Z685" s="157">
        <f t="shared" si="185"/>
        <v>43.298969072164951</v>
      </c>
      <c r="AA685" s="166">
        <f t="shared" si="186"/>
        <v>16.167525773195877</v>
      </c>
      <c r="AB685" s="126">
        <v>12</v>
      </c>
      <c r="AC685" s="167">
        <v>3.88</v>
      </c>
      <c r="AD685" s="167">
        <v>5.41</v>
      </c>
      <c r="AE685" s="167">
        <v>8.4600000000000009</v>
      </c>
      <c r="AF685" s="167">
        <v>2.75</v>
      </c>
      <c r="AG685" s="167">
        <v>11.899999999999999</v>
      </c>
      <c r="AH685" s="167">
        <v>7.9</v>
      </c>
      <c r="AI685" s="167">
        <v>31.490000000000002</v>
      </c>
      <c r="AJ685" s="167">
        <v>7.0000000000000009</v>
      </c>
      <c r="AK685" s="167">
        <v>3</v>
      </c>
      <c r="AL685" s="168">
        <v>1650</v>
      </c>
      <c r="AM685" s="169">
        <v>3.91</v>
      </c>
      <c r="AN685" s="167">
        <v>0</v>
      </c>
      <c r="AO685" s="170">
        <f t="shared" si="187"/>
        <v>-12.361276361128864</v>
      </c>
      <c r="AP685" s="171">
        <f t="shared" si="188"/>
        <v>3.8062494120670132</v>
      </c>
      <c r="AQ685" s="172">
        <f t="shared" si="189"/>
        <v>40.571367206663076</v>
      </c>
      <c r="AR685" s="157">
        <f>INDEX([1]Historical!$C$7:$C$1231,MATCH(B685,[1]Historical!$B$7:$B$1253,0))*IF(AH685="n/a",1.03,IF(AH685&lt;0,1.01,IF(AH685&gt;10,1.1,(1+AH685/100))))</f>
        <v>1.7803499999999999</v>
      </c>
      <c r="AS685" s="166">
        <f t="shared" si="190"/>
        <v>1.958385</v>
      </c>
      <c r="AT685" s="166">
        <f t="shared" si="196"/>
        <v>2.01713655</v>
      </c>
      <c r="AU685" s="166">
        <f t="shared" si="196"/>
        <v>2.0776506465</v>
      </c>
      <c r="AV685" s="166">
        <f t="shared" si="196"/>
        <v>2.139980165895</v>
      </c>
      <c r="AW685" s="157">
        <f t="shared" si="192"/>
        <v>9.973502362395001</v>
      </c>
      <c r="AX685" s="173">
        <f t="shared" si="193"/>
        <v>15.899095109827835</v>
      </c>
      <c r="AY685" s="174">
        <v>0.66</v>
      </c>
      <c r="AZ685" s="169">
        <v>20.54</v>
      </c>
      <c r="BA685" s="169">
        <v>-1.0999999999999999</v>
      </c>
      <c r="BB685" s="169">
        <v>12.16</v>
      </c>
      <c r="BC685" s="169">
        <v>7.93</v>
      </c>
      <c r="BD685" s="100"/>
      <c r="BE685" s="77">
        <v>1993</v>
      </c>
      <c r="BF685" s="77">
        <f t="shared" si="194"/>
        <v>3</v>
      </c>
      <c r="BG685" s="175">
        <v>1.2</v>
      </c>
      <c r="BH685" t="s">
        <v>939</v>
      </c>
      <c r="BI685" t="s">
        <v>940</v>
      </c>
      <c r="BJ685"/>
      <c r="BK685"/>
      <c r="BL685"/>
    </row>
    <row r="686" spans="1:64" s="112" customFormat="1" ht="12.75" customHeight="1" x14ac:dyDescent="0.2">
      <c r="A686" s="112" t="s">
        <v>1702</v>
      </c>
      <c r="B686" s="239" t="s">
        <v>562</v>
      </c>
      <c r="C686" s="154" t="s">
        <v>90</v>
      </c>
      <c r="D686" s="154" t="s">
        <v>959</v>
      </c>
      <c r="E686" s="155">
        <v>12</v>
      </c>
      <c r="F686" s="298">
        <v>329</v>
      </c>
      <c r="G686" s="298" t="s">
        <v>88</v>
      </c>
      <c r="H686" s="298" t="s">
        <v>88</v>
      </c>
      <c r="I686" s="156">
        <v>38.700000000000003</v>
      </c>
      <c r="J686" s="157">
        <f t="shared" si="180"/>
        <v>2.4806201550387592</v>
      </c>
      <c r="K686" s="158">
        <v>0.24</v>
      </c>
      <c r="L686" s="126">
        <v>4</v>
      </c>
      <c r="M686" s="82">
        <f t="shared" si="181"/>
        <v>0.96</v>
      </c>
      <c r="N686" s="159" t="s">
        <v>135</v>
      </c>
      <c r="O686" s="160">
        <v>0.23</v>
      </c>
      <c r="P686" s="161">
        <v>44595</v>
      </c>
      <c r="Q686" s="161">
        <v>44610</v>
      </c>
      <c r="R686" s="82">
        <f t="shared" si="182"/>
        <v>4.3478260869565135</v>
      </c>
      <c r="S686" s="162">
        <f>IF(INDEX([1]Historical!$D$7:$D$1229,MATCH(B686,[1]Historical!$B$7:$B$1253,0))=0,"n/a",(INDEX([1]Historical!$C$7:$C$1231,MATCH(B686,[1]Historical!$B$7:$B$1253,0))/INDEX([1]Historical!$D$7:$D$1229,MATCH(B686,[1]Historical!$B$7:$B$1253,0))-1)*100)</f>
        <v>4.5454545454545414</v>
      </c>
      <c r="T686" s="162">
        <f>IF(INDEX([1]Historical!$F$7:$F$1222,MATCH(B686,[1]Historical!$B$7:$B$1253,0))=0,"n/a",((INDEX([1]Historical!$C$7:$C$1231,MATCH(B686,[1]Historical!$B$7:$B$1253,0))/INDEX([1]Historical!$F$7:$F$1222,MATCH(B686,[1]Historical!$B$7:$B$1253,0)))^(1/3)-1)*100)</f>
        <v>9.5376104072121279</v>
      </c>
      <c r="U686" s="162">
        <f>IF(INDEX([1]Historical!$H$7:$H$1222,MATCH(B686,[1]Historical!$B$7:$B$1253,0))=0,"n/a",((INDEX([1]Historical!$C$7:$C$1231,MATCH(B686,[1]Historical!$B$7:$B$1253,0))/INDEX([1]Historical!$H$7:$H$1222,MATCH(B686,[1]Historical!$B$7:$B$1253,0)))^(1/5)-1)*100)</f>
        <v>10.438362870438155</v>
      </c>
      <c r="V686" s="162">
        <f>IF(INDEX([1]Historical!$N$7:$N$1222,MATCH(B686,[1]Historical!$B$7:$B$1253,0))=0,"n/a",((INDEX([1]Historical!$C$7:$C$1231,MATCH(B686,[1]Historical!$B$7:$B$1253,0))/INDEX([1]Historical!$N$7:$N$1222,MATCH(B686,[1]Historical!$B$7:$B$1253,0)))^(1/10)-1)*100)</f>
        <v>14.381992765281604</v>
      </c>
      <c r="W686" s="163">
        <f t="shared" si="183"/>
        <v>0.72579391749080535</v>
      </c>
      <c r="X686" s="164">
        <f t="shared" si="184"/>
        <v>1.7397271450730258</v>
      </c>
      <c r="Y686" s="214"/>
      <c r="Z686" s="157">
        <f t="shared" si="185"/>
        <v>28.318584070796462</v>
      </c>
      <c r="AA686" s="166">
        <f t="shared" si="186"/>
        <v>11.415929203539823</v>
      </c>
      <c r="AB686" s="126">
        <v>9</v>
      </c>
      <c r="AC686" s="167">
        <v>3.39</v>
      </c>
      <c r="AD686" s="167">
        <v>1.63</v>
      </c>
      <c r="AE686" s="167">
        <v>3.69</v>
      </c>
      <c r="AF686" s="167">
        <v>1.31</v>
      </c>
      <c r="AG686" s="167">
        <v>9.9</v>
      </c>
      <c r="AH686" s="167">
        <v>5.8000000000000007</v>
      </c>
      <c r="AI686" s="167">
        <v>-3.63</v>
      </c>
      <c r="AJ686" s="167">
        <v>6</v>
      </c>
      <c r="AK686" s="167">
        <v>7.0000000000000009</v>
      </c>
      <c r="AL686" s="168">
        <v>2460</v>
      </c>
      <c r="AM686" s="169">
        <v>1.54</v>
      </c>
      <c r="AN686" s="167">
        <v>0</v>
      </c>
      <c r="AO686" s="170">
        <f t="shared" si="187"/>
        <v>1.5030538219370904</v>
      </c>
      <c r="AP686" s="171">
        <f t="shared" si="188"/>
        <v>12.918983025476914</v>
      </c>
      <c r="AQ686" s="172">
        <f t="shared" si="189"/>
        <v>-18.473270213895375</v>
      </c>
      <c r="AR686" s="157">
        <f>INDEX([1]Historical!$C$7:$C$1231,MATCH(B686,[1]Historical!$B$7:$B$1253,0))*IF(AH686="n/a",1.03,IF(AH686&lt;0,1.01,IF(AH686&gt;10,1.1,(1+AH686/100))))</f>
        <v>0.97336000000000011</v>
      </c>
      <c r="AS686" s="166">
        <f t="shared" si="190"/>
        <v>0.98309360000000012</v>
      </c>
      <c r="AT686" s="166">
        <f t="shared" si="196"/>
        <v>1.0519101520000003</v>
      </c>
      <c r="AU686" s="166">
        <f t="shared" si="196"/>
        <v>1.1255438626400003</v>
      </c>
      <c r="AV686" s="166">
        <f t="shared" si="196"/>
        <v>1.2043319330248003</v>
      </c>
      <c r="AW686" s="157">
        <f t="shared" si="192"/>
        <v>5.3382395476648004</v>
      </c>
      <c r="AX686" s="173">
        <f t="shared" si="193"/>
        <v>13.793900639960723</v>
      </c>
      <c r="AY686" s="174">
        <v>0.86</v>
      </c>
      <c r="AZ686" s="169">
        <v>31.36</v>
      </c>
      <c r="BA686" s="169">
        <v>0.31</v>
      </c>
      <c r="BB686" s="169">
        <v>17.45</v>
      </c>
      <c r="BC686" s="169">
        <v>17.2</v>
      </c>
      <c r="BD686" s="100"/>
      <c r="BE686" s="77">
        <v>2011</v>
      </c>
      <c r="BF686" s="77">
        <f t="shared" si="194"/>
        <v>1</v>
      </c>
      <c r="BG686" s="175">
        <v>0.89999999999999991</v>
      </c>
      <c r="BH686" t="s">
        <v>939</v>
      </c>
      <c r="BI686" t="s">
        <v>940</v>
      </c>
      <c r="BJ686"/>
      <c r="BK686"/>
      <c r="BL686"/>
    </row>
    <row r="687" spans="1:64" s="112" customFormat="1" ht="12.75" customHeight="1" x14ac:dyDescent="0.2">
      <c r="A687" s="176" t="s">
        <v>1703</v>
      </c>
      <c r="B687" s="239" t="s">
        <v>649</v>
      </c>
      <c r="C687" s="154" t="s">
        <v>90</v>
      </c>
      <c r="D687" s="154" t="s">
        <v>969</v>
      </c>
      <c r="E687" s="155">
        <v>11</v>
      </c>
      <c r="F687" s="298">
        <v>400</v>
      </c>
      <c r="G687" s="298" t="s">
        <v>30</v>
      </c>
      <c r="H687" s="298" t="s">
        <v>30</v>
      </c>
      <c r="I687" s="156">
        <v>48.5</v>
      </c>
      <c r="J687" s="157">
        <f t="shared" si="180"/>
        <v>4.4536082474226806</v>
      </c>
      <c r="K687" s="158">
        <v>0.54</v>
      </c>
      <c r="L687" s="126">
        <v>4</v>
      </c>
      <c r="M687" s="82">
        <f t="shared" si="181"/>
        <v>2.16</v>
      </c>
      <c r="N687" s="159" t="s">
        <v>634</v>
      </c>
      <c r="O687" s="160">
        <v>0.52</v>
      </c>
      <c r="P687" s="161">
        <v>44561</v>
      </c>
      <c r="Q687" s="161">
        <v>44568</v>
      </c>
      <c r="R687" s="82">
        <f t="shared" si="182"/>
        <v>3.8461538461538494</v>
      </c>
      <c r="S687" s="162">
        <f>IF(INDEX([1]Historical!$D$7:$D$1229,MATCH(B687,[1]Historical!$B$7:$B$1253,0))=0,"n/a",(INDEX([1]Historical!$C$7:$C$1231,MATCH(B687,[1]Historical!$B$7:$B$1253,0))/INDEX([1]Historical!$D$7:$D$1229,MATCH(B687,[1]Historical!$B$7:$B$1253,0))-1)*100)</f>
        <v>1.9607843137254832</v>
      </c>
      <c r="T687" s="162">
        <f>IF(INDEX([1]Historical!$F$7:$F$1222,MATCH(B687,[1]Historical!$B$7:$B$1253,0))=0,"n/a",((INDEX([1]Historical!$C$7:$C$1231,MATCH(B687,[1]Historical!$B$7:$B$1253,0))/INDEX([1]Historical!$F$7:$F$1222,MATCH(B687,[1]Historical!$B$7:$B$1253,0)))^(1/3)-1)*100)</f>
        <v>7.3786693294802586</v>
      </c>
      <c r="U687" s="162">
        <f>IF(INDEX([1]Historical!$H$7:$H$1222,MATCH(B687,[1]Historical!$B$7:$B$1253,0))=0,"n/a",((INDEX([1]Historical!$C$7:$C$1231,MATCH(B687,[1]Historical!$B$7:$B$1253,0))/INDEX([1]Historical!$H$7:$H$1222,MATCH(B687,[1]Historical!$B$7:$B$1253,0)))^(1/5)-1)*100)</f>
        <v>7.3351817054968516</v>
      </c>
      <c r="V687" s="162">
        <f>IF(INDEX([1]Historical!$N$7:$N$1222,MATCH(B687,[1]Historical!$B$7:$B$1253,0))=0,"n/a",((INDEX([1]Historical!$C$7:$C$1231,MATCH(B687,[1]Historical!$B$7:$B$1253,0))/INDEX([1]Historical!$N$7:$N$1222,MATCH(B687,[1]Historical!$B$7:$B$1253,0)))^(1/10)-1)*100)</f>
        <v>9.1074506119784626</v>
      </c>
      <c r="W687" s="163">
        <f t="shared" si="183"/>
        <v>0.80540449989916429</v>
      </c>
      <c r="X687" s="164">
        <f t="shared" si="184"/>
        <v>0.71215356364047111</v>
      </c>
      <c r="Y687" s="180"/>
      <c r="Z687" s="157">
        <f t="shared" si="185"/>
        <v>50.116009280742468</v>
      </c>
      <c r="AA687" s="166">
        <f t="shared" si="186"/>
        <v>11.252900232018563</v>
      </c>
      <c r="AB687" s="126">
        <v>12</v>
      </c>
      <c r="AC687" s="167">
        <v>4.3099999999999996</v>
      </c>
      <c r="AD687" s="167">
        <v>2.25</v>
      </c>
      <c r="AE687" s="167">
        <v>4.6399999999999997</v>
      </c>
      <c r="AF687" s="167">
        <v>1.76</v>
      </c>
      <c r="AG687" s="167">
        <v>13.8</v>
      </c>
      <c r="AH687" s="167">
        <v>9.7000000000000011</v>
      </c>
      <c r="AI687" s="167">
        <v>3.6900000000000004</v>
      </c>
      <c r="AJ687" s="167">
        <v>10.299999999999999</v>
      </c>
      <c r="AK687" s="167">
        <v>5</v>
      </c>
      <c r="AL687" s="168">
        <v>808.48</v>
      </c>
      <c r="AM687" s="169">
        <v>0.1</v>
      </c>
      <c r="AN687" s="167">
        <v>0.05</v>
      </c>
      <c r="AO687" s="170">
        <f t="shared" si="187"/>
        <v>0.53588972090097009</v>
      </c>
      <c r="AP687" s="171">
        <f t="shared" si="188"/>
        <v>11.788789952919533</v>
      </c>
      <c r="AQ687" s="172">
        <f t="shared" si="189"/>
        <v>-6.1795937658841833</v>
      </c>
      <c r="AR687" s="157">
        <f>INDEX([1]Historical!$C$7:$C$1231,MATCH(B687,[1]Historical!$B$7:$B$1253,0))*IF(AH687="n/a",1.03,IF(AH687&lt;0,1.01,IF(AH687&gt;10,1.1,(1+AH687/100))))</f>
        <v>2.2817600000000002</v>
      </c>
      <c r="AS687" s="166">
        <f t="shared" si="190"/>
        <v>2.3659569440000001</v>
      </c>
      <c r="AT687" s="166">
        <f t="shared" si="196"/>
        <v>2.4842547912000001</v>
      </c>
      <c r="AU687" s="166">
        <f t="shared" si="196"/>
        <v>2.60846753076</v>
      </c>
      <c r="AV687" s="166">
        <f t="shared" si="196"/>
        <v>2.7388909072980003</v>
      </c>
      <c r="AW687" s="157">
        <f t="shared" si="192"/>
        <v>12.479330173258001</v>
      </c>
      <c r="AX687" s="173">
        <f t="shared" si="193"/>
        <v>25.730577676820619</v>
      </c>
      <c r="AY687" s="174">
        <v>0.78</v>
      </c>
      <c r="AZ687" s="169">
        <v>6.36</v>
      </c>
      <c r="BA687" s="169">
        <v>-20.440000000000001</v>
      </c>
      <c r="BB687" s="169">
        <v>-1.76</v>
      </c>
      <c r="BC687" s="169">
        <v>-5.35</v>
      </c>
      <c r="BD687" s="100"/>
      <c r="BE687" s="77">
        <v>2011</v>
      </c>
      <c r="BF687" s="77">
        <f t="shared" si="194"/>
        <v>1</v>
      </c>
      <c r="BG687" s="175">
        <v>1.2</v>
      </c>
      <c r="BH687" t="s">
        <v>939</v>
      </c>
      <c r="BI687" t="s">
        <v>940</v>
      </c>
      <c r="BJ687"/>
      <c r="BK687"/>
      <c r="BL687"/>
    </row>
    <row r="688" spans="1:64" s="112" customFormat="1" ht="12.75" customHeight="1" x14ac:dyDescent="0.2">
      <c r="A688" s="176" t="s">
        <v>1704</v>
      </c>
      <c r="B688" s="239" t="s">
        <v>560</v>
      </c>
      <c r="C688" s="154" t="s">
        <v>127</v>
      </c>
      <c r="D688" s="154" t="s">
        <v>973</v>
      </c>
      <c r="E688" s="155">
        <v>47</v>
      </c>
      <c r="F688" s="298">
        <v>55</v>
      </c>
      <c r="G688" s="298" t="s">
        <v>30</v>
      </c>
      <c r="H688" s="298" t="s">
        <v>104</v>
      </c>
      <c r="I688" s="167">
        <v>36.5</v>
      </c>
      <c r="J688" s="157">
        <f t="shared" si="180"/>
        <v>5.2602739726027394</v>
      </c>
      <c r="K688" s="158">
        <v>0.48</v>
      </c>
      <c r="L688" s="126">
        <v>4</v>
      </c>
      <c r="M688" s="82">
        <f t="shared" si="181"/>
        <v>1.92</v>
      </c>
      <c r="N688" s="159" t="s">
        <v>93</v>
      </c>
      <c r="O688" s="160">
        <v>0.47749999999999998</v>
      </c>
      <c r="P688" s="161">
        <v>44791</v>
      </c>
      <c r="Q688" s="161">
        <v>44813</v>
      </c>
      <c r="R688" s="82">
        <f t="shared" si="182"/>
        <v>0.52356020942408421</v>
      </c>
      <c r="S688" s="162">
        <f>IF(INDEX([1]Historical!$D$7:$D$1229,MATCH(B688,[1]Historical!$B$7:$B$1253,0))=0,"n/a",(INDEX([1]Historical!$C$7:$C$1231,MATCH(B688,[1]Historical!$B$7:$B$1253,0))/INDEX([1]Historical!$D$7:$D$1229,MATCH(B688,[1]Historical!$B$7:$B$1253,0))-1)*100)</f>
        <v>2.1621621621621623</v>
      </c>
      <c r="T688" s="162">
        <f>IF(INDEX([1]Historical!$F$7:$F$1222,MATCH(B688,[1]Historical!$B$7:$B$1253,0))=0,"n/a",((INDEX([1]Historical!$C$7:$C$1231,MATCH(B688,[1]Historical!$B$7:$B$1253,0))/INDEX([1]Historical!$F$7:$F$1222,MATCH(B688,[1]Historical!$B$7:$B$1253,0)))^(1/3)-1)*100)</f>
        <v>4.0041911525952045</v>
      </c>
      <c r="U688" s="162">
        <f>IF(INDEX([1]Historical!$H$7:$H$1222,MATCH(B688,[1]Historical!$B$7:$B$1253,0))=0,"n/a",((INDEX([1]Historical!$C$7:$C$1231,MATCH(B688,[1]Historical!$B$7:$B$1253,0))/INDEX([1]Historical!$H$7:$H$1222,MATCH(B688,[1]Historical!$B$7:$B$1253,0)))^(1/5)-1)*100)</f>
        <v>5.1547496797280434</v>
      </c>
      <c r="V688" s="162">
        <f>IF(INDEX([1]Historical!$N$7:$N$1222,MATCH(B688,[1]Historical!$B$7:$B$1253,0))=0,"n/a",((INDEX([1]Historical!$C$7:$C$1231,MATCH(B688,[1]Historical!$B$7:$B$1253,0))/INDEX([1]Historical!$N$7:$N$1222,MATCH(B688,[1]Historical!$B$7:$B$1253,0)))^(1/10)-1)*100)</f>
        <v>8.9775855608657196</v>
      </c>
      <c r="W688" s="163">
        <f t="shared" si="183"/>
        <v>0.57417995571082747</v>
      </c>
      <c r="X688" s="164">
        <f t="shared" si="184"/>
        <v>0.88874994478069702</v>
      </c>
      <c r="Y688" s="153"/>
      <c r="Z688" s="157">
        <f t="shared" si="185"/>
        <v>38.4</v>
      </c>
      <c r="AA688" s="166">
        <f t="shared" si="186"/>
        <v>7.3</v>
      </c>
      <c r="AB688" s="126">
        <v>8</v>
      </c>
      <c r="AC688" s="167">
        <v>5</v>
      </c>
      <c r="AD688" s="167">
        <v>5.7</v>
      </c>
      <c r="AE688" s="167">
        <v>0.23</v>
      </c>
      <c r="AF688" s="167">
        <v>1.25</v>
      </c>
      <c r="AG688" s="167">
        <v>16.600000000000001</v>
      </c>
      <c r="AH688" s="167">
        <v>117.6</v>
      </c>
      <c r="AI688" s="167">
        <v>6.05</v>
      </c>
      <c r="AJ688" s="167">
        <v>5.8000000000000007</v>
      </c>
      <c r="AK688" s="167">
        <v>1.28</v>
      </c>
      <c r="AL688" s="168">
        <v>30850</v>
      </c>
      <c r="AM688" s="169">
        <v>17.309999999999999</v>
      </c>
      <c r="AN688" s="167">
        <v>0.5</v>
      </c>
      <c r="AO688" s="170">
        <f t="shared" si="187"/>
        <v>3.115023652330783</v>
      </c>
      <c r="AP688" s="171">
        <f t="shared" si="188"/>
        <v>10.415023652330783</v>
      </c>
      <c r="AQ688" s="172">
        <f t="shared" si="189"/>
        <v>-36.316756084857325</v>
      </c>
      <c r="AR688" s="157">
        <f>INDEX([1]Historical!$C$7:$C$1231,MATCH(B688,[1]Historical!$B$7:$B$1253,0))*IF(AH688="n/a",1.03,IF(AH688&lt;0,1.01,IF(AH688&gt;10,1.1,(1+AH688/100))))</f>
        <v>2.0790000000000002</v>
      </c>
      <c r="AS688" s="166">
        <f t="shared" si="190"/>
        <v>2.2047795000000003</v>
      </c>
      <c r="AT688" s="166">
        <f t="shared" si="196"/>
        <v>2.2330006776000002</v>
      </c>
      <c r="AU688" s="166">
        <f t="shared" si="196"/>
        <v>2.26158308627328</v>
      </c>
      <c r="AV688" s="166">
        <f t="shared" si="196"/>
        <v>2.2905313497775777</v>
      </c>
      <c r="AW688" s="157">
        <f t="shared" si="192"/>
        <v>11.068894613650858</v>
      </c>
      <c r="AX688" s="173">
        <f t="shared" si="193"/>
        <v>30.325738667536601</v>
      </c>
      <c r="AY688" s="174">
        <v>0.69</v>
      </c>
      <c r="AZ688" s="169">
        <v>20.11</v>
      </c>
      <c r="BA688" s="169">
        <v>-33.64</v>
      </c>
      <c r="BB688" s="169">
        <v>6.3100000000000005</v>
      </c>
      <c r="BC688" s="169">
        <v>-12.33</v>
      </c>
      <c r="BD688" s="100"/>
      <c r="BE688" s="77">
        <v>1976</v>
      </c>
      <c r="BF688" s="77">
        <f t="shared" si="194"/>
        <v>5</v>
      </c>
      <c r="BG688" s="175">
        <v>4.7</v>
      </c>
      <c r="BH688" t="s">
        <v>939</v>
      </c>
      <c r="BI688" t="s">
        <v>940</v>
      </c>
      <c r="BJ688"/>
      <c r="BK688"/>
      <c r="BL688"/>
    </row>
    <row r="689" spans="1:64" s="112" customFormat="1" ht="12.75" customHeight="1" x14ac:dyDescent="0.2">
      <c r="A689" s="176" t="s">
        <v>1705</v>
      </c>
      <c r="B689" s="239" t="s">
        <v>563</v>
      </c>
      <c r="C689" s="154" t="s">
        <v>94</v>
      </c>
      <c r="D689" s="154" t="s">
        <v>943</v>
      </c>
      <c r="E689" s="155">
        <v>12</v>
      </c>
      <c r="F689" s="298">
        <v>313</v>
      </c>
      <c r="G689" s="298" t="s">
        <v>88</v>
      </c>
      <c r="H689" s="298" t="s">
        <v>88</v>
      </c>
      <c r="I689" s="156">
        <v>131.91</v>
      </c>
      <c r="J689" s="157">
        <f t="shared" si="180"/>
        <v>0.69744522780683804</v>
      </c>
      <c r="K689" s="158">
        <v>0.23</v>
      </c>
      <c r="L689" s="126">
        <v>4</v>
      </c>
      <c r="M689" s="82">
        <f t="shared" si="181"/>
        <v>0.92</v>
      </c>
      <c r="N689" s="159" t="s">
        <v>334</v>
      </c>
      <c r="O689" s="160">
        <v>0.20499999999999999</v>
      </c>
      <c r="P689" s="224">
        <v>44508</v>
      </c>
      <c r="Q689" s="224">
        <v>44523</v>
      </c>
      <c r="R689" s="82">
        <f t="shared" si="182"/>
        <v>12.195121951219525</v>
      </c>
      <c r="S689" s="162">
        <f>IF(INDEX([1]Historical!$D$7:$D$1229,MATCH(B689,[1]Historical!$B$7:$B$1253,0))=0,"n/a",(INDEX([1]Historical!$C$7:$C$1231,MATCH(B689,[1]Historical!$B$7:$B$1253,0))/INDEX([1]Historical!$D$7:$D$1229,MATCH(B689,[1]Historical!$B$7:$B$1253,0))-1)*100)</f>
        <v>11.184210526315773</v>
      </c>
      <c r="T689" s="162">
        <f>IF(INDEX([1]Historical!$F$7:$F$1222,MATCH(B689,[1]Historical!$B$7:$B$1253,0))=0,"n/a",((INDEX([1]Historical!$C$7:$C$1231,MATCH(B689,[1]Historical!$B$7:$B$1253,0))/INDEX([1]Historical!$F$7:$F$1222,MATCH(B689,[1]Historical!$B$7:$B$1253,0)))^(1/3)-1)*100)</f>
        <v>13.364281145184375</v>
      </c>
      <c r="U689" s="162">
        <f>IF(INDEX([1]Historical!$H$7:$H$1222,MATCH(B689,[1]Historical!$B$7:$B$1253,0))=0,"n/a",((INDEX([1]Historical!$C$7:$C$1231,MATCH(B689,[1]Historical!$B$7:$B$1253,0))/INDEX([1]Historical!$H$7:$H$1222,MATCH(B689,[1]Historical!$B$7:$B$1253,0)))^(1/5)-1)*100)</f>
        <v>15.561872540376843</v>
      </c>
      <c r="V689" s="162">
        <f>IF(INDEX([1]Historical!$N$7:$N$1222,MATCH(B689,[1]Historical!$B$7:$B$1253,0))=0,"n/a",((INDEX([1]Historical!$C$7:$C$1231,MATCH(B689,[1]Historical!$B$7:$B$1253,0))/INDEX([1]Historical!$N$7:$N$1222,MATCH(B689,[1]Historical!$B$7:$B$1253,0)))^(1/10)-1)*100)</f>
        <v>14.938027942197053</v>
      </c>
      <c r="W689" s="163">
        <f t="shared" si="183"/>
        <v>1.0417621790904239</v>
      </c>
      <c r="X689" s="164">
        <f t="shared" si="184"/>
        <v>0.90476003141725836</v>
      </c>
      <c r="Y689" s="153"/>
      <c r="Z689" s="157">
        <f t="shared" si="185"/>
        <v>34.848484848484851</v>
      </c>
      <c r="AA689" s="166">
        <f t="shared" si="186"/>
        <v>49.965909090909086</v>
      </c>
      <c r="AB689" s="126">
        <v>12</v>
      </c>
      <c r="AC689" s="167">
        <v>2.64</v>
      </c>
      <c r="AD689" s="167">
        <v>4.0199999999999996</v>
      </c>
      <c r="AE689" s="167">
        <v>5.13</v>
      </c>
      <c r="AF689" s="167">
        <v>4.9800000000000004</v>
      </c>
      <c r="AG689" s="167">
        <v>10</v>
      </c>
      <c r="AH689" s="179">
        <v>204.2</v>
      </c>
      <c r="AI689" s="179">
        <v>15.2</v>
      </c>
      <c r="AJ689" s="167">
        <v>17.2</v>
      </c>
      <c r="AK689" s="167">
        <v>12.509999999999998</v>
      </c>
      <c r="AL689" s="168">
        <v>34300</v>
      </c>
      <c r="AM689" s="169">
        <v>1</v>
      </c>
      <c r="AN689" s="167">
        <v>0.82</v>
      </c>
      <c r="AO689" s="170">
        <f t="shared" si="187"/>
        <v>-33.706591322725401</v>
      </c>
      <c r="AP689" s="171">
        <f t="shared" si="188"/>
        <v>16.259317768183681</v>
      </c>
      <c r="AQ689" s="172">
        <f t="shared" si="189"/>
        <v>232.55257046249409</v>
      </c>
      <c r="AR689" s="157">
        <f>INDEX([1]Historical!$C$7:$C$1231,MATCH(B689,[1]Historical!$B$7:$B$1253,0))*IF(AH689="n/a",1.03,IF(AH689&lt;0,1.01,IF(AH689&gt;10,1.1,(1+AH689/100))))</f>
        <v>0.92949999999999999</v>
      </c>
      <c r="AS689" s="166">
        <f t="shared" si="190"/>
        <v>1.0224500000000001</v>
      </c>
      <c r="AT689" s="166">
        <f t="shared" si="196"/>
        <v>1.1246950000000002</v>
      </c>
      <c r="AU689" s="166">
        <f t="shared" si="196"/>
        <v>1.2371645000000004</v>
      </c>
      <c r="AV689" s="166">
        <f t="shared" si="196"/>
        <v>1.3608809500000005</v>
      </c>
      <c r="AW689" s="157">
        <f t="shared" si="192"/>
        <v>5.6746904500000008</v>
      </c>
      <c r="AX689" s="173">
        <f t="shared" si="193"/>
        <v>4.3019410582973245</v>
      </c>
      <c r="AY689" s="174">
        <v>0.65</v>
      </c>
      <c r="AZ689" s="169">
        <v>16.220000000000002</v>
      </c>
      <c r="BA689" s="169">
        <v>-10.99</v>
      </c>
      <c r="BB689" s="169">
        <v>-4.3900000000000006</v>
      </c>
      <c r="BC689" s="169">
        <v>0.3</v>
      </c>
      <c r="BD689" s="100"/>
      <c r="BE689" s="77">
        <v>2011</v>
      </c>
      <c r="BF689" s="77">
        <f t="shared" si="194"/>
        <v>1</v>
      </c>
      <c r="BG689" s="175">
        <v>4.5999999999999996</v>
      </c>
      <c r="BH689" t="s">
        <v>939</v>
      </c>
      <c r="BI689" t="s">
        <v>940</v>
      </c>
      <c r="BJ689"/>
      <c r="BK689"/>
      <c r="BL689"/>
    </row>
    <row r="690" spans="1:64" s="112" customFormat="1" ht="12.75" customHeight="1" x14ac:dyDescent="0.2">
      <c r="A690" s="205" t="s">
        <v>1785</v>
      </c>
      <c r="B690" s="239" t="s">
        <v>1786</v>
      </c>
      <c r="C690" s="154" t="s">
        <v>90</v>
      </c>
      <c r="D690" s="154" t="s">
        <v>959</v>
      </c>
      <c r="E690" s="155">
        <v>5</v>
      </c>
      <c r="F690" s="298">
        <v>698</v>
      </c>
      <c r="G690" s="298" t="s">
        <v>88</v>
      </c>
      <c r="H690" s="298" t="s">
        <v>88</v>
      </c>
      <c r="I690" s="156">
        <v>89.96</v>
      </c>
      <c r="J690" s="157">
        <f t="shared" si="180"/>
        <v>2.6678523788350379</v>
      </c>
      <c r="K690" s="158">
        <v>0.6</v>
      </c>
      <c r="L690" s="126">
        <v>4</v>
      </c>
      <c r="M690" s="82">
        <f t="shared" si="181"/>
        <v>2.4</v>
      </c>
      <c r="N690" s="159" t="s">
        <v>151</v>
      </c>
      <c r="O690" s="160">
        <v>0.5</v>
      </c>
      <c r="P690" s="161">
        <v>44610</v>
      </c>
      <c r="Q690" s="161">
        <v>44630</v>
      </c>
      <c r="R690" s="82">
        <f t="shared" si="182"/>
        <v>19.999999999999996</v>
      </c>
      <c r="S690" s="162">
        <f>IF(INDEX([1]Historical!$D$7:$D$1229,MATCH(B690,[1]Historical!$B$7:$B$1253,0))=0,"n/a",(INDEX([1]Historical!$C$7:$C$1231,MATCH(B690,[1]Historical!$B$7:$B$1253,0))/INDEX([1]Historical!$D$7:$D$1229,MATCH(B690,[1]Historical!$B$7:$B$1253,0))-1)*100)</f>
        <v>38.888888888888886</v>
      </c>
      <c r="T690" s="162">
        <f>IF(INDEX([1]Historical!$F$7:$F$1222,MATCH(B690,[1]Historical!$B$7:$B$1253,0))=0,"n/a",((INDEX([1]Historical!$C$7:$C$1231,MATCH(B690,[1]Historical!$B$7:$B$1253,0))/INDEX([1]Historical!$F$7:$F$1222,MATCH(B690,[1]Historical!$B$7:$B$1253,0)))^(1/3)-1)*100)</f>
        <v>25.99210498948732</v>
      </c>
      <c r="U690" s="162" t="str">
        <f>IF(INDEX([1]Historical!$H$7:$H$1222,MATCH(B690,[1]Historical!$B$7:$B$1253,0))=0,"n/a",((INDEX([1]Historical!$C$7:$C$1231,MATCH(B690,[1]Historical!$B$7:$B$1253,0))/INDEX([1]Historical!$H$7:$H$1222,MATCH(B690,[1]Historical!$B$7:$B$1253,0)))^(1/5)-1)*100)</f>
        <v>n/a</v>
      </c>
      <c r="V690" s="162" t="str">
        <f>IF(INDEX([1]Historical!$N$7:$N$1222,MATCH(B690,[1]Historical!$B$7:$B$1253,0))=0,"n/a",((INDEX([1]Historical!$C$7:$C$1231,MATCH(B690,[1]Historical!$B$7:$B$1253,0))/INDEX([1]Historical!$N$7:$N$1222,MATCH(B690,[1]Historical!$B$7:$B$1253,0)))^(1/10)-1)*100)</f>
        <v>n/a</v>
      </c>
      <c r="W690" s="163" t="str">
        <f t="shared" si="183"/>
        <v>n/a</v>
      </c>
      <c r="X690" s="164" t="str">
        <f t="shared" si="184"/>
        <v>n/a</v>
      </c>
      <c r="Y690" s="180"/>
      <c r="Z690" s="157">
        <f t="shared" si="185"/>
        <v>28.742514970059879</v>
      </c>
      <c r="AA690" s="166">
        <f t="shared" si="186"/>
        <v>10.773652694610778</v>
      </c>
      <c r="AB690" s="126">
        <v>12</v>
      </c>
      <c r="AC690" s="167">
        <v>8.35</v>
      </c>
      <c r="AD690" s="167">
        <v>1.06</v>
      </c>
      <c r="AE690" s="167">
        <v>2.02</v>
      </c>
      <c r="AF690" s="167">
        <v>1.76</v>
      </c>
      <c r="AG690" s="167">
        <v>17.5</v>
      </c>
      <c r="AH690" s="167">
        <v>6</v>
      </c>
      <c r="AI690" s="167">
        <v>11.88</v>
      </c>
      <c r="AJ690" s="167">
        <v>17.899999999999999</v>
      </c>
      <c r="AK690" s="167">
        <v>10</v>
      </c>
      <c r="AL690" s="168">
        <v>2850</v>
      </c>
      <c r="AM690" s="169">
        <v>1.4000000000000001</v>
      </c>
      <c r="AN690" s="167">
        <v>0</v>
      </c>
      <c r="AO690" s="170" t="str">
        <f t="shared" si="187"/>
        <v>n/a</v>
      </c>
      <c r="AP690" s="171" t="str">
        <f t="shared" si="188"/>
        <v>n/a</v>
      </c>
      <c r="AQ690" s="172">
        <f t="shared" si="189"/>
        <v>-8.1991800024156962</v>
      </c>
      <c r="AR690" s="157">
        <f>INDEX([1]Historical!$C$7:$C$1231,MATCH(B690,[1]Historical!$B$7:$B$1253,0))*IF(AH690="n/a",1.03,IF(AH690&lt;0,1.01,IF(AH690&gt;10,1.1,(1+AH690/100))))</f>
        <v>2.12</v>
      </c>
      <c r="AS690" s="166">
        <f t="shared" si="190"/>
        <v>2.3320000000000003</v>
      </c>
      <c r="AT690" s="166">
        <f t="shared" si="196"/>
        <v>2.5652000000000004</v>
      </c>
      <c r="AU690" s="166">
        <f t="shared" si="196"/>
        <v>2.8217200000000005</v>
      </c>
      <c r="AV690" s="166">
        <f t="shared" si="196"/>
        <v>3.1038920000000005</v>
      </c>
      <c r="AW690" s="157">
        <f t="shared" si="192"/>
        <v>12.942812000000002</v>
      </c>
      <c r="AX690" s="173">
        <f t="shared" si="193"/>
        <v>14.387296576256118</v>
      </c>
      <c r="AY690" s="174">
        <v>1.24</v>
      </c>
      <c r="AZ690" s="169">
        <v>10.11</v>
      </c>
      <c r="BA690" s="169">
        <v>-42.620000000000005</v>
      </c>
      <c r="BB690" s="169">
        <v>-3.4000000000000004</v>
      </c>
      <c r="BC690" s="169">
        <v>-19.75</v>
      </c>
      <c r="BD690" s="100"/>
      <c r="BE690" s="77">
        <v>2018</v>
      </c>
      <c r="BF690" s="77">
        <f t="shared" si="194"/>
        <v>1</v>
      </c>
      <c r="BG690" s="175">
        <v>5.6000000000000005</v>
      </c>
      <c r="BH690" t="s">
        <v>939</v>
      </c>
      <c r="BI690" t="s">
        <v>940</v>
      </c>
    </row>
    <row r="691" spans="1:64" s="112" customFormat="1" ht="12.75" customHeight="1" x14ac:dyDescent="0.2">
      <c r="A691" s="112" t="s">
        <v>503</v>
      </c>
      <c r="B691" s="239" t="s">
        <v>504</v>
      </c>
      <c r="C691" s="154" t="s">
        <v>127</v>
      </c>
      <c r="D691" s="154" t="s">
        <v>1018</v>
      </c>
      <c r="E691" s="155">
        <v>13</v>
      </c>
      <c r="F691" s="298">
        <v>275</v>
      </c>
      <c r="G691" s="298" t="s">
        <v>88</v>
      </c>
      <c r="H691" s="298" t="s">
        <v>88</v>
      </c>
      <c r="I691" s="156">
        <v>160.16</v>
      </c>
      <c r="J691" s="157">
        <f t="shared" si="180"/>
        <v>1.948051948051948</v>
      </c>
      <c r="K691" s="158">
        <v>0.78</v>
      </c>
      <c r="L691" s="126">
        <v>4</v>
      </c>
      <c r="M691" s="82">
        <f t="shared" si="181"/>
        <v>3.12</v>
      </c>
      <c r="N691" s="159" t="s">
        <v>190</v>
      </c>
      <c r="O691" s="160">
        <v>0.72</v>
      </c>
      <c r="P691" s="161">
        <v>44574</v>
      </c>
      <c r="Q691" s="161">
        <v>44592</v>
      </c>
      <c r="R691" s="82">
        <f t="shared" si="182"/>
        <v>8.333333333333341</v>
      </c>
      <c r="S691" s="162">
        <f>IF(INDEX([1]Historical!$D$7:$D$1229,MATCH(B691,[1]Historical!$B$7:$B$1253,0))=0,"n/a",(INDEX([1]Historical!$C$7:$C$1231,MATCH(B691,[1]Historical!$B$7:$B$1253,0))/INDEX([1]Historical!$D$7:$D$1229,MATCH(B691,[1]Historical!$B$7:$B$1253,0))-1)*100)</f>
        <v>5.5970149253731227</v>
      </c>
      <c r="T691" s="162">
        <f>IF(INDEX([1]Historical!$F$7:$F$1222,MATCH(B691,[1]Historical!$B$7:$B$1253,0))=0,"n/a",((INDEX([1]Historical!$C$7:$C$1231,MATCH(B691,[1]Historical!$B$7:$B$1253,0))/INDEX([1]Historical!$F$7:$F$1222,MATCH(B691,[1]Historical!$B$7:$B$1253,0)))^(1/3)-1)*100)</f>
        <v>9.4235737891023028</v>
      </c>
      <c r="U691" s="162">
        <f>IF(INDEX([1]Historical!$H$7:$H$1222,MATCH(B691,[1]Historical!$B$7:$B$1253,0))=0,"n/a",((INDEX([1]Historical!$C$7:$C$1231,MATCH(B691,[1]Historical!$B$7:$B$1253,0))/INDEX([1]Historical!$H$7:$H$1222,MATCH(B691,[1]Historical!$B$7:$B$1253,0)))^(1/5)-1)*100)</f>
        <v>10.992959307240424</v>
      </c>
      <c r="V691" s="162">
        <f>IF(INDEX([1]Historical!$N$7:$N$1222,MATCH(B691,[1]Historical!$B$7:$B$1253,0))=0,"n/a",((INDEX([1]Historical!$C$7:$C$1231,MATCH(B691,[1]Historical!$B$7:$B$1253,0))/INDEX([1]Historical!$N$7:$N$1222,MATCH(B691,[1]Historical!$B$7:$B$1253,0)))^(1/10)-1)*100)</f>
        <v>10.112409994528448</v>
      </c>
      <c r="W691" s="163">
        <f t="shared" si="183"/>
        <v>1.0870761087800451</v>
      </c>
      <c r="X691" s="164">
        <f t="shared" si="184"/>
        <v>1.9630284477215041</v>
      </c>
      <c r="Y691" s="165"/>
      <c r="Z691" s="157">
        <f t="shared" si="185"/>
        <v>63.673469387755098</v>
      </c>
      <c r="AA691" s="166">
        <f t="shared" si="186"/>
        <v>32.685714285714283</v>
      </c>
      <c r="AB691" s="126">
        <v>8</v>
      </c>
      <c r="AC691" s="167">
        <v>4.9000000000000004</v>
      </c>
      <c r="AD691" s="167">
        <v>3.33</v>
      </c>
      <c r="AE691" s="167">
        <v>4.0999999999999996</v>
      </c>
      <c r="AF691" s="167">
        <v>11.78</v>
      </c>
      <c r="AG691" s="167">
        <v>34.4</v>
      </c>
      <c r="AH691" s="167">
        <v>-3.8</v>
      </c>
      <c r="AI691" s="167">
        <v>15.64</v>
      </c>
      <c r="AJ691" s="167">
        <v>5.6000000000000005</v>
      </c>
      <c r="AK691" s="167">
        <v>10</v>
      </c>
      <c r="AL691" s="168">
        <v>2130</v>
      </c>
      <c r="AM691" s="169">
        <v>0.70000000000000007</v>
      </c>
      <c r="AN691" s="167">
        <v>0.78</v>
      </c>
      <c r="AO691" s="170">
        <f t="shared" si="187"/>
        <v>-19.74470303042191</v>
      </c>
      <c r="AP691" s="171">
        <f t="shared" si="188"/>
        <v>12.941011255292372</v>
      </c>
      <c r="AQ691" s="172">
        <f t="shared" si="189"/>
        <v>313.67604839520624</v>
      </c>
      <c r="AR691" s="157">
        <f>INDEX([1]Historical!$C$7:$C$1231,MATCH(B691,[1]Historical!$B$7:$B$1253,0))*IF(AH691="n/a",1.03,IF(AH691&lt;0,1.01,IF(AH691&gt;10,1.1,(1+AH691/100))))</f>
        <v>2.8583000000000003</v>
      </c>
      <c r="AS691" s="166">
        <f t="shared" si="190"/>
        <v>3.1441300000000005</v>
      </c>
      <c r="AT691" s="166">
        <f t="shared" si="196"/>
        <v>3.458543000000001</v>
      </c>
      <c r="AU691" s="166">
        <f t="shared" si="196"/>
        <v>3.8043973000000015</v>
      </c>
      <c r="AV691" s="166">
        <f t="shared" si="196"/>
        <v>4.1848370300000024</v>
      </c>
      <c r="AW691" s="157">
        <f t="shared" si="192"/>
        <v>17.450207330000005</v>
      </c>
      <c r="AX691" s="173">
        <f t="shared" si="193"/>
        <v>10.895484097152851</v>
      </c>
      <c r="AY691" s="174">
        <v>-0.22</v>
      </c>
      <c r="AZ691" s="169">
        <v>10.33</v>
      </c>
      <c r="BA691" s="169">
        <v>-37.269999999999996</v>
      </c>
      <c r="BB691" s="169">
        <v>-11.469999999999999</v>
      </c>
      <c r="BC691" s="169">
        <v>-16.16</v>
      </c>
      <c r="BD691" s="100"/>
      <c r="BE691" s="77">
        <v>2010</v>
      </c>
      <c r="BF691" s="77">
        <f t="shared" si="194"/>
        <v>1</v>
      </c>
      <c r="BG691" s="175">
        <v>15.7</v>
      </c>
      <c r="BH691" t="s">
        <v>939</v>
      </c>
      <c r="BI691" t="s">
        <v>940</v>
      </c>
      <c r="BJ691"/>
      <c r="BK691"/>
      <c r="BL691"/>
    </row>
    <row r="692" spans="1:64" s="112" customFormat="1" ht="12.75" customHeight="1" x14ac:dyDescent="0.2">
      <c r="A692" s="204" t="s">
        <v>1706</v>
      </c>
      <c r="B692" s="239" t="s">
        <v>880</v>
      </c>
      <c r="C692" s="154" t="s">
        <v>90</v>
      </c>
      <c r="D692" s="154" t="s">
        <v>969</v>
      </c>
      <c r="E692" s="155">
        <v>9</v>
      </c>
      <c r="F692" s="298">
        <v>554</v>
      </c>
      <c r="G692" s="298" t="s">
        <v>88</v>
      </c>
      <c r="H692" s="298" t="s">
        <v>88</v>
      </c>
      <c r="I692" s="156">
        <v>28</v>
      </c>
      <c r="J692" s="157">
        <f t="shared" si="180"/>
        <v>4</v>
      </c>
      <c r="K692" s="158">
        <v>0.28000000000000003</v>
      </c>
      <c r="L692" s="126">
        <v>4</v>
      </c>
      <c r="M692" s="82">
        <f t="shared" si="181"/>
        <v>1.1200000000000001</v>
      </c>
      <c r="N692" s="159" t="s">
        <v>135</v>
      </c>
      <c r="O692" s="160">
        <v>0.27</v>
      </c>
      <c r="P692" s="161">
        <v>44784</v>
      </c>
      <c r="Q692" s="161">
        <v>44799</v>
      </c>
      <c r="R692" s="82">
        <f t="shared" si="182"/>
        <v>3.7037037037037068</v>
      </c>
      <c r="S692" s="162">
        <f>IF(INDEX([1]Historical!$D$7:$D$1229,MATCH(B692,[1]Historical!$B$7:$B$1253,0))=0,"n/a",(INDEX([1]Historical!$C$7:$C$1231,MATCH(B692,[1]Historical!$B$7:$B$1253,0))/INDEX([1]Historical!$D$7:$D$1229,MATCH(B692,[1]Historical!$B$7:$B$1253,0))-1)*100)</f>
        <v>1.9230769230769162</v>
      </c>
      <c r="T692" s="162">
        <f>IF(INDEX([1]Historical!$F$7:$F$1222,MATCH(B692,[1]Historical!$B$7:$B$1253,0))=0,"n/a",((INDEX([1]Historical!$C$7:$C$1231,MATCH(B692,[1]Historical!$B$7:$B$1253,0))/INDEX([1]Historical!$F$7:$F$1222,MATCH(B692,[1]Historical!$B$7:$B$1253,0)))^(1/3)-1)*100)</f>
        <v>4.0860842503307904</v>
      </c>
      <c r="U692" s="162">
        <f>IF(INDEX([1]Historical!$H$7:$H$1222,MATCH(B692,[1]Historical!$B$7:$B$1253,0))=0,"n/a",((INDEX([1]Historical!$C$7:$C$1231,MATCH(B692,[1]Historical!$B$7:$B$1253,0))/INDEX([1]Historical!$H$7:$H$1222,MATCH(B692,[1]Historical!$B$7:$B$1253,0)))^(1/5)-1)*100)</f>
        <v>5.7896488705653448</v>
      </c>
      <c r="V692" s="162">
        <f>IF(INDEX([1]Historical!$N$7:$N$1222,MATCH(B692,[1]Historical!$B$7:$B$1253,0))=0,"n/a",((INDEX([1]Historical!$C$7:$C$1231,MATCH(B692,[1]Historical!$B$7:$B$1253,0))/INDEX([1]Historical!$N$7:$N$1222,MATCH(B692,[1]Historical!$B$7:$B$1253,0)))^(1/10)-1)*100)</f>
        <v>6.400360878375011</v>
      </c>
      <c r="W692" s="163">
        <f t="shared" si="183"/>
        <v>0.90458162915889828</v>
      </c>
      <c r="X692" s="164" t="str">
        <f t="shared" si="184"/>
        <v>n/a</v>
      </c>
      <c r="Y692" s="180"/>
      <c r="Z692" s="157" t="str">
        <f t="shared" si="185"/>
        <v>n/a</v>
      </c>
      <c r="AA692" s="166" t="str">
        <f t="shared" si="186"/>
        <v>n/a</v>
      </c>
      <c r="AB692" s="126">
        <v>12</v>
      </c>
      <c r="AC692" s="167" t="s">
        <v>95</v>
      </c>
      <c r="AD692" s="167" t="s">
        <v>95</v>
      </c>
      <c r="AE692" s="167" t="s">
        <v>95</v>
      </c>
      <c r="AF692" s="167" t="s">
        <v>95</v>
      </c>
      <c r="AG692" s="167" t="s">
        <v>95</v>
      </c>
      <c r="AH692" s="167" t="s">
        <v>95</v>
      </c>
      <c r="AI692" s="167" t="s">
        <v>95</v>
      </c>
      <c r="AJ692" s="167" t="s">
        <v>95</v>
      </c>
      <c r="AK692" s="167" t="s">
        <v>95</v>
      </c>
      <c r="AL692" s="168" t="s">
        <v>95</v>
      </c>
      <c r="AM692" s="169" t="s">
        <v>95</v>
      </c>
      <c r="AN692" s="167" t="s">
        <v>95</v>
      </c>
      <c r="AO692" s="170" t="str">
        <f t="shared" si="187"/>
        <v>n/a</v>
      </c>
      <c r="AP692" s="171">
        <f t="shared" si="188"/>
        <v>9.7896488705653439</v>
      </c>
      <c r="AQ692" s="172" t="str">
        <f t="shared" si="189"/>
        <v>n/a</v>
      </c>
      <c r="AR692" s="157">
        <f>INDEX([1]Historical!$C$7:$C$1231,MATCH(B692,[1]Historical!$B$7:$B$1253,0))*IF(AH692="n/a",1.03,IF(AH692&lt;0,1.01,IF(AH692&gt;10,1.1,(1+AH692/100))))</f>
        <v>1.0918000000000001</v>
      </c>
      <c r="AS692" s="166">
        <f t="shared" si="190"/>
        <v>1.1245540000000001</v>
      </c>
      <c r="AT692" s="166">
        <f t="shared" si="196"/>
        <v>1.15829062</v>
      </c>
      <c r="AU692" s="166">
        <f t="shared" si="196"/>
        <v>1.1930393386</v>
      </c>
      <c r="AV692" s="166">
        <f t="shared" si="196"/>
        <v>1.228830518758</v>
      </c>
      <c r="AW692" s="157">
        <f t="shared" si="192"/>
        <v>5.7965144773580004</v>
      </c>
      <c r="AX692" s="173">
        <f t="shared" si="193"/>
        <v>20.701837419135714</v>
      </c>
      <c r="AY692" s="174" t="s">
        <v>95</v>
      </c>
      <c r="AZ692" s="169" t="s">
        <v>95</v>
      </c>
      <c r="BA692" s="169" t="s">
        <v>95</v>
      </c>
      <c r="BB692" s="169" t="s">
        <v>95</v>
      </c>
      <c r="BC692" s="169" t="s">
        <v>95</v>
      </c>
      <c r="BD692" s="100" t="s">
        <v>932</v>
      </c>
      <c r="BE692" s="77">
        <v>2014</v>
      </c>
      <c r="BF692" s="77">
        <f t="shared" si="194"/>
        <v>1</v>
      </c>
      <c r="BG692" s="175" t="s">
        <v>95</v>
      </c>
      <c r="BH692" t="s">
        <v>939</v>
      </c>
      <c r="BI692" t="s">
        <v>940</v>
      </c>
    </row>
    <row r="693" spans="1:64" s="112" customFormat="1" ht="12.75" customHeight="1" x14ac:dyDescent="0.2">
      <c r="A693" s="176" t="s">
        <v>1707</v>
      </c>
      <c r="B693" s="239" t="s">
        <v>509</v>
      </c>
      <c r="C693" s="154" t="s">
        <v>117</v>
      </c>
      <c r="D693" s="154" t="s">
        <v>953</v>
      </c>
      <c r="E693" s="155">
        <v>19</v>
      </c>
      <c r="F693" s="298">
        <v>191</v>
      </c>
      <c r="G693" s="298" t="s">
        <v>30</v>
      </c>
      <c r="H693" s="298" t="s">
        <v>30</v>
      </c>
      <c r="I693" s="156">
        <v>91.33</v>
      </c>
      <c r="J693" s="157">
        <f t="shared" si="180"/>
        <v>3.1862476732727476</v>
      </c>
      <c r="K693" s="158">
        <v>0.72750000000000004</v>
      </c>
      <c r="L693" s="126">
        <v>4</v>
      </c>
      <c r="M693" s="82">
        <f t="shared" si="181"/>
        <v>2.91</v>
      </c>
      <c r="N693" s="159" t="s">
        <v>116</v>
      </c>
      <c r="O693" s="160">
        <v>0.67749999999999999</v>
      </c>
      <c r="P693" s="161">
        <v>44603</v>
      </c>
      <c r="Q693" s="161">
        <v>44621</v>
      </c>
      <c r="R693" s="82">
        <f t="shared" si="182"/>
        <v>7.380073800738014</v>
      </c>
      <c r="S693" s="162">
        <f>IF(INDEX([1]Historical!$D$7:$D$1229,MATCH(B693,[1]Historical!$B$7:$B$1253,0))=0,"n/a",(INDEX([1]Historical!$C$7:$C$1231,MATCH(B693,[1]Historical!$B$7:$B$1253,0))/INDEX([1]Historical!$D$7:$D$1229,MATCH(B693,[1]Historical!$B$7:$B$1253,0))-1)*100)</f>
        <v>7.1146245059288571</v>
      </c>
      <c r="T693" s="162">
        <f>IF(INDEX([1]Historical!$F$7:$F$1222,MATCH(B693,[1]Historical!$B$7:$B$1253,0))=0,"n/a",((INDEX([1]Historical!$C$7:$C$1231,MATCH(B693,[1]Historical!$B$7:$B$1253,0))/INDEX([1]Historical!$F$7:$F$1222,MATCH(B693,[1]Historical!$B$7:$B$1253,0)))^(1/3)-1)*100)</f>
        <v>7.0349652489045678</v>
      </c>
      <c r="U693" s="162">
        <f>IF(INDEX([1]Historical!$H$7:$H$1222,MATCH(B693,[1]Historical!$B$7:$B$1253,0))=0,"n/a",((INDEX([1]Historical!$C$7:$C$1231,MATCH(B693,[1]Historical!$B$7:$B$1253,0))/INDEX([1]Historical!$H$7:$H$1222,MATCH(B693,[1]Historical!$B$7:$B$1253,0)))^(1/5)-1)*100)</f>
        <v>6.4782292457507218</v>
      </c>
      <c r="V693" s="162">
        <f>IF(INDEX([1]Historical!$N$7:$N$1222,MATCH(B693,[1]Historical!$B$7:$B$1253,0))=0,"n/a",((INDEX([1]Historical!$C$7:$C$1231,MATCH(B693,[1]Historical!$B$7:$B$1253,0))/INDEX([1]Historical!$N$7:$N$1222,MATCH(B693,[1]Historical!$B$7:$B$1253,0)))^(1/10)-1)*100)</f>
        <v>10.050899133022394</v>
      </c>
      <c r="W693" s="163">
        <f t="shared" si="183"/>
        <v>0.64454226035025997</v>
      </c>
      <c r="X693" s="164">
        <f t="shared" si="184"/>
        <v>0.9526807714339296</v>
      </c>
      <c r="Y693" s="165"/>
      <c r="Z693" s="157">
        <f t="shared" si="185"/>
        <v>67.205542725173217</v>
      </c>
      <c r="AA693" s="166">
        <f t="shared" si="186"/>
        <v>21.092378752886834</v>
      </c>
      <c r="AB693" s="126">
        <v>12</v>
      </c>
      <c r="AC693" s="167">
        <v>4.33</v>
      </c>
      <c r="AD693" s="167">
        <v>3.35</v>
      </c>
      <c r="AE693" s="167">
        <v>3.11</v>
      </c>
      <c r="AF693" s="167">
        <v>2.56</v>
      </c>
      <c r="AG693" s="167">
        <v>12.3</v>
      </c>
      <c r="AH693" s="167">
        <v>8.4</v>
      </c>
      <c r="AI693" s="167">
        <v>5.0599999999999996</v>
      </c>
      <c r="AJ693" s="167">
        <v>6.8000000000000007</v>
      </c>
      <c r="AK693" s="167">
        <v>6.3100000000000005</v>
      </c>
      <c r="AL693" s="168">
        <v>27990</v>
      </c>
      <c r="AM693" s="169">
        <v>0.12</v>
      </c>
      <c r="AN693" s="167">
        <v>1.36</v>
      </c>
      <c r="AO693" s="170">
        <f t="shared" si="187"/>
        <v>-11.427901833863364</v>
      </c>
      <c r="AP693" s="171">
        <f t="shared" si="188"/>
        <v>9.6644769190234694</v>
      </c>
      <c r="AQ693" s="172">
        <f t="shared" si="189"/>
        <v>54.914298324934485</v>
      </c>
      <c r="AR693" s="157">
        <f>INDEX([1]Historical!$C$7:$C$1231,MATCH(B693,[1]Historical!$B$7:$B$1253,0))*IF(AH693="n/a",1.03,IF(AH693&lt;0,1.01,IF(AH693&gt;10,1.1,(1+AH693/100))))</f>
        <v>2.93764</v>
      </c>
      <c r="AS693" s="166">
        <f t="shared" si="190"/>
        <v>3.0862845839999999</v>
      </c>
      <c r="AT693" s="166">
        <f t="shared" si="196"/>
        <v>3.2810291412503996</v>
      </c>
      <c r="AU693" s="166">
        <f t="shared" si="196"/>
        <v>3.4880620800632998</v>
      </c>
      <c r="AV693" s="166">
        <f t="shared" si="196"/>
        <v>3.7081587973152939</v>
      </c>
      <c r="AW693" s="157">
        <f t="shared" si="192"/>
        <v>16.501174602628993</v>
      </c>
      <c r="AX693" s="173">
        <f t="shared" si="193"/>
        <v>18.067638894808926</v>
      </c>
      <c r="AY693" s="174">
        <v>0.34</v>
      </c>
      <c r="AZ693" s="169">
        <v>13</v>
      </c>
      <c r="BA693" s="169">
        <v>-15.740000000000002</v>
      </c>
      <c r="BB693" s="169">
        <v>-5.13</v>
      </c>
      <c r="BC693" s="169">
        <v>-7.06</v>
      </c>
      <c r="BD693" s="100"/>
      <c r="BE693" s="77">
        <v>2004</v>
      </c>
      <c r="BF693" s="77">
        <f t="shared" si="194"/>
        <v>2</v>
      </c>
      <c r="BG693" s="175">
        <v>3.5000000000000004</v>
      </c>
      <c r="BH693" t="s">
        <v>939</v>
      </c>
      <c r="BI693" t="s">
        <v>940</v>
      </c>
      <c r="BJ693"/>
      <c r="BK693"/>
      <c r="BL693"/>
    </row>
    <row r="694" spans="1:64" s="112" customFormat="1" ht="12.75" customHeight="1" x14ac:dyDescent="0.2">
      <c r="A694" s="112" t="s">
        <v>1708</v>
      </c>
      <c r="B694" s="239" t="s">
        <v>651</v>
      </c>
      <c r="C694" s="154" t="s">
        <v>100</v>
      </c>
      <c r="D694" s="154" t="s">
        <v>1043</v>
      </c>
      <c r="E694" s="155">
        <v>12</v>
      </c>
      <c r="F694" s="298">
        <v>339</v>
      </c>
      <c r="G694" s="298" t="s">
        <v>104</v>
      </c>
      <c r="H694" s="298" t="s">
        <v>104</v>
      </c>
      <c r="I694" s="156">
        <v>138.24</v>
      </c>
      <c r="J694" s="157">
        <f t="shared" si="180"/>
        <v>5.0636574074074066</v>
      </c>
      <c r="K694" s="158">
        <v>1.75</v>
      </c>
      <c r="L694" s="126">
        <v>4</v>
      </c>
      <c r="M694" s="82">
        <f t="shared" si="181"/>
        <v>7</v>
      </c>
      <c r="N694" s="159" t="s">
        <v>167</v>
      </c>
      <c r="O694" s="160">
        <v>1.4</v>
      </c>
      <c r="P694" s="161">
        <v>44616</v>
      </c>
      <c r="Q694" s="161">
        <v>44635</v>
      </c>
      <c r="R694" s="82">
        <f t="shared" si="182"/>
        <v>25.000000000000007</v>
      </c>
      <c r="S694" s="162">
        <f>IF(INDEX([1]Historical!$D$7:$D$1229,MATCH(B694,[1]Historical!$B$7:$B$1253,0))=0,"n/a",(INDEX([1]Historical!$C$7:$C$1231,MATCH(B694,[1]Historical!$B$7:$B$1253,0))/INDEX([1]Historical!$D$7:$D$1229,MATCH(B694,[1]Historical!$B$7:$B$1253,0))-1)*100)</f>
        <v>12.37113402061858</v>
      </c>
      <c r="T694" s="162">
        <f>IF(INDEX([1]Historical!$F$7:$F$1222,MATCH(B694,[1]Historical!$B$7:$B$1253,0))=0,"n/a",((INDEX([1]Historical!$C$7:$C$1231,MATCH(B694,[1]Historical!$B$7:$B$1253,0))/INDEX([1]Historical!$F$7:$F$1222,MATCH(B694,[1]Historical!$B$7:$B$1253,0)))^(1/3)-1)*100)</f>
        <v>6.200941900934942</v>
      </c>
      <c r="U694" s="162">
        <f>IF(INDEX([1]Historical!$H$7:$H$1222,MATCH(B694,[1]Historical!$B$7:$B$1253,0))=0,"n/a",((INDEX([1]Historical!$C$7:$C$1231,MATCH(B694,[1]Historical!$B$7:$B$1253,0))/INDEX([1]Historical!$H$7:$H$1222,MATCH(B694,[1]Historical!$B$7:$B$1253,0)))^(1/5)-1)*100)</f>
        <v>6.9218289704823022</v>
      </c>
      <c r="V694" s="162">
        <f>IF(INDEX([1]Historical!$N$7:$N$1222,MATCH(B694,[1]Historical!$B$7:$B$1253,0))=0,"n/a",((INDEX([1]Historical!$C$7:$C$1231,MATCH(B694,[1]Historical!$B$7:$B$1253,0))/INDEX([1]Historical!$N$7:$N$1222,MATCH(B694,[1]Historical!$B$7:$B$1253,0)))^(1/10)-1)*100)</f>
        <v>10.938916336365544</v>
      </c>
      <c r="W694" s="163">
        <f t="shared" si="183"/>
        <v>0.63277099464333963</v>
      </c>
      <c r="X694" s="164">
        <f t="shared" si="184"/>
        <v>0.35315453931032154</v>
      </c>
      <c r="Y694" s="212"/>
      <c r="Z694" s="157">
        <f t="shared" si="185"/>
        <v>118.84550084889645</v>
      </c>
      <c r="AA694" s="166">
        <f t="shared" si="186"/>
        <v>23.470288624787777</v>
      </c>
      <c r="AB694" s="126">
        <v>12</v>
      </c>
      <c r="AC694" s="167">
        <v>5.89</v>
      </c>
      <c r="AD694" s="167" t="s">
        <v>95</v>
      </c>
      <c r="AE694" s="167">
        <v>0.36</v>
      </c>
      <c r="AF694" s="167">
        <v>1.83</v>
      </c>
      <c r="AG694" s="167">
        <v>8.6999999999999993</v>
      </c>
      <c r="AH694" s="167">
        <v>66.5</v>
      </c>
      <c r="AI694" s="167">
        <v>-11.34</v>
      </c>
      <c r="AJ694" s="167">
        <v>19.600000000000001</v>
      </c>
      <c r="AK694" s="167">
        <v>-11.67</v>
      </c>
      <c r="AL694" s="168">
        <v>7360</v>
      </c>
      <c r="AM694" s="169">
        <v>0.86</v>
      </c>
      <c r="AN694" s="167">
        <v>1.19</v>
      </c>
      <c r="AO694" s="170">
        <f t="shared" si="187"/>
        <v>-11.484802246898068</v>
      </c>
      <c r="AP694" s="171">
        <f t="shared" si="188"/>
        <v>11.985486377889709</v>
      </c>
      <c r="AQ694" s="172">
        <f t="shared" si="189"/>
        <v>38.163555547380376</v>
      </c>
      <c r="AR694" s="157">
        <f>INDEX([1]Historical!$C$7:$C$1231,MATCH(B694,[1]Historical!$B$7:$B$1253,0))*IF(AH694="n/a",1.03,IF(AH694&lt;0,1.01,IF(AH694&gt;10,1.1,(1+AH694/100))))</f>
        <v>5.995000000000001</v>
      </c>
      <c r="AS694" s="166">
        <f t="shared" si="190"/>
        <v>6.0549500000000007</v>
      </c>
      <c r="AT694" s="166">
        <f t="shared" si="196"/>
        <v>6.1154995000000012</v>
      </c>
      <c r="AU694" s="166">
        <f t="shared" si="196"/>
        <v>6.1766544950000011</v>
      </c>
      <c r="AV694" s="166">
        <f t="shared" si="196"/>
        <v>6.2384210399500013</v>
      </c>
      <c r="AW694" s="157">
        <f t="shared" si="192"/>
        <v>30.580525034950007</v>
      </c>
      <c r="AX694" s="173">
        <f t="shared" si="193"/>
        <v>22.121328873661753</v>
      </c>
      <c r="AY694" s="174">
        <v>1.53</v>
      </c>
      <c r="AZ694" s="169">
        <v>11.1</v>
      </c>
      <c r="BA694" s="169">
        <v>-43.68</v>
      </c>
      <c r="BB694" s="169">
        <v>-5.66</v>
      </c>
      <c r="BC694" s="169">
        <v>-19.809999999999999</v>
      </c>
      <c r="BD694" s="100"/>
      <c r="BE694" s="77">
        <v>2011</v>
      </c>
      <c r="BF694" s="77">
        <f t="shared" si="194"/>
        <v>1</v>
      </c>
      <c r="BG694" s="175">
        <v>2</v>
      </c>
      <c r="BH694" t="s">
        <v>939</v>
      </c>
      <c r="BI694" t="s">
        <v>940</v>
      </c>
      <c r="BJ694"/>
      <c r="BK694"/>
      <c r="BL694"/>
    </row>
    <row r="695" spans="1:64" s="112" customFormat="1" ht="12.75" customHeight="1" x14ac:dyDescent="0.2">
      <c r="A695" s="205" t="s">
        <v>1227</v>
      </c>
      <c r="B695" s="239" t="s">
        <v>1228</v>
      </c>
      <c r="C695" s="154" t="s">
        <v>100</v>
      </c>
      <c r="D695" s="154" t="s">
        <v>991</v>
      </c>
      <c r="E695" s="155">
        <v>6</v>
      </c>
      <c r="F695" s="298">
        <v>683</v>
      </c>
      <c r="G695" s="298" t="s">
        <v>88</v>
      </c>
      <c r="H695" s="298" t="s">
        <v>88</v>
      </c>
      <c r="I695" s="156">
        <v>158.38999999999999</v>
      </c>
      <c r="J695" s="157">
        <f t="shared" si="180"/>
        <v>0.47982827198686784</v>
      </c>
      <c r="K695" s="158">
        <v>0.19</v>
      </c>
      <c r="L695" s="126">
        <v>4</v>
      </c>
      <c r="M695" s="82">
        <f t="shared" si="181"/>
        <v>0.76</v>
      </c>
      <c r="N695" s="159" t="s">
        <v>1006</v>
      </c>
      <c r="O695" s="160">
        <v>0.17</v>
      </c>
      <c r="P695" s="161">
        <v>44784</v>
      </c>
      <c r="Q695" s="161">
        <v>44806</v>
      </c>
      <c r="R695" s="82">
        <f t="shared" si="182"/>
        <v>11.764705882352935</v>
      </c>
      <c r="S695" s="162">
        <f>IF(INDEX([1]Historical!$D$7:$D$1229,MATCH(B695,[1]Historical!$B$7:$B$1253,0))=0,"n/a",(INDEX([1]Historical!$C$7:$C$1231,MATCH(B695,[1]Historical!$B$7:$B$1253,0))/INDEX([1]Historical!$D$7:$D$1229,MATCH(B695,[1]Historical!$B$7:$B$1253,0))-1)*100)</f>
        <v>24</v>
      </c>
      <c r="T695" s="162">
        <f>IF(INDEX([1]Historical!$F$7:$F$1222,MATCH(B695,[1]Historical!$B$7:$B$1253,0))=0,"n/a",((INDEX([1]Historical!$C$7:$C$1231,MATCH(B695,[1]Historical!$B$7:$B$1253,0))/INDEX([1]Historical!$F$7:$F$1222,MATCH(B695,[1]Historical!$B$7:$B$1253,0)))^(1/3)-1)*100)</f>
        <v>24.66577380596615</v>
      </c>
      <c r="U695" s="162" t="str">
        <f>IF(INDEX([1]Historical!$H$7:$H$1222,MATCH(B695,[1]Historical!$B$7:$B$1253,0))=0,"n/a",((INDEX([1]Historical!$C$7:$C$1231,MATCH(B695,[1]Historical!$B$7:$B$1253,0))/INDEX([1]Historical!$H$7:$H$1222,MATCH(B695,[1]Historical!$B$7:$B$1253,0)))^(1/5)-1)*100)</f>
        <v>n/a</v>
      </c>
      <c r="V695" s="162" t="str">
        <f>IF(INDEX([1]Historical!$N$7:$N$1222,MATCH(B695,[1]Historical!$B$7:$B$1253,0))=0,"n/a",((INDEX([1]Historical!$C$7:$C$1231,MATCH(B695,[1]Historical!$B$7:$B$1253,0))/INDEX([1]Historical!$N$7:$N$1222,MATCH(B695,[1]Historical!$B$7:$B$1253,0)))^(1/10)-1)*100)</f>
        <v>n/a</v>
      </c>
      <c r="W695" s="163" t="str">
        <f t="shared" si="183"/>
        <v>n/a</v>
      </c>
      <c r="X695" s="164" t="str">
        <f t="shared" si="184"/>
        <v>n/a</v>
      </c>
      <c r="Y695" s="180"/>
      <c r="Z695" s="157">
        <f t="shared" si="185"/>
        <v>53.900709219858157</v>
      </c>
      <c r="AA695" s="166">
        <f t="shared" si="186"/>
        <v>112.33333333333333</v>
      </c>
      <c r="AB695" s="126">
        <v>12</v>
      </c>
      <c r="AC695" s="167">
        <v>1.41</v>
      </c>
      <c r="AD695" s="167">
        <v>5.79</v>
      </c>
      <c r="AE695" s="167">
        <v>14.59</v>
      </c>
      <c r="AF695" s="167" t="s">
        <v>95</v>
      </c>
      <c r="AG695" s="167">
        <v>-10.9</v>
      </c>
      <c r="AH695" s="167">
        <v>82.199999999999989</v>
      </c>
      <c r="AI695" s="167">
        <v>17.580000000000002</v>
      </c>
      <c r="AJ695" s="167">
        <v>24.6</v>
      </c>
      <c r="AK695" s="167">
        <v>19.7</v>
      </c>
      <c r="AL695" s="168">
        <v>4740</v>
      </c>
      <c r="AM695" s="169">
        <v>0.2</v>
      </c>
      <c r="AN695" s="167" t="s">
        <v>95</v>
      </c>
      <c r="AO695" s="170" t="str">
        <f t="shared" si="187"/>
        <v>n/a</v>
      </c>
      <c r="AP695" s="171" t="str">
        <f t="shared" si="188"/>
        <v>n/a</v>
      </c>
      <c r="AQ695" s="172" t="str">
        <f t="shared" si="189"/>
        <v>n/a</v>
      </c>
      <c r="AR695" s="157">
        <f>INDEX([1]Historical!$C$7:$C$1231,MATCH(B695,[1]Historical!$B$7:$B$1253,0))*IF(AH695="n/a",1.03,IF(AH695&lt;0,1.01,IF(AH695&gt;10,1.1,(1+AH695/100))))</f>
        <v>0.68200000000000005</v>
      </c>
      <c r="AS695" s="166">
        <f t="shared" si="190"/>
        <v>0.75020000000000009</v>
      </c>
      <c r="AT695" s="166">
        <f t="shared" ref="AT695:AV710" si="197">IF($AK695="n/a",1.03*AS695,IF($AK695&lt;0,1.01*AS695,IF($AK695&gt;10,1.1*AS695,(1+$AK695/100)*AS695)))</f>
        <v>0.82522000000000018</v>
      </c>
      <c r="AU695" s="166">
        <f t="shared" si="197"/>
        <v>0.90774200000000027</v>
      </c>
      <c r="AV695" s="166">
        <f t="shared" si="197"/>
        <v>0.99851620000000041</v>
      </c>
      <c r="AW695" s="157">
        <f t="shared" si="192"/>
        <v>4.1636782000000006</v>
      </c>
      <c r="AX695" s="173">
        <f t="shared" si="193"/>
        <v>2.6287506787044643</v>
      </c>
      <c r="AY695" s="174">
        <v>1.61</v>
      </c>
      <c r="AZ695" s="169">
        <v>134.06</v>
      </c>
      <c r="BA695" s="169">
        <v>-8.25</v>
      </c>
      <c r="BB695" s="169">
        <v>22.36</v>
      </c>
      <c r="BC695" s="169">
        <v>38.299999999999997</v>
      </c>
      <c r="BD695" s="100"/>
      <c r="BE695" s="77">
        <v>2017</v>
      </c>
      <c r="BF695" s="77">
        <f t="shared" si="194"/>
        <v>1</v>
      </c>
      <c r="BG695" s="175">
        <v>10.8</v>
      </c>
      <c r="BH695" t="s">
        <v>939</v>
      </c>
      <c r="BI695" t="s">
        <v>940</v>
      </c>
    </row>
    <row r="696" spans="1:64" s="112" customFormat="1" ht="12.75" customHeight="1" x14ac:dyDescent="0.2">
      <c r="A696" s="176" t="s">
        <v>1709</v>
      </c>
      <c r="B696" s="239" t="s">
        <v>507</v>
      </c>
      <c r="C696" s="154" t="s">
        <v>96</v>
      </c>
      <c r="D696" s="154" t="s">
        <v>911</v>
      </c>
      <c r="E696" s="155">
        <v>19</v>
      </c>
      <c r="F696" s="298">
        <v>204</v>
      </c>
      <c r="G696" s="298" t="s">
        <v>88</v>
      </c>
      <c r="H696" s="298" t="s">
        <v>88</v>
      </c>
      <c r="I696" s="156">
        <v>96.65</v>
      </c>
      <c r="J696" s="157">
        <f t="shared" si="180"/>
        <v>1.4774961200206931</v>
      </c>
      <c r="K696" s="158">
        <v>0.35699999999999998</v>
      </c>
      <c r="L696" s="126">
        <v>4</v>
      </c>
      <c r="M696" s="82">
        <f t="shared" si="181"/>
        <v>1.4279999999999999</v>
      </c>
      <c r="N696" s="159" t="s">
        <v>236</v>
      </c>
      <c r="O696" s="160">
        <v>0.29749999999999999</v>
      </c>
      <c r="P696" s="161">
        <v>44792</v>
      </c>
      <c r="Q696" s="161">
        <v>44810</v>
      </c>
      <c r="R696" s="82">
        <f t="shared" si="182"/>
        <v>20</v>
      </c>
      <c r="S696" s="162">
        <f>IF(INDEX([1]Historical!$D$7:$D$1229,MATCH(B696,[1]Historical!$B$7:$B$1253,0))=0,"n/a",(INDEX([1]Historical!$C$7:$C$1231,MATCH(B696,[1]Historical!$B$7:$B$1253,0))/INDEX([1]Historical!$D$7:$D$1229,MATCH(B696,[1]Historical!$B$7:$B$1253,0))-1)*100)</f>
        <v>6.5727699530516492</v>
      </c>
      <c r="T696" s="162">
        <f>IF(INDEX([1]Historical!$F$7:$F$1222,MATCH(B696,[1]Historical!$B$7:$B$1253,0))=0,"n/a",((INDEX([1]Historical!$C$7:$C$1231,MATCH(B696,[1]Historical!$B$7:$B$1253,0))/INDEX([1]Historical!$F$7:$F$1222,MATCH(B696,[1]Historical!$B$7:$B$1253,0)))^(1/3)-1)*100)</f>
        <v>7.2513279209609482</v>
      </c>
      <c r="U696" s="162">
        <f>IF(INDEX([1]Historical!$H$7:$H$1222,MATCH(B696,[1]Historical!$B$7:$B$1253,0))=0,"n/a",((INDEX([1]Historical!$C$7:$C$1231,MATCH(B696,[1]Historical!$B$7:$B$1253,0))/INDEX([1]Historical!$H$7:$H$1222,MATCH(B696,[1]Historical!$B$7:$B$1253,0)))^(1/5)-1)*100)</f>
        <v>8.8081031128461227</v>
      </c>
      <c r="V696" s="162">
        <f>IF(INDEX([1]Historical!$N$7:$N$1222,MATCH(B696,[1]Historical!$B$7:$B$1253,0))=0,"n/a",((INDEX([1]Historical!$C$7:$C$1231,MATCH(B696,[1]Historical!$B$7:$B$1253,0))/INDEX([1]Historical!$N$7:$N$1222,MATCH(B696,[1]Historical!$B$7:$B$1253,0)))^(1/10)-1)*100)</f>
        <v>23.523147905834918</v>
      </c>
      <c r="W696" s="163">
        <f t="shared" si="183"/>
        <v>0.37444406454891493</v>
      </c>
      <c r="X696" s="164">
        <f t="shared" si="184"/>
        <v>0.22878189903496424</v>
      </c>
      <c r="Y696" s="178"/>
      <c r="Z696" s="157">
        <f t="shared" si="185"/>
        <v>6.4615384615384599</v>
      </c>
      <c r="AA696" s="166">
        <f t="shared" si="186"/>
        <v>4.373303167420814</v>
      </c>
      <c r="AB696" s="126">
        <v>12</v>
      </c>
      <c r="AC696" s="167">
        <v>22.1</v>
      </c>
      <c r="AD696" s="167">
        <v>0.14000000000000001</v>
      </c>
      <c r="AE696" s="167">
        <v>0.83</v>
      </c>
      <c r="AF696" s="167">
        <v>1.34</v>
      </c>
      <c r="AG696" s="167">
        <v>34.200000000000003</v>
      </c>
      <c r="AH696" s="167">
        <v>506.50000000000006</v>
      </c>
      <c r="AI696" s="167">
        <v>-36.480000000000004</v>
      </c>
      <c r="AJ696" s="167">
        <v>38.5</v>
      </c>
      <c r="AK696" s="167">
        <v>31.900000000000002</v>
      </c>
      <c r="AL696" s="168">
        <v>12580</v>
      </c>
      <c r="AM696" s="169">
        <v>0.6</v>
      </c>
      <c r="AN696" s="167">
        <v>0.52</v>
      </c>
      <c r="AO696" s="170">
        <f t="shared" si="187"/>
        <v>5.9122960654460011</v>
      </c>
      <c r="AP696" s="171">
        <f t="shared" si="188"/>
        <v>10.285599232866815</v>
      </c>
      <c r="AQ696" s="172">
        <f t="shared" si="189"/>
        <v>-48.965256956792913</v>
      </c>
      <c r="AR696" s="157">
        <f>INDEX([1]Historical!$C$7:$C$1231,MATCH(B696,[1]Historical!$B$7:$B$1253,0))*IF(AH696="n/a",1.03,IF(AH696&lt;0,1.01,IF(AH696&gt;10,1.1,(1+AH696/100))))</f>
        <v>1.2485000000000002</v>
      </c>
      <c r="AS696" s="166">
        <f t="shared" si="190"/>
        <v>1.2609850000000002</v>
      </c>
      <c r="AT696" s="166">
        <f t="shared" si="197"/>
        <v>1.3870835000000004</v>
      </c>
      <c r="AU696" s="166">
        <f t="shared" si="197"/>
        <v>1.5257918500000005</v>
      </c>
      <c r="AV696" s="166">
        <f t="shared" si="197"/>
        <v>1.6783710350000007</v>
      </c>
      <c r="AW696" s="157">
        <f t="shared" si="192"/>
        <v>7.1007313850000022</v>
      </c>
      <c r="AX696" s="173">
        <f t="shared" si="193"/>
        <v>7.3468508898085902</v>
      </c>
      <c r="AY696" s="174">
        <v>1.22</v>
      </c>
      <c r="AZ696" s="169">
        <v>18.899999999999999</v>
      </c>
      <c r="BA696" s="169">
        <v>-31.55</v>
      </c>
      <c r="BB696" s="169">
        <v>2.75</v>
      </c>
      <c r="BC696" s="169">
        <v>-10.220000000000001</v>
      </c>
      <c r="BD696" s="100"/>
      <c r="BE696" s="77">
        <v>2004</v>
      </c>
      <c r="BF696" s="77">
        <f t="shared" si="194"/>
        <v>2</v>
      </c>
      <c r="BG696" s="175">
        <v>15.1</v>
      </c>
      <c r="BH696" t="s">
        <v>939</v>
      </c>
      <c r="BI696" t="s">
        <v>940</v>
      </c>
      <c r="BJ696"/>
      <c r="BK696"/>
      <c r="BL696"/>
    </row>
    <row r="697" spans="1:64" s="112" customFormat="1" ht="12.75" customHeight="1" x14ac:dyDescent="0.2">
      <c r="A697" s="112" t="s">
        <v>1469</v>
      </c>
      <c r="B697" s="239" t="s">
        <v>1825</v>
      </c>
      <c r="C697" s="154" t="s">
        <v>981</v>
      </c>
      <c r="D697" s="154" t="s">
        <v>238</v>
      </c>
      <c r="E697" s="155">
        <v>29</v>
      </c>
      <c r="F697" s="298">
        <v>112</v>
      </c>
      <c r="G697" s="298" t="s">
        <v>88</v>
      </c>
      <c r="H697" s="298" t="s">
        <v>88</v>
      </c>
      <c r="I697" s="167">
        <v>42.19</v>
      </c>
      <c r="J697" s="157">
        <f t="shared" si="180"/>
        <v>3.2946195780990757</v>
      </c>
      <c r="K697" s="209">
        <v>0.34749999999999998</v>
      </c>
      <c r="L697" s="126">
        <v>4</v>
      </c>
      <c r="M697" s="82">
        <f t="shared" si="181"/>
        <v>1.39</v>
      </c>
      <c r="N697" s="159" t="s">
        <v>709</v>
      </c>
      <c r="O697" s="210">
        <v>0.34499999999999997</v>
      </c>
      <c r="P697" s="161">
        <v>44747</v>
      </c>
      <c r="Q697" s="161">
        <v>44762</v>
      </c>
      <c r="R697" s="82">
        <f t="shared" si="182"/>
        <v>0.72463768115942095</v>
      </c>
      <c r="S697" s="162">
        <f>IF(INDEX([1]Historical!$D$7:$D$1229,MATCH(B697,[1]Historical!$B$7:$B$1253,0))=0,"n/a",(INDEX([1]Historical!$C$7:$C$1231,MATCH(B697,[1]Historical!$B$7:$B$1253,0))/INDEX([1]Historical!$D$7:$D$1229,MATCH(B697,[1]Historical!$B$7:$B$1253,0))-1)*100)</f>
        <v>0.73260073260073</v>
      </c>
      <c r="T697" s="162">
        <f>IF(INDEX([1]Historical!$F$7:$F$1222,MATCH(B697,[1]Historical!$B$7:$B$1253,0))=0,"n/a",((INDEX([1]Historical!$C$7:$C$1231,MATCH(B697,[1]Historical!$B$7:$B$1253,0))/INDEX([1]Historical!$F$7:$F$1222,MATCH(B697,[1]Historical!$B$7:$B$1253,0)))^(1/3)-1)*100)</f>
        <v>1.8872362595751646</v>
      </c>
      <c r="U697" s="162">
        <f>IF(INDEX([1]Historical!$H$7:$H$1222,MATCH(B697,[1]Historical!$B$7:$B$1253,0))=0,"n/a",((INDEX([1]Historical!$C$7:$C$1231,MATCH(B697,[1]Historical!$B$7:$B$1253,0))/INDEX([1]Historical!$H$7:$H$1222,MATCH(B697,[1]Historical!$B$7:$B$1253,0)))^(1/5)-1)*100)</f>
        <v>2.4208966324774872</v>
      </c>
      <c r="V697" s="162">
        <f>IF(INDEX([1]Historical!$N$7:$N$1222,MATCH(B697,[1]Historical!$B$7:$B$1253,0))=0,"n/a",((INDEX([1]Historical!$C$7:$C$1231,MATCH(B697,[1]Historical!$B$7:$B$1253,0))/INDEX([1]Historical!$N$7:$N$1222,MATCH(B697,[1]Historical!$B$7:$B$1253,0)))^(1/10)-1)*100)</f>
        <v>6.683442243976434</v>
      </c>
      <c r="W697" s="163">
        <f t="shared" si="183"/>
        <v>0.3622230198307409</v>
      </c>
      <c r="X697" s="164">
        <f t="shared" si="184"/>
        <v>0.39686830040614546</v>
      </c>
      <c r="Y697" s="178" t="s">
        <v>343</v>
      </c>
      <c r="Z697" s="157">
        <f t="shared" si="185"/>
        <v>67.475728155339795</v>
      </c>
      <c r="AA697" s="166">
        <f t="shared" si="186"/>
        <v>20.480582524271842</v>
      </c>
      <c r="AB697" s="126">
        <v>4</v>
      </c>
      <c r="AC697" s="167">
        <v>2.06</v>
      </c>
      <c r="AD697" s="167">
        <v>7.84</v>
      </c>
      <c r="AE697" s="167">
        <v>1.1000000000000001</v>
      </c>
      <c r="AF697" s="167">
        <v>2.16</v>
      </c>
      <c r="AG697" s="167">
        <v>10.5</v>
      </c>
      <c r="AH697" s="167">
        <v>-0.2</v>
      </c>
      <c r="AI697" s="167">
        <v>7.6899999999999995</v>
      </c>
      <c r="AJ697" s="167">
        <v>6.1</v>
      </c>
      <c r="AK697" s="167">
        <v>2.6</v>
      </c>
      <c r="AL697" s="168">
        <v>2290</v>
      </c>
      <c r="AM697" s="169">
        <v>0.6</v>
      </c>
      <c r="AN697" s="167">
        <v>0.87</v>
      </c>
      <c r="AO697" s="170">
        <f t="shared" si="187"/>
        <v>-14.765066313695279</v>
      </c>
      <c r="AP697" s="171">
        <f t="shared" si="188"/>
        <v>5.7155162105765633</v>
      </c>
      <c r="AQ697" s="172">
        <f t="shared" si="189"/>
        <v>40.218968842667536</v>
      </c>
      <c r="AR697" s="157">
        <f>INDEX([1]Historical!$C$7:$C$1231,MATCH(B697,[1]Historical!$B$7:$B$1253,0))*IF(AH697="n/a",1.03,IF(AH697&lt;0,1.01,IF(AH697&gt;10,1.1,(1+AH697/100))))</f>
        <v>1.3887499999999999</v>
      </c>
      <c r="AS697" s="166">
        <f t="shared" si="190"/>
        <v>1.4955448749999998</v>
      </c>
      <c r="AT697" s="166">
        <f t="shared" si="197"/>
        <v>1.5344290417499997</v>
      </c>
      <c r="AU697" s="166">
        <f t="shared" si="197"/>
        <v>1.5743241968354997</v>
      </c>
      <c r="AV697" s="166">
        <f t="shared" si="197"/>
        <v>1.6152566259532228</v>
      </c>
      <c r="AW697" s="157">
        <f t="shared" si="192"/>
        <v>7.6083047395387222</v>
      </c>
      <c r="AX697" s="173">
        <f t="shared" si="193"/>
        <v>18.033431475559901</v>
      </c>
      <c r="AY697" s="174">
        <v>0.92</v>
      </c>
      <c r="AZ697" s="169">
        <v>15.370000000000001</v>
      </c>
      <c r="BA697" s="169">
        <v>-27.51</v>
      </c>
      <c r="BB697" s="169">
        <v>-0.6</v>
      </c>
      <c r="BC697" s="169">
        <v>-13.8</v>
      </c>
      <c r="BD697" s="100"/>
      <c r="BE697" s="77">
        <v>1994</v>
      </c>
      <c r="BF697" s="77">
        <f t="shared" si="194"/>
        <v>3</v>
      </c>
      <c r="BG697" s="175">
        <v>3.5000000000000004</v>
      </c>
      <c r="BH697" t="s">
        <v>939</v>
      </c>
      <c r="BI697" t="s">
        <v>940</v>
      </c>
      <c r="BJ697"/>
      <c r="BK697"/>
      <c r="BL697"/>
    </row>
    <row r="698" spans="1:64" s="112" customFormat="1" ht="12.75" customHeight="1" x14ac:dyDescent="0.2">
      <c r="A698" s="176" t="s">
        <v>1711</v>
      </c>
      <c r="B698" s="239" t="s">
        <v>502</v>
      </c>
      <c r="C698" s="154" t="s">
        <v>94</v>
      </c>
      <c r="D698" s="154" t="s">
        <v>943</v>
      </c>
      <c r="E698" s="155">
        <v>19</v>
      </c>
      <c r="F698" s="298">
        <v>197</v>
      </c>
      <c r="G698" s="298" t="s">
        <v>30</v>
      </c>
      <c r="H698" s="298" t="s">
        <v>104</v>
      </c>
      <c r="I698" s="156">
        <v>158.37</v>
      </c>
      <c r="J698" s="157">
        <f t="shared" si="180"/>
        <v>1.6417250741933447</v>
      </c>
      <c r="K698" s="158">
        <v>0.65</v>
      </c>
      <c r="L698" s="126">
        <v>4</v>
      </c>
      <c r="M698" s="82">
        <f t="shared" si="181"/>
        <v>2.6</v>
      </c>
      <c r="N698" s="159" t="s">
        <v>308</v>
      </c>
      <c r="O698" s="160">
        <v>0.57499999999999996</v>
      </c>
      <c r="P698" s="161">
        <v>44636</v>
      </c>
      <c r="Q698" s="161">
        <v>44651</v>
      </c>
      <c r="R698" s="82">
        <f t="shared" si="182"/>
        <v>13.043478260869579</v>
      </c>
      <c r="S698" s="162">
        <f>IF(INDEX([1]Historical!$D$7:$D$1229,MATCH(B698,[1]Historical!$B$7:$B$1253,0))=0,"n/a",(INDEX([1]Historical!$C$7:$C$1231,MATCH(B698,[1]Historical!$B$7:$B$1253,0))/INDEX([1]Historical!$D$7:$D$1229,MATCH(B698,[1]Historical!$B$7:$B$1253,0))-1)*100)</f>
        <v>5.504587155963292</v>
      </c>
      <c r="T698" s="162">
        <f>IF(INDEX([1]Historical!$F$7:$F$1222,MATCH(B698,[1]Historical!$B$7:$B$1253,0))=0,"n/a",((INDEX([1]Historical!$C$7:$C$1231,MATCH(B698,[1]Historical!$B$7:$B$1253,0))/INDEX([1]Historical!$F$7:$F$1222,MATCH(B698,[1]Historical!$B$7:$B$1253,0)))^(1/3)-1)*100)</f>
        <v>7.3342428993661057</v>
      </c>
      <c r="U698" s="162">
        <f>IF(INDEX([1]Historical!$H$7:$H$1222,MATCH(B698,[1]Historical!$B$7:$B$1253,0))=0,"n/a",((INDEX([1]Historical!$C$7:$C$1231,MATCH(B698,[1]Historical!$B$7:$B$1253,0))/INDEX([1]Historical!$H$7:$H$1222,MATCH(B698,[1]Historical!$B$7:$B$1253,0)))^(1/5)-1)*100)</f>
        <v>6.9982802826402457</v>
      </c>
      <c r="V698" s="162">
        <f>IF(INDEX([1]Historical!$N$7:$N$1222,MATCH(B698,[1]Historical!$B$7:$B$1253,0))=0,"n/a",((INDEX([1]Historical!$C$7:$C$1231,MATCH(B698,[1]Historical!$B$7:$B$1253,0))/INDEX([1]Historical!$N$7:$N$1222,MATCH(B698,[1]Historical!$B$7:$B$1253,0)))^(1/10)-1)*100)</f>
        <v>5.394729309620816</v>
      </c>
      <c r="W698" s="163">
        <f t="shared" si="183"/>
        <v>1.2972440100302529</v>
      </c>
      <c r="X698" s="164">
        <f t="shared" si="184"/>
        <v>0.68610591006276922</v>
      </c>
      <c r="Y698" s="220" t="s">
        <v>854</v>
      </c>
      <c r="Z698" s="157">
        <f t="shared" si="185"/>
        <v>48.3271375464684</v>
      </c>
      <c r="AA698" s="166">
        <f t="shared" si="186"/>
        <v>29.436802973977695</v>
      </c>
      <c r="AB698" s="126">
        <v>12</v>
      </c>
      <c r="AC698" s="167">
        <v>5.38</v>
      </c>
      <c r="AD698" s="167">
        <v>2.52</v>
      </c>
      <c r="AE698" s="167">
        <v>3.34</v>
      </c>
      <c r="AF698" s="167">
        <v>9.2799999999999994</v>
      </c>
      <c r="AG698" s="167">
        <v>31.5</v>
      </c>
      <c r="AH698" s="167">
        <v>22</v>
      </c>
      <c r="AI698" s="167">
        <v>8.07</v>
      </c>
      <c r="AJ698" s="167">
        <v>10.199999999999999</v>
      </c>
      <c r="AK698" s="167">
        <v>11.66</v>
      </c>
      <c r="AL698" s="168">
        <v>64980.000000000007</v>
      </c>
      <c r="AM698" s="169">
        <v>0.1</v>
      </c>
      <c r="AN698" s="167">
        <v>2.0099999999999998</v>
      </c>
      <c r="AO698" s="170">
        <f t="shared" si="187"/>
        <v>-20.796797617144104</v>
      </c>
      <c r="AP698" s="171">
        <f t="shared" si="188"/>
        <v>8.6400053568335906</v>
      </c>
      <c r="AQ698" s="172">
        <f t="shared" si="189"/>
        <v>248.44003571379108</v>
      </c>
      <c r="AR698" s="157">
        <f>INDEX([1]Historical!$C$7:$C$1231,MATCH(B698,[1]Historical!$B$7:$B$1253,0))*IF(AH698="n/a",1.03,IF(AH698&lt;0,1.01,IF(AH698&gt;10,1.1,(1+AH698/100))))</f>
        <v>2.5299999999999998</v>
      </c>
      <c r="AS698" s="166">
        <f t="shared" si="190"/>
        <v>2.7341709999999999</v>
      </c>
      <c r="AT698" s="166">
        <f t="shared" si="197"/>
        <v>3.0075881</v>
      </c>
      <c r="AU698" s="166">
        <f t="shared" si="197"/>
        <v>3.3083469100000005</v>
      </c>
      <c r="AV698" s="166">
        <f t="shared" si="197"/>
        <v>3.6391816010000007</v>
      </c>
      <c r="AW698" s="157">
        <f t="shared" si="192"/>
        <v>15.219287611</v>
      </c>
      <c r="AX698" s="173">
        <f t="shared" si="193"/>
        <v>9.6099561855149336</v>
      </c>
      <c r="AY698" s="174">
        <v>0.73</v>
      </c>
      <c r="AZ698" s="169">
        <v>14.280000000000001</v>
      </c>
      <c r="BA698" s="169">
        <v>-10.01</v>
      </c>
      <c r="BB698" s="169">
        <v>-4.51</v>
      </c>
      <c r="BC698" s="169">
        <v>0.3</v>
      </c>
      <c r="BD698" s="100"/>
      <c r="BE698" s="77">
        <v>2004</v>
      </c>
      <c r="BF698" s="77">
        <f t="shared" si="194"/>
        <v>2</v>
      </c>
      <c r="BG698" s="175">
        <v>7.6</v>
      </c>
      <c r="BH698" t="s">
        <v>939</v>
      </c>
      <c r="BI698" t="s">
        <v>940</v>
      </c>
      <c r="BJ698"/>
      <c r="BK698"/>
      <c r="BL698"/>
    </row>
    <row r="699" spans="1:64" s="112" customFormat="1" ht="12.75" customHeight="1" x14ac:dyDescent="0.2">
      <c r="A699" s="205" t="s">
        <v>1787</v>
      </c>
      <c r="B699" s="239" t="s">
        <v>1788</v>
      </c>
      <c r="C699" s="154" t="s">
        <v>109</v>
      </c>
      <c r="D699" s="154" t="s">
        <v>1028</v>
      </c>
      <c r="E699" s="155">
        <v>5</v>
      </c>
      <c r="F699" s="298">
        <v>701</v>
      </c>
      <c r="G699" s="298" t="s">
        <v>88</v>
      </c>
      <c r="H699" s="298" t="s">
        <v>88</v>
      </c>
      <c r="I699" s="156">
        <v>32.729999999999997</v>
      </c>
      <c r="J699" s="157">
        <f t="shared" si="180"/>
        <v>5.1940116101435994</v>
      </c>
      <c r="K699" s="158">
        <v>0.42499999999999999</v>
      </c>
      <c r="L699" s="126">
        <v>4</v>
      </c>
      <c r="M699" s="82">
        <f t="shared" si="181"/>
        <v>1.7</v>
      </c>
      <c r="N699" s="159" t="s">
        <v>119</v>
      </c>
      <c r="O699" s="160">
        <v>0.41</v>
      </c>
      <c r="P699" s="161">
        <v>44630</v>
      </c>
      <c r="Q699" s="161">
        <v>44648</v>
      </c>
      <c r="R699" s="82">
        <f t="shared" si="182"/>
        <v>3.6585365853658569</v>
      </c>
      <c r="S699" s="162">
        <f>IF(INDEX([1]Historical!$D$7:$D$1229,MATCH(B699,[1]Historical!$B$7:$B$1253,0))=0,"n/a",(INDEX([1]Historical!$C$7:$C$1231,MATCH(B699,[1]Historical!$B$7:$B$1253,0))/INDEX([1]Historical!$D$7:$D$1229,MATCH(B699,[1]Historical!$B$7:$B$1253,0))-1)*100)</f>
        <v>2.4999999999999911</v>
      </c>
      <c r="T699" s="162">
        <f>IF(INDEX([1]Historical!$F$7:$F$1222,MATCH(B699,[1]Historical!$B$7:$B$1253,0))=0,"n/a",((INDEX([1]Historical!$C$7:$C$1231,MATCH(B699,[1]Historical!$B$7:$B$1253,0))/INDEX([1]Historical!$F$7:$F$1222,MATCH(B699,[1]Historical!$B$7:$B$1253,0)))^(1/3)-1)*100)</f>
        <v>6.4392109888903093</v>
      </c>
      <c r="U699" s="162">
        <f>IF(INDEX([1]Historical!$H$7:$H$1222,MATCH(B699,[1]Historical!$B$7:$B$1253,0))=0,"n/a",((INDEX([1]Historical!$C$7:$C$1231,MATCH(B699,[1]Historical!$B$7:$B$1253,0))/INDEX([1]Historical!$H$7:$H$1222,MATCH(B699,[1]Historical!$B$7:$B$1253,0)))^(1/5)-1)*100)</f>
        <v>-0.48079151111850571</v>
      </c>
      <c r="V699" s="162">
        <f>IF(INDEX([1]Historical!$N$7:$N$1222,MATCH(B699,[1]Historical!$B$7:$B$1253,0))=0,"n/a",((INDEX([1]Historical!$C$7:$C$1231,MATCH(B699,[1]Historical!$B$7:$B$1253,0))/INDEX([1]Historical!$N$7:$N$1222,MATCH(B699,[1]Historical!$B$7:$B$1253,0)))^(1/10)-1)*100)</f>
        <v>9.9781144538994226</v>
      </c>
      <c r="W699" s="163" t="str">
        <f t="shared" si="183"/>
        <v>n/a</v>
      </c>
      <c r="X699" s="164" t="str">
        <f t="shared" si="184"/>
        <v>n/a</v>
      </c>
      <c r="Y699" s="180"/>
      <c r="Z699" s="157">
        <f t="shared" si="185"/>
        <v>132.8125</v>
      </c>
      <c r="AA699" s="166">
        <f t="shared" si="186"/>
        <v>25.570312499999996</v>
      </c>
      <c r="AB699" s="126">
        <v>12</v>
      </c>
      <c r="AC699" s="167">
        <v>1.28</v>
      </c>
      <c r="AD699" s="167">
        <v>2.81</v>
      </c>
      <c r="AE699" s="167">
        <v>3.69</v>
      </c>
      <c r="AF699" s="167">
        <v>3.56</v>
      </c>
      <c r="AG699" s="167">
        <v>13.900000000000002</v>
      </c>
      <c r="AH699" s="167">
        <v>626.1</v>
      </c>
      <c r="AI699" s="167">
        <v>14.11</v>
      </c>
      <c r="AJ699" s="167">
        <v>33.200000000000003</v>
      </c>
      <c r="AK699" s="167">
        <v>9.08</v>
      </c>
      <c r="AL699" s="168">
        <v>39600</v>
      </c>
      <c r="AM699" s="169">
        <v>0.3</v>
      </c>
      <c r="AN699" s="167">
        <v>2.0299999999999998</v>
      </c>
      <c r="AO699" s="170">
        <f t="shared" si="187"/>
        <v>-20.857092400974903</v>
      </c>
      <c r="AP699" s="171">
        <f t="shared" si="188"/>
        <v>4.7132200990250936</v>
      </c>
      <c r="AQ699" s="172">
        <f t="shared" si="189"/>
        <v>101.14153391745492</v>
      </c>
      <c r="AR699" s="157">
        <f>INDEX([1]Historical!$C$7:$C$1231,MATCH(B699,[1]Historical!$B$7:$B$1253,0))*IF(AH699="n/a",1.03,IF(AH699&lt;0,1.01,IF(AH699&gt;10,1.1,(1+AH699/100))))</f>
        <v>1.804</v>
      </c>
      <c r="AS699" s="166">
        <f t="shared" si="190"/>
        <v>1.9844000000000002</v>
      </c>
      <c r="AT699" s="166">
        <f t="shared" si="197"/>
        <v>2.1645835200000003</v>
      </c>
      <c r="AU699" s="166">
        <f t="shared" si="197"/>
        <v>2.3611277036160003</v>
      </c>
      <c r="AV699" s="166">
        <f t="shared" si="197"/>
        <v>2.5755180991043329</v>
      </c>
      <c r="AW699" s="157">
        <f t="shared" si="192"/>
        <v>10.889629322720333</v>
      </c>
      <c r="AX699" s="173">
        <f t="shared" si="193"/>
        <v>33.271094783746818</v>
      </c>
      <c r="AY699" s="174">
        <v>1.25</v>
      </c>
      <c r="AZ699" s="169">
        <v>31.66</v>
      </c>
      <c r="BA699" s="169">
        <v>-13.8</v>
      </c>
      <c r="BB699" s="169">
        <v>2.92</v>
      </c>
      <c r="BC699" s="169">
        <v>0.53</v>
      </c>
      <c r="BD699" s="100"/>
      <c r="BE699" s="77">
        <v>2018</v>
      </c>
      <c r="BF699" s="77">
        <f t="shared" si="194"/>
        <v>1</v>
      </c>
      <c r="BG699" s="175">
        <v>3.3000000000000003</v>
      </c>
      <c r="BH699" t="s">
        <v>939</v>
      </c>
      <c r="BI699" t="s">
        <v>940</v>
      </c>
    </row>
    <row r="700" spans="1:64" s="112" customFormat="1" ht="12.75" customHeight="1" x14ac:dyDescent="0.2">
      <c r="A700" s="238" t="s">
        <v>1712</v>
      </c>
      <c r="B700" s="239" t="s">
        <v>896</v>
      </c>
      <c r="C700" s="154" t="s">
        <v>94</v>
      </c>
      <c r="D700" s="154" t="s">
        <v>760</v>
      </c>
      <c r="E700" s="155">
        <v>9</v>
      </c>
      <c r="F700" s="298">
        <v>545</v>
      </c>
      <c r="G700" s="298" t="s">
        <v>88</v>
      </c>
      <c r="H700" s="298" t="s">
        <v>88</v>
      </c>
      <c r="I700" s="116">
        <v>115.88</v>
      </c>
      <c r="J700" s="157">
        <f t="shared" si="180"/>
        <v>0.41422160856057993</v>
      </c>
      <c r="K700" s="112">
        <v>0.12</v>
      </c>
      <c r="L700" s="298">
        <v>4</v>
      </c>
      <c r="M700" s="82">
        <f t="shared" si="181"/>
        <v>0.48</v>
      </c>
      <c r="N700" s="298" t="s">
        <v>677</v>
      </c>
      <c r="O700" s="239">
        <v>0.11</v>
      </c>
      <c r="P700" s="161">
        <v>44712</v>
      </c>
      <c r="Q700" s="161">
        <v>44727</v>
      </c>
      <c r="R700" s="82">
        <f t="shared" si="182"/>
        <v>9.0909090909090864</v>
      </c>
      <c r="S700" s="162">
        <f>IF(INDEX([1]Historical!$D$7:$D$1229,MATCH(B700,[1]Historical!$B$7:$B$1253,0))=0,"n/a",(INDEX([1]Historical!$C$7:$C$1231,MATCH(B700,[1]Historical!$B$7:$B$1253,0))/INDEX([1]Historical!$D$7:$D$1229,MATCH(B700,[1]Historical!$B$7:$B$1253,0))-1)*100)</f>
        <v>16.666666666666675</v>
      </c>
      <c r="T700" s="162">
        <f>IF(INDEX([1]Historical!$F$7:$F$1222,MATCH(B700,[1]Historical!$B$7:$B$1253,0))=0,"n/a",((INDEX([1]Historical!$C$7:$C$1231,MATCH(B700,[1]Historical!$B$7:$B$1253,0))/INDEX([1]Historical!$F$7:$F$1222,MATCH(B700,[1]Historical!$B$7:$B$1253,0)))^(1/3)-1)*100)</f>
        <v>10.652831653505768</v>
      </c>
      <c r="U700" s="162">
        <f>IF(INDEX([1]Historical!$H$7:$H$1222,MATCH(B700,[1]Historical!$B$7:$B$1253,0))=0,"n/a",((INDEX([1]Historical!$C$7:$C$1231,MATCH(B700,[1]Historical!$B$7:$B$1253,0))/INDEX([1]Historical!$H$7:$H$1222,MATCH(B700,[1]Historical!$B$7:$B$1253,0)))^(1/5)-1)*100)</f>
        <v>13.80604263098537</v>
      </c>
      <c r="V700" s="162" t="str">
        <f>IF(INDEX([1]Historical!$N$7:$N$1222,MATCH(B700,[1]Historical!$B$7:$B$1253,0))=0,"n/a",((INDEX([1]Historical!$C$7:$C$1231,MATCH(B700,[1]Historical!$B$7:$B$1253,0))/INDEX([1]Historical!$N$7:$N$1222,MATCH(B700,[1]Historical!$B$7:$B$1253,0)))^(1/10)-1)*100)</f>
        <v>n/a</v>
      </c>
      <c r="W700" s="163" t="str">
        <f t="shared" si="183"/>
        <v>n/a</v>
      </c>
      <c r="X700" s="164">
        <f t="shared" si="184"/>
        <v>0.31164881785520027</v>
      </c>
      <c r="Y700" s="220"/>
      <c r="Z700" s="157">
        <f t="shared" si="185"/>
        <v>10.690423162583517</v>
      </c>
      <c r="AA700" s="166">
        <f t="shared" si="186"/>
        <v>25.808463251670375</v>
      </c>
      <c r="AB700" s="126">
        <v>3</v>
      </c>
      <c r="AC700" s="175">
        <v>4.49</v>
      </c>
      <c r="AD700" s="175">
        <v>0.53</v>
      </c>
      <c r="AE700" s="167">
        <v>3.44</v>
      </c>
      <c r="AF700" s="167">
        <v>8.3800000000000008</v>
      </c>
      <c r="AG700" s="167" t="s">
        <v>95</v>
      </c>
      <c r="AH700" s="167">
        <v>21.5</v>
      </c>
      <c r="AI700" s="167">
        <v>5.26</v>
      </c>
      <c r="AJ700" s="241">
        <v>44.3</v>
      </c>
      <c r="AK700" s="241">
        <v>49.5</v>
      </c>
      <c r="AL700" s="175">
        <v>10380</v>
      </c>
      <c r="AM700" s="175">
        <v>0.8</v>
      </c>
      <c r="AN700" s="175">
        <v>1.1100000000000001</v>
      </c>
      <c r="AO700" s="170">
        <f t="shared" si="187"/>
        <v>-11.588199012124425</v>
      </c>
      <c r="AP700" s="171">
        <f t="shared" si="188"/>
        <v>14.22026423954595</v>
      </c>
      <c r="AQ700" s="172">
        <f t="shared" si="189"/>
        <v>210.03578434969788</v>
      </c>
      <c r="AR700" s="157">
        <f>INDEX([1]Historical!$C$7:$C$1231,MATCH(B700,[1]Historical!$B$7:$B$1253,0))*IF(AH700="n/a",1.03,IF(AH700&lt;0,1.01,IF(AH700&gt;10,1.1,(1+AH700/100))))</f>
        <v>0.46200000000000002</v>
      </c>
      <c r="AS700" s="166">
        <f t="shared" si="190"/>
        <v>0.48630119999999999</v>
      </c>
      <c r="AT700" s="166">
        <f t="shared" si="197"/>
        <v>0.53493131999999999</v>
      </c>
      <c r="AU700" s="166">
        <f t="shared" si="197"/>
        <v>0.58842445200000004</v>
      </c>
      <c r="AV700" s="166">
        <f t="shared" si="197"/>
        <v>0.64726689720000008</v>
      </c>
      <c r="AW700" s="157">
        <f t="shared" si="192"/>
        <v>2.7189238692000002</v>
      </c>
      <c r="AX700" s="173">
        <f t="shared" si="193"/>
        <v>2.3463271221953748</v>
      </c>
      <c r="AY700" s="225">
        <v>1.4</v>
      </c>
      <c r="AZ700" s="167">
        <v>43.4</v>
      </c>
      <c r="BA700" s="167">
        <v>-24.44</v>
      </c>
      <c r="BB700" s="167">
        <v>-11.31</v>
      </c>
      <c r="BC700" s="167">
        <v>-0.01</v>
      </c>
      <c r="BD700" s="100"/>
      <c r="BE700" s="77">
        <v>2014</v>
      </c>
      <c r="BF700" s="77">
        <f t="shared" si="194"/>
        <v>1</v>
      </c>
      <c r="BG700" s="175" t="s">
        <v>95</v>
      </c>
      <c r="BH700" t="s">
        <v>939</v>
      </c>
      <c r="BI700" t="s">
        <v>940</v>
      </c>
    </row>
    <row r="701" spans="1:64" s="112" customFormat="1" ht="12.75" customHeight="1" x14ac:dyDescent="0.2">
      <c r="A701" s="112" t="s">
        <v>1713</v>
      </c>
      <c r="B701" s="239" t="s">
        <v>501</v>
      </c>
      <c r="C701" s="154" t="s">
        <v>127</v>
      </c>
      <c r="D701" s="154" t="s">
        <v>973</v>
      </c>
      <c r="E701" s="155">
        <v>49</v>
      </c>
      <c r="F701" s="298">
        <v>46</v>
      </c>
      <c r="G701" s="298" t="s">
        <v>30</v>
      </c>
      <c r="H701" s="298" t="s">
        <v>104</v>
      </c>
      <c r="I701" s="167">
        <v>142.33000000000001</v>
      </c>
      <c r="J701" s="157">
        <f t="shared" si="180"/>
        <v>1.5738073491182465</v>
      </c>
      <c r="K701" s="158">
        <v>0.56000000000000005</v>
      </c>
      <c r="L701" s="126">
        <v>4</v>
      </c>
      <c r="M701" s="82">
        <f t="shared" si="181"/>
        <v>2.2400000000000002</v>
      </c>
      <c r="N701" s="159" t="s">
        <v>183</v>
      </c>
      <c r="O701" s="160">
        <v>0.55000000000000004</v>
      </c>
      <c r="P701" s="161">
        <v>44637</v>
      </c>
      <c r="Q701" s="161">
        <v>44655</v>
      </c>
      <c r="R701" s="82">
        <f t="shared" si="182"/>
        <v>1.8181818181818195</v>
      </c>
      <c r="S701" s="162">
        <f>IF(INDEX([1]Historical!$D$7:$D$1229,MATCH(B701,[1]Historical!$B$7:$B$1253,0))=0,"n/a",(INDEX([1]Historical!$C$7:$C$1231,MATCH(B701,[1]Historical!$B$7:$B$1253,0))/INDEX([1]Historical!$D$7:$D$1229,MATCH(B701,[1]Historical!$B$7:$B$1253,0))-1)*100)</f>
        <v>1.8604651162790642</v>
      </c>
      <c r="T701" s="162">
        <f>IF(INDEX([1]Historical!$F$7:$F$1222,MATCH(B701,[1]Historical!$B$7:$B$1253,0))=0,"n/a",((INDEX([1]Historical!$C$7:$C$1231,MATCH(B701,[1]Historical!$B$7:$B$1253,0))/INDEX([1]Historical!$F$7:$F$1222,MATCH(B701,[1]Historical!$B$7:$B$1253,0)))^(1/3)-1)*100)</f>
        <v>1.8961847258305076</v>
      </c>
      <c r="U701" s="162">
        <f>IF(INDEX([1]Historical!$H$7:$H$1222,MATCH(B701,[1]Historical!$B$7:$B$1253,0))=0,"n/a",((INDEX([1]Historical!$C$7:$C$1231,MATCH(B701,[1]Historical!$B$7:$B$1253,0))/INDEX([1]Historical!$H$7:$H$1222,MATCH(B701,[1]Historical!$B$7:$B$1253,0)))^(1/5)-1)*100)</f>
        <v>1.933798372572193</v>
      </c>
      <c r="V701" s="162">
        <f>IF(INDEX([1]Historical!$N$7:$N$1222,MATCH(B701,[1]Historical!$B$7:$B$1253,0))=0,"n/a",((INDEX([1]Historical!$C$7:$C$1231,MATCH(B701,[1]Historical!$B$7:$B$1253,0))/INDEX([1]Historical!$N$7:$N$1222,MATCH(B701,[1]Historical!$B$7:$B$1253,0)))^(1/10)-1)*100)</f>
        <v>4.5945919155732762</v>
      </c>
      <c r="W701" s="163">
        <f t="shared" si="183"/>
        <v>0.42088577355860979</v>
      </c>
      <c r="X701" s="164">
        <f t="shared" si="184"/>
        <v>0.92085636789152048</v>
      </c>
      <c r="Y701" s="153"/>
      <c r="Z701" s="157">
        <f t="shared" si="185"/>
        <v>44.710578842315371</v>
      </c>
      <c r="AA701" s="166">
        <f t="shared" si="186"/>
        <v>28.409181636726551</v>
      </c>
      <c r="AB701" s="126">
        <v>1</v>
      </c>
      <c r="AC701" s="167">
        <v>5.01</v>
      </c>
      <c r="AD701" s="167">
        <v>4.74</v>
      </c>
      <c r="AE701" s="167">
        <v>0.65</v>
      </c>
      <c r="AF701" s="167">
        <v>5.03</v>
      </c>
      <c r="AG701" s="167">
        <v>17.299999999999997</v>
      </c>
      <c r="AH701" s="167">
        <v>2.7</v>
      </c>
      <c r="AI701" s="167">
        <v>11.89</v>
      </c>
      <c r="AJ701" s="167">
        <v>2.1</v>
      </c>
      <c r="AK701" s="167">
        <v>6</v>
      </c>
      <c r="AL701" s="168">
        <v>381980</v>
      </c>
      <c r="AM701" s="169">
        <v>0.8</v>
      </c>
      <c r="AN701" s="167">
        <v>0.65</v>
      </c>
      <c r="AO701" s="170">
        <f t="shared" si="187"/>
        <v>-24.901575915036112</v>
      </c>
      <c r="AP701" s="171">
        <f t="shared" si="188"/>
        <v>3.5076057216904397</v>
      </c>
      <c r="AQ701" s="172">
        <f t="shared" si="189"/>
        <v>152.01250730225854</v>
      </c>
      <c r="AR701" s="157">
        <f>INDEX([1]Historical!$C$7:$C$1231,MATCH(B701,[1]Historical!$B$7:$B$1253,0))*IF(AH701="n/a",1.03,IF(AH701&lt;0,1.01,IF(AH701&gt;10,1.1,(1+AH701/100))))</f>
        <v>2.2491299999999996</v>
      </c>
      <c r="AS701" s="166">
        <f t="shared" si="190"/>
        <v>2.474043</v>
      </c>
      <c r="AT701" s="166">
        <f t="shared" si="197"/>
        <v>2.6224855800000002</v>
      </c>
      <c r="AU701" s="166">
        <f t="shared" si="197"/>
        <v>2.7798347148000002</v>
      </c>
      <c r="AV701" s="166">
        <f t="shared" si="197"/>
        <v>2.9466247976880005</v>
      </c>
      <c r="AW701" s="157">
        <f t="shared" si="192"/>
        <v>13.072118092488001</v>
      </c>
      <c r="AX701" s="173">
        <f t="shared" si="193"/>
        <v>9.1843730011157163</v>
      </c>
      <c r="AY701" s="174">
        <v>0.52</v>
      </c>
      <c r="AZ701" s="169">
        <v>21.37</v>
      </c>
      <c r="BA701" s="169">
        <v>-11.469999999999999</v>
      </c>
      <c r="BB701" s="169">
        <v>6.17</v>
      </c>
      <c r="BC701" s="169">
        <v>4.43</v>
      </c>
      <c r="BD701" s="100"/>
      <c r="BE701" s="77">
        <v>1974</v>
      </c>
      <c r="BF701" s="77">
        <f t="shared" si="194"/>
        <v>5</v>
      </c>
      <c r="BG701" s="175">
        <v>5.6000000000000005</v>
      </c>
      <c r="BH701" t="s">
        <v>939</v>
      </c>
      <c r="BI701" t="s">
        <v>940</v>
      </c>
      <c r="BJ701"/>
      <c r="BK701"/>
      <c r="BL701"/>
    </row>
    <row r="702" spans="1:64" s="112" customFormat="1" ht="12.75" customHeight="1" x14ac:dyDescent="0.2">
      <c r="A702" s="204" t="s">
        <v>1714</v>
      </c>
      <c r="B702" s="239" t="s">
        <v>652</v>
      </c>
      <c r="C702" s="154" t="s">
        <v>96</v>
      </c>
      <c r="D702" s="154" t="s">
        <v>956</v>
      </c>
      <c r="E702" s="155">
        <v>12</v>
      </c>
      <c r="F702" s="298">
        <v>379</v>
      </c>
      <c r="G702" s="298" t="s">
        <v>30</v>
      </c>
      <c r="H702" s="298" t="s">
        <v>30</v>
      </c>
      <c r="I702" s="156">
        <v>47.56</v>
      </c>
      <c r="J702" s="157">
        <f t="shared" si="180"/>
        <v>2.6072329688814131</v>
      </c>
      <c r="K702" s="158">
        <v>0.31</v>
      </c>
      <c r="L702" s="126">
        <v>4</v>
      </c>
      <c r="M702" s="82">
        <f t="shared" si="181"/>
        <v>1.24</v>
      </c>
      <c r="N702" s="159" t="s">
        <v>628</v>
      </c>
      <c r="O702" s="160">
        <v>0.28000000000000003</v>
      </c>
      <c r="P702" s="161">
        <v>44818</v>
      </c>
      <c r="Q702" s="161">
        <v>44833</v>
      </c>
      <c r="R702" s="82">
        <f t="shared" si="182"/>
        <v>10.714285714285703</v>
      </c>
      <c r="S702" s="162">
        <f>IF(INDEX([1]Historical!$D$7:$D$1229,MATCH(B702,[1]Historical!$B$7:$B$1253,0))=0,"n/a",(INDEX([1]Historical!$C$7:$C$1231,MATCH(B702,[1]Historical!$B$7:$B$1253,0))/INDEX([1]Historical!$D$7:$D$1229,MATCH(B702,[1]Historical!$B$7:$B$1253,0))-1)*100)</f>
        <v>11.22448979591837</v>
      </c>
      <c r="T702" s="162">
        <f>IF(INDEX([1]Historical!$F$7:$F$1222,MATCH(B702,[1]Historical!$B$7:$B$1253,0))=0,"n/a",((INDEX([1]Historical!$C$7:$C$1231,MATCH(B702,[1]Historical!$B$7:$B$1253,0))/INDEX([1]Historical!$F$7:$F$1222,MATCH(B702,[1]Historical!$B$7:$B$1253,0)))^(1/3)-1)*100)</f>
        <v>7.3943107964647314</v>
      </c>
      <c r="U702" s="162">
        <f>IF(INDEX([1]Historical!$H$7:$H$1222,MATCH(B702,[1]Historical!$B$7:$B$1253,0))=0,"n/a",((INDEX([1]Historical!$C$7:$C$1231,MATCH(B702,[1]Historical!$B$7:$B$1253,0))/INDEX([1]Historical!$H$7:$H$1222,MATCH(B702,[1]Historical!$B$7:$B$1253,0)))^(1/5)-1)*100)</f>
        <v>6.9218289704823022</v>
      </c>
      <c r="V702" s="162">
        <f>IF(INDEX([1]Historical!$N$7:$N$1222,MATCH(B702,[1]Historical!$B$7:$B$1253,0))=0,"n/a",((INDEX([1]Historical!$C$7:$C$1231,MATCH(B702,[1]Historical!$B$7:$B$1253,0))/INDEX([1]Historical!$N$7:$N$1222,MATCH(B702,[1]Historical!$B$7:$B$1253,0)))^(1/10)-1)*100)</f>
        <v>9.4957801224216034</v>
      </c>
      <c r="W702" s="163">
        <f t="shared" si="183"/>
        <v>0.72893736809873655</v>
      </c>
      <c r="X702" s="164">
        <f t="shared" si="184"/>
        <v>0.37015128184397339</v>
      </c>
      <c r="Y702" s="212"/>
      <c r="Z702" s="157">
        <f t="shared" si="185"/>
        <v>20.097244732576986</v>
      </c>
      <c r="AA702" s="166">
        <f t="shared" si="186"/>
        <v>7.708265802269044</v>
      </c>
      <c r="AB702" s="126">
        <v>5</v>
      </c>
      <c r="AC702" s="167">
        <v>6.17</v>
      </c>
      <c r="AD702" s="167">
        <v>0.18</v>
      </c>
      <c r="AE702" s="167">
        <v>0.42</v>
      </c>
      <c r="AF702" s="167">
        <v>1.5</v>
      </c>
      <c r="AG702" s="167">
        <v>21</v>
      </c>
      <c r="AH702" s="167">
        <v>-44.6</v>
      </c>
      <c r="AI702" s="167">
        <v>-2.0299999999999998</v>
      </c>
      <c r="AJ702" s="167">
        <v>18.7</v>
      </c>
      <c r="AK702" s="167">
        <v>41.5</v>
      </c>
      <c r="AL702" s="168">
        <v>2310</v>
      </c>
      <c r="AM702" s="169">
        <v>6.7</v>
      </c>
      <c r="AN702" s="167">
        <v>0.47</v>
      </c>
      <c r="AO702" s="170">
        <f t="shared" si="187"/>
        <v>1.8207961370946704</v>
      </c>
      <c r="AP702" s="171">
        <f t="shared" si="188"/>
        <v>9.5290619393637144</v>
      </c>
      <c r="AQ702" s="172">
        <f t="shared" si="189"/>
        <v>-28.314270121736484</v>
      </c>
      <c r="AR702" s="157">
        <f>INDEX([1]Historical!$C$7:$C$1231,MATCH(B702,[1]Historical!$B$7:$B$1253,0))*IF(AH702="n/a",1.03,IF(AH702&lt;0,1.01,IF(AH702&gt;10,1.1,(1+AH702/100))))</f>
        <v>1.1009</v>
      </c>
      <c r="AS702" s="166">
        <f t="shared" si="190"/>
        <v>1.111909</v>
      </c>
      <c r="AT702" s="166">
        <f t="shared" si="197"/>
        <v>1.2230999000000002</v>
      </c>
      <c r="AU702" s="166">
        <f t="shared" si="197"/>
        <v>1.3454098900000004</v>
      </c>
      <c r="AV702" s="166">
        <f t="shared" si="197"/>
        <v>1.4799508790000007</v>
      </c>
      <c r="AW702" s="157">
        <f t="shared" si="192"/>
        <v>6.2612696690000007</v>
      </c>
      <c r="AX702" s="173">
        <f t="shared" si="193"/>
        <v>13.164990893608074</v>
      </c>
      <c r="AY702" s="174">
        <v>1.17</v>
      </c>
      <c r="AZ702" s="169">
        <v>25.119999999999997</v>
      </c>
      <c r="BA702" s="169">
        <v>-24.3</v>
      </c>
      <c r="BB702" s="169">
        <v>-1.0900000000000001</v>
      </c>
      <c r="BC702" s="169">
        <v>-4.8</v>
      </c>
      <c r="BD702" s="125"/>
      <c r="BE702" s="77">
        <v>2011</v>
      </c>
      <c r="BF702" s="77">
        <f t="shared" si="194"/>
        <v>1</v>
      </c>
      <c r="BG702" s="175">
        <v>8.6</v>
      </c>
      <c r="BH702" t="s">
        <v>939</v>
      </c>
      <c r="BI702" t="s">
        <v>940</v>
      </c>
      <c r="BJ702"/>
      <c r="BK702"/>
      <c r="BL702"/>
    </row>
    <row r="703" spans="1:64" s="112" customFormat="1" ht="12.75" customHeight="1" x14ac:dyDescent="0.2">
      <c r="A703" s="176" t="s">
        <v>1715</v>
      </c>
      <c r="B703" s="239" t="s">
        <v>498</v>
      </c>
      <c r="C703" s="154" t="s">
        <v>947</v>
      </c>
      <c r="D703" s="154" t="s">
        <v>948</v>
      </c>
      <c r="E703" s="155">
        <v>25</v>
      </c>
      <c r="F703" s="298">
        <v>143</v>
      </c>
      <c r="G703" s="298" t="s">
        <v>30</v>
      </c>
      <c r="H703" s="298" t="s">
        <v>30</v>
      </c>
      <c r="I703" s="156">
        <v>76.3</v>
      </c>
      <c r="J703" s="157">
        <f t="shared" si="180"/>
        <v>5.5622542595019659</v>
      </c>
      <c r="K703" s="209">
        <v>1.0609999999999999</v>
      </c>
      <c r="L703" s="126">
        <v>4</v>
      </c>
      <c r="M703" s="82">
        <f t="shared" si="181"/>
        <v>4.2439999999999998</v>
      </c>
      <c r="N703" s="159" t="s">
        <v>112</v>
      </c>
      <c r="O703" s="210">
        <v>1.0589999999999999</v>
      </c>
      <c r="P703" s="161">
        <v>44833</v>
      </c>
      <c r="Q703" s="161">
        <v>44848</v>
      </c>
      <c r="R703" s="82">
        <f t="shared" si="182"/>
        <v>0.18885741265344683</v>
      </c>
      <c r="S703" s="162">
        <f>IF(INDEX([1]Historical!$D$7:$D$1229,MATCH(B703,[1]Historical!$B$7:$B$1253,0))=0,"n/a",(INDEX([1]Historical!$C$7:$C$1231,MATCH(B703,[1]Historical!$B$7:$B$1253,0))/INDEX([1]Historical!$D$7:$D$1229,MATCH(B703,[1]Historical!$B$7:$B$1253,0))-1)*100)</f>
        <v>0.7684918347742542</v>
      </c>
      <c r="T703" s="162">
        <f>IF(INDEX([1]Historical!$F$7:$F$1222,MATCH(B703,[1]Historical!$B$7:$B$1253,0))=0,"n/a",((INDEX([1]Historical!$C$7:$C$1231,MATCH(B703,[1]Historical!$B$7:$B$1253,0))/INDEX([1]Historical!$F$7:$F$1222,MATCH(B703,[1]Historical!$B$7:$B$1253,0)))^(1/3)-1)*100)</f>
        <v>1.0214714654808832</v>
      </c>
      <c r="U703" s="162">
        <f>IF(INDEX([1]Historical!$H$7:$H$1222,MATCH(B703,[1]Historical!$B$7:$B$1253,0))=0,"n/a",((INDEX([1]Historical!$C$7:$C$1231,MATCH(B703,[1]Historical!$B$7:$B$1253,0))/INDEX([1]Historical!$H$7:$H$1222,MATCH(B703,[1]Historical!$B$7:$B$1253,0)))^(1/5)-1)*100)</f>
        <v>1.2669783598065809</v>
      </c>
      <c r="V703" s="162">
        <f>IF(INDEX([1]Historical!$N$7:$N$1222,MATCH(B703,[1]Historical!$B$7:$B$1253,0))=0,"n/a",((INDEX([1]Historical!$C$7:$C$1231,MATCH(B703,[1]Historical!$B$7:$B$1253,0))/INDEX([1]Historical!$N$7:$N$1222,MATCH(B703,[1]Historical!$B$7:$B$1253,0)))^(1/10)-1)*100)</f>
        <v>7.0051864102591566</v>
      </c>
      <c r="W703" s="163">
        <f t="shared" si="183"/>
        <v>0.18086290436912286</v>
      </c>
      <c r="X703" s="164" t="str">
        <f t="shared" si="184"/>
        <v>n/a</v>
      </c>
      <c r="Y703" s="178"/>
      <c r="Z703" s="157">
        <f t="shared" si="185"/>
        <v>154.8905109489051</v>
      </c>
      <c r="AA703" s="166">
        <f t="shared" si="186"/>
        <v>27.846715328467152</v>
      </c>
      <c r="AB703" s="126">
        <v>12</v>
      </c>
      <c r="AC703" s="167">
        <v>2.74</v>
      </c>
      <c r="AD703" s="167" t="s">
        <v>95</v>
      </c>
      <c r="AE703" s="167">
        <v>11.1</v>
      </c>
      <c r="AF703" s="167">
        <v>1.93</v>
      </c>
      <c r="AG703" s="167">
        <v>6.9</v>
      </c>
      <c r="AH703" s="167">
        <v>-13.100000000000001</v>
      </c>
      <c r="AI703" s="167">
        <v>-7.7200000000000006</v>
      </c>
      <c r="AJ703" s="167">
        <v>-2.1</v>
      </c>
      <c r="AK703" s="167" t="s">
        <v>95</v>
      </c>
      <c r="AL703" s="168">
        <v>15470</v>
      </c>
      <c r="AM703" s="169">
        <v>0.1</v>
      </c>
      <c r="AN703" s="167">
        <v>0.89</v>
      </c>
      <c r="AO703" s="170">
        <f t="shared" si="187"/>
        <v>-21.017482709158607</v>
      </c>
      <c r="AP703" s="171">
        <f t="shared" si="188"/>
        <v>6.8292326193085469</v>
      </c>
      <c r="AQ703" s="172">
        <f t="shared" si="189"/>
        <v>54.551912291187563</v>
      </c>
      <c r="AR703" s="157">
        <f>INDEX([1]Historical!$C$7:$C$1231,MATCH(B703,[1]Historical!$B$7:$B$1253,0))*IF(AH703="n/a",1.03,IF(AH703&lt;0,1.01,IF(AH703&gt;10,1.1,(1+AH703/100))))</f>
        <v>4.2379600000000002</v>
      </c>
      <c r="AS703" s="166">
        <f t="shared" si="190"/>
        <v>4.2803396000000005</v>
      </c>
      <c r="AT703" s="166">
        <f t="shared" si="197"/>
        <v>4.4087497880000006</v>
      </c>
      <c r="AU703" s="166">
        <f t="shared" si="197"/>
        <v>4.5410122816400005</v>
      </c>
      <c r="AV703" s="166">
        <f t="shared" si="197"/>
        <v>4.6772426500892008</v>
      </c>
      <c r="AW703" s="157">
        <f t="shared" si="192"/>
        <v>22.145304319729203</v>
      </c>
      <c r="AX703" s="173">
        <f t="shared" si="193"/>
        <v>29.02398993411429</v>
      </c>
      <c r="AY703" s="174">
        <v>0.78</v>
      </c>
      <c r="AZ703" s="169">
        <v>12.6</v>
      </c>
      <c r="BA703" s="169">
        <v>-14.87</v>
      </c>
      <c r="BB703" s="169">
        <v>-2.4299999999999997</v>
      </c>
      <c r="BC703" s="169">
        <v>-5.25</v>
      </c>
      <c r="BD703" s="100"/>
      <c r="BE703" s="77">
        <v>1998</v>
      </c>
      <c r="BF703" s="77">
        <f t="shared" si="194"/>
        <v>3</v>
      </c>
      <c r="BG703" s="175">
        <v>3.4000000000000004</v>
      </c>
      <c r="BH703" t="s">
        <v>939</v>
      </c>
      <c r="BI703" t="s">
        <v>945</v>
      </c>
      <c r="BJ703"/>
      <c r="BK703"/>
      <c r="BL703"/>
    </row>
    <row r="704" spans="1:64" s="112" customFormat="1" ht="12.75" customHeight="1" x14ac:dyDescent="0.2">
      <c r="A704" s="112" t="s">
        <v>1716</v>
      </c>
      <c r="B704" s="239" t="s">
        <v>499</v>
      </c>
      <c r="C704" s="154" t="s">
        <v>90</v>
      </c>
      <c r="D704" s="154" t="s">
        <v>110</v>
      </c>
      <c r="E704" s="155">
        <v>21</v>
      </c>
      <c r="F704" s="298">
        <v>167</v>
      </c>
      <c r="G704" s="298" t="s">
        <v>88</v>
      </c>
      <c r="H704" s="298" t="s">
        <v>88</v>
      </c>
      <c r="I704" s="156">
        <v>74.38</v>
      </c>
      <c r="J704" s="157">
        <f t="shared" si="180"/>
        <v>0.53777897284216192</v>
      </c>
      <c r="K704" s="158">
        <v>0.1</v>
      </c>
      <c r="L704" s="126">
        <v>4</v>
      </c>
      <c r="M704" s="82">
        <f t="shared" si="181"/>
        <v>0.4</v>
      </c>
      <c r="N704" s="159" t="s">
        <v>539</v>
      </c>
      <c r="O704" s="226">
        <v>8.666666666666667E-2</v>
      </c>
      <c r="P704" s="161">
        <v>44736</v>
      </c>
      <c r="Q704" s="161">
        <v>44749</v>
      </c>
      <c r="R704" s="82">
        <f t="shared" si="182"/>
        <v>15.384615384615389</v>
      </c>
      <c r="S704" s="162">
        <f>IF(INDEX([1]Historical!$D$7:$D$1229,MATCH(B704,[1]Historical!$B$7:$B$1253,0))=0,"n/a",(INDEX([1]Historical!$C$7:$C$1231,MATCH(B704,[1]Historical!$B$7:$B$1253,0))/INDEX([1]Historical!$D$7:$D$1229,MATCH(B704,[1]Historical!$B$7:$B$1253,0))-1)*100)</f>
        <v>8.5106382978723527</v>
      </c>
      <c r="T704" s="162">
        <f>IF(INDEX([1]Historical!$F$7:$F$1222,MATCH(B704,[1]Historical!$B$7:$B$1253,0))=0,"n/a",((INDEX([1]Historical!$C$7:$C$1231,MATCH(B704,[1]Historical!$B$7:$B$1253,0))/INDEX([1]Historical!$F$7:$F$1222,MATCH(B704,[1]Historical!$B$7:$B$1253,0)))^(1/3)-1)*100)</f>
        <v>9.0443432487859798</v>
      </c>
      <c r="U704" s="162">
        <f>IF(INDEX([1]Historical!$H$7:$H$1222,MATCH(B704,[1]Historical!$B$7:$B$1253,0))=0,"n/a",((INDEX([1]Historical!$C$7:$C$1231,MATCH(B704,[1]Historical!$B$7:$B$1253,0))/INDEX([1]Historical!$H$7:$H$1222,MATCH(B704,[1]Historical!$B$7:$B$1253,0)))^(1/5)-1)*100)</f>
        <v>8.4471771197698544</v>
      </c>
      <c r="V704" s="162">
        <f>IF(INDEX([1]Historical!$N$7:$N$1222,MATCH(B704,[1]Historical!$B$7:$B$1253,0))=0,"n/a",((INDEX([1]Historical!$C$7:$C$1231,MATCH(B704,[1]Historical!$B$7:$B$1253,0))/INDEX([1]Historical!$N$7:$N$1222,MATCH(B704,[1]Historical!$B$7:$B$1253,0)))^(1/10)-1)*100)</f>
        <v>9.8130661900765137</v>
      </c>
      <c r="W704" s="163">
        <f t="shared" si="183"/>
        <v>0.86080914529161967</v>
      </c>
      <c r="X704" s="164">
        <f t="shared" si="184"/>
        <v>0.70984681678738282</v>
      </c>
      <c r="Y704" s="237" t="s">
        <v>901</v>
      </c>
      <c r="Z704" s="157">
        <f t="shared" si="185"/>
        <v>9.3457943925233646</v>
      </c>
      <c r="AA704" s="166">
        <f t="shared" si="186"/>
        <v>17.378504672897193</v>
      </c>
      <c r="AB704" s="126">
        <v>12</v>
      </c>
      <c r="AC704" s="167">
        <v>4.28</v>
      </c>
      <c r="AD704" s="167">
        <v>1.9</v>
      </c>
      <c r="AE704" s="167">
        <v>1.76</v>
      </c>
      <c r="AF704" s="167">
        <v>3.11</v>
      </c>
      <c r="AG704" s="167">
        <v>20.7</v>
      </c>
      <c r="AH704" s="167">
        <v>95</v>
      </c>
      <c r="AI704" s="167">
        <v>13.139999999999999</v>
      </c>
      <c r="AJ704" s="167">
        <v>11.899999999999999</v>
      </c>
      <c r="AK704" s="167">
        <v>9</v>
      </c>
      <c r="AL704" s="168">
        <v>18910</v>
      </c>
      <c r="AM704" s="169">
        <v>5.8000000000000007</v>
      </c>
      <c r="AN704" s="167">
        <v>0.44</v>
      </c>
      <c r="AO704" s="170">
        <f t="shared" si="187"/>
        <v>-8.3935485802851773</v>
      </c>
      <c r="AP704" s="171">
        <f t="shared" si="188"/>
        <v>8.9849560926120162</v>
      </c>
      <c r="AQ704" s="172">
        <f t="shared" si="189"/>
        <v>54.986952185889628</v>
      </c>
      <c r="AR704" s="157">
        <f>INDEX([1]Historical!$C$7:$C$1231,MATCH(B704,[1]Historical!$B$7:$B$1253,0))*IF(AH704="n/a",1.03,IF(AH704&lt;0,1.01,IF(AH704&gt;10,1.1,(1+AH704/100))))</f>
        <v>0.37400000000000005</v>
      </c>
      <c r="AS704" s="166">
        <f t="shared" si="190"/>
        <v>0.4114000000000001</v>
      </c>
      <c r="AT704" s="166">
        <f t="shared" si="197"/>
        <v>0.44842600000000016</v>
      </c>
      <c r="AU704" s="166">
        <f t="shared" si="197"/>
        <v>0.48878434000000021</v>
      </c>
      <c r="AV704" s="166">
        <f t="shared" si="197"/>
        <v>0.53277493060000025</v>
      </c>
      <c r="AW704" s="157">
        <f t="shared" si="192"/>
        <v>2.2553852706000006</v>
      </c>
      <c r="AX704" s="173">
        <f t="shared" si="193"/>
        <v>3.0322469354665245</v>
      </c>
      <c r="AY704" s="174">
        <v>0.62</v>
      </c>
      <c r="AZ704" s="169">
        <v>50.529999999999994</v>
      </c>
      <c r="BA704" s="169">
        <v>1.0900000000000001</v>
      </c>
      <c r="BB704" s="169">
        <v>10.38</v>
      </c>
      <c r="BC704" s="169">
        <v>14.430000000000001</v>
      </c>
      <c r="BD704" s="100"/>
      <c r="BE704" s="77">
        <v>2002</v>
      </c>
      <c r="BF704" s="77">
        <f t="shared" si="194"/>
        <v>2</v>
      </c>
      <c r="BG704" s="175">
        <v>4.3</v>
      </c>
      <c r="BH704" t="s">
        <v>939</v>
      </c>
      <c r="BI704" t="s">
        <v>940</v>
      </c>
      <c r="BJ704"/>
      <c r="BK704"/>
      <c r="BL704"/>
    </row>
    <row r="705" spans="1:64" s="112" customFormat="1" ht="12.75" customHeight="1" x14ac:dyDescent="0.2">
      <c r="A705" s="112" t="s">
        <v>1717</v>
      </c>
      <c r="B705" s="239" t="s">
        <v>600</v>
      </c>
      <c r="C705" s="154" t="s">
        <v>90</v>
      </c>
      <c r="D705" s="154" t="s">
        <v>969</v>
      </c>
      <c r="E705" s="155">
        <v>12</v>
      </c>
      <c r="F705" s="298">
        <v>349</v>
      </c>
      <c r="G705" s="298" t="s">
        <v>30</v>
      </c>
      <c r="H705" s="298" t="s">
        <v>30</v>
      </c>
      <c r="I705" s="156">
        <v>40.44</v>
      </c>
      <c r="J705" s="157">
        <f t="shared" si="180"/>
        <v>3.3630069238377849</v>
      </c>
      <c r="K705" s="158">
        <v>0.34</v>
      </c>
      <c r="L705" s="126">
        <v>4</v>
      </c>
      <c r="M705" s="82">
        <f t="shared" si="181"/>
        <v>1.36</v>
      </c>
      <c r="N705" s="159" t="s">
        <v>183</v>
      </c>
      <c r="O705" s="160">
        <v>0.33</v>
      </c>
      <c r="P705" s="161">
        <v>44630</v>
      </c>
      <c r="Q705" s="161">
        <v>44652</v>
      </c>
      <c r="R705" s="82">
        <f t="shared" si="182"/>
        <v>3.0303030303030329</v>
      </c>
      <c r="S705" s="162">
        <f>IF(INDEX([1]Historical!$D$7:$D$1229,MATCH(B705,[1]Historical!$B$7:$B$1253,0))=0,"n/a",(INDEX([1]Historical!$C$7:$C$1231,MATCH(B705,[1]Historical!$B$7:$B$1253,0))/INDEX([1]Historical!$D$7:$D$1229,MATCH(B705,[1]Historical!$B$7:$B$1253,0))-1)*100)</f>
        <v>3.1496062992125928</v>
      </c>
      <c r="T705" s="162">
        <f>IF(INDEX([1]Historical!$F$7:$F$1222,MATCH(B705,[1]Historical!$B$7:$B$1253,0))=0,"n/a",((INDEX([1]Historical!$C$7:$C$1231,MATCH(B705,[1]Historical!$B$7:$B$1253,0))/INDEX([1]Historical!$F$7:$F$1222,MATCH(B705,[1]Historical!$B$7:$B$1253,0)))^(1/3)-1)*100)</f>
        <v>5.0503775006565998</v>
      </c>
      <c r="U705" s="162">
        <f>IF(INDEX([1]Historical!$H$7:$H$1222,MATCH(B705,[1]Historical!$B$7:$B$1253,0))=0,"n/a",((INDEX([1]Historical!$C$7:$C$1231,MATCH(B705,[1]Historical!$B$7:$B$1253,0))/INDEX([1]Historical!$H$7:$H$1222,MATCH(B705,[1]Historical!$B$7:$B$1253,0)))^(1/5)-1)*100)</f>
        <v>6.6373976358763631</v>
      </c>
      <c r="V705" s="162">
        <f>IF(INDEX([1]Historical!$N$7:$N$1222,MATCH(B705,[1]Historical!$B$7:$B$1253,0))=0,"n/a",((INDEX([1]Historical!$C$7:$C$1231,MATCH(B705,[1]Historical!$B$7:$B$1253,0))/INDEX([1]Historical!$N$7:$N$1222,MATCH(B705,[1]Historical!$B$7:$B$1253,0)))^(1/10)-1)*100)</f>
        <v>8.1214856522852088</v>
      </c>
      <c r="W705" s="163">
        <f t="shared" si="183"/>
        <v>0.81726397361900704</v>
      </c>
      <c r="X705" s="164">
        <f t="shared" si="184"/>
        <v>0.63821131114195795</v>
      </c>
      <c r="Y705" s="214"/>
      <c r="Z705" s="157">
        <f t="shared" si="185"/>
        <v>45.182724252491703</v>
      </c>
      <c r="AA705" s="166">
        <f t="shared" si="186"/>
        <v>13.435215946843854</v>
      </c>
      <c r="AB705" s="126">
        <v>12</v>
      </c>
      <c r="AC705" s="167">
        <v>3.01</v>
      </c>
      <c r="AD705" s="167">
        <v>1.34</v>
      </c>
      <c r="AE705" s="167">
        <v>4.88</v>
      </c>
      <c r="AF705" s="167">
        <v>1.04</v>
      </c>
      <c r="AG705" s="167">
        <v>8.2000000000000011</v>
      </c>
      <c r="AH705" s="167">
        <v>99.3</v>
      </c>
      <c r="AI705" s="167">
        <v>9.76</v>
      </c>
      <c r="AJ705" s="167">
        <v>10.4</v>
      </c>
      <c r="AK705" s="167">
        <v>10</v>
      </c>
      <c r="AL705" s="168">
        <v>2340</v>
      </c>
      <c r="AM705" s="169">
        <v>1.7999999999999998</v>
      </c>
      <c r="AN705" s="167">
        <v>0.12</v>
      </c>
      <c r="AO705" s="170">
        <f t="shared" si="187"/>
        <v>-3.4348113871297059</v>
      </c>
      <c r="AP705" s="171">
        <f t="shared" si="188"/>
        <v>10.000404559714148</v>
      </c>
      <c r="AQ705" s="172">
        <f t="shared" si="189"/>
        <v>-21.196095458501528</v>
      </c>
      <c r="AR705" s="157">
        <f>INDEX([1]Historical!$C$7:$C$1231,MATCH(B705,[1]Historical!$B$7:$B$1253,0))*IF(AH705="n/a",1.03,IF(AH705&lt;0,1.01,IF(AH705&gt;10,1.1,(1+AH705/100))))</f>
        <v>1.4410000000000003</v>
      </c>
      <c r="AS705" s="166">
        <f t="shared" si="190"/>
        <v>1.5816416000000002</v>
      </c>
      <c r="AT705" s="166">
        <f t="shared" si="197"/>
        <v>1.7398057600000003</v>
      </c>
      <c r="AU705" s="166">
        <f t="shared" si="197"/>
        <v>1.9137863360000005</v>
      </c>
      <c r="AV705" s="166">
        <f t="shared" si="197"/>
        <v>2.1051649696000005</v>
      </c>
      <c r="AW705" s="157">
        <f t="shared" si="192"/>
        <v>8.7813986656000012</v>
      </c>
      <c r="AX705" s="173">
        <f t="shared" si="193"/>
        <v>21.714635671612271</v>
      </c>
      <c r="AY705" s="174">
        <v>0.92</v>
      </c>
      <c r="AZ705" s="169">
        <v>37.08</v>
      </c>
      <c r="BA705" s="169">
        <v>-0.37</v>
      </c>
      <c r="BB705" s="169">
        <v>13.020000000000001</v>
      </c>
      <c r="BC705" s="169">
        <v>17.330000000000002</v>
      </c>
      <c r="BD705" s="100"/>
      <c r="BE705" s="77">
        <v>2011</v>
      </c>
      <c r="BF705" s="77">
        <f t="shared" si="194"/>
        <v>1</v>
      </c>
      <c r="BG705" s="175">
        <v>1.2</v>
      </c>
      <c r="BH705" t="s">
        <v>939</v>
      </c>
      <c r="BI705" t="s">
        <v>940</v>
      </c>
      <c r="BJ705"/>
      <c r="BK705"/>
      <c r="BL705"/>
    </row>
    <row r="706" spans="1:64" s="112" customFormat="1" ht="12.75" customHeight="1" x14ac:dyDescent="0.2">
      <c r="A706" s="112" t="s">
        <v>1718</v>
      </c>
      <c r="B706" s="239" t="s">
        <v>881</v>
      </c>
      <c r="C706" s="154" t="s">
        <v>90</v>
      </c>
      <c r="D706" s="154" t="s">
        <v>959</v>
      </c>
      <c r="E706" s="155">
        <v>9</v>
      </c>
      <c r="F706" s="298">
        <v>552</v>
      </c>
      <c r="G706" s="298" t="s">
        <v>88</v>
      </c>
      <c r="H706" s="298" t="s">
        <v>88</v>
      </c>
      <c r="I706" s="156">
        <v>46.56</v>
      </c>
      <c r="J706" s="157">
        <f t="shared" si="180"/>
        <v>1.2886597938144329</v>
      </c>
      <c r="K706" s="158">
        <v>0.15</v>
      </c>
      <c r="L706" s="126">
        <v>4</v>
      </c>
      <c r="M706" s="82">
        <f t="shared" si="181"/>
        <v>0.6</v>
      </c>
      <c r="N706" s="159" t="s">
        <v>199</v>
      </c>
      <c r="O706" s="160">
        <v>0.13</v>
      </c>
      <c r="P706" s="161">
        <v>44777</v>
      </c>
      <c r="Q706" s="161">
        <v>44701</v>
      </c>
      <c r="R706" s="82">
        <f t="shared" si="182"/>
        <v>15.384615384615378</v>
      </c>
      <c r="S706" s="162">
        <f>IF(INDEX([1]Historical!$D$7:$D$1229,MATCH(B706,[1]Historical!$B$7:$B$1253,0))=0,"n/a",(INDEX([1]Historical!$C$7:$C$1231,MATCH(B706,[1]Historical!$B$7:$B$1253,0))/INDEX([1]Historical!$D$7:$D$1229,MATCH(B706,[1]Historical!$B$7:$B$1253,0))-1)*100)</f>
        <v>6.25</v>
      </c>
      <c r="T706" s="162">
        <f>IF(INDEX([1]Historical!$F$7:$F$1222,MATCH(B706,[1]Historical!$B$7:$B$1253,0))=0,"n/a",((INDEX([1]Historical!$C$7:$C$1231,MATCH(B706,[1]Historical!$B$7:$B$1253,0))/INDEX([1]Historical!$F$7:$F$1222,MATCH(B706,[1]Historical!$B$7:$B$1253,0)))^(1/3)-1)*100)</f>
        <v>6.6858844342181811</v>
      </c>
      <c r="U706" s="162">
        <f>IF(INDEX([1]Historical!$H$7:$H$1222,MATCH(B706,[1]Historical!$B$7:$B$1253,0))=0,"n/a",((INDEX([1]Historical!$C$7:$C$1231,MATCH(B706,[1]Historical!$B$7:$B$1253,0))/INDEX([1]Historical!$H$7:$H$1222,MATCH(B706,[1]Historical!$B$7:$B$1253,0)))^(1/5)-1)*100)</f>
        <v>15.325682508681805</v>
      </c>
      <c r="V706" s="162">
        <f>IF(INDEX([1]Historical!$N$7:$N$1222,MATCH(B706,[1]Historical!$B$7:$B$1253,0))=0,"n/a",((INDEX([1]Historical!$C$7:$C$1231,MATCH(B706,[1]Historical!$B$7:$B$1253,0))/INDEX([1]Historical!$N$7:$N$1222,MATCH(B706,[1]Historical!$B$7:$B$1253,0)))^(1/10)-1)*100)</f>
        <v>12.29101807652131</v>
      </c>
      <c r="W706" s="163">
        <f t="shared" si="183"/>
        <v>1.2469009819420416</v>
      </c>
      <c r="X706" s="164">
        <f t="shared" si="184"/>
        <v>0.68114144483030248</v>
      </c>
      <c r="Y706" s="180"/>
      <c r="Z706" s="157">
        <f t="shared" si="185"/>
        <v>17.964071856287426</v>
      </c>
      <c r="AA706" s="166">
        <f t="shared" si="186"/>
        <v>13.940119760479043</v>
      </c>
      <c r="AB706" s="126">
        <v>12</v>
      </c>
      <c r="AC706" s="167">
        <v>3.34</v>
      </c>
      <c r="AD706" s="167">
        <v>1.1499999999999999</v>
      </c>
      <c r="AE706" s="167">
        <v>4.68</v>
      </c>
      <c r="AF706" s="167">
        <v>1.28</v>
      </c>
      <c r="AG706" s="167">
        <v>9.7000000000000011</v>
      </c>
      <c r="AH706" s="167">
        <v>154.4</v>
      </c>
      <c r="AI706" s="167">
        <v>18.920000000000002</v>
      </c>
      <c r="AJ706" s="167">
        <v>22.5</v>
      </c>
      <c r="AK706" s="167">
        <v>12</v>
      </c>
      <c r="AL706" s="168">
        <v>2830</v>
      </c>
      <c r="AM706" s="169">
        <v>1</v>
      </c>
      <c r="AN706" s="167">
        <v>0.16</v>
      </c>
      <c r="AO706" s="170">
        <f t="shared" si="187"/>
        <v>2.6742225420171941</v>
      </c>
      <c r="AP706" s="171">
        <f t="shared" si="188"/>
        <v>16.614342302496237</v>
      </c>
      <c r="AQ706" s="172">
        <f t="shared" si="189"/>
        <v>-10.94732322093307</v>
      </c>
      <c r="AR706" s="157">
        <f>INDEX([1]Historical!$C$7:$C$1231,MATCH(B706,[1]Historical!$B$7:$B$1253,0))*IF(AH706="n/a",1.03,IF(AH706&lt;0,1.01,IF(AH706&gt;10,1.1,(1+AH706/100))))</f>
        <v>0.56100000000000005</v>
      </c>
      <c r="AS706" s="166">
        <f t="shared" si="190"/>
        <v>0.61710000000000009</v>
      </c>
      <c r="AT706" s="166">
        <f t="shared" si="197"/>
        <v>0.67881000000000014</v>
      </c>
      <c r="AU706" s="166">
        <f t="shared" si="197"/>
        <v>0.74669100000000022</v>
      </c>
      <c r="AV706" s="166">
        <f t="shared" si="197"/>
        <v>0.82136010000000026</v>
      </c>
      <c r="AW706" s="157">
        <f t="shared" si="192"/>
        <v>3.4249611000000004</v>
      </c>
      <c r="AX706" s="173">
        <f t="shared" si="193"/>
        <v>7.3560161082474238</v>
      </c>
      <c r="AY706" s="174">
        <v>1.03</v>
      </c>
      <c r="AZ706" s="169">
        <v>25.740000000000002</v>
      </c>
      <c r="BA706" s="169">
        <v>-17.299999999999997</v>
      </c>
      <c r="BB706" s="169">
        <v>-3.61</v>
      </c>
      <c r="BC706" s="169">
        <v>0.45999999999999996</v>
      </c>
      <c r="BD706" s="100"/>
      <c r="BE706" s="77">
        <v>2014</v>
      </c>
      <c r="BF706" s="77">
        <f t="shared" si="194"/>
        <v>1</v>
      </c>
      <c r="BG706" s="175">
        <v>1.2</v>
      </c>
      <c r="BH706" t="s">
        <v>939</v>
      </c>
      <c r="BI706" t="s">
        <v>940</v>
      </c>
    </row>
    <row r="707" spans="1:64" s="112" customFormat="1" ht="12.75" customHeight="1" x14ac:dyDescent="0.2">
      <c r="A707" s="112" t="s">
        <v>1719</v>
      </c>
      <c r="B707" s="239" t="s">
        <v>508</v>
      </c>
      <c r="C707" s="154" t="s">
        <v>100</v>
      </c>
      <c r="D707" s="154" t="s">
        <v>989</v>
      </c>
      <c r="E707" s="155">
        <v>17</v>
      </c>
      <c r="F707" s="298">
        <v>235</v>
      </c>
      <c r="G707" s="298" t="s">
        <v>88</v>
      </c>
      <c r="H707" s="298" t="s">
        <v>88</v>
      </c>
      <c r="I707" s="156">
        <v>123.83</v>
      </c>
      <c r="J707" s="157">
        <f t="shared" si="180"/>
        <v>2.5195832996850522</v>
      </c>
      <c r="K707" s="158">
        <v>0.78</v>
      </c>
      <c r="L707" s="126">
        <v>4</v>
      </c>
      <c r="M707" s="82">
        <f t="shared" si="181"/>
        <v>3.12</v>
      </c>
      <c r="N707" s="159" t="s">
        <v>199</v>
      </c>
      <c r="O707" s="160">
        <v>0.71</v>
      </c>
      <c r="P707" s="161">
        <v>44672</v>
      </c>
      <c r="Q707" s="161">
        <v>44708</v>
      </c>
      <c r="R707" s="82">
        <f t="shared" si="182"/>
        <v>9.8591549295774747</v>
      </c>
      <c r="S707" s="162">
        <f>IF(INDEX([1]Historical!$D$7:$D$1229,MATCH(B707,[1]Historical!$B$7:$B$1253,0))=0,"n/a",(INDEX([1]Historical!$C$7:$C$1231,MATCH(B707,[1]Historical!$B$7:$B$1253,0))/INDEX([1]Historical!$D$7:$D$1229,MATCH(B707,[1]Historical!$B$7:$B$1253,0))-1)*100)</f>
        <v>22.842639593908622</v>
      </c>
      <c r="T707" s="162">
        <f>IF(INDEX([1]Historical!$F$7:$F$1222,MATCH(B707,[1]Historical!$B$7:$B$1253,0))=0,"n/a",((INDEX([1]Historical!$C$7:$C$1231,MATCH(B707,[1]Historical!$B$7:$B$1253,0))/INDEX([1]Historical!$F$7:$F$1222,MATCH(B707,[1]Historical!$B$7:$B$1253,0)))^(1/3)-1)*100)</f>
        <v>12.936769660408775</v>
      </c>
      <c r="U707" s="162">
        <f>IF(INDEX([1]Historical!$H$7:$H$1222,MATCH(B707,[1]Historical!$B$7:$B$1253,0))=0,"n/a",((INDEX([1]Historical!$C$7:$C$1231,MATCH(B707,[1]Historical!$B$7:$B$1253,0))/INDEX([1]Historical!$H$7:$H$1222,MATCH(B707,[1]Historical!$B$7:$B$1253,0)))^(1/5)-1)*100)</f>
        <v>10.634990281254142</v>
      </c>
      <c r="V707" s="162">
        <f>IF(INDEX([1]Historical!$N$7:$N$1222,MATCH(B707,[1]Historical!$B$7:$B$1253,0))=0,"n/a",((INDEX([1]Historical!$C$7:$C$1231,MATCH(B707,[1]Historical!$B$7:$B$1253,0))/INDEX([1]Historical!$N$7:$N$1222,MATCH(B707,[1]Historical!$B$7:$B$1253,0)))^(1/10)-1)*100)</f>
        <v>13.874673044960195</v>
      </c>
      <c r="W707" s="163">
        <f t="shared" si="183"/>
        <v>0.76650384818380801</v>
      </c>
      <c r="X707" s="164">
        <f t="shared" si="184"/>
        <v>0.31279383180159243</v>
      </c>
      <c r="Y707" s="153"/>
      <c r="Z707" s="157">
        <f t="shared" si="185"/>
        <v>19.427148194271485</v>
      </c>
      <c r="AA707" s="166">
        <f t="shared" si="186"/>
        <v>7.7104607721046081</v>
      </c>
      <c r="AB707" s="126">
        <v>1</v>
      </c>
      <c r="AC707" s="167">
        <v>16.059999999999999</v>
      </c>
      <c r="AD707" s="167">
        <v>1.53</v>
      </c>
      <c r="AE707" s="167">
        <v>0.95</v>
      </c>
      <c r="AF707" s="167">
        <v>6.55</v>
      </c>
      <c r="AG707" s="167">
        <v>81</v>
      </c>
      <c r="AH707" s="167">
        <v>71.3</v>
      </c>
      <c r="AI707" s="167">
        <v>-3.5900000000000003</v>
      </c>
      <c r="AJ707" s="167">
        <v>34</v>
      </c>
      <c r="AK707" s="167">
        <v>5</v>
      </c>
      <c r="AL707" s="168">
        <v>8189.9999999999991</v>
      </c>
      <c r="AM707" s="169">
        <v>1.0999999999999999</v>
      </c>
      <c r="AN707" s="167">
        <v>0</v>
      </c>
      <c r="AO707" s="170">
        <f t="shared" si="187"/>
        <v>5.4441128088345865</v>
      </c>
      <c r="AP707" s="171">
        <f t="shared" si="188"/>
        <v>13.154573580939195</v>
      </c>
      <c r="AQ707" s="172">
        <f t="shared" si="189"/>
        <v>49.819918653896231</v>
      </c>
      <c r="AR707" s="157">
        <f>INDEX([1]Historical!$C$7:$C$1231,MATCH(B707,[1]Historical!$B$7:$B$1253,0))*IF(AH707="n/a",1.03,IF(AH707&lt;0,1.01,IF(AH707&gt;10,1.1,(1+AH707/100))))</f>
        <v>2.6619999999999999</v>
      </c>
      <c r="AS707" s="166">
        <f t="shared" si="190"/>
        <v>2.6886199999999998</v>
      </c>
      <c r="AT707" s="166">
        <f t="shared" si="197"/>
        <v>2.823051</v>
      </c>
      <c r="AU707" s="166">
        <f t="shared" si="197"/>
        <v>2.9642035500000001</v>
      </c>
      <c r="AV707" s="166">
        <f t="shared" si="197"/>
        <v>3.1124137275000003</v>
      </c>
      <c r="AW707" s="157">
        <f t="shared" si="192"/>
        <v>14.250288277499999</v>
      </c>
      <c r="AX707" s="173">
        <f t="shared" si="193"/>
        <v>11.507944987079059</v>
      </c>
      <c r="AY707" s="174">
        <v>1.6</v>
      </c>
      <c r="AZ707" s="169">
        <v>21.9</v>
      </c>
      <c r="BA707" s="169">
        <v>-44.55</v>
      </c>
      <c r="BB707" s="169">
        <v>-7.8</v>
      </c>
      <c r="BC707" s="169">
        <v>-10.48</v>
      </c>
      <c r="BD707" s="100"/>
      <c r="BE707" s="77">
        <v>2006</v>
      </c>
      <c r="BF707" s="77">
        <f t="shared" si="194"/>
        <v>2</v>
      </c>
      <c r="BG707" s="175">
        <v>26.6</v>
      </c>
      <c r="BH707" t="s">
        <v>939</v>
      </c>
      <c r="BI707" t="s">
        <v>940</v>
      </c>
      <c r="BJ707"/>
      <c r="BK707"/>
      <c r="BL707"/>
    </row>
    <row r="708" spans="1:64" s="112" customFormat="1" ht="12.75" customHeight="1" x14ac:dyDescent="0.2">
      <c r="A708" s="176" t="s">
        <v>1720</v>
      </c>
      <c r="B708" s="239" t="s">
        <v>877</v>
      </c>
      <c r="C708" s="154" t="s">
        <v>94</v>
      </c>
      <c r="D708" s="154" t="s">
        <v>962</v>
      </c>
      <c r="E708" s="155">
        <v>9</v>
      </c>
      <c r="F708" s="298">
        <v>540</v>
      </c>
      <c r="G708" s="298" t="s">
        <v>88</v>
      </c>
      <c r="H708" s="298" t="s">
        <v>88</v>
      </c>
      <c r="I708" s="156">
        <v>270.95999999999998</v>
      </c>
      <c r="J708" s="157">
        <f t="shared" si="180"/>
        <v>3.2477118393858877</v>
      </c>
      <c r="K708" s="158">
        <v>2.2000000000000002</v>
      </c>
      <c r="L708" s="126">
        <v>4</v>
      </c>
      <c r="M708" s="82">
        <f t="shared" si="181"/>
        <v>8.8000000000000007</v>
      </c>
      <c r="N708" s="159" t="s">
        <v>309</v>
      </c>
      <c r="O708" s="160">
        <v>1.95</v>
      </c>
      <c r="P708" s="161">
        <v>44664</v>
      </c>
      <c r="Q708" s="161">
        <v>44680</v>
      </c>
      <c r="R708" s="82">
        <f t="shared" si="182"/>
        <v>12.820512820512834</v>
      </c>
      <c r="S708" s="162">
        <f>IF(INDEX([1]Historical!$D$7:$D$1229,MATCH(B708,[1]Historical!$B$7:$B$1253,0))=0,"n/a",(INDEX([1]Historical!$C$7:$C$1231,MATCH(B708,[1]Historical!$B$7:$B$1253,0))/INDEX([1]Historical!$D$7:$D$1229,MATCH(B708,[1]Historical!$B$7:$B$1253,0))-1)*100)</f>
        <v>10.108303249097483</v>
      </c>
      <c r="T708" s="162">
        <f>IF(INDEX([1]Historical!$F$7:$F$1222,MATCH(B708,[1]Historical!$B$7:$B$1253,0))=0,"n/a",((INDEX([1]Historical!$C$7:$C$1231,MATCH(B708,[1]Historical!$B$7:$B$1253,0))/INDEX([1]Historical!$F$7:$F$1222,MATCH(B708,[1]Historical!$B$7:$B$1253,0)))^(1/3)-1)*100)</f>
        <v>10.836790221026217</v>
      </c>
      <c r="U708" s="162">
        <f>IF(INDEX([1]Historical!$H$7:$H$1222,MATCH(B708,[1]Historical!$B$7:$B$1253,0))=0,"n/a",((INDEX([1]Historical!$C$7:$C$1231,MATCH(B708,[1]Historical!$B$7:$B$1253,0))/INDEX([1]Historical!$H$7:$H$1222,MATCH(B708,[1]Historical!$B$7:$B$1253,0)))^(1/5)-1)*100)</f>
        <v>14.945308518523026</v>
      </c>
      <c r="V708" s="162">
        <f>IF(INDEX([1]Historical!$N$7:$N$1222,MATCH(B708,[1]Historical!$B$7:$B$1253,0))=0,"n/a",((INDEX([1]Historical!$C$7:$C$1231,MATCH(B708,[1]Historical!$B$7:$B$1253,0))/INDEX([1]Historical!$N$7:$N$1222,MATCH(B708,[1]Historical!$B$7:$B$1253,0)))^(1/10)-1)*100)</f>
        <v>13.082004571644191</v>
      </c>
      <c r="W708" s="163">
        <f t="shared" si="183"/>
        <v>1.1424326017220348</v>
      </c>
      <c r="X708" s="164">
        <f t="shared" si="184"/>
        <v>0.93995651059893248</v>
      </c>
      <c r="Y708" s="178" t="s">
        <v>878</v>
      </c>
      <c r="Z708" s="157">
        <f t="shared" si="185"/>
        <v>63.44628695025235</v>
      </c>
      <c r="AA708" s="166">
        <f t="shared" si="186"/>
        <v>19.535688536409516</v>
      </c>
      <c r="AB708" s="126">
        <v>12</v>
      </c>
      <c r="AC708" s="167">
        <v>13.87</v>
      </c>
      <c r="AD708" s="167">
        <v>1.31</v>
      </c>
      <c r="AE708" s="167">
        <v>1.4</v>
      </c>
      <c r="AF708" s="167">
        <v>5.26</v>
      </c>
      <c r="AG708" s="167" t="s">
        <v>95</v>
      </c>
      <c r="AH708" s="167">
        <v>53.7</v>
      </c>
      <c r="AI708" s="167">
        <v>-4.3600000000000003</v>
      </c>
      <c r="AJ708" s="167">
        <v>15.9</v>
      </c>
      <c r="AK708" s="167">
        <v>15</v>
      </c>
      <c r="AL708" s="168">
        <v>10100</v>
      </c>
      <c r="AM708" s="169">
        <v>0.74</v>
      </c>
      <c r="AN708" s="167">
        <v>0.16</v>
      </c>
      <c r="AO708" s="170">
        <f t="shared" si="187"/>
        <v>-1.3426681785006025</v>
      </c>
      <c r="AP708" s="171">
        <f t="shared" si="188"/>
        <v>18.193020357908914</v>
      </c>
      <c r="AQ708" s="172">
        <f t="shared" si="189"/>
        <v>113.70563524157768</v>
      </c>
      <c r="AR708" s="157">
        <f>INDEX([1]Historical!$C$7:$C$1231,MATCH(B708,[1]Historical!$B$7:$B$1253,0))*IF(AH708="n/a",1.03,IF(AH708&lt;0,1.01,IF(AH708&gt;10,1.1,(1+AH708/100))))</f>
        <v>8.3875000000000011</v>
      </c>
      <c r="AS708" s="166">
        <f t="shared" si="190"/>
        <v>8.4713750000000019</v>
      </c>
      <c r="AT708" s="166">
        <f t="shared" si="197"/>
        <v>9.3185125000000024</v>
      </c>
      <c r="AU708" s="166">
        <f t="shared" si="197"/>
        <v>10.250363750000004</v>
      </c>
      <c r="AV708" s="166">
        <f t="shared" si="197"/>
        <v>11.275400125000004</v>
      </c>
      <c r="AW708" s="157">
        <f t="shared" si="192"/>
        <v>47.703151375000019</v>
      </c>
      <c r="AX708" s="173">
        <f t="shared" si="193"/>
        <v>17.605237442795993</v>
      </c>
      <c r="AY708" s="174">
        <v>0.86</v>
      </c>
      <c r="AZ708" s="169">
        <v>22.78</v>
      </c>
      <c r="BA708" s="169">
        <v>-15.049999999999999</v>
      </c>
      <c r="BB708" s="169">
        <v>1.05</v>
      </c>
      <c r="BC708" s="169">
        <v>0.19</v>
      </c>
      <c r="BD708" s="100"/>
      <c r="BE708" s="77">
        <v>2014</v>
      </c>
      <c r="BF708" s="77">
        <f t="shared" si="194"/>
        <v>1</v>
      </c>
      <c r="BG708" s="175" t="s">
        <v>95</v>
      </c>
      <c r="BH708" t="s">
        <v>939</v>
      </c>
      <c r="BI708" t="s">
        <v>940</v>
      </c>
    </row>
    <row r="709" spans="1:64" s="112" customFormat="1" ht="12.75" customHeight="1" x14ac:dyDescent="0.2">
      <c r="A709" s="176" t="s">
        <v>1721</v>
      </c>
      <c r="B709" s="239" t="s">
        <v>505</v>
      </c>
      <c r="C709" s="154" t="s">
        <v>137</v>
      </c>
      <c r="D709" s="154" t="s">
        <v>946</v>
      </c>
      <c r="E709" s="155">
        <v>30</v>
      </c>
      <c r="F709" s="298">
        <v>105</v>
      </c>
      <c r="G709" s="298" t="s">
        <v>30</v>
      </c>
      <c r="H709" s="298" t="s">
        <v>30</v>
      </c>
      <c r="I709" s="167">
        <v>230.1</v>
      </c>
      <c r="J709" s="157">
        <f t="shared" si="180"/>
        <v>0.3302911777488049</v>
      </c>
      <c r="K709" s="209">
        <v>0.19</v>
      </c>
      <c r="L709" s="126">
        <v>4</v>
      </c>
      <c r="M709" s="82">
        <f t="shared" si="181"/>
        <v>0.76</v>
      </c>
      <c r="N709" s="159" t="s">
        <v>201</v>
      </c>
      <c r="O709" s="210">
        <v>0.18</v>
      </c>
      <c r="P709" s="161">
        <v>44873</v>
      </c>
      <c r="Q709" s="161">
        <v>44881</v>
      </c>
      <c r="R709" s="82">
        <f t="shared" si="182"/>
        <v>5.5555555555555607</v>
      </c>
      <c r="S709" s="162">
        <f>IF(INDEX([1]Historical!$D$7:$D$1229,MATCH(B709,[1]Historical!$B$7:$B$1253,0))=0,"n/a",(INDEX([1]Historical!$C$7:$C$1231,MATCH(B709,[1]Historical!$B$7:$B$1253,0))/INDEX([1]Historical!$D$7:$D$1229,MATCH(B709,[1]Historical!$B$7:$B$1253,0))-1)*100)</f>
        <v>6.153846153846132</v>
      </c>
      <c r="T709" s="162">
        <f>IF(INDEX([1]Historical!$F$7:$F$1222,MATCH(B709,[1]Historical!$B$7:$B$1253,0))=0,"n/a",((INDEX([1]Historical!$C$7:$C$1231,MATCH(B709,[1]Historical!$B$7:$B$1253,0))/INDEX([1]Historical!$F$7:$F$1222,MATCH(B709,[1]Historical!$B$7:$B$1253,0)))^(1/3)-1)*100)</f>
        <v>6.5756716652330516</v>
      </c>
      <c r="U709" s="162">
        <f>IF(INDEX([1]Historical!$H$7:$H$1222,MATCH(B709,[1]Historical!$B$7:$B$1253,0))=0,"n/a",((INDEX([1]Historical!$C$7:$C$1231,MATCH(B709,[1]Historical!$B$7:$B$1253,0))/INDEX([1]Historical!$H$7:$H$1222,MATCH(B709,[1]Historical!$B$7:$B$1253,0)))^(1/5)-1)*100)</f>
        <v>7.0854835608517686</v>
      </c>
      <c r="V709" s="162">
        <f>IF(INDEX([1]Historical!$N$7:$N$1222,MATCH(B709,[1]Historical!$B$7:$B$1253,0))=0,"n/a",((INDEX([1]Historical!$C$7:$C$1231,MATCH(B709,[1]Historical!$B$7:$B$1253,0))/INDEX([1]Historical!$N$7:$N$1222,MATCH(B709,[1]Historical!$B$7:$B$1253,0)))^(1/10)-1)*100)</f>
        <v>7.1773462536293131</v>
      </c>
      <c r="W709" s="163">
        <f t="shared" si="183"/>
        <v>0.98720102256024045</v>
      </c>
      <c r="X709" s="164">
        <f t="shared" si="184"/>
        <v>0.20129214661510708</v>
      </c>
      <c r="Y709" s="212"/>
      <c r="Z709" s="157">
        <f t="shared" si="185"/>
        <v>9.1898428053204366</v>
      </c>
      <c r="AA709" s="166">
        <f t="shared" si="186"/>
        <v>27.823458282950423</v>
      </c>
      <c r="AB709" s="126">
        <v>12</v>
      </c>
      <c r="AC709" s="167">
        <v>8.27</v>
      </c>
      <c r="AD709" s="167">
        <v>2.62</v>
      </c>
      <c r="AE709" s="167">
        <v>5.63</v>
      </c>
      <c r="AF709" s="167">
        <v>6.79</v>
      </c>
      <c r="AG709" s="167">
        <v>26.400000000000002</v>
      </c>
      <c r="AH709" s="167">
        <v>89.5</v>
      </c>
      <c r="AI709" s="167">
        <v>-8.870000000000001</v>
      </c>
      <c r="AJ709" s="167">
        <v>35.199999999999996</v>
      </c>
      <c r="AK709" s="167">
        <v>10.4</v>
      </c>
      <c r="AL709" s="168">
        <v>16379.999999999998</v>
      </c>
      <c r="AM709" s="169">
        <v>0.3</v>
      </c>
      <c r="AN709" s="167">
        <v>0.08</v>
      </c>
      <c r="AO709" s="170">
        <f t="shared" si="187"/>
        <v>-20.407683544349851</v>
      </c>
      <c r="AP709" s="171">
        <f t="shared" si="188"/>
        <v>7.4157747386005735</v>
      </c>
      <c r="AQ709" s="172">
        <f t="shared" si="189"/>
        <v>189.76717223870418</v>
      </c>
      <c r="AR709" s="157">
        <f>INDEX([1]Historical!$C$7:$C$1231,MATCH(B709,[1]Historical!$B$7:$B$1253,0))*IF(AH709="n/a",1.03,IF(AH709&lt;0,1.01,IF(AH709&gt;10,1.1,(1+AH709/100))))</f>
        <v>0.75900000000000001</v>
      </c>
      <c r="AS709" s="166">
        <f t="shared" si="190"/>
        <v>0.76658999999999999</v>
      </c>
      <c r="AT709" s="166">
        <f t="shared" si="197"/>
        <v>0.84324900000000003</v>
      </c>
      <c r="AU709" s="166">
        <f t="shared" si="197"/>
        <v>0.92757390000000006</v>
      </c>
      <c r="AV709" s="166">
        <f t="shared" si="197"/>
        <v>1.0203312900000001</v>
      </c>
      <c r="AW709" s="157">
        <f t="shared" si="192"/>
        <v>4.3167441899999996</v>
      </c>
      <c r="AX709" s="173">
        <f t="shared" si="193"/>
        <v>1.8760296349413297</v>
      </c>
      <c r="AY709" s="174">
        <v>1.1599999999999999</v>
      </c>
      <c r="AZ709" s="169">
        <v>11.600000000000001</v>
      </c>
      <c r="BA709" s="169">
        <v>-51.559999999999995</v>
      </c>
      <c r="BB709" s="169">
        <v>-14.56</v>
      </c>
      <c r="BC709" s="169">
        <v>-29.84</v>
      </c>
      <c r="BD709" s="100"/>
      <c r="BE709" s="77">
        <v>1994</v>
      </c>
      <c r="BF709" s="77">
        <f t="shared" si="194"/>
        <v>3</v>
      </c>
      <c r="BG709" s="175">
        <v>19</v>
      </c>
      <c r="BH709" t="s">
        <v>939</v>
      </c>
      <c r="BI709" t="s">
        <v>940</v>
      </c>
      <c r="BJ709"/>
      <c r="BK709"/>
      <c r="BL709"/>
    </row>
    <row r="710" spans="1:64" s="112" customFormat="1" ht="12.75" customHeight="1" x14ac:dyDescent="0.2">
      <c r="A710" s="112" t="s">
        <v>1722</v>
      </c>
      <c r="B710" s="239" t="s">
        <v>650</v>
      </c>
      <c r="C710" s="154" t="s">
        <v>90</v>
      </c>
      <c r="D710" s="154" t="s">
        <v>969</v>
      </c>
      <c r="E710" s="155">
        <v>12</v>
      </c>
      <c r="F710" s="298">
        <v>330</v>
      </c>
      <c r="G710" s="298" t="s">
        <v>88</v>
      </c>
      <c r="H710" s="298" t="s">
        <v>88</v>
      </c>
      <c r="I710" s="156">
        <v>22.47</v>
      </c>
      <c r="J710" s="157">
        <f t="shared" si="180"/>
        <v>4.4503782821539835</v>
      </c>
      <c r="K710" s="158">
        <v>0.25</v>
      </c>
      <c r="L710" s="126">
        <v>4</v>
      </c>
      <c r="M710" s="82">
        <f t="shared" si="181"/>
        <v>1</v>
      </c>
      <c r="N710" s="159" t="s">
        <v>135</v>
      </c>
      <c r="O710" s="160">
        <v>0.24</v>
      </c>
      <c r="P710" s="161">
        <v>44600</v>
      </c>
      <c r="Q710" s="161">
        <v>44615</v>
      </c>
      <c r="R710" s="82">
        <f t="shared" si="182"/>
        <v>4.1666666666666705</v>
      </c>
      <c r="S710" s="162">
        <f>IF(INDEX([1]Historical!$D$7:$D$1229,MATCH(B710,[1]Historical!$B$7:$B$1253,0))=0,"n/a",(INDEX([1]Historical!$C$7:$C$1231,MATCH(B710,[1]Historical!$B$7:$B$1253,0))/INDEX([1]Historical!$D$7:$D$1229,MATCH(B710,[1]Historical!$B$7:$B$1253,0))-1)*100)</f>
        <v>11.904761904761907</v>
      </c>
      <c r="T710" s="162">
        <f>IF(INDEX([1]Historical!$F$7:$F$1222,MATCH(B710,[1]Historical!$B$7:$B$1253,0))=0,"n/a",((INDEX([1]Historical!$C$7:$C$1231,MATCH(B710,[1]Historical!$B$7:$B$1253,0))/INDEX([1]Historical!$F$7:$F$1222,MATCH(B710,[1]Historical!$B$7:$B$1253,0)))^(1/3)-1)*100)</f>
        <v>6.4170176581825888</v>
      </c>
      <c r="U710" s="162">
        <f>IF(INDEX([1]Historical!$H$7:$H$1222,MATCH(B710,[1]Historical!$B$7:$B$1253,0))=0,"n/a",((INDEX([1]Historical!$C$7:$C$1231,MATCH(B710,[1]Historical!$B$7:$B$1253,0))/INDEX([1]Historical!$H$7:$H$1222,MATCH(B710,[1]Historical!$B$7:$B$1253,0)))^(1/5)-1)*100)</f>
        <v>7.0066111031416467</v>
      </c>
      <c r="V710" s="162">
        <f>IF(INDEX([1]Historical!$N$7:$N$1222,MATCH(B710,[1]Historical!$B$7:$B$1253,0))=0,"n/a",((INDEX([1]Historical!$C$7:$C$1231,MATCH(B710,[1]Historical!$B$7:$B$1253,0))/INDEX([1]Historical!$N$7:$N$1222,MATCH(B710,[1]Historical!$B$7:$B$1253,0)))^(1/10)-1)*100)</f>
        <v>15.629997772780024</v>
      </c>
      <c r="W710" s="163">
        <f t="shared" si="183"/>
        <v>0.448279724987793</v>
      </c>
      <c r="X710" s="164">
        <f t="shared" si="184"/>
        <v>0.44628096198354439</v>
      </c>
      <c r="Y710" s="180"/>
      <c r="Z710" s="157">
        <f t="shared" si="185"/>
        <v>33.333333333333329</v>
      </c>
      <c r="AA710" s="166">
        <f t="shared" si="186"/>
        <v>7.4899999999999993</v>
      </c>
      <c r="AB710" s="126">
        <v>12</v>
      </c>
      <c r="AC710" s="167">
        <v>3</v>
      </c>
      <c r="AD710" s="167" t="s">
        <v>95</v>
      </c>
      <c r="AE710" s="167">
        <v>3.42</v>
      </c>
      <c r="AF710" s="167">
        <v>1.61</v>
      </c>
      <c r="AG710" s="167" t="s">
        <v>95</v>
      </c>
      <c r="AH710" s="167">
        <v>49.2</v>
      </c>
      <c r="AI710" s="167">
        <v>-21.349999999999998</v>
      </c>
      <c r="AJ710" s="167">
        <v>15.7</v>
      </c>
      <c r="AK710" s="167" t="s">
        <v>95</v>
      </c>
      <c r="AL710" s="168">
        <v>379.97</v>
      </c>
      <c r="AM710" s="169">
        <v>1.7999999999999998</v>
      </c>
      <c r="AN710" s="167">
        <v>0.66</v>
      </c>
      <c r="AO710" s="170">
        <f t="shared" si="187"/>
        <v>3.9669893852956308</v>
      </c>
      <c r="AP710" s="171">
        <f t="shared" si="188"/>
        <v>11.45698938529563</v>
      </c>
      <c r="AQ710" s="172">
        <f t="shared" si="189"/>
        <v>-26.791318061918979</v>
      </c>
      <c r="AR710" s="157">
        <f>INDEX([1]Historical!$C$7:$C$1231,MATCH(B710,[1]Historical!$B$7:$B$1253,0))*IF(AH710="n/a",1.03,IF(AH710&lt;0,1.01,IF(AH710&gt;10,1.1,(1+AH710/100))))</f>
        <v>1.034</v>
      </c>
      <c r="AS710" s="166">
        <f t="shared" si="190"/>
        <v>1.04434</v>
      </c>
      <c r="AT710" s="166">
        <f t="shared" si="197"/>
        <v>1.0756702</v>
      </c>
      <c r="AU710" s="166">
        <f t="shared" si="197"/>
        <v>1.1079403060000002</v>
      </c>
      <c r="AV710" s="166">
        <f t="shared" si="197"/>
        <v>1.1411785151800002</v>
      </c>
      <c r="AW710" s="157">
        <f t="shared" si="192"/>
        <v>5.4031290211799998</v>
      </c>
      <c r="AX710" s="173">
        <f t="shared" si="193"/>
        <v>24.045968051535379</v>
      </c>
      <c r="AY710" s="174">
        <v>0.97</v>
      </c>
      <c r="AZ710" s="169">
        <v>10.199999999999999</v>
      </c>
      <c r="BA710" s="169">
        <v>-34.870000000000005</v>
      </c>
      <c r="BB710" s="169">
        <v>-1.52</v>
      </c>
      <c r="BC710" s="169">
        <v>-11.940000000000001</v>
      </c>
      <c r="BD710" s="100"/>
      <c r="BE710" s="77">
        <v>2011</v>
      </c>
      <c r="BF710" s="77">
        <f t="shared" si="194"/>
        <v>1</v>
      </c>
      <c r="BG710" s="175" t="s">
        <v>95</v>
      </c>
      <c r="BH710" t="s">
        <v>939</v>
      </c>
      <c r="BI710" t="s">
        <v>940</v>
      </c>
      <c r="BJ710"/>
      <c r="BK710"/>
      <c r="BL710"/>
    </row>
    <row r="711" spans="1:64" s="112" customFormat="1" ht="12.75" customHeight="1" x14ac:dyDescent="0.2">
      <c r="A711" s="176" t="s">
        <v>1723</v>
      </c>
      <c r="B711" s="239" t="s">
        <v>879</v>
      </c>
      <c r="C711" s="154" t="s">
        <v>90</v>
      </c>
      <c r="D711" s="154" t="s">
        <v>969</v>
      </c>
      <c r="E711" s="155">
        <v>9</v>
      </c>
      <c r="F711" s="298">
        <v>521</v>
      </c>
      <c r="G711" s="298" t="s">
        <v>88</v>
      </c>
      <c r="H711" s="298" t="s">
        <v>88</v>
      </c>
      <c r="I711" s="156">
        <v>93.62</v>
      </c>
      <c r="J711" s="157">
        <f t="shared" ref="J711:J723" si="198">(M711/I711)*100</f>
        <v>1.4526810510574664</v>
      </c>
      <c r="K711" s="158">
        <v>0.34</v>
      </c>
      <c r="L711" s="126">
        <v>4</v>
      </c>
      <c r="M711" s="82">
        <f t="shared" ref="M711:M723" si="199">K711*L711</f>
        <v>1.36</v>
      </c>
      <c r="N711" s="159" t="s">
        <v>334</v>
      </c>
      <c r="O711" s="160">
        <v>0.31</v>
      </c>
      <c r="P711" s="161">
        <v>44601</v>
      </c>
      <c r="Q711" s="161">
        <v>44616</v>
      </c>
      <c r="R711" s="82">
        <f t="shared" ref="R711:R723" si="200">(K711-O711)/O711*100</f>
        <v>9.6774193548387171</v>
      </c>
      <c r="S711" s="162">
        <f>IF(INDEX([1]Historical!$D$7:$D$1229,MATCH(B711,[1]Historical!$B$7:$B$1253,0))=0,"n/a",(INDEX([1]Historical!$C$7:$C$1231,MATCH(B711,[1]Historical!$B$7:$B$1253,0))/INDEX([1]Historical!$D$7:$D$1229,MATCH(B711,[1]Historical!$B$7:$B$1253,0))-1)*100)</f>
        <v>10.714285714285698</v>
      </c>
      <c r="T711" s="162">
        <f>IF(INDEX([1]Historical!$F$7:$F$1222,MATCH(B711,[1]Historical!$B$7:$B$1253,0))=0,"n/a",((INDEX([1]Historical!$C$7:$C$1231,MATCH(B711,[1]Historical!$B$7:$B$1253,0))/INDEX([1]Historical!$F$7:$F$1222,MATCH(B711,[1]Historical!$B$7:$B$1253,0)))^(1/3)-1)*100)</f>
        <v>17.725180311441701</v>
      </c>
      <c r="U711" s="162">
        <f>IF(INDEX([1]Historical!$H$7:$H$1222,MATCH(B711,[1]Historical!$B$7:$B$1253,0))=0,"n/a",((INDEX([1]Historical!$C$7:$C$1231,MATCH(B711,[1]Historical!$B$7:$B$1253,0))/INDEX([1]Historical!$H$7:$H$1222,MATCH(B711,[1]Historical!$B$7:$B$1253,0)))^(1/5)-1)*100)</f>
        <v>20.902725032898985</v>
      </c>
      <c r="V711" s="162">
        <f>IF(INDEX([1]Historical!$N$7:$N$1222,MATCH(B711,[1]Historical!$B$7:$B$1253,0))=0,"n/a",((INDEX([1]Historical!$C$7:$C$1231,MATCH(B711,[1]Historical!$B$7:$B$1253,0))/INDEX([1]Historical!$N$7:$N$1222,MATCH(B711,[1]Historical!$B$7:$B$1253,0)))^(1/10)-1)*100)</f>
        <v>21.287185430064959</v>
      </c>
      <c r="W711" s="163">
        <f t="shared" ref="W711:W723" si="201">IF(OR(U711&lt;=0,U711="n/a",V711&lt;=0,V711="n/a"),"n/a",U711/V711)</f>
        <v>0.98193935039326607</v>
      </c>
      <c r="X711" s="164">
        <f t="shared" ref="X711:X723" si="202">IF(OR(AJ711&lt;=0,AJ711="n/a",U711&lt;=0,U711="n/a"),"n/a",U711/AJ711)</f>
        <v>1.3313837600572602</v>
      </c>
      <c r="Y711" s="212"/>
      <c r="Z711" s="157">
        <f t="shared" ref="Z711:Z723" si="203">IF(OR(AC711&lt;0.01,AC711="n/a"),"n/a",M711/AC711*100)</f>
        <v>18.50340136054422</v>
      </c>
      <c r="AA711" s="166">
        <f t="shared" ref="AA711:AA723" si="204">IF(OR(AC711&lt;0.01,AC711="n/a"),"n/a",I711/AC711)</f>
        <v>12.737414965986396</v>
      </c>
      <c r="AB711" s="126">
        <v>12</v>
      </c>
      <c r="AC711" s="167">
        <v>7.35</v>
      </c>
      <c r="AD711" s="167">
        <v>1.27</v>
      </c>
      <c r="AE711" s="167">
        <v>3.7</v>
      </c>
      <c r="AF711" s="167">
        <v>1.25</v>
      </c>
      <c r="AG711" s="167">
        <v>10</v>
      </c>
      <c r="AH711" s="167">
        <v>62</v>
      </c>
      <c r="AI711" s="167">
        <v>25.069999999999997</v>
      </c>
      <c r="AJ711" s="167">
        <v>15.7</v>
      </c>
      <c r="AK711" s="167">
        <v>10</v>
      </c>
      <c r="AL711" s="168">
        <v>5530</v>
      </c>
      <c r="AM711" s="169">
        <v>1</v>
      </c>
      <c r="AN711" s="167">
        <v>0.27</v>
      </c>
      <c r="AO711" s="170">
        <f t="shared" ref="AO711:AO723" si="205">IF(U711="n/a","n/a",IF(AA711&lt;0,"n/a",IF(AA711="n/a","n/a",J711+U711-AA711)))</f>
        <v>9.6179911179700568</v>
      </c>
      <c r="AP711" s="171">
        <f t="shared" ref="AP711:AP723" si="206">IF(U711="n/a","n/a",J711+U711)</f>
        <v>22.355406083956453</v>
      </c>
      <c r="AQ711" s="172">
        <f t="shared" ref="AQ711:AQ723" si="207">IF(OR(AC711&lt;0.01,AC711="n/a",AF711="n/a"),"n/a",(I711/SQRT(22.5*AC711*(I711/AF711))-1)*100)</f>
        <v>-15.879005903578269</v>
      </c>
      <c r="AR711" s="157">
        <f>INDEX([1]Historical!$C$7:$C$1231,MATCH(B711,[1]Historical!$B$7:$B$1253,0))*IF(AH711="n/a",1.03,IF(AH711&lt;0,1.01,IF(AH711&gt;10,1.1,(1+AH711/100))))</f>
        <v>1.3640000000000001</v>
      </c>
      <c r="AS711" s="166">
        <f t="shared" ref="AS711:AS723" si="208">IF($AI711="n/a",1.03*AR711,IF($AI711&lt;0,1.01*AR711,IF($AI711&gt;10,1.1*AR711,(1+$AI711/100)*AR711)))</f>
        <v>1.5004000000000002</v>
      </c>
      <c r="AT711" s="166">
        <f t="shared" ref="AT711:AV723" si="209">IF($AK711="n/a",1.03*AS711,IF($AK711&lt;0,1.01*AS711,IF($AK711&gt;10,1.1*AS711,(1+$AK711/100)*AS711)))</f>
        <v>1.6504400000000004</v>
      </c>
      <c r="AU711" s="166">
        <f t="shared" si="209"/>
        <v>1.8154840000000005</v>
      </c>
      <c r="AV711" s="166">
        <f t="shared" si="209"/>
        <v>1.9970324000000008</v>
      </c>
      <c r="AW711" s="157">
        <f t="shared" ref="AW711:AW723" si="210">SUM(AR711:AV711)</f>
        <v>8.3273564000000011</v>
      </c>
      <c r="AX711" s="173">
        <f t="shared" ref="AX711:AX723" si="211">AW711/I711*100</f>
        <v>8.894847682119206</v>
      </c>
      <c r="AY711" s="174">
        <v>1.2</v>
      </c>
      <c r="AZ711" s="169">
        <v>22.97</v>
      </c>
      <c r="BA711" s="169">
        <v>-11.31</v>
      </c>
      <c r="BB711" s="169">
        <v>7.88</v>
      </c>
      <c r="BC711" s="169">
        <v>5.13</v>
      </c>
      <c r="BD711" s="100"/>
      <c r="BE711" s="77">
        <v>2014</v>
      </c>
      <c r="BF711" s="77">
        <f t="shared" ref="BF711:BF723" si="212">IF(BE711&gt;2020,0,IF(BE711&gt;2008,1,IF(BE711&gt;2001,2,IF(BE711&gt;1990,3,IF(BE711&gt;1980,4,IF(BE711&gt;1973,5,IF(BE711&gt;1970,6,IF(BE711&gt;1960,7,IF(BE711&gt;1958,8,IF(BE711&gt;1953,9,10))))))))))</f>
        <v>1</v>
      </c>
      <c r="BG711" s="175">
        <v>0.8</v>
      </c>
      <c r="BH711" t="s">
        <v>939</v>
      </c>
      <c r="BI711" t="s">
        <v>940</v>
      </c>
    </row>
    <row r="712" spans="1:64" s="112" customFormat="1" ht="12.75" customHeight="1" x14ac:dyDescent="0.2">
      <c r="A712" s="176" t="s">
        <v>1724</v>
      </c>
      <c r="B712" s="239" t="s">
        <v>1212</v>
      </c>
      <c r="C712" s="154" t="s">
        <v>117</v>
      </c>
      <c r="D712" s="154" t="s">
        <v>978</v>
      </c>
      <c r="E712" s="155">
        <v>30</v>
      </c>
      <c r="F712" s="298">
        <v>102</v>
      </c>
      <c r="G712" s="298" t="s">
        <v>30</v>
      </c>
      <c r="H712" s="298" t="s">
        <v>30</v>
      </c>
      <c r="I712" s="167">
        <v>44.22</v>
      </c>
      <c r="J712" s="157">
        <f t="shared" si="198"/>
        <v>2.5961103573043869</v>
      </c>
      <c r="K712" s="209">
        <v>0.28699999999999998</v>
      </c>
      <c r="L712" s="126">
        <v>4</v>
      </c>
      <c r="M712" s="82">
        <f t="shared" si="199"/>
        <v>1.1479999999999999</v>
      </c>
      <c r="N712" s="159" t="s">
        <v>116</v>
      </c>
      <c r="O712" s="210">
        <v>0.26819999999999999</v>
      </c>
      <c r="P712" s="161">
        <v>44784</v>
      </c>
      <c r="Q712" s="161">
        <v>44805</v>
      </c>
      <c r="R712" s="82">
        <f t="shared" si="200"/>
        <v>7.0096942580163999</v>
      </c>
      <c r="S712" s="162">
        <f>IF(INDEX([1]Historical!$D$7:$D$1229,MATCH(B712,[1]Historical!$B$7:$B$1253,0))=0,"n/a",(INDEX([1]Historical!$C$7:$C$1231,MATCH(B712,[1]Historical!$B$7:$B$1253,0))/INDEX([1]Historical!$D$7:$D$1229,MATCH(B712,[1]Historical!$B$7:$B$1253,0))-1)*100)</f>
        <v>6.9896907216494997</v>
      </c>
      <c r="T712" s="162">
        <f>IF(INDEX([1]Historical!$F$7:$F$1222,MATCH(B712,[1]Historical!$B$7:$B$1253,0))=0,"n/a",((INDEX([1]Historical!$C$7:$C$1231,MATCH(B712,[1]Historical!$B$7:$B$1253,0))/INDEX([1]Historical!$F$7:$F$1222,MATCH(B712,[1]Historical!$B$7:$B$1253,0)))^(1/3)-1)*100)</f>
        <v>6.9644029466000124</v>
      </c>
      <c r="U712" s="162">
        <f>IF(INDEX([1]Historical!$H$7:$H$1222,MATCH(B712,[1]Historical!$B$7:$B$1253,0))=0,"n/a",((INDEX([1]Historical!$C$7:$C$1231,MATCH(B712,[1]Historical!$B$7:$B$1253,0))/INDEX([1]Historical!$H$7:$H$1222,MATCH(B712,[1]Historical!$B$7:$B$1253,0)))^(1/5)-1)*100)</f>
        <v>7.0387115149548318</v>
      </c>
      <c r="V712" s="162">
        <f>IF(INDEX([1]Historical!$N$7:$N$1222,MATCH(B712,[1]Historical!$B$7:$B$1253,0))=0,"n/a",((INDEX([1]Historical!$C$7:$C$1231,MATCH(B712,[1]Historical!$B$7:$B$1253,0))/INDEX([1]Historical!$N$7:$N$1222,MATCH(B712,[1]Historical!$B$7:$B$1253,0)))^(1/10)-1)*100)</f>
        <v>7.4900619023636539</v>
      </c>
      <c r="W712" s="163">
        <f t="shared" si="201"/>
        <v>0.93974009917509649</v>
      </c>
      <c r="X712" s="164">
        <f t="shared" si="202"/>
        <v>1.6369096546406587</v>
      </c>
      <c r="Y712" s="212"/>
      <c r="Z712" s="157">
        <f t="shared" si="203"/>
        <v>68.742514970059872</v>
      </c>
      <c r="AA712" s="166">
        <f t="shared" si="204"/>
        <v>26.479041916167667</v>
      </c>
      <c r="AB712" s="126">
        <v>12</v>
      </c>
      <c r="AC712" s="167">
        <v>1.67</v>
      </c>
      <c r="AD712" s="167">
        <v>3.9</v>
      </c>
      <c r="AE712" s="167">
        <v>5.59</v>
      </c>
      <c r="AF712" s="167">
        <v>2.17</v>
      </c>
      <c r="AG712" s="167">
        <v>8.6</v>
      </c>
      <c r="AH712" s="167">
        <v>53.7</v>
      </c>
      <c r="AI712" s="167">
        <v>6.9099999999999993</v>
      </c>
      <c r="AJ712" s="167">
        <v>4.3</v>
      </c>
      <c r="AK712" s="167">
        <v>6.8000000000000007</v>
      </c>
      <c r="AL712" s="168">
        <v>11430</v>
      </c>
      <c r="AM712" s="169">
        <v>0.15</v>
      </c>
      <c r="AN712" s="167">
        <v>1.1599999999999999</v>
      </c>
      <c r="AO712" s="170">
        <f t="shared" si="205"/>
        <v>-16.84422004390845</v>
      </c>
      <c r="AP712" s="171">
        <f t="shared" si="206"/>
        <v>9.6348218722592183</v>
      </c>
      <c r="AQ712" s="172">
        <f t="shared" si="207"/>
        <v>59.804771112315301</v>
      </c>
      <c r="AR712" s="157">
        <f>INDEX([1]Historical!$C$7:$C$1231,MATCH(B712,[1]Historical!$B$7:$B$1253,0))*IF(AH712="n/a",1.03,IF(AH712&lt;0,1.01,IF(AH712&gt;10,1.1,(1+AH712/100))))</f>
        <v>1.1415800000000003</v>
      </c>
      <c r="AS712" s="166">
        <f t="shared" si="208"/>
        <v>1.2204631780000001</v>
      </c>
      <c r="AT712" s="166">
        <f t="shared" si="209"/>
        <v>1.3034546741040003</v>
      </c>
      <c r="AU712" s="166">
        <f t="shared" si="209"/>
        <v>1.3920895919430725</v>
      </c>
      <c r="AV712" s="166">
        <f t="shared" si="209"/>
        <v>1.4867516841952015</v>
      </c>
      <c r="AW712" s="157">
        <f t="shared" si="210"/>
        <v>6.5443391282422754</v>
      </c>
      <c r="AX712" s="173">
        <f t="shared" si="211"/>
        <v>14.799500516151687</v>
      </c>
      <c r="AY712" s="174">
        <v>0.77</v>
      </c>
      <c r="AZ712" s="169">
        <v>14.860000000000001</v>
      </c>
      <c r="BA712" s="169">
        <v>-18</v>
      </c>
      <c r="BB712" s="169">
        <v>-1.8800000000000001</v>
      </c>
      <c r="BC712" s="169">
        <v>-5.79</v>
      </c>
      <c r="BD712" s="100"/>
      <c r="BE712" s="77">
        <v>1993</v>
      </c>
      <c r="BF712" s="77">
        <f t="shared" si="212"/>
        <v>3</v>
      </c>
      <c r="BG712" s="175">
        <v>3.1</v>
      </c>
      <c r="BH712" t="s">
        <v>939</v>
      </c>
      <c r="BI712" t="s">
        <v>940</v>
      </c>
      <c r="BJ712"/>
      <c r="BK712"/>
      <c r="BL712"/>
    </row>
    <row r="713" spans="1:64" s="112" customFormat="1" ht="12.75" customHeight="1" x14ac:dyDescent="0.2">
      <c r="A713" s="176" t="s">
        <v>1725</v>
      </c>
      <c r="B713" s="239" t="s">
        <v>838</v>
      </c>
      <c r="C713" s="154" t="s">
        <v>94</v>
      </c>
      <c r="D713" s="154" t="s">
        <v>101</v>
      </c>
      <c r="E713" s="155">
        <v>10</v>
      </c>
      <c r="F713" s="298">
        <v>495</v>
      </c>
      <c r="G713" s="298" t="s">
        <v>88</v>
      </c>
      <c r="H713" s="298" t="s">
        <v>88</v>
      </c>
      <c r="I713" s="156">
        <v>146.36000000000001</v>
      </c>
      <c r="J713" s="157">
        <f t="shared" si="198"/>
        <v>0.81989614648811138</v>
      </c>
      <c r="K713" s="158">
        <v>0.3</v>
      </c>
      <c r="L713" s="126">
        <v>4</v>
      </c>
      <c r="M713" s="82">
        <f t="shared" si="199"/>
        <v>1.2</v>
      </c>
      <c r="N713" s="159" t="s">
        <v>186</v>
      </c>
      <c r="O713" s="160">
        <v>0.26</v>
      </c>
      <c r="P713" s="161">
        <v>44712</v>
      </c>
      <c r="Q713" s="161">
        <v>44727</v>
      </c>
      <c r="R713" s="82">
        <f t="shared" si="200"/>
        <v>15.384615384615378</v>
      </c>
      <c r="S713" s="162">
        <f>IF(INDEX([1]Historical!$D$7:$D$1229,MATCH(B713,[1]Historical!$B$7:$B$1253,0))=0,"n/a",(INDEX([1]Historical!$C$7:$C$1231,MATCH(B713,[1]Historical!$B$7:$B$1253,0))/INDEX([1]Historical!$D$7:$D$1229,MATCH(B713,[1]Historical!$B$7:$B$1253,0))-1)*100)</f>
        <v>9.7826086956521721</v>
      </c>
      <c r="T713" s="162">
        <f>IF(INDEX([1]Historical!$F$7:$F$1222,MATCH(B713,[1]Historical!$B$7:$B$1253,0))=0,"n/a",((INDEX([1]Historical!$C$7:$C$1231,MATCH(B713,[1]Historical!$B$7:$B$1253,0))/INDEX([1]Historical!$F$7:$F$1222,MATCH(B713,[1]Historical!$B$7:$B$1253,0)))^(1/3)-1)*100)</f>
        <v>7.193678303359885</v>
      </c>
      <c r="U713" s="162">
        <f>IF(INDEX([1]Historical!$H$7:$H$1222,MATCH(B713,[1]Historical!$B$7:$B$1253,0))=0,"n/a",((INDEX([1]Historical!$C$7:$C$1231,MATCH(B713,[1]Historical!$B$7:$B$1253,0))/INDEX([1]Historical!$H$7:$H$1222,MATCH(B713,[1]Historical!$B$7:$B$1253,0)))^(1/5)-1)*100)</f>
        <v>7.3031830278270871</v>
      </c>
      <c r="V713" s="162">
        <f>IF(INDEX([1]Historical!$N$7:$N$1222,MATCH(B713,[1]Historical!$B$7:$B$1253,0))=0,"n/a",((INDEX([1]Historical!$C$7:$C$1231,MATCH(B713,[1]Historical!$B$7:$B$1253,0))/INDEX([1]Historical!$N$7:$N$1222,MATCH(B713,[1]Historical!$B$7:$B$1253,0)))^(1/10)-1)*100)</f>
        <v>8.6642957577530275</v>
      </c>
      <c r="W713" s="163">
        <f t="shared" si="201"/>
        <v>0.84290555539866208</v>
      </c>
      <c r="X713" s="164">
        <f t="shared" si="202"/>
        <v>0.49014651193470388</v>
      </c>
      <c r="Y713" s="220"/>
      <c r="Z713" s="157">
        <f t="shared" si="203"/>
        <v>19.23076923076923</v>
      </c>
      <c r="AA713" s="166">
        <f t="shared" si="204"/>
        <v>23.455128205128208</v>
      </c>
      <c r="AB713" s="126">
        <v>12</v>
      </c>
      <c r="AC713" s="167">
        <v>6.24</v>
      </c>
      <c r="AD713" s="167">
        <v>2.86</v>
      </c>
      <c r="AE713" s="167">
        <v>2.41</v>
      </c>
      <c r="AF713" s="167">
        <v>4.03</v>
      </c>
      <c r="AG713" s="167">
        <v>18</v>
      </c>
      <c r="AH713" s="167">
        <v>45.4</v>
      </c>
      <c r="AI713" s="167">
        <v>-1.96</v>
      </c>
      <c r="AJ713" s="167">
        <v>14.899999999999999</v>
      </c>
      <c r="AK713" s="167">
        <v>8</v>
      </c>
      <c r="AL713" s="168">
        <v>4630</v>
      </c>
      <c r="AM713" s="169">
        <v>0.4</v>
      </c>
      <c r="AN713" s="167">
        <v>0.17</v>
      </c>
      <c r="AO713" s="170">
        <f t="shared" si="205"/>
        <v>-15.33204903081301</v>
      </c>
      <c r="AP713" s="171">
        <f t="shared" si="206"/>
        <v>8.1230791743151975</v>
      </c>
      <c r="AQ713" s="172">
        <f t="shared" si="207"/>
        <v>104.96521836824103</v>
      </c>
      <c r="AR713" s="157">
        <f>INDEX([1]Historical!$C$7:$C$1231,MATCH(B713,[1]Historical!$B$7:$B$1253,0))*IF(AH713="n/a",1.03,IF(AH713&lt;0,1.01,IF(AH713&gt;10,1.1,(1+AH713/100))))</f>
        <v>1.1110000000000002</v>
      </c>
      <c r="AS713" s="166">
        <f t="shared" si="208"/>
        <v>1.1221100000000002</v>
      </c>
      <c r="AT713" s="166">
        <f t="shared" si="209"/>
        <v>1.2118788000000003</v>
      </c>
      <c r="AU713" s="166">
        <f t="shared" si="209"/>
        <v>1.3088291040000004</v>
      </c>
      <c r="AV713" s="166">
        <f t="shared" si="209"/>
        <v>1.4135354323200005</v>
      </c>
      <c r="AW713" s="157">
        <f t="shared" si="210"/>
        <v>6.1673533363200024</v>
      </c>
      <c r="AX713" s="173">
        <f t="shared" si="211"/>
        <v>4.2138243620661395</v>
      </c>
      <c r="AY713" s="174">
        <v>0.98</v>
      </c>
      <c r="AZ713" s="169">
        <v>25.840000000000003</v>
      </c>
      <c r="BA713" s="169">
        <v>-30.959999999999997</v>
      </c>
      <c r="BB713" s="169">
        <v>9.5200000000000014</v>
      </c>
      <c r="BC713" s="169">
        <v>6.2</v>
      </c>
      <c r="BD713" s="100"/>
      <c r="BE713" s="77">
        <v>2013</v>
      </c>
      <c r="BF713" s="77">
        <f t="shared" si="212"/>
        <v>1</v>
      </c>
      <c r="BG713" s="175">
        <v>11.200000000000001</v>
      </c>
      <c r="BH713" t="s">
        <v>939</v>
      </c>
      <c r="BI713" t="s">
        <v>940</v>
      </c>
      <c r="BJ713"/>
      <c r="BK713"/>
      <c r="BL713"/>
    </row>
    <row r="714" spans="1:64" s="112" customFormat="1" ht="12.75" customHeight="1" x14ac:dyDescent="0.2">
      <c r="A714" s="205" t="s">
        <v>1710</v>
      </c>
      <c r="B714" s="239" t="s">
        <v>1789</v>
      </c>
      <c r="C714" s="154" t="s">
        <v>90</v>
      </c>
      <c r="D714" s="154" t="s">
        <v>110</v>
      </c>
      <c r="E714" s="155">
        <v>6</v>
      </c>
      <c r="F714" s="298">
        <v>672</v>
      </c>
      <c r="G714" s="298" t="s">
        <v>88</v>
      </c>
      <c r="H714" s="298" t="s">
        <v>88</v>
      </c>
      <c r="I714" s="156">
        <v>218.21</v>
      </c>
      <c r="J714" s="157">
        <f t="shared" si="198"/>
        <v>1.5031391778561933</v>
      </c>
      <c r="K714" s="158">
        <v>0.82</v>
      </c>
      <c r="L714" s="126">
        <v>4</v>
      </c>
      <c r="M714" s="82">
        <f t="shared" si="199"/>
        <v>3.28</v>
      </c>
      <c r="N714" s="159" t="s">
        <v>112</v>
      </c>
      <c r="O714" s="160">
        <v>0.8</v>
      </c>
      <c r="P714" s="161">
        <v>44650</v>
      </c>
      <c r="Q714" s="161">
        <v>44666</v>
      </c>
      <c r="R714" s="82">
        <f t="shared" si="200"/>
        <v>2.4999999999999885</v>
      </c>
      <c r="S714" s="162">
        <f>IF(INDEX([1]Historical!$D$7:$D$1229,MATCH(B714,[1]Historical!$B$7:$B$1253,0))=0,"n/a",(INDEX([1]Historical!$C$7:$C$1231,MATCH(B714,[1]Historical!$B$7:$B$1253,0))/INDEX([1]Historical!$D$7:$D$1229,MATCH(B714,[1]Historical!$B$7:$B$1253,0))-1)*100)</f>
        <v>12.267657992565063</v>
      </c>
      <c r="T714" s="162">
        <f>IF(INDEX([1]Historical!$F$7:$F$1222,MATCH(B714,[1]Historical!$B$7:$B$1253,0))=0,"n/a",((INDEX([1]Historical!$C$7:$C$1231,MATCH(B714,[1]Historical!$B$7:$B$1253,0))/INDEX([1]Historical!$F$7:$F$1222,MATCH(B714,[1]Historical!$B$7:$B$1253,0)))^(1/3)-1)*100)</f>
        <v>9.0310866935630951</v>
      </c>
      <c r="U714" s="162">
        <f>IF(INDEX([1]Historical!$H$7:$H$1222,MATCH(B714,[1]Historical!$B$7:$B$1253,0))=0,"n/a",((INDEX([1]Historical!$C$7:$C$1231,MATCH(B714,[1]Historical!$B$7:$B$1253,0))/INDEX([1]Historical!$H$7:$H$1222,MATCH(B714,[1]Historical!$B$7:$B$1253,0)))^(1/5)-1)*100)</f>
        <v>5.9580356895434061</v>
      </c>
      <c r="V714" s="162">
        <f>IF(INDEX([1]Historical!$N$7:$N$1222,MATCH(B714,[1]Historical!$B$7:$B$1253,0))=0,"n/a",((INDEX([1]Historical!$C$7:$C$1231,MATCH(B714,[1]Historical!$B$7:$B$1253,0))/INDEX([1]Historical!$N$7:$N$1222,MATCH(B714,[1]Historical!$B$7:$B$1253,0)))^(1/10)-1)*100)</f>
        <v>0.92274536503729188</v>
      </c>
      <c r="W714" s="163">
        <f t="shared" si="201"/>
        <v>6.4568578887444401</v>
      </c>
      <c r="X714" s="164">
        <f t="shared" si="202"/>
        <v>0.14747613092929221</v>
      </c>
      <c r="Y714" s="178" t="s">
        <v>708</v>
      </c>
      <c r="Z714" s="157">
        <f t="shared" si="203"/>
        <v>38.679245283018865</v>
      </c>
      <c r="AA714" s="166">
        <f t="shared" si="204"/>
        <v>25.732311320754718</v>
      </c>
      <c r="AB714" s="126">
        <v>12</v>
      </c>
      <c r="AC714" s="167">
        <v>8.48</v>
      </c>
      <c r="AD714" s="167">
        <v>1.43</v>
      </c>
      <c r="AE714" s="167">
        <v>2.64</v>
      </c>
      <c r="AF714" s="167">
        <v>2.48</v>
      </c>
      <c r="AG714" s="167">
        <v>25.4</v>
      </c>
      <c r="AH714" s="167">
        <v>170.2</v>
      </c>
      <c r="AI714" s="167">
        <v>13.94</v>
      </c>
      <c r="AJ714" s="167">
        <v>40.400000000000006</v>
      </c>
      <c r="AK714" s="167">
        <v>18.310000000000002</v>
      </c>
      <c r="AL714" s="168">
        <v>23390</v>
      </c>
      <c r="AM714" s="169">
        <v>0.4</v>
      </c>
      <c r="AN714" s="167">
        <v>0.48</v>
      </c>
      <c r="AO714" s="170">
        <f t="shared" si="205"/>
        <v>-18.271136453355119</v>
      </c>
      <c r="AP714" s="171">
        <f t="shared" si="206"/>
        <v>7.461174867399599</v>
      </c>
      <c r="AQ714" s="172">
        <f t="shared" si="207"/>
        <v>68.412367024741741</v>
      </c>
      <c r="AR714" s="157">
        <f>INDEX([1]Historical!$C$7:$C$1231,MATCH(B714,[1]Historical!$B$7:$B$1253,0))*IF(AH714="n/a",1.03,IF(AH714&lt;0,1.01,IF(AH714&gt;10,1.1,(1+AH714/100))))</f>
        <v>3.3220000000000005</v>
      </c>
      <c r="AS714" s="166">
        <f t="shared" si="208"/>
        <v>3.6542000000000008</v>
      </c>
      <c r="AT714" s="166">
        <f t="shared" si="209"/>
        <v>4.0196200000000015</v>
      </c>
      <c r="AU714" s="166">
        <f t="shared" si="209"/>
        <v>4.4215820000000017</v>
      </c>
      <c r="AV714" s="166">
        <f t="shared" si="209"/>
        <v>4.8637402000000023</v>
      </c>
      <c r="AW714" s="157">
        <f t="shared" si="210"/>
        <v>20.281142200000005</v>
      </c>
      <c r="AX714" s="173">
        <f t="shared" si="211"/>
        <v>9.2943229916135852</v>
      </c>
      <c r="AY714" s="174">
        <v>0.74</v>
      </c>
      <c r="AZ714" s="169">
        <v>16.14</v>
      </c>
      <c r="BA714" s="169">
        <v>-12.3</v>
      </c>
      <c r="BB714" s="169">
        <v>4.91</v>
      </c>
      <c r="BC714" s="169">
        <v>1.51</v>
      </c>
      <c r="BD714" s="100"/>
      <c r="BE714" s="77">
        <v>2017</v>
      </c>
      <c r="BF714" s="77">
        <f t="shared" si="212"/>
        <v>1</v>
      </c>
      <c r="BG714" s="175">
        <v>8.6</v>
      </c>
      <c r="BH714" t="s">
        <v>939</v>
      </c>
      <c r="BI714" t="s">
        <v>940</v>
      </c>
    </row>
    <row r="715" spans="1:64" s="112" customFormat="1" ht="12.75" customHeight="1" x14ac:dyDescent="0.2">
      <c r="A715" s="205" t="s">
        <v>1726</v>
      </c>
      <c r="B715" s="239" t="s">
        <v>1213</v>
      </c>
      <c r="C715" s="154" t="s">
        <v>922</v>
      </c>
      <c r="D715" s="154" t="s">
        <v>949</v>
      </c>
      <c r="E715" s="155">
        <v>7</v>
      </c>
      <c r="F715" s="298">
        <v>603</v>
      </c>
      <c r="G715" s="298" t="s">
        <v>88</v>
      </c>
      <c r="H715" s="298" t="s">
        <v>88</v>
      </c>
      <c r="I715" s="156">
        <v>13.51</v>
      </c>
      <c r="J715" s="157">
        <f t="shared" si="198"/>
        <v>6.9578090303478906</v>
      </c>
      <c r="K715" s="158">
        <v>0.23499999999999999</v>
      </c>
      <c r="L715" s="126">
        <v>4</v>
      </c>
      <c r="M715" s="82">
        <f t="shared" si="199"/>
        <v>0.94</v>
      </c>
      <c r="N715" t="s">
        <v>119</v>
      </c>
      <c r="O715" s="160">
        <v>0.22500000000000001</v>
      </c>
      <c r="P715" s="182">
        <v>44271</v>
      </c>
      <c r="Q715" s="182">
        <v>44286</v>
      </c>
      <c r="R715" s="82">
        <f t="shared" si="200"/>
        <v>4.4444444444444366</v>
      </c>
      <c r="S715" s="162">
        <f>IF(INDEX([1]Historical!$D$7:$D$1229,MATCH(B715,[1]Historical!$B$7:$B$1253,0))=0,"n/a",(INDEX([1]Historical!$C$7:$C$1231,MATCH(B715,[1]Historical!$B$7:$B$1253,0))/INDEX([1]Historical!$D$7:$D$1229,MATCH(B715,[1]Historical!$B$7:$B$1253,0))-1)*100)</f>
        <v>4.4444444444444287</v>
      </c>
      <c r="T715" s="162">
        <f>IF(INDEX([1]Historical!$F$7:$F$1222,MATCH(B715,[1]Historical!$B$7:$B$1253,0))=0,"n/a",((INDEX([1]Historical!$C$7:$C$1231,MATCH(B715,[1]Historical!$B$7:$B$1253,0))/INDEX([1]Historical!$F$7:$F$1222,MATCH(B715,[1]Historical!$B$7:$B$1253,0)))^(1/3)-1)*100)</f>
        <v>7.3424294788273059</v>
      </c>
      <c r="U715" s="162">
        <f>IF(INDEX([1]Historical!$H$7:$H$1222,MATCH(B715,[1]Historical!$B$7:$B$1253,0))=0,"n/a",((INDEX([1]Historical!$C$7:$C$1231,MATCH(B715,[1]Historical!$B$7:$B$1253,0))/INDEX([1]Historical!$H$7:$H$1222,MATCH(B715,[1]Historical!$B$7:$B$1253,0)))^(1/5)-1)*100)</f>
        <v>7.9915005882233103</v>
      </c>
      <c r="V715" s="162">
        <f>IF(INDEX([1]Historical!$N$7:$N$1222,MATCH(B715,[1]Historical!$B$7:$B$1253,0))=0,"n/a",((INDEX([1]Historical!$C$7:$C$1231,MATCH(B715,[1]Historical!$B$7:$B$1253,0))/INDEX([1]Historical!$N$7:$N$1222,MATCH(B715,[1]Historical!$B$7:$B$1253,0)))^(1/10)-1)*100)</f>
        <v>11.731753862740391</v>
      </c>
      <c r="W715" s="163">
        <f t="shared" si="201"/>
        <v>0.68118549721742938</v>
      </c>
      <c r="X715" s="164">
        <f t="shared" si="202"/>
        <v>0.25862461450560875</v>
      </c>
      <c r="Y715" s="178"/>
      <c r="Z715" s="157">
        <f t="shared" si="203"/>
        <v>42.152466367713004</v>
      </c>
      <c r="AA715" s="166">
        <f t="shared" si="204"/>
        <v>6.0582959641255609</v>
      </c>
      <c r="AB715" s="126">
        <v>14</v>
      </c>
      <c r="AC715" s="167">
        <v>2.23</v>
      </c>
      <c r="AD715" s="167" t="s">
        <v>95</v>
      </c>
      <c r="AE715" s="167">
        <v>1.1000000000000001</v>
      </c>
      <c r="AF715" s="167">
        <v>11.99</v>
      </c>
      <c r="AG715" s="167">
        <v>233.1</v>
      </c>
      <c r="AH715" s="167">
        <v>9.9</v>
      </c>
      <c r="AI715" s="167">
        <v>-10.02</v>
      </c>
      <c r="AJ715" s="167">
        <v>30.9</v>
      </c>
      <c r="AK715" s="167">
        <v>-2.74</v>
      </c>
      <c r="AL715" s="168">
        <v>5350</v>
      </c>
      <c r="AM715" s="169">
        <v>0.2</v>
      </c>
      <c r="AN715" s="167">
        <v>6.01</v>
      </c>
      <c r="AO715" s="170">
        <f t="shared" si="205"/>
        <v>8.89101365444564</v>
      </c>
      <c r="AP715" s="171">
        <f t="shared" si="206"/>
        <v>14.949309618571201</v>
      </c>
      <c r="AQ715" s="172">
        <f t="shared" si="207"/>
        <v>79.677450028736502</v>
      </c>
      <c r="AR715" s="157">
        <f>INDEX([1]Historical!$C$7:$C$1231,MATCH(B715,[1]Historical!$B$7:$B$1253,0))*IF(AH715="n/a",1.03,IF(AH715&lt;0,1.01,IF(AH715&gt;10,1.1,(1+AH715/100))))</f>
        <v>1.0330599999999999</v>
      </c>
      <c r="AS715" s="166">
        <f t="shared" si="208"/>
        <v>1.0433905999999999</v>
      </c>
      <c r="AT715" s="166">
        <f t="shared" si="209"/>
        <v>1.053824506</v>
      </c>
      <c r="AU715" s="166">
        <f t="shared" si="209"/>
        <v>1.06436275106</v>
      </c>
      <c r="AV715" s="166">
        <f t="shared" si="209"/>
        <v>1.0750063785706001</v>
      </c>
      <c r="AW715" s="157">
        <f t="shared" si="210"/>
        <v>5.2696442356305999</v>
      </c>
      <c r="AX715" s="173">
        <f t="shared" si="211"/>
        <v>39.005508775948186</v>
      </c>
      <c r="AY715" s="174">
        <v>0.91</v>
      </c>
      <c r="AZ715" s="169">
        <v>3.52</v>
      </c>
      <c r="BA715" s="169">
        <v>-33.770000000000003</v>
      </c>
      <c r="BB715" s="169">
        <v>-5.8000000000000007</v>
      </c>
      <c r="BC715" s="169">
        <v>-19.88</v>
      </c>
      <c r="BD715" s="100"/>
      <c r="BE715" s="77">
        <v>2015</v>
      </c>
      <c r="BF715" s="77">
        <f t="shared" si="212"/>
        <v>1</v>
      </c>
      <c r="BG715" s="175">
        <v>10.199999999999999</v>
      </c>
      <c r="BH715" t="s">
        <v>939</v>
      </c>
      <c r="BI715" t="s">
        <v>940</v>
      </c>
    </row>
    <row r="716" spans="1:64" s="112" customFormat="1" ht="12.75" customHeight="1" x14ac:dyDescent="0.2">
      <c r="A716" s="112" t="s">
        <v>1727</v>
      </c>
      <c r="B716" s="239" t="s">
        <v>510</v>
      </c>
      <c r="C716" s="154" t="s">
        <v>117</v>
      </c>
      <c r="D716" s="154" t="s">
        <v>957</v>
      </c>
      <c r="E716" s="155">
        <v>19</v>
      </c>
      <c r="F716" s="298">
        <v>195</v>
      </c>
      <c r="G716" s="298" t="s">
        <v>30</v>
      </c>
      <c r="H716" s="298" t="s">
        <v>104</v>
      </c>
      <c r="I716" s="156">
        <v>65.11</v>
      </c>
      <c r="J716" s="157">
        <f t="shared" si="198"/>
        <v>2.9949316541237905</v>
      </c>
      <c r="K716" s="158">
        <v>0.48749999999999999</v>
      </c>
      <c r="L716" s="126">
        <v>4</v>
      </c>
      <c r="M716" s="82">
        <f t="shared" si="199"/>
        <v>1.95</v>
      </c>
      <c r="N716" s="159" t="s">
        <v>296</v>
      </c>
      <c r="O716" s="160">
        <v>0.45750000000000002</v>
      </c>
      <c r="P716" s="161">
        <v>44634</v>
      </c>
      <c r="Q716" s="161">
        <v>44671</v>
      </c>
      <c r="R716" s="82">
        <f t="shared" si="200"/>
        <v>6.5573770491803209</v>
      </c>
      <c r="S716" s="162">
        <f>IF(INDEX([1]Historical!$D$7:$D$1229,MATCH(B716,[1]Historical!$B$7:$B$1253,0))=0,"n/a",(INDEX([1]Historical!$C$7:$C$1231,MATCH(B716,[1]Historical!$B$7:$B$1253,0))/INDEX([1]Historical!$D$7:$D$1229,MATCH(B716,[1]Historical!$B$7:$B$1253,0))-1)*100)</f>
        <v>6.3421828908554634</v>
      </c>
      <c r="T716" s="162">
        <f>IF(INDEX([1]Historical!$F$7:$F$1222,MATCH(B716,[1]Historical!$B$7:$B$1253,0))=0,"n/a",((INDEX([1]Historical!$C$7:$C$1231,MATCH(B716,[1]Historical!$B$7:$B$1253,0))/INDEX([1]Historical!$F$7:$F$1222,MATCH(B716,[1]Historical!$B$7:$B$1253,0)))^(1/3)-1)*100)</f>
        <v>6.3150313153388593</v>
      </c>
      <c r="U716" s="162">
        <f>IF(INDEX([1]Historical!$H$7:$H$1222,MATCH(B716,[1]Historical!$B$7:$B$1253,0))=0,"n/a",((INDEX([1]Historical!$C$7:$C$1231,MATCH(B716,[1]Historical!$B$7:$B$1253,0))/INDEX([1]Historical!$H$7:$H$1222,MATCH(B716,[1]Historical!$B$7:$B$1253,0)))^(1/5)-1)*100)</f>
        <v>6.1094577098284475</v>
      </c>
      <c r="V716" s="162">
        <f>IF(INDEX([1]Historical!$N$7:$N$1222,MATCH(B716,[1]Historical!$B$7:$B$1253,0))=0,"n/a",((INDEX([1]Historical!$C$7:$C$1231,MATCH(B716,[1]Historical!$B$7:$B$1253,0))/INDEX([1]Historical!$N$7:$N$1222,MATCH(B716,[1]Historical!$B$7:$B$1253,0)))^(1/10)-1)*100)</f>
        <v>5.8071802889659629</v>
      </c>
      <c r="W716" s="163">
        <f t="shared" si="201"/>
        <v>1.052052356879092</v>
      </c>
      <c r="X716" s="164">
        <f t="shared" si="202"/>
        <v>1.0182429516380747</v>
      </c>
      <c r="Y716" s="153"/>
      <c r="Z716" s="157">
        <f t="shared" si="203"/>
        <v>63.725490196078425</v>
      </c>
      <c r="AA716" s="166">
        <f t="shared" si="204"/>
        <v>21.277777777777779</v>
      </c>
      <c r="AB716" s="126">
        <v>12</v>
      </c>
      <c r="AC716" s="167">
        <v>3.06</v>
      </c>
      <c r="AD716" s="167">
        <v>3.18</v>
      </c>
      <c r="AE716" s="167">
        <v>2.37</v>
      </c>
      <c r="AF716" s="167">
        <v>2.19</v>
      </c>
      <c r="AG716" s="167">
        <v>10.5</v>
      </c>
      <c r="AH716" s="167">
        <v>6</v>
      </c>
      <c r="AI716" s="167">
        <v>6.5100000000000007</v>
      </c>
      <c r="AJ716" s="167">
        <v>6</v>
      </c>
      <c r="AK716" s="167">
        <v>6.72</v>
      </c>
      <c r="AL716" s="168">
        <v>34600</v>
      </c>
      <c r="AM716" s="169">
        <v>0.1</v>
      </c>
      <c r="AN716" s="167">
        <v>1.48</v>
      </c>
      <c r="AO716" s="170">
        <f t="shared" si="205"/>
        <v>-12.17338841382554</v>
      </c>
      <c r="AP716" s="171">
        <f t="shared" si="206"/>
        <v>9.1043893639522384</v>
      </c>
      <c r="AQ716" s="172">
        <f t="shared" si="207"/>
        <v>43.910980715060013</v>
      </c>
      <c r="AR716" s="157">
        <f>INDEX([1]Historical!$C$7:$C$1231,MATCH(B716,[1]Historical!$B$7:$B$1253,0))*IF(AH716="n/a",1.03,IF(AH716&lt;0,1.01,IF(AH716&gt;10,1.1,(1+AH716/100))))</f>
        <v>1.9106500000000002</v>
      </c>
      <c r="AS716" s="166">
        <f t="shared" si="208"/>
        <v>2.0350333150000002</v>
      </c>
      <c r="AT716" s="166">
        <f t="shared" si="209"/>
        <v>2.171787553768</v>
      </c>
      <c r="AU716" s="166">
        <f t="shared" si="209"/>
        <v>2.3177316773812096</v>
      </c>
      <c r="AV716" s="166">
        <f t="shared" si="209"/>
        <v>2.4734832461012268</v>
      </c>
      <c r="AW716" s="157">
        <f t="shared" si="210"/>
        <v>10.908685792250436</v>
      </c>
      <c r="AX716" s="173">
        <f t="shared" si="211"/>
        <v>16.754240196975019</v>
      </c>
      <c r="AY716" s="174">
        <v>0.4</v>
      </c>
      <c r="AZ716" s="169">
        <v>14.45</v>
      </c>
      <c r="BA716" s="169">
        <v>-16.16</v>
      </c>
      <c r="BB716" s="169">
        <v>-5.48</v>
      </c>
      <c r="BC716" s="169">
        <v>-7.7399999999999993</v>
      </c>
      <c r="BD716" s="100"/>
      <c r="BE716" s="77">
        <v>2004</v>
      </c>
      <c r="BF716" s="77">
        <f t="shared" si="212"/>
        <v>2</v>
      </c>
      <c r="BG716" s="175">
        <v>2.8000000000000003</v>
      </c>
      <c r="BH716" t="s">
        <v>939</v>
      </c>
      <c r="BI716" t="s">
        <v>940</v>
      </c>
      <c r="BJ716"/>
      <c r="BK716"/>
      <c r="BL716"/>
    </row>
    <row r="717" spans="1:64" s="112" customFormat="1" ht="12.75" customHeight="1" x14ac:dyDescent="0.2">
      <c r="A717" s="112" t="s">
        <v>1728</v>
      </c>
      <c r="B717" s="239" t="s">
        <v>291</v>
      </c>
      <c r="C717" s="154" t="s">
        <v>109</v>
      </c>
      <c r="D717" s="154" t="s">
        <v>1028</v>
      </c>
      <c r="E717" s="155">
        <v>40</v>
      </c>
      <c r="F717" s="298">
        <v>71</v>
      </c>
      <c r="G717" s="298" t="s">
        <v>30</v>
      </c>
      <c r="H717" s="298" t="s">
        <v>30</v>
      </c>
      <c r="I717" s="167">
        <v>110.81</v>
      </c>
      <c r="J717" s="157">
        <f t="shared" si="198"/>
        <v>3.2849020846494001</v>
      </c>
      <c r="K717" s="158">
        <v>0.91</v>
      </c>
      <c r="L717" s="126">
        <v>4</v>
      </c>
      <c r="M717" s="82">
        <f t="shared" si="199"/>
        <v>3.64</v>
      </c>
      <c r="N717" s="159" t="s">
        <v>140</v>
      </c>
      <c r="O717" s="160">
        <v>0.88</v>
      </c>
      <c r="P717" s="161">
        <v>44879</v>
      </c>
      <c r="Q717" s="161">
        <v>44904</v>
      </c>
      <c r="R717" s="82">
        <f t="shared" si="200"/>
        <v>3.4090909090909123</v>
      </c>
      <c r="S717" s="162">
        <f>IF(INDEX([1]Historical!$D$7:$D$1229,MATCH(B717,[1]Historical!$B$7:$B$1253,0))=0,"n/a",(INDEX([1]Historical!$C$7:$C$1231,MATCH(B717,[1]Historical!$B$7:$B$1253,0))/INDEX([1]Historical!$D$7:$D$1229,MATCH(B717,[1]Historical!$B$7:$B$1253,0))-1)*100)</f>
        <v>0.28735632183909399</v>
      </c>
      <c r="T717" s="162">
        <f>IF(INDEX([1]Historical!$F$7:$F$1222,MATCH(B717,[1]Historical!$B$7:$B$1253,0))=0,"n/a",((INDEX([1]Historical!$C$7:$C$1231,MATCH(B717,[1]Historical!$B$7:$B$1253,0))/INDEX([1]Historical!$F$7:$F$1222,MATCH(B717,[1]Historical!$B$7:$B$1253,0)))^(1/3)-1)*100)</f>
        <v>2.6142404568709754</v>
      </c>
      <c r="U717" s="162">
        <f>IF(INDEX([1]Historical!$H$7:$H$1222,MATCH(B717,[1]Historical!$B$7:$B$1253,0))=0,"n/a",((INDEX([1]Historical!$C$7:$C$1231,MATCH(B717,[1]Historical!$B$7:$B$1253,0))/INDEX([1]Historical!$H$7:$H$1222,MATCH(B717,[1]Historical!$B$7:$B$1253,0)))^(1/5)-1)*100)</f>
        <v>3.2100129579806014</v>
      </c>
      <c r="V717" s="162">
        <f>IF(INDEX([1]Historical!$N$7:$N$1222,MATCH(B717,[1]Historical!$B$7:$B$1253,0))=0,"n/a",((INDEX([1]Historical!$C$7:$C$1231,MATCH(B717,[1]Historical!$B$7:$B$1253,0))/INDEX([1]Historical!$N$7:$N$1222,MATCH(B717,[1]Historical!$B$7:$B$1253,0)))^(1/10)-1)*100)</f>
        <v>6.5529234690641758</v>
      </c>
      <c r="W717" s="163">
        <f t="shared" si="201"/>
        <v>0.48985967456125717</v>
      </c>
      <c r="X717" s="164">
        <f t="shared" si="202"/>
        <v>0.13718004093934191</v>
      </c>
      <c r="Y717" s="220"/>
      <c r="Z717" s="157">
        <f t="shared" si="203"/>
        <v>39.82494529540481</v>
      </c>
      <c r="AA717" s="166">
        <f t="shared" si="204"/>
        <v>12.12363238512035</v>
      </c>
      <c r="AB717" s="126">
        <v>12</v>
      </c>
      <c r="AC717" s="167">
        <v>9.14</v>
      </c>
      <c r="AD717" s="167">
        <v>0.47</v>
      </c>
      <c r="AE717" s="167">
        <v>1.27</v>
      </c>
      <c r="AF717" s="167">
        <v>2.64</v>
      </c>
      <c r="AG717" s="167">
        <v>15.299999999999999</v>
      </c>
      <c r="AH717" s="167">
        <v>202.2</v>
      </c>
      <c r="AI717" s="167">
        <v>-15.72</v>
      </c>
      <c r="AJ717" s="167">
        <v>23.400000000000002</v>
      </c>
      <c r="AK717" s="167">
        <v>25.52</v>
      </c>
      <c r="AL717" s="168">
        <v>448230</v>
      </c>
      <c r="AM717" s="169">
        <v>6.9999999999999993E-2</v>
      </c>
      <c r="AN717" s="167">
        <v>0.26</v>
      </c>
      <c r="AO717" s="170">
        <f t="shared" si="205"/>
        <v>-5.6287173424903489</v>
      </c>
      <c r="AP717" s="171">
        <f t="shared" si="206"/>
        <v>6.4949150426300015</v>
      </c>
      <c r="AQ717" s="172">
        <f t="shared" si="207"/>
        <v>19.268864329887926</v>
      </c>
      <c r="AR717" s="157">
        <f>INDEX([1]Historical!$C$7:$C$1231,MATCH(B717,[1]Historical!$B$7:$B$1253,0))*IF(AH717="n/a",1.03,IF(AH717&lt;0,1.01,IF(AH717&gt;10,1.1,(1+AH717/100))))</f>
        <v>3.8390000000000004</v>
      </c>
      <c r="AS717" s="166">
        <f t="shared" si="208"/>
        <v>3.8773900000000006</v>
      </c>
      <c r="AT717" s="166">
        <f t="shared" si="209"/>
        <v>4.2651290000000008</v>
      </c>
      <c r="AU717" s="166">
        <f t="shared" si="209"/>
        <v>4.6916419000000014</v>
      </c>
      <c r="AV717" s="166">
        <f t="shared" si="209"/>
        <v>5.1608060900000021</v>
      </c>
      <c r="AW717" s="157">
        <f t="shared" si="210"/>
        <v>21.833966990000004</v>
      </c>
      <c r="AX717" s="173">
        <f t="shared" si="211"/>
        <v>19.703968044400327</v>
      </c>
      <c r="AY717" s="174">
        <v>1.1000000000000001</v>
      </c>
      <c r="AZ717" s="169">
        <v>91.18</v>
      </c>
      <c r="BA717" s="169">
        <v>-0.36</v>
      </c>
      <c r="BB717" s="169">
        <v>14.280000000000001</v>
      </c>
      <c r="BC717" s="169">
        <v>24.86</v>
      </c>
      <c r="BD717" s="100"/>
      <c r="BE717" s="77">
        <v>1983</v>
      </c>
      <c r="BF717" s="77">
        <f t="shared" si="212"/>
        <v>4</v>
      </c>
      <c r="BG717" s="175">
        <v>7.3999999999999995</v>
      </c>
      <c r="BH717" t="s">
        <v>939</v>
      </c>
      <c r="BI717" t="s">
        <v>940</v>
      </c>
      <c r="BJ717"/>
      <c r="BK717"/>
      <c r="BL717"/>
    </row>
    <row r="718" spans="1:64" s="112" customFormat="1" ht="12.75" customHeight="1" x14ac:dyDescent="0.2">
      <c r="A718" s="176" t="s">
        <v>1729</v>
      </c>
      <c r="B718" s="239" t="s">
        <v>693</v>
      </c>
      <c r="C718" s="154" t="s">
        <v>137</v>
      </c>
      <c r="D718" s="154" t="s">
        <v>946</v>
      </c>
      <c r="E718" s="155">
        <v>11</v>
      </c>
      <c r="F718" s="298">
        <v>415</v>
      </c>
      <c r="G718" s="298" t="s">
        <v>88</v>
      </c>
      <c r="H718" s="298" t="s">
        <v>88</v>
      </c>
      <c r="I718" s="156">
        <v>30.82</v>
      </c>
      <c r="J718" s="157">
        <f t="shared" si="198"/>
        <v>1.6223231667748215</v>
      </c>
      <c r="K718" s="158">
        <v>0.125</v>
      </c>
      <c r="L718" s="126">
        <v>4</v>
      </c>
      <c r="M718" s="82">
        <f t="shared" si="199"/>
        <v>0.5</v>
      </c>
      <c r="N718" s="159" t="s">
        <v>634</v>
      </c>
      <c r="O718" s="160">
        <v>0.11</v>
      </c>
      <c r="P718" s="161">
        <v>44644</v>
      </c>
      <c r="Q718" s="161">
        <v>44659</v>
      </c>
      <c r="R718" s="82">
        <f t="shared" si="200"/>
        <v>13.636363636363635</v>
      </c>
      <c r="S718" s="162">
        <f>IF(INDEX([1]Historical!$D$7:$D$1229,MATCH(B718,[1]Historical!$B$7:$B$1253,0))=0,"n/a",(INDEX([1]Historical!$C$7:$C$1231,MATCH(B718,[1]Historical!$B$7:$B$1253,0))/INDEX([1]Historical!$D$7:$D$1229,MATCH(B718,[1]Historical!$B$7:$B$1253,0))-1)*100)</f>
        <v>4.9999999999999822</v>
      </c>
      <c r="T718" s="162">
        <f>IF(INDEX([1]Historical!$F$7:$F$1222,MATCH(B718,[1]Historical!$B$7:$B$1253,0))=0,"n/a",((INDEX([1]Historical!$C$7:$C$1231,MATCH(B718,[1]Historical!$B$7:$B$1253,0))/INDEX([1]Historical!$F$7:$F$1222,MATCH(B718,[1]Historical!$B$7:$B$1253,0)))^(1/3)-1)*100)</f>
        <v>6.2658569182611146</v>
      </c>
      <c r="U718" s="162">
        <f>IF(INDEX([1]Historical!$H$7:$H$1222,MATCH(B718,[1]Historical!$B$7:$B$1253,0))=0,"n/a",((INDEX([1]Historical!$C$7:$C$1231,MATCH(B718,[1]Historical!$B$7:$B$1253,0))/INDEX([1]Historical!$H$7:$H$1222,MATCH(B718,[1]Historical!$B$7:$B$1253,0)))^(1/5)-1)*100)</f>
        <v>6.6080231448029991</v>
      </c>
      <c r="V718" s="162">
        <f>IF(INDEX([1]Historical!$N$7:$N$1222,MATCH(B718,[1]Historical!$B$7:$B$1253,0))=0,"n/a",((INDEX([1]Historical!$C$7:$C$1231,MATCH(B718,[1]Historical!$B$7:$B$1253,0))/INDEX([1]Historical!$N$7:$N$1222,MATCH(B718,[1]Historical!$B$7:$B$1253,0)))^(1/10)-1)*100)</f>
        <v>7.7015440304363247</v>
      </c>
      <c r="W718" s="163">
        <f t="shared" si="201"/>
        <v>0.85801277233347539</v>
      </c>
      <c r="X718" s="164" t="str">
        <f t="shared" si="202"/>
        <v>n/a</v>
      </c>
      <c r="Y718" s="180"/>
      <c r="Z718" s="157">
        <f t="shared" si="203"/>
        <v>29.761904761904763</v>
      </c>
      <c r="AA718" s="166">
        <f t="shared" si="204"/>
        <v>18.345238095238095</v>
      </c>
      <c r="AB718" s="126">
        <v>12</v>
      </c>
      <c r="AC718" s="167">
        <v>1.68</v>
      </c>
      <c r="AD718" s="167">
        <v>4.71</v>
      </c>
      <c r="AE718" s="167">
        <v>1.57</v>
      </c>
      <c r="AF718" s="167">
        <v>1.33</v>
      </c>
      <c r="AG718" s="167">
        <v>8.3000000000000007</v>
      </c>
      <c r="AH718" s="179">
        <v>604.90000000000009</v>
      </c>
      <c r="AI718" s="179">
        <v>9.7000000000000011</v>
      </c>
      <c r="AJ718" s="167">
        <v>-0.3</v>
      </c>
      <c r="AK718" s="167">
        <v>3.9</v>
      </c>
      <c r="AL718" s="168">
        <v>6570</v>
      </c>
      <c r="AM718" s="169">
        <v>0.2</v>
      </c>
      <c r="AN718" s="167">
        <v>0.42</v>
      </c>
      <c r="AO718" s="170">
        <f t="shared" si="205"/>
        <v>-10.114891783660275</v>
      </c>
      <c r="AP718" s="171">
        <f t="shared" si="206"/>
        <v>8.2303463115778204</v>
      </c>
      <c r="AQ718" s="172">
        <f t="shared" si="207"/>
        <v>4.1348840402392506</v>
      </c>
      <c r="AR718" s="157">
        <f>INDEX([1]Historical!$C$7:$C$1231,MATCH(B718,[1]Historical!$B$7:$B$1253,0))*IF(AH718="n/a",1.03,IF(AH718&lt;0,1.01,IF(AH718&gt;10,1.1,(1+AH718/100))))</f>
        <v>0.46200000000000002</v>
      </c>
      <c r="AS718" s="166">
        <f t="shared" si="208"/>
        <v>0.50681399999999999</v>
      </c>
      <c r="AT718" s="166">
        <f t="shared" si="209"/>
        <v>0.5265797459999999</v>
      </c>
      <c r="AU718" s="166">
        <f t="shared" si="209"/>
        <v>0.54711635609399989</v>
      </c>
      <c r="AV718" s="166">
        <f t="shared" si="209"/>
        <v>0.56845389398166579</v>
      </c>
      <c r="AW718" s="157">
        <f t="shared" si="210"/>
        <v>2.6109639960756659</v>
      </c>
      <c r="AX718" s="173">
        <f t="shared" si="211"/>
        <v>8.4716547568970331</v>
      </c>
      <c r="AY718" s="174">
        <v>0.95</v>
      </c>
      <c r="AZ718" s="169">
        <v>12.98</v>
      </c>
      <c r="BA718" s="169">
        <v>-48.17</v>
      </c>
      <c r="BB718" s="169">
        <v>-0.59</v>
      </c>
      <c r="BC718" s="169">
        <v>-23.990000000000002</v>
      </c>
      <c r="BD718" s="100"/>
      <c r="BE718" s="77">
        <v>2013</v>
      </c>
      <c r="BF718" s="77">
        <f t="shared" si="212"/>
        <v>1</v>
      </c>
      <c r="BG718" s="175">
        <v>4.5</v>
      </c>
      <c r="BH718" t="s">
        <v>939</v>
      </c>
      <c r="BI718" t="s">
        <v>940</v>
      </c>
      <c r="BJ718"/>
      <c r="BK718"/>
      <c r="BL718"/>
    </row>
    <row r="719" spans="1:64" s="112" customFormat="1" ht="12.75" customHeight="1" x14ac:dyDescent="0.2">
      <c r="A719" s="204" t="s">
        <v>599</v>
      </c>
      <c r="B719" s="239" t="s">
        <v>598</v>
      </c>
      <c r="C719" s="154" t="s">
        <v>94</v>
      </c>
      <c r="D719" s="154" t="s">
        <v>101</v>
      </c>
      <c r="E719" s="155">
        <v>12</v>
      </c>
      <c r="F719" s="298">
        <v>336</v>
      </c>
      <c r="G719" s="298" t="s">
        <v>30</v>
      </c>
      <c r="H719" s="298" t="s">
        <v>30</v>
      </c>
      <c r="I719" s="156">
        <v>102.43</v>
      </c>
      <c r="J719" s="157">
        <f t="shared" si="198"/>
        <v>1.1715317777994727</v>
      </c>
      <c r="K719" s="158">
        <v>0.3</v>
      </c>
      <c r="L719" s="126">
        <v>4</v>
      </c>
      <c r="M719" s="82">
        <f t="shared" si="199"/>
        <v>1.2</v>
      </c>
      <c r="N719" s="159" t="s">
        <v>167</v>
      </c>
      <c r="O719" s="160">
        <v>0.28000000000000003</v>
      </c>
      <c r="P719" s="161">
        <v>44608</v>
      </c>
      <c r="Q719" s="161">
        <v>44637</v>
      </c>
      <c r="R719" s="82">
        <f t="shared" si="200"/>
        <v>7.1428571428571281</v>
      </c>
      <c r="S719" s="162">
        <f>IF(INDEX([1]Historical!$D$7:$D$1229,MATCH(B719,[1]Historical!$B$7:$B$1253,0))=0,"n/a",(INDEX([1]Historical!$C$7:$C$1231,MATCH(B719,[1]Historical!$B$7:$B$1253,0))/INDEX([1]Historical!$D$7:$D$1229,MATCH(B719,[1]Historical!$B$7:$B$1253,0))-1)*100)</f>
        <v>7.6923076923077094</v>
      </c>
      <c r="T719" s="162">
        <f>IF(INDEX([1]Historical!$F$7:$F$1222,MATCH(B719,[1]Historical!$B$7:$B$1253,0))=0,"n/a",((INDEX([1]Historical!$C$7:$C$1231,MATCH(B719,[1]Historical!$B$7:$B$1253,0))/INDEX([1]Historical!$F$7:$F$1222,MATCH(B719,[1]Historical!$B$7:$B$1253,0)))^(1/3)-1)*100)</f>
        <v>10.064241629820891</v>
      </c>
      <c r="U719" s="162">
        <f>IF(INDEX([1]Historical!$H$7:$H$1222,MATCH(B719,[1]Historical!$B$7:$B$1253,0))=0,"n/a",((INDEX([1]Historical!$C$7:$C$1231,MATCH(B719,[1]Historical!$B$7:$B$1253,0))/INDEX([1]Historical!$H$7:$H$1222,MATCH(B719,[1]Historical!$B$7:$B$1253,0)))^(1/5)-1)*100)</f>
        <v>12.56965179571219</v>
      </c>
      <c r="V719" s="162">
        <f>IF(INDEX([1]Historical!$N$7:$N$1222,MATCH(B719,[1]Historical!$B$7:$B$1253,0))=0,"n/a",((INDEX([1]Historical!$C$7:$C$1231,MATCH(B719,[1]Historical!$B$7:$B$1253,0))/INDEX([1]Historical!$N$7:$N$1222,MATCH(B719,[1]Historical!$B$7:$B$1253,0)))^(1/10)-1)*100)</f>
        <v>27.200747916175104</v>
      </c>
      <c r="W719" s="163">
        <f t="shared" si="201"/>
        <v>0.46210684479883596</v>
      </c>
      <c r="X719" s="164">
        <f t="shared" si="202"/>
        <v>1.2323188035011952</v>
      </c>
      <c r="Y719" s="242"/>
      <c r="Z719" s="157">
        <f t="shared" si="203"/>
        <v>51.724137931034484</v>
      </c>
      <c r="AA719" s="166">
        <f t="shared" si="204"/>
        <v>44.150862068965523</v>
      </c>
      <c r="AB719" s="126">
        <v>12</v>
      </c>
      <c r="AC719" s="167">
        <v>2.3199999999999998</v>
      </c>
      <c r="AD719" s="167">
        <v>2.35</v>
      </c>
      <c r="AE719" s="167">
        <v>3.47</v>
      </c>
      <c r="AF719" s="167">
        <v>5.78</v>
      </c>
      <c r="AG719" s="167">
        <v>13.3</v>
      </c>
      <c r="AH719" s="167">
        <v>67.7</v>
      </c>
      <c r="AI719" s="167">
        <v>18.440000000000001</v>
      </c>
      <c r="AJ719" s="167">
        <v>10.199999999999999</v>
      </c>
      <c r="AK719" s="167">
        <v>18.759999999999998</v>
      </c>
      <c r="AL719" s="168">
        <v>18120</v>
      </c>
      <c r="AM719" s="169">
        <v>0.1</v>
      </c>
      <c r="AN719" s="167">
        <v>0.75</v>
      </c>
      <c r="AO719" s="170">
        <f t="shared" si="205"/>
        <v>-30.409678495453861</v>
      </c>
      <c r="AP719" s="171">
        <f t="shared" si="206"/>
        <v>13.741183573511663</v>
      </c>
      <c r="AQ719" s="172">
        <f t="shared" si="207"/>
        <v>236.77686827309182</v>
      </c>
      <c r="AR719" s="157">
        <f>INDEX([1]Historical!$C$7:$C$1231,MATCH(B719,[1]Historical!$B$7:$B$1253,0))*IF(AH719="n/a",1.03,IF(AH719&lt;0,1.01,IF(AH719&gt;10,1.1,(1+AH719/100))))</f>
        <v>1.2320000000000002</v>
      </c>
      <c r="AS719" s="166">
        <f t="shared" si="208"/>
        <v>1.3552000000000004</v>
      </c>
      <c r="AT719" s="166">
        <f t="shared" si="209"/>
        <v>1.4907200000000005</v>
      </c>
      <c r="AU719" s="166">
        <f t="shared" si="209"/>
        <v>1.6397920000000006</v>
      </c>
      <c r="AV719" s="166">
        <f t="shared" si="209"/>
        <v>1.8037712000000008</v>
      </c>
      <c r="AW719" s="157">
        <f t="shared" si="210"/>
        <v>7.5214832000000023</v>
      </c>
      <c r="AX719" s="173">
        <f t="shared" si="211"/>
        <v>7.3430471541540587</v>
      </c>
      <c r="AY719" s="174">
        <v>1.0900000000000001</v>
      </c>
      <c r="AZ719" s="169">
        <v>42.11</v>
      </c>
      <c r="BA719" s="169">
        <v>-23.72</v>
      </c>
      <c r="BB719" s="169">
        <v>10.01</v>
      </c>
      <c r="BC719" s="169">
        <v>15.079999999999998</v>
      </c>
      <c r="BD719" s="100"/>
      <c r="BE719" s="77">
        <v>2011</v>
      </c>
      <c r="BF719" s="77">
        <f t="shared" si="212"/>
        <v>1</v>
      </c>
      <c r="BG719" s="175">
        <v>5.0999999999999996</v>
      </c>
      <c r="BH719" t="s">
        <v>939</v>
      </c>
      <c r="BI719" t="s">
        <v>940</v>
      </c>
      <c r="BJ719"/>
      <c r="BK719"/>
      <c r="BL719"/>
    </row>
    <row r="720" spans="1:64" s="112" customFormat="1" ht="12.75" customHeight="1" x14ac:dyDescent="0.2">
      <c r="A720" s="176" t="s">
        <v>1730</v>
      </c>
      <c r="B720" s="239" t="s">
        <v>511</v>
      </c>
      <c r="C720" s="154" t="s">
        <v>117</v>
      </c>
      <c r="D720" s="154" t="s">
        <v>978</v>
      </c>
      <c r="E720" s="155">
        <v>24</v>
      </c>
      <c r="F720" s="298">
        <v>146</v>
      </c>
      <c r="G720" s="298" t="s">
        <v>30</v>
      </c>
      <c r="H720" s="298" t="s">
        <v>30</v>
      </c>
      <c r="I720" s="156">
        <v>43.56</v>
      </c>
      <c r="J720" s="157">
        <f t="shared" si="198"/>
        <v>1.7897153351698805</v>
      </c>
      <c r="K720" s="209">
        <v>0.19489999999999999</v>
      </c>
      <c r="L720" s="126">
        <v>4</v>
      </c>
      <c r="M720" s="82">
        <f t="shared" si="199"/>
        <v>0.77959999999999996</v>
      </c>
      <c r="N720" s="159" t="s">
        <v>112</v>
      </c>
      <c r="O720" s="210">
        <v>0.18740000000000001</v>
      </c>
      <c r="P720" s="161">
        <v>44560</v>
      </c>
      <c r="Q720" s="161">
        <v>44575</v>
      </c>
      <c r="R720" s="82">
        <f t="shared" si="200"/>
        <v>4.0021344717182386</v>
      </c>
      <c r="S720" s="162">
        <f>IF(INDEX([1]Historical!$D$7:$D$1229,MATCH(B720,[1]Historical!$B$7:$B$1253,0))=0,"n/a",(INDEX([1]Historical!$C$7:$C$1231,MATCH(B720,[1]Historical!$B$7:$B$1253,0))/INDEX([1]Historical!$D$7:$D$1229,MATCH(B720,[1]Historical!$B$7:$B$1253,0))-1)*100)</f>
        <v>3.9955604883462836</v>
      </c>
      <c r="T720" s="162">
        <f>IF(INDEX([1]Historical!$F$7:$F$1222,MATCH(B720,[1]Historical!$B$7:$B$1253,0))=0,"n/a",((INDEX([1]Historical!$C$7:$C$1231,MATCH(B720,[1]Historical!$B$7:$B$1253,0))/INDEX([1]Historical!$F$7:$F$1222,MATCH(B720,[1]Historical!$B$7:$B$1253,0)))^(1/3)-1)*100)</f>
        <v>3.9995666887761905</v>
      </c>
      <c r="U720" s="162">
        <f>IF(INDEX([1]Historical!$H$7:$H$1222,MATCH(B720,[1]Historical!$B$7:$B$1253,0))=0,"n/a",((INDEX([1]Historical!$C$7:$C$1231,MATCH(B720,[1]Historical!$B$7:$B$1253,0))/INDEX([1]Historical!$H$7:$H$1222,MATCH(B720,[1]Historical!$B$7:$B$1253,0)))^(1/5)-1)*100)</f>
        <v>3.8025060625772156</v>
      </c>
      <c r="V720" s="162">
        <f>IF(INDEX([1]Historical!$N$7:$N$1222,MATCH(B720,[1]Historical!$B$7:$B$1253,0))=0,"n/a",((INDEX([1]Historical!$C$7:$C$1231,MATCH(B720,[1]Historical!$B$7:$B$1253,0))/INDEX([1]Historical!$N$7:$N$1222,MATCH(B720,[1]Historical!$B$7:$B$1253,0)))^(1/10)-1)*100)</f>
        <v>3.6453515848475337</v>
      </c>
      <c r="W720" s="163">
        <f t="shared" si="201"/>
        <v>1.0431109247137968</v>
      </c>
      <c r="X720" s="164">
        <f t="shared" si="202"/>
        <v>0.53556423416580501</v>
      </c>
      <c r="Y720" s="181"/>
      <c r="Z720" s="157">
        <f t="shared" si="203"/>
        <v>59.060606060606055</v>
      </c>
      <c r="AA720" s="166">
        <f t="shared" si="204"/>
        <v>33</v>
      </c>
      <c r="AB720" s="126">
        <v>12</v>
      </c>
      <c r="AC720" s="167">
        <v>1.32</v>
      </c>
      <c r="AD720" s="167">
        <v>6.74</v>
      </c>
      <c r="AE720" s="167">
        <v>10.66</v>
      </c>
      <c r="AF720" s="167">
        <v>3.08</v>
      </c>
      <c r="AG720" s="167">
        <v>10.7</v>
      </c>
      <c r="AH720" s="167">
        <v>2</v>
      </c>
      <c r="AI720" s="167">
        <v>3.6799999999999997</v>
      </c>
      <c r="AJ720" s="167">
        <v>7.1</v>
      </c>
      <c r="AK720" s="167">
        <v>4.9000000000000004</v>
      </c>
      <c r="AL720" s="168">
        <v>611.69000000000005</v>
      </c>
      <c r="AM720" s="169">
        <v>1.0999999999999999</v>
      </c>
      <c r="AN720" s="167">
        <v>0.57999999999999996</v>
      </c>
      <c r="AO720" s="170">
        <f t="shared" si="205"/>
        <v>-27.407778602252904</v>
      </c>
      <c r="AP720" s="171">
        <f t="shared" si="206"/>
        <v>5.592221397747096</v>
      </c>
      <c r="AQ720" s="172">
        <f t="shared" si="207"/>
        <v>112.54019227744507</v>
      </c>
      <c r="AR720" s="157">
        <f>INDEX([1]Historical!$C$7:$C$1231,MATCH(B720,[1]Historical!$B$7:$B$1253,0))*IF(AH720="n/a",1.03,IF(AH720&lt;0,1.01,IF(AH720&gt;10,1.1,(1+AH720/100))))</f>
        <v>0.76459200000000005</v>
      </c>
      <c r="AS720" s="166">
        <f t="shared" si="208"/>
        <v>0.79272898560000005</v>
      </c>
      <c r="AT720" s="166">
        <f t="shared" si="209"/>
        <v>0.83157270589440002</v>
      </c>
      <c r="AU720" s="166">
        <f t="shared" si="209"/>
        <v>0.87231976848322557</v>
      </c>
      <c r="AV720" s="166">
        <f t="shared" si="209"/>
        <v>0.91506343713890359</v>
      </c>
      <c r="AW720" s="157">
        <f t="shared" si="210"/>
        <v>4.1762768971165292</v>
      </c>
      <c r="AX720" s="173">
        <f t="shared" si="211"/>
        <v>9.5874125278157223</v>
      </c>
      <c r="AY720" s="174">
        <v>0.54</v>
      </c>
      <c r="AZ720" s="169">
        <v>18.21</v>
      </c>
      <c r="BA720" s="169">
        <v>-12.690000000000001</v>
      </c>
      <c r="BB720" s="169">
        <v>3.5000000000000004</v>
      </c>
      <c r="BC720" s="169">
        <v>3.08</v>
      </c>
      <c r="BD720" s="100"/>
      <c r="BE720" s="77">
        <v>1998</v>
      </c>
      <c r="BF720" s="77">
        <f t="shared" si="212"/>
        <v>3</v>
      </c>
      <c r="BG720" s="175">
        <v>3.8</v>
      </c>
      <c r="BH720" t="s">
        <v>939</v>
      </c>
      <c r="BI720" t="s">
        <v>940</v>
      </c>
      <c r="BJ720"/>
      <c r="BK720"/>
      <c r="BL720"/>
    </row>
    <row r="721" spans="1:64" s="112" customFormat="1" ht="12.75" customHeight="1" x14ac:dyDescent="0.2">
      <c r="A721" s="205" t="s">
        <v>1790</v>
      </c>
      <c r="B721" s="239" t="s">
        <v>1791</v>
      </c>
      <c r="C721" s="154" t="s">
        <v>100</v>
      </c>
      <c r="D721" s="154" t="s">
        <v>991</v>
      </c>
      <c r="E721" s="155">
        <v>5</v>
      </c>
      <c r="F721" s="298">
        <v>697</v>
      </c>
      <c r="G721" s="298" t="s">
        <v>88</v>
      </c>
      <c r="H721" s="298" t="s">
        <v>88</v>
      </c>
      <c r="I721" s="156">
        <v>118.25</v>
      </c>
      <c r="J721" s="157">
        <f t="shared" si="198"/>
        <v>1.9281183932346722</v>
      </c>
      <c r="K721" s="158">
        <v>0.56999999999999995</v>
      </c>
      <c r="L721" s="126">
        <v>4</v>
      </c>
      <c r="M721" s="82">
        <f t="shared" si="199"/>
        <v>2.2799999999999998</v>
      </c>
      <c r="N721" s="159" t="s">
        <v>151</v>
      </c>
      <c r="O721" s="160">
        <v>0.5</v>
      </c>
      <c r="P721" s="161">
        <v>44609</v>
      </c>
      <c r="Q721" s="161">
        <v>44631</v>
      </c>
      <c r="R721" s="82">
        <f t="shared" si="200"/>
        <v>13.999999999999989</v>
      </c>
      <c r="S721" s="162">
        <f>IF(INDEX([1]Historical!$D$7:$D$1229,MATCH(B721,[1]Historical!$B$7:$B$1253,0))=0,"n/a",(INDEX([1]Historical!$C$7:$C$1231,MATCH(B721,[1]Historical!$B$7:$B$1253,0))/INDEX([1]Historical!$D$7:$D$1229,MATCH(B721,[1]Historical!$B$7:$B$1253,0))-1)*100)</f>
        <v>6.3829787234042534</v>
      </c>
      <c r="T721" s="162">
        <f>IF(INDEX([1]Historical!$F$7:$F$1222,MATCH(B721,[1]Historical!$B$7:$B$1253,0))=0,"n/a",((INDEX([1]Historical!$C$7:$C$1231,MATCH(B721,[1]Historical!$B$7:$B$1253,0))/INDEX([1]Historical!$F$7:$F$1222,MATCH(B721,[1]Historical!$B$7:$B$1253,0)))^(1/3)-1)*100)</f>
        <v>11.57215834702825</v>
      </c>
      <c r="U721" s="162">
        <f>IF(INDEX([1]Historical!$H$7:$H$1222,MATCH(B721,[1]Historical!$B$7:$B$1253,0))=0,"n/a",((INDEX([1]Historical!$C$7:$C$1231,MATCH(B721,[1]Historical!$B$7:$B$1253,0))/INDEX([1]Historical!$H$7:$H$1222,MATCH(B721,[1]Historical!$B$7:$B$1253,0)))^(1/5)-1)*100)</f>
        <v>8.0342169732476201</v>
      </c>
      <c r="V721" s="162">
        <f>IF(INDEX([1]Historical!$N$7:$N$1222,MATCH(B721,[1]Historical!$B$7:$B$1253,0))=0,"n/a",((INDEX([1]Historical!$C$7:$C$1231,MATCH(B721,[1]Historical!$B$7:$B$1253,0))/INDEX([1]Historical!$N$7:$N$1222,MATCH(B721,[1]Historical!$B$7:$B$1253,0)))^(1/10)-1)*100)</f>
        <v>10.390781959769058</v>
      </c>
      <c r="W721" s="163">
        <f t="shared" si="201"/>
        <v>0.77320619413961666</v>
      </c>
      <c r="X721" s="164">
        <f t="shared" si="202"/>
        <v>0.521702400860235</v>
      </c>
      <c r="Y721" s="180"/>
      <c r="Z721" s="157">
        <f t="shared" si="203"/>
        <v>45.69138276553106</v>
      </c>
      <c r="AA721" s="166">
        <f t="shared" si="204"/>
        <v>23.697394789579157</v>
      </c>
      <c r="AB721" s="126">
        <v>12</v>
      </c>
      <c r="AC721" s="167">
        <v>4.99</v>
      </c>
      <c r="AD721" s="167">
        <v>2.3199999999999998</v>
      </c>
      <c r="AE721" s="167">
        <v>4.8499999999999996</v>
      </c>
      <c r="AF721" s="167" t="s">
        <v>95</v>
      </c>
      <c r="AG721" s="167">
        <v>-17.8</v>
      </c>
      <c r="AH721" s="167">
        <v>77.100000000000009</v>
      </c>
      <c r="AI721" s="167">
        <v>14.280000000000001</v>
      </c>
      <c r="AJ721" s="167">
        <v>15.4</v>
      </c>
      <c r="AK721" s="167">
        <v>10.15</v>
      </c>
      <c r="AL721" s="168">
        <v>32409.999999999996</v>
      </c>
      <c r="AM721" s="169">
        <v>0.1</v>
      </c>
      <c r="AN721" s="167" t="s">
        <v>95</v>
      </c>
      <c r="AO721" s="170">
        <f t="shared" si="205"/>
        <v>-13.735059423096864</v>
      </c>
      <c r="AP721" s="171">
        <f t="shared" si="206"/>
        <v>9.9623353664822929</v>
      </c>
      <c r="AQ721" s="172" t="str">
        <f t="shared" si="207"/>
        <v>n/a</v>
      </c>
      <c r="AR721" s="157">
        <f>INDEX([1]Historical!$C$7:$C$1231,MATCH(B721,[1]Historical!$B$7:$B$1253,0))*IF(AH721="n/a",1.03,IF(AH721&lt;0,1.01,IF(AH721&gt;10,1.1,(1+AH721/100))))</f>
        <v>2.2000000000000002</v>
      </c>
      <c r="AS721" s="166">
        <f t="shared" si="208"/>
        <v>2.4200000000000004</v>
      </c>
      <c r="AT721" s="166">
        <f t="shared" si="209"/>
        <v>2.6620000000000008</v>
      </c>
      <c r="AU721" s="166">
        <f t="shared" si="209"/>
        <v>2.9282000000000012</v>
      </c>
      <c r="AV721" s="166">
        <f t="shared" si="209"/>
        <v>3.2210200000000015</v>
      </c>
      <c r="AW721" s="157">
        <f t="shared" si="210"/>
        <v>13.431220000000005</v>
      </c>
      <c r="AX721" s="173">
        <f t="shared" si="211"/>
        <v>11.358325581395354</v>
      </c>
      <c r="AY721" s="174">
        <v>1</v>
      </c>
      <c r="AZ721" s="169">
        <v>13.74</v>
      </c>
      <c r="BA721" s="169">
        <v>-15.45</v>
      </c>
      <c r="BB721" s="169">
        <v>5.67</v>
      </c>
      <c r="BC721" s="169">
        <v>1.04</v>
      </c>
      <c r="BD721" s="100"/>
      <c r="BE721" s="77">
        <v>2018</v>
      </c>
      <c r="BF721" s="77">
        <f t="shared" si="212"/>
        <v>1</v>
      </c>
      <c r="BG721" s="175">
        <v>24.7</v>
      </c>
      <c r="BH721" t="s">
        <v>939</v>
      </c>
      <c r="BI721" t="s">
        <v>940</v>
      </c>
    </row>
    <row r="722" spans="1:64" s="112" customFormat="1" ht="12.75" customHeight="1" x14ac:dyDescent="0.2">
      <c r="A722" s="205" t="s">
        <v>1731</v>
      </c>
      <c r="B722" s="239" t="s">
        <v>839</v>
      </c>
      <c r="C722" s="154" t="s">
        <v>90</v>
      </c>
      <c r="D722" s="154" t="s">
        <v>969</v>
      </c>
      <c r="E722" s="155">
        <v>10</v>
      </c>
      <c r="F722" s="298">
        <v>499</v>
      </c>
      <c r="G722" s="298" t="s">
        <v>30</v>
      </c>
      <c r="H722" s="298" t="s">
        <v>30</v>
      </c>
      <c r="I722" s="156">
        <v>51.94</v>
      </c>
      <c r="J722" s="157">
        <f t="shared" si="198"/>
        <v>3.1574894108586835</v>
      </c>
      <c r="K722" s="158">
        <v>0.41</v>
      </c>
      <c r="L722" s="126">
        <v>4</v>
      </c>
      <c r="M722" s="82">
        <f t="shared" si="199"/>
        <v>1.64</v>
      </c>
      <c r="N722" s="159" t="s">
        <v>207</v>
      </c>
      <c r="O722" s="160">
        <v>0.38</v>
      </c>
      <c r="P722" s="161">
        <v>44790</v>
      </c>
      <c r="Q722" s="161">
        <v>44798</v>
      </c>
      <c r="R722" s="82">
        <f t="shared" si="200"/>
        <v>7.8947368421052557</v>
      </c>
      <c r="S722" s="162">
        <f>IF(INDEX([1]Historical!$D$7:$D$1229,MATCH(B722,[1]Historical!$B$7:$B$1253,0))=0,"n/a",(INDEX([1]Historical!$C$7:$C$1231,MATCH(B722,[1]Historical!$B$7:$B$1253,0))/INDEX([1]Historical!$D$7:$D$1229,MATCH(B722,[1]Historical!$B$7:$B$1253,0))-1)*100)</f>
        <v>5.8823529411764497</v>
      </c>
      <c r="T722" s="162">
        <f>IF(INDEX([1]Historical!$F$7:$F$1222,MATCH(B722,[1]Historical!$B$7:$B$1253,0))=0,"n/a",((INDEX([1]Historical!$C$7:$C$1231,MATCH(B722,[1]Historical!$B$7:$B$1253,0))/INDEX([1]Historical!$F$7:$F$1222,MATCH(B722,[1]Historical!$B$7:$B$1253,0)))^(1/3)-1)*100)</f>
        <v>11.457607795906144</v>
      </c>
      <c r="U722" s="162">
        <f>IF(INDEX([1]Historical!$H$7:$H$1222,MATCH(B722,[1]Historical!$B$7:$B$1253,0))=0,"n/a",((INDEX([1]Historical!$C$7:$C$1231,MATCH(B722,[1]Historical!$B$7:$B$1253,0))/INDEX([1]Historical!$H$7:$H$1222,MATCH(B722,[1]Historical!$B$7:$B$1253,0)))^(1/5)-1)*100)</f>
        <v>38.75252405774463</v>
      </c>
      <c r="V722" s="162">
        <f>IF(INDEX([1]Historical!$N$7:$N$1222,MATCH(B722,[1]Historical!$B$7:$B$1253,0))=0,"n/a",((INDEX([1]Historical!$C$7:$C$1231,MATCH(B722,[1]Historical!$B$7:$B$1253,0))/INDEX([1]Historical!$N$7:$N$1222,MATCH(B722,[1]Historical!$B$7:$B$1253,0)))^(1/10)-1)*100)</f>
        <v>43.096908110525554</v>
      </c>
      <c r="W722" s="163">
        <f t="shared" si="201"/>
        <v>0.89919499464696184</v>
      </c>
      <c r="X722" s="164">
        <f t="shared" si="202"/>
        <v>1.3939756855303822</v>
      </c>
      <c r="Y722" s="180"/>
      <c r="Z722" s="157">
        <f t="shared" si="203"/>
        <v>26.710097719869708</v>
      </c>
      <c r="AA722" s="166">
        <f t="shared" si="204"/>
        <v>8.4592833876221505</v>
      </c>
      <c r="AB722" s="126">
        <v>12</v>
      </c>
      <c r="AC722" s="167">
        <v>6.14</v>
      </c>
      <c r="AD722" s="167" t="s">
        <v>95</v>
      </c>
      <c r="AE722" s="167">
        <v>3.35</v>
      </c>
      <c r="AF722" s="167">
        <v>1.5</v>
      </c>
      <c r="AG722" s="167">
        <v>15.299999999999999</v>
      </c>
      <c r="AH722" s="167">
        <v>124.50000000000001</v>
      </c>
      <c r="AI722" s="167">
        <v>18.170000000000002</v>
      </c>
      <c r="AJ722" s="167">
        <v>27.800000000000004</v>
      </c>
      <c r="AK722" s="167" t="s">
        <v>95</v>
      </c>
      <c r="AL722" s="168">
        <v>7580</v>
      </c>
      <c r="AM722" s="169">
        <v>1</v>
      </c>
      <c r="AN722" s="167">
        <v>0.13</v>
      </c>
      <c r="AO722" s="170">
        <f t="shared" si="205"/>
        <v>33.45073008098116</v>
      </c>
      <c r="AP722" s="171">
        <f t="shared" si="206"/>
        <v>41.91001346860331</v>
      </c>
      <c r="AQ722" s="172">
        <f t="shared" si="207"/>
        <v>-24.903247351068735</v>
      </c>
      <c r="AR722" s="157">
        <f>INDEX([1]Historical!$C$7:$C$1231,MATCH(B722,[1]Historical!$B$7:$B$1253,0))*IF(AH722="n/a",1.03,IF(AH722&lt;0,1.01,IF(AH722&gt;10,1.1,(1+AH722/100))))</f>
        <v>1.5840000000000001</v>
      </c>
      <c r="AS722" s="166">
        <f t="shared" si="208"/>
        <v>1.7424000000000002</v>
      </c>
      <c r="AT722" s="166">
        <f t="shared" si="209"/>
        <v>1.7946720000000003</v>
      </c>
      <c r="AU722" s="166">
        <f t="shared" si="209"/>
        <v>1.8485121600000003</v>
      </c>
      <c r="AV722" s="166">
        <f t="shared" si="209"/>
        <v>1.9039675248000003</v>
      </c>
      <c r="AW722" s="157">
        <f t="shared" si="210"/>
        <v>8.8735516848000007</v>
      </c>
      <c r="AX722" s="173">
        <f t="shared" si="211"/>
        <v>17.084235049672703</v>
      </c>
      <c r="AY722" s="174">
        <v>1.17</v>
      </c>
      <c r="AZ722" s="169">
        <v>11.51</v>
      </c>
      <c r="BA722" s="169">
        <v>-31.15</v>
      </c>
      <c r="BB722" s="169">
        <v>-3.5700000000000003</v>
      </c>
      <c r="BC722" s="169">
        <v>-11.459999999999999</v>
      </c>
      <c r="BD722" s="100"/>
      <c r="BE722" s="77">
        <v>2013</v>
      </c>
      <c r="BF722" s="77">
        <f t="shared" si="212"/>
        <v>1</v>
      </c>
      <c r="BG722" s="175">
        <v>1.0999999999999999</v>
      </c>
      <c r="BH722" t="s">
        <v>939</v>
      </c>
      <c r="BI722" t="s">
        <v>940</v>
      </c>
      <c r="BJ722"/>
      <c r="BK722"/>
      <c r="BL722"/>
    </row>
    <row r="723" spans="1:64" s="112" customFormat="1" ht="12.75" customHeight="1" x14ac:dyDescent="0.2">
      <c r="A723" s="204" t="s">
        <v>781</v>
      </c>
      <c r="B723" s="153" t="s">
        <v>782</v>
      </c>
      <c r="C723" s="154" t="s">
        <v>137</v>
      </c>
      <c r="D723" s="154" t="s">
        <v>996</v>
      </c>
      <c r="E723" s="155">
        <v>10</v>
      </c>
      <c r="F723" s="298">
        <v>460</v>
      </c>
      <c r="G723" s="298" t="s">
        <v>88</v>
      </c>
      <c r="H723" s="298" t="s">
        <v>88</v>
      </c>
      <c r="I723" s="156">
        <v>150.78</v>
      </c>
      <c r="J723" s="157">
        <f t="shared" si="198"/>
        <v>0.86218331343679533</v>
      </c>
      <c r="K723" s="158">
        <v>0.32500000000000001</v>
      </c>
      <c r="L723" s="126">
        <v>4</v>
      </c>
      <c r="M723" s="82">
        <f t="shared" si="199"/>
        <v>1.3</v>
      </c>
      <c r="N723" s="159" t="s">
        <v>116</v>
      </c>
      <c r="O723" s="160">
        <v>0.25</v>
      </c>
      <c r="P723" s="161">
        <v>44580</v>
      </c>
      <c r="Q723" s="161">
        <v>44621</v>
      </c>
      <c r="R723" s="82">
        <f t="shared" si="200"/>
        <v>30.000000000000004</v>
      </c>
      <c r="S723" s="162">
        <f>IF(INDEX([1]Historical!$D$7:$D$1229,MATCH(B723,[1]Historical!$B$7:$B$1253,0))=0,"n/a",(INDEX([1]Historical!$C$7:$C$1231,MATCH(B723,[1]Historical!$B$7:$B$1253,0))/INDEX([1]Historical!$D$7:$D$1229,MATCH(B723,[1]Historical!$B$7:$B$1253,0))-1)*100)</f>
        <v>25</v>
      </c>
      <c r="T723" s="162">
        <f>IF(INDEX([1]Historical!$F$7:$F$1222,MATCH(B723,[1]Historical!$B$7:$B$1253,0))=0,"n/a",((INDEX([1]Historical!$C$7:$C$1231,MATCH(B723,[1]Historical!$B$7:$B$1253,0))/INDEX([1]Historical!$F$7:$F$1222,MATCH(B723,[1]Historical!$B$7:$B$1253,0)))^(1/3)-1)*100)</f>
        <v>25.657906854858958</v>
      </c>
      <c r="U723" s="162">
        <f>IF(INDEX([1]Historical!$H$7:$H$1222,MATCH(B723,[1]Historical!$B$7:$B$1253,0))=0,"n/a",((INDEX([1]Historical!$C$7:$C$1231,MATCH(B723,[1]Historical!$B$7:$B$1253,0))/INDEX([1]Historical!$H$7:$H$1222,MATCH(B723,[1]Historical!$B$7:$B$1253,0)))^(1/5)-1)*100)</f>
        <v>21.350977971820974</v>
      </c>
      <c r="V723" s="162" t="str">
        <f>IF(INDEX([1]Historical!$N$7:$N$1222,MATCH(B723,[1]Historical!$B$7:$B$1253,0))=0,"n/a",((INDEX([1]Historical!$C$7:$C$1231,MATCH(B723,[1]Historical!$B$7:$B$1253,0))/INDEX([1]Historical!$N$7:$N$1222,MATCH(B723,[1]Historical!$B$7:$B$1253,0)))^(1/10)-1)*100)</f>
        <v>n/a</v>
      </c>
      <c r="W723" s="163" t="str">
        <f t="shared" si="201"/>
        <v>n/a</v>
      </c>
      <c r="X723" s="164">
        <f t="shared" si="202"/>
        <v>1.0167132367533798</v>
      </c>
      <c r="Y723" s="165"/>
      <c r="Z723" s="157">
        <f t="shared" si="203"/>
        <v>29.478458049886619</v>
      </c>
      <c r="AA723" s="166">
        <f t="shared" si="204"/>
        <v>34.19047619047619</v>
      </c>
      <c r="AB723" s="126">
        <v>12</v>
      </c>
      <c r="AC723" s="167">
        <v>4.41</v>
      </c>
      <c r="AD723" s="167">
        <v>3.24</v>
      </c>
      <c r="AE723" s="167">
        <v>8.85</v>
      </c>
      <c r="AF723" s="167">
        <v>15.74</v>
      </c>
      <c r="AG723" s="167">
        <v>45.300000000000004</v>
      </c>
      <c r="AH723" s="167">
        <v>24.8</v>
      </c>
      <c r="AI723" s="167">
        <v>11.459999999999999</v>
      </c>
      <c r="AJ723" s="167">
        <v>21</v>
      </c>
      <c r="AK723" s="167">
        <v>10.72</v>
      </c>
      <c r="AL723" s="168">
        <v>70750</v>
      </c>
      <c r="AM723" s="169">
        <v>0.26</v>
      </c>
      <c r="AN723" s="167">
        <v>1.44</v>
      </c>
      <c r="AO723" s="170">
        <f t="shared" si="205"/>
        <v>-11.977314905218421</v>
      </c>
      <c r="AP723" s="171">
        <f t="shared" si="206"/>
        <v>22.213161285257769</v>
      </c>
      <c r="AQ723" s="172">
        <f t="shared" si="207"/>
        <v>389.06172990878736</v>
      </c>
      <c r="AR723" s="157">
        <f>INDEX([1]Historical!$C$7:$C$1231,MATCH(B723,[1]Historical!$B$7:$B$1253,0))*IF(AH723="n/a",1.03,IF(AH723&lt;0,1.01,IF(AH723&gt;10,1.1,(1+AH723/100))))</f>
        <v>1.1000000000000001</v>
      </c>
      <c r="AS723" s="166">
        <f t="shared" si="208"/>
        <v>1.2100000000000002</v>
      </c>
      <c r="AT723" s="166">
        <f t="shared" si="209"/>
        <v>1.3310000000000004</v>
      </c>
      <c r="AU723" s="166">
        <f t="shared" si="209"/>
        <v>1.4641000000000006</v>
      </c>
      <c r="AV723" s="166">
        <f t="shared" si="209"/>
        <v>1.6105100000000008</v>
      </c>
      <c r="AW723" s="157">
        <f t="shared" si="210"/>
        <v>6.7156100000000025</v>
      </c>
      <c r="AX723" s="173">
        <f t="shared" si="211"/>
        <v>4.453912985807138</v>
      </c>
      <c r="AY723" s="174">
        <v>0.75</v>
      </c>
      <c r="AZ723" s="169">
        <v>6.2799999999999994</v>
      </c>
      <c r="BA723" s="169">
        <v>-39.51</v>
      </c>
      <c r="BB723" s="169">
        <v>-2.3199999999999998</v>
      </c>
      <c r="BC723" s="169">
        <v>-13.65</v>
      </c>
      <c r="BD723" s="100"/>
      <c r="BE723" s="77">
        <v>2013</v>
      </c>
      <c r="BF723" s="77">
        <f t="shared" si="212"/>
        <v>1</v>
      </c>
      <c r="BG723" s="175">
        <v>15.1</v>
      </c>
      <c r="BH723" t="s">
        <v>939</v>
      </c>
      <c r="BI723" t="s">
        <v>940</v>
      </c>
      <c r="BJ723"/>
      <c r="BK723"/>
      <c r="BL723"/>
    </row>
    <row r="724" spans="1:64" s="152" customFormat="1" ht="16" thickBot="1" x14ac:dyDescent="0.25">
      <c r="B724" s="253"/>
      <c r="E724" s="254"/>
      <c r="F724" s="151"/>
      <c r="J724" s="255"/>
      <c r="L724" s="256"/>
      <c r="M724" s="151"/>
      <c r="N724" s="151"/>
      <c r="O724" s="255"/>
      <c r="R724" s="151"/>
      <c r="S724" s="257"/>
      <c r="T724" s="257"/>
      <c r="U724" s="257"/>
      <c r="V724" s="257"/>
      <c r="W724" s="257"/>
      <c r="X724" s="257"/>
      <c r="Y724" s="253"/>
      <c r="Z724" s="255"/>
      <c r="AC724" s="258"/>
      <c r="AD724" s="258"/>
      <c r="AE724" s="258"/>
      <c r="AF724" s="258"/>
      <c r="AG724" s="258"/>
      <c r="AH724" s="258"/>
      <c r="AI724" s="258"/>
      <c r="AJ724" s="258"/>
      <c r="AK724" s="258"/>
      <c r="AL724" s="258"/>
      <c r="AM724" s="258"/>
      <c r="AN724" s="258"/>
      <c r="AO724" s="255"/>
      <c r="AR724" s="259"/>
      <c r="AS724" s="260"/>
      <c r="AT724" s="260"/>
      <c r="AU724" s="260"/>
      <c r="AV724" s="260"/>
      <c r="AW724" s="259"/>
      <c r="AX724" s="260"/>
      <c r="AY724" s="255"/>
      <c r="BD724" s="254"/>
      <c r="BE724" s="151"/>
      <c r="BF724" s="151"/>
      <c r="BI724"/>
    </row>
    <row r="725" spans="1:64" x14ac:dyDescent="0.2">
      <c r="A725" s="112" t="s">
        <v>1220</v>
      </c>
      <c r="B725" s="74">
        <f>COUNTA(B7:B723)</f>
        <v>717</v>
      </c>
      <c r="E725" s="261">
        <f>AVERAGE(E7:E723)</f>
        <v>17.340306834030685</v>
      </c>
      <c r="I725" s="262">
        <f>AVERAGE(I7:I723)</f>
        <v>105.2235843793585</v>
      </c>
      <c r="J725" s="263">
        <f>AVERAGE(J7:J723)</f>
        <v>2.7699255778385186</v>
      </c>
      <c r="K725" s="264">
        <f>AVERAGE(K7:K723)</f>
        <v>0.55665831032078117</v>
      </c>
      <c r="M725" s="262">
        <f>AVERAGE(M7:M723)</f>
        <v>2.144113263598328</v>
      </c>
      <c r="O725" s="264">
        <f>AVERAGE(O7:O723)</f>
        <v>0.50981370475236154</v>
      </c>
      <c r="R725" s="262">
        <f t="shared" ref="R725:X725" si="213">AVERAGE(R7:R723)</f>
        <v>9.677181357017254</v>
      </c>
      <c r="S725" s="265">
        <f t="shared" si="213"/>
        <v>9.1499951757193134</v>
      </c>
      <c r="T725" s="265">
        <f t="shared" si="213"/>
        <v>10.800416087397847</v>
      </c>
      <c r="U725" s="265">
        <f t="shared" si="213"/>
        <v>11.11781697594941</v>
      </c>
      <c r="V725" s="265">
        <f t="shared" si="213"/>
        <v>10.926190297280625</v>
      </c>
      <c r="W725" s="266">
        <f t="shared" si="213"/>
        <v>1.0770323523302003</v>
      </c>
      <c r="X725" s="267">
        <f t="shared" si="213"/>
        <v>1.5603073285696158</v>
      </c>
      <c r="Z725" s="263">
        <f>AVERAGE(Z7:Z723)</f>
        <v>55.023582194853724</v>
      </c>
      <c r="AA725" s="262">
        <f>AVERAGE(AA7:AA723)</f>
        <v>21.526349923643203</v>
      </c>
      <c r="AB725" s="80"/>
      <c r="AC725" s="262">
        <f t="shared" ref="AC725:BC725" si="214">AVERAGE(AC7:AC723)</f>
        <v>5.7190579710144895</v>
      </c>
      <c r="AD725" s="262">
        <f t="shared" si="214"/>
        <v>5.1703107861060289</v>
      </c>
      <c r="AE725" s="262">
        <f t="shared" si="214"/>
        <v>3.6709855072463782</v>
      </c>
      <c r="AF725" s="262">
        <f t="shared" si="214"/>
        <v>6.8371982116244432</v>
      </c>
      <c r="AG725" s="262">
        <f t="shared" si="214"/>
        <v>19.072865761689311</v>
      </c>
      <c r="AH725" s="262">
        <f t="shared" si="214"/>
        <v>76.995189504373116</v>
      </c>
      <c r="AI725" s="262">
        <f t="shared" si="214"/>
        <v>9.9754294478527559</v>
      </c>
      <c r="AJ725" s="262">
        <f t="shared" si="214"/>
        <v>15.473284671532848</v>
      </c>
      <c r="AK725" s="262">
        <f t="shared" si="214"/>
        <v>9.0855966386554634</v>
      </c>
      <c r="AL725" s="268">
        <f t="shared" si="214"/>
        <v>35391.767420289863</v>
      </c>
      <c r="AM725" s="262">
        <f t="shared" si="214"/>
        <v>2.5023435225618602</v>
      </c>
      <c r="AN725" s="262">
        <f t="shared" si="214"/>
        <v>1.3610984939759025</v>
      </c>
      <c r="AO725" s="269">
        <f t="shared" si="214"/>
        <v>-7.6496864852876598</v>
      </c>
      <c r="AP725" s="262">
        <f t="shared" si="214"/>
        <v>13.908526102224409</v>
      </c>
      <c r="AQ725" s="270">
        <f t="shared" si="214"/>
        <v>88.115014497812481</v>
      </c>
      <c r="AR725" s="271">
        <f t="shared" si="214"/>
        <v>2.0538733595832981</v>
      </c>
      <c r="AS725" s="262">
        <f t="shared" si="214"/>
        <v>2.1717181023874632</v>
      </c>
      <c r="AT725" s="262">
        <f t="shared" si="214"/>
        <v>2.3159943279980277</v>
      </c>
      <c r="AU725" s="262">
        <f t="shared" si="214"/>
        <v>2.4722630531718082</v>
      </c>
      <c r="AV725" s="262">
        <f t="shared" si="214"/>
        <v>2.6416085067487365</v>
      </c>
      <c r="AW725" s="262">
        <f t="shared" si="214"/>
        <v>11.655457349889319</v>
      </c>
      <c r="AX725" s="270">
        <f t="shared" si="214"/>
        <v>15.134080685252972</v>
      </c>
      <c r="AY725" s="271">
        <f t="shared" si="214"/>
        <v>0.90239416058394173</v>
      </c>
      <c r="AZ725" s="262">
        <f t="shared" si="214"/>
        <v>22.618296936022411</v>
      </c>
      <c r="BA725" s="262">
        <f t="shared" si="214"/>
        <v>-20.117308281904155</v>
      </c>
      <c r="BB725" s="262">
        <f t="shared" si="214"/>
        <v>2.8841833391728011</v>
      </c>
      <c r="BC725" s="270">
        <f t="shared" si="214"/>
        <v>-1.4479511988587204</v>
      </c>
      <c r="BD725" s="262"/>
      <c r="BE725" s="80">
        <f>AVERAGE(BE7:BE723)</f>
        <v>2005.6359832635983</v>
      </c>
      <c r="BF725" s="262">
        <f>AVERAGE(BF7:BF723)</f>
        <v>1.9121338912133892</v>
      </c>
      <c r="BG725" s="262">
        <f>AVERAGE(BG7:BG723)</f>
        <v>6.7638045112782024</v>
      </c>
    </row>
    <row r="726" spans="1:64" x14ac:dyDescent="0.2">
      <c r="A726" t="s">
        <v>1221</v>
      </c>
      <c r="B726" s="74">
        <f>COUNTIF($E$7:$E$723,"&gt;=25")</f>
        <v>144</v>
      </c>
      <c r="E726" s="261">
        <f>AVERAGEIF($E$7:$E$723,"&gt;=25")</f>
        <v>40.854166666666664</v>
      </c>
      <c r="I726" s="261">
        <f>AVERAGEIF($E$7:$E$723,"&gt;=25",I7:I723)</f>
        <v>116.66743055555555</v>
      </c>
      <c r="J726" s="263">
        <f>AVERAGEIF($E$7:$E$723,"&gt;=25",J7:J723)</f>
        <v>2.617609220600563</v>
      </c>
      <c r="K726" s="264">
        <f>AVERAGEIF($E$7:$E$723,"&gt;=25",K7:K723)</f>
        <v>0.64199722222222222</v>
      </c>
      <c r="L726" s="262"/>
      <c r="M726" s="262">
        <f>AVERAGEIF($E$7:$E$723,"&gt;=25",M7:M723)</f>
        <v>2.4469055555555546</v>
      </c>
      <c r="N726" s="262"/>
      <c r="O726" s="264">
        <f>AVERAGEIF($E$7:$E$723,"&gt;=25",O7:O723)</f>
        <v>0.60266443500539368</v>
      </c>
      <c r="R726" s="262">
        <f t="shared" ref="R726:X726" si="215">AVERAGEIF($E$7:$E$723,"&gt;=25",R7:R723)</f>
        <v>6.8908057985187536</v>
      </c>
      <c r="S726" s="262">
        <f t="shared" si="215"/>
        <v>5.6207808362355705</v>
      </c>
      <c r="T726" s="262">
        <f t="shared" si="215"/>
        <v>6.4315184057718788</v>
      </c>
      <c r="U726" s="262">
        <f t="shared" si="215"/>
        <v>6.8886903762631615</v>
      </c>
      <c r="V726" s="262">
        <f t="shared" si="215"/>
        <v>7.7575347972066373</v>
      </c>
      <c r="W726" s="267">
        <f t="shared" si="215"/>
        <v>0.92797151996798166</v>
      </c>
      <c r="X726" s="267">
        <f t="shared" si="215"/>
        <v>1.3155373547494185</v>
      </c>
      <c r="Z726" s="263">
        <f>AVERAGEIF($E$7:$E$723,"&gt;=25",Z7:Z723)</f>
        <v>60.875014032908474</v>
      </c>
      <c r="AA726" s="262">
        <f>AVERAGEIF($E$7:$E$723,"&gt;=25",AA7:AA723)</f>
        <v>25.333121776095926</v>
      </c>
      <c r="AB726" s="262"/>
      <c r="AC726" s="262">
        <f t="shared" ref="AC726:BC726" si="216">AVERAGEIF($E$7:$E$723,"&gt;=25",AC7:AC723)</f>
        <v>5.0459558823529402</v>
      </c>
      <c r="AD726" s="262">
        <f t="shared" si="216"/>
        <v>4.0171551724137933</v>
      </c>
      <c r="AE726" s="262">
        <f t="shared" si="216"/>
        <v>3.6293382352941164</v>
      </c>
      <c r="AF726" s="262">
        <f t="shared" si="216"/>
        <v>6.1309090909090891</v>
      </c>
      <c r="AG726" s="262">
        <f t="shared" si="216"/>
        <v>18.857099236641226</v>
      </c>
      <c r="AH726" s="262">
        <f t="shared" si="216"/>
        <v>53.40148148148149</v>
      </c>
      <c r="AI726" s="262">
        <f t="shared" si="216"/>
        <v>8.9328461538461568</v>
      </c>
      <c r="AJ726" s="262">
        <f t="shared" si="216"/>
        <v>11.55851851851852</v>
      </c>
      <c r="AK726" s="262">
        <f t="shared" si="216"/>
        <v>9.7799186991869895</v>
      </c>
      <c r="AL726" s="268">
        <f t="shared" si="216"/>
        <v>43649.135220588243</v>
      </c>
      <c r="AM726" s="262">
        <f t="shared" si="216"/>
        <v>2.2258518518518513</v>
      </c>
      <c r="AN726" s="272">
        <f t="shared" si="216"/>
        <v>1.0848439393939397</v>
      </c>
      <c r="AO726" s="262">
        <f t="shared" si="216"/>
        <v>-15.742979171409868</v>
      </c>
      <c r="AP726" s="262">
        <f t="shared" si="216"/>
        <v>9.5062995968637267</v>
      </c>
      <c r="AQ726" s="272">
        <f t="shared" si="216"/>
        <v>125.0005761149403</v>
      </c>
      <c r="AR726" s="262">
        <f t="shared" si="216"/>
        <v>2.3969762403451997</v>
      </c>
      <c r="AS726" s="262">
        <f t="shared" si="216"/>
        <v>2.545575582474584</v>
      </c>
      <c r="AT726" s="262">
        <f t="shared" si="216"/>
        <v>2.7203063801552161</v>
      </c>
      <c r="AU726" s="262">
        <f t="shared" si="216"/>
        <v>2.9096002416825733</v>
      </c>
      <c r="AV726" s="262">
        <f t="shared" si="216"/>
        <v>3.114774454817633</v>
      </c>
      <c r="AW726" s="262">
        <f t="shared" si="216"/>
        <v>13.687232899475198</v>
      </c>
      <c r="AX726" s="272">
        <f t="shared" si="216"/>
        <v>14.639665134051178</v>
      </c>
      <c r="AY726" s="262">
        <f t="shared" si="216"/>
        <v>0.83463235294117633</v>
      </c>
      <c r="AZ726" s="262">
        <f t="shared" si="216"/>
        <v>22.321446078431364</v>
      </c>
      <c r="BA726" s="262">
        <f t="shared" si="216"/>
        <v>-16.966821811792343</v>
      </c>
      <c r="BB726" s="262">
        <f t="shared" si="216"/>
        <v>3.3490476711130555</v>
      </c>
      <c r="BC726" s="272">
        <f t="shared" si="216"/>
        <v>0.28133297615778557</v>
      </c>
      <c r="BD726" s="262"/>
      <c r="BE726" s="80">
        <f>AVERAGEIF($E$7:$E$723,"&gt;=25",BE7:BE723)</f>
        <v>1982.3541666666667</v>
      </c>
      <c r="BF726" s="262">
        <f>AVERAGEIF($E$7:$E$723,"&gt;=25",BF7:BF723)</f>
        <v>4.6111111111111107</v>
      </c>
      <c r="BG726" s="262">
        <f>AVERAGEIF($E$7:$E$723,"&gt;=25",BG7:BG723)</f>
        <v>6.9158015267175585</v>
      </c>
    </row>
    <row r="727" spans="1:64" x14ac:dyDescent="0.2">
      <c r="A727" t="s">
        <v>1222</v>
      </c>
      <c r="B727" s="74">
        <f>COUNTIFS($E$7:$E$723,"&lt;25",$E$7:$E$723,"&gt;=10")</f>
        <v>363</v>
      </c>
      <c r="E727" s="261">
        <f>AVERAGEIFS($E$7:$E$723,$E$7:$E$723,"&lt;25",$E$7:$E$723,"&gt;=10")</f>
        <v>13.873278236914601</v>
      </c>
      <c r="I727" s="261">
        <f>AVERAGEIFS(I7:I723,$E$7:$E$723,"&lt;25",$E$7:$E$723,"&gt;=10")</f>
        <v>113.29644628099182</v>
      </c>
      <c r="J727" s="263">
        <f>AVERAGEIFS(J7:J723,$E$7:$E$723,"&lt;25",$E$7:$E$723,"&gt;=10")</f>
        <v>2.7514111878493224</v>
      </c>
      <c r="K727" s="264">
        <f>AVERAGEIFS(K7:K723,$E$7:$E$723,"&lt;25",$E$7:$E$723,"&gt;=10")</f>
        <v>0.58499660330578529</v>
      </c>
      <c r="L727" s="262"/>
      <c r="M727" s="262">
        <f>AVERAGEIFS(M7:M723,$E$7:$E$723,"&lt;25",$E$7:$E$723,"&gt;=10")</f>
        <v>2.2762060716253454</v>
      </c>
      <c r="N727" s="262"/>
      <c r="O727" s="264">
        <f>AVERAGEIFS(O7:O723,$E$7:$E$723,"&lt;25",$E$7:$E$723,"&gt;=10")</f>
        <v>0.53272222222222243</v>
      </c>
      <c r="R727" s="262">
        <f t="shared" ref="R727:X727" si="217">AVERAGEIFS(R7:R723,$E$7:$E$723,"&lt;25",$E$7:$E$723,"&gt;=10")</f>
        <v>9.5776499173795973</v>
      </c>
      <c r="S727" s="262">
        <f t="shared" si="217"/>
        <v>8.680144313570068</v>
      </c>
      <c r="T727" s="262">
        <f t="shared" si="217"/>
        <v>9.5985835808719866</v>
      </c>
      <c r="U727" s="262">
        <f t="shared" si="217"/>
        <v>10.485747251498585</v>
      </c>
      <c r="V727" s="262">
        <f t="shared" si="217"/>
        <v>12.984264253354214</v>
      </c>
      <c r="W727" s="267">
        <f t="shared" si="217"/>
        <v>0.84270383489812617</v>
      </c>
      <c r="X727" s="267">
        <f t="shared" si="217"/>
        <v>1.7092119491656521</v>
      </c>
      <c r="Z727" s="263">
        <f>AVERAGEIFS(Z7:Z723,$E$7:$E$723,"&lt;25",$E$7:$E$723,"&gt;=10")</f>
        <v>52.570592450563815</v>
      </c>
      <c r="AA727" s="262">
        <f>AVERAGEIFS(AA7:AA723,$E$7:$E$723,"&lt;25",$E$7:$E$723,"&gt;=10")</f>
        <v>21.186858248779711</v>
      </c>
      <c r="AB727" s="262"/>
      <c r="AC727" s="262">
        <f t="shared" ref="AC727:BC727" si="218">AVERAGEIFS(AC7:AC723,$E$7:$E$723,"&lt;25",$E$7:$E$723,"&gt;=10")</f>
        <v>6.3991930835734845</v>
      </c>
      <c r="AD727" s="262">
        <f t="shared" si="218"/>
        <v>4.481313868613138</v>
      </c>
      <c r="AE727" s="262">
        <f t="shared" si="218"/>
        <v>3.6178386167146992</v>
      </c>
      <c r="AF727" s="262">
        <f t="shared" si="218"/>
        <v>8.9866468842730018</v>
      </c>
      <c r="AG727" s="262">
        <f t="shared" si="218"/>
        <v>19.053622754491037</v>
      </c>
      <c r="AH727" s="262">
        <f t="shared" si="218"/>
        <v>82.75867052023122</v>
      </c>
      <c r="AI727" s="262">
        <f t="shared" si="218"/>
        <v>11.305457317073174</v>
      </c>
      <c r="AJ727" s="262">
        <f t="shared" si="218"/>
        <v>13.82646376811595</v>
      </c>
      <c r="AK727" s="262">
        <f t="shared" si="218"/>
        <v>8.484884488448845</v>
      </c>
      <c r="AL727" s="268">
        <f t="shared" si="218"/>
        <v>41344.540288184442</v>
      </c>
      <c r="AM727" s="262">
        <f t="shared" si="218"/>
        <v>1.9468208092485566</v>
      </c>
      <c r="AN727" s="272">
        <f t="shared" si="218"/>
        <v>1.7197904191616769</v>
      </c>
      <c r="AO727" s="262">
        <f t="shared" si="218"/>
        <v>-7.8187430156770104</v>
      </c>
      <c r="AP727" s="262">
        <f t="shared" si="218"/>
        <v>13.237158439347903</v>
      </c>
      <c r="AQ727" s="272">
        <f t="shared" si="218"/>
        <v>94.021392266171745</v>
      </c>
      <c r="AR727" s="262">
        <f t="shared" si="218"/>
        <v>2.1712355026028884</v>
      </c>
      <c r="AS727" s="262">
        <f t="shared" si="218"/>
        <v>2.2934101146739025</v>
      </c>
      <c r="AT727" s="262">
        <f t="shared" si="218"/>
        <v>2.4376134340754532</v>
      </c>
      <c r="AU727" s="262">
        <f t="shared" si="218"/>
        <v>2.5935521054623263</v>
      </c>
      <c r="AV727" s="262">
        <f t="shared" si="218"/>
        <v>2.7622752956998835</v>
      </c>
      <c r="AW727" s="262">
        <f t="shared" si="218"/>
        <v>12.258086452514446</v>
      </c>
      <c r="AX727" s="272">
        <f t="shared" si="218"/>
        <v>14.998092202087834</v>
      </c>
      <c r="AY727" s="262">
        <f t="shared" si="218"/>
        <v>0.90215116279069807</v>
      </c>
      <c r="AZ727" s="262">
        <f t="shared" si="218"/>
        <v>22.528842459173852</v>
      </c>
      <c r="BA727" s="262">
        <f t="shared" si="218"/>
        <v>-19.785708033263809</v>
      </c>
      <c r="BB727" s="262">
        <f t="shared" si="218"/>
        <v>3.0694942002061261</v>
      </c>
      <c r="BC727" s="272">
        <f t="shared" si="218"/>
        <v>-1.1705775256373505</v>
      </c>
      <c r="BD727" s="262"/>
      <c r="BE727" s="80">
        <f>AVERAGEIFS(BE7:BE723,$E$7:$E$723,"&lt;25",$E$7:$E$723,"&gt;=10")</f>
        <v>2009.0936639118456</v>
      </c>
      <c r="BF727" s="262">
        <f>AVERAGEIFS(BF7:BF723,$E$7:$E$723,"&lt;25",$E$7:$E$723,"&gt;=10")</f>
        <v>1.3691460055096418</v>
      </c>
      <c r="BG727" s="262">
        <f>AVERAGEIFS(BG7:BG723,$E$7:$E$723,"&lt;25",$E$7:$E$723,"&gt;=10")</f>
        <v>6.9668656716417869</v>
      </c>
    </row>
    <row r="728" spans="1:64" x14ac:dyDescent="0.2">
      <c r="A728" s="204" t="s">
        <v>1223</v>
      </c>
      <c r="B728" s="74">
        <f>COUNTIF($E$7:$E$723,"&lt;10")</f>
        <v>210</v>
      </c>
      <c r="C728" s="273"/>
      <c r="D728" s="112"/>
      <c r="E728" s="261">
        <f>AVERAGEIF($E$7:$E$723,"&lt;10")</f>
        <v>7.2095238095238097</v>
      </c>
      <c r="I728" s="261">
        <f>AVERAGEIF($E$7:$E$723,"&lt;10",I7:I723)</f>
        <v>83.421857142857107</v>
      </c>
      <c r="J728" s="263">
        <f>AVERAGEIF($E$7:$E$723,"&lt;10",J7:J723)</f>
        <v>2.9063745254972959</v>
      </c>
      <c r="K728" s="264">
        <f>AVERAGEIF($E$7:$E$723,"&lt;10",K7:K723)</f>
        <v>0.44915543571428579</v>
      </c>
      <c r="L728" s="262"/>
      <c r="M728" s="262">
        <f>AVERAGEIF($E$7:$E$723,"&lt;10",M7:M723)</f>
        <v>1.7081524095238099</v>
      </c>
      <c r="N728" s="262"/>
      <c r="O728" s="264">
        <f>AVERAGEIF($E$7:$E$723,"&lt;10",O7:O723)</f>
        <v>0.40654562380952391</v>
      </c>
      <c r="R728" s="262">
        <f t="shared" ref="R728:X728" si="219">AVERAGEIF($E$7:$E$723,"&lt;10",R7:R723)</f>
        <v>11.75988608564707</v>
      </c>
      <c r="S728" s="262">
        <f t="shared" si="219"/>
        <v>12.382198641651843</v>
      </c>
      <c r="T728" s="262">
        <f t="shared" si="219"/>
        <v>15.873684973221801</v>
      </c>
      <c r="U728" s="262">
        <f t="shared" si="219"/>
        <v>15.724605659083814</v>
      </c>
      <c r="V728" s="262">
        <f t="shared" si="219"/>
        <v>9.0420642962262843</v>
      </c>
      <c r="W728" s="267">
        <f t="shared" si="219"/>
        <v>2.047738291298574</v>
      </c>
      <c r="X728" s="267">
        <f t="shared" si="219"/>
        <v>1.4518803437939316</v>
      </c>
      <c r="Z728" s="263">
        <f>AVERAGEIF($E$7:$E$723,"&lt;10",Z7:Z723)</f>
        <v>55.305778866230561</v>
      </c>
      <c r="AA728" s="262">
        <f>AVERAGEIF($E$7:$E$723,"&lt;10",AA7:AA723)</f>
        <v>19.597266846927319</v>
      </c>
      <c r="AB728" s="262"/>
      <c r="AC728" s="262">
        <f t="shared" ref="AC728:BC728" si="220">AVERAGEIF($E$7:$E$723,"&lt;10",AC7:AC723)</f>
        <v>5.0211594202898544</v>
      </c>
      <c r="AD728" s="262">
        <f t="shared" si="220"/>
        <v>7.2247770700636922</v>
      </c>
      <c r="AE728" s="262">
        <f t="shared" si="220"/>
        <v>3.7874396135265695</v>
      </c>
      <c r="AF728" s="262">
        <f t="shared" si="220"/>
        <v>3.7127722772277223</v>
      </c>
      <c r="AG728" s="262">
        <f t="shared" si="220"/>
        <v>19.248080808080797</v>
      </c>
      <c r="AH728" s="262">
        <f t="shared" si="220"/>
        <v>82.804878048780523</v>
      </c>
      <c r="AI728" s="262">
        <f t="shared" si="220"/>
        <v>8.4253608247422687</v>
      </c>
      <c r="AJ728" s="262">
        <f t="shared" si="220"/>
        <v>20.822780487804877</v>
      </c>
      <c r="AK728" s="262">
        <f t="shared" si="220"/>
        <v>9.6572781065088744</v>
      </c>
      <c r="AL728" s="268">
        <f t="shared" si="220"/>
        <v>19987.834057971013</v>
      </c>
      <c r="AM728" s="262">
        <f t="shared" si="220"/>
        <v>3.6166019417475757</v>
      </c>
      <c r="AN728" s="272">
        <f t="shared" si="220"/>
        <v>0.94020202020201993</v>
      </c>
      <c r="AO728" s="262">
        <f t="shared" si="220"/>
        <v>-1.1441619659828439</v>
      </c>
      <c r="AP728" s="262">
        <f t="shared" si="220"/>
        <v>18.730652906598657</v>
      </c>
      <c r="AQ728" s="272">
        <f t="shared" si="220"/>
        <v>53.954150433366955</v>
      </c>
      <c r="AR728" s="262">
        <f t="shared" si="220"/>
        <v>1.6157339655555558</v>
      </c>
      <c r="AS728" s="262">
        <f t="shared" si="220"/>
        <v>1.7050053519468737</v>
      </c>
      <c r="AT728" s="262">
        <f t="shared" si="220"/>
        <v>1.828524466013546</v>
      </c>
      <c r="AU728" s="262">
        <f t="shared" si="220"/>
        <v>1.9627179049479559</v>
      </c>
      <c r="AV728" s="262">
        <f t="shared" si="220"/>
        <v>2.1085706928859356</v>
      </c>
      <c r="AW728" s="262">
        <f t="shared" si="220"/>
        <v>9.2205523813498633</v>
      </c>
      <c r="AX728" s="272">
        <f t="shared" si="220"/>
        <v>15.708174298405327</v>
      </c>
      <c r="AY728" s="262">
        <f t="shared" si="220"/>
        <v>0.94775609756097645</v>
      </c>
      <c r="AZ728" s="262">
        <f t="shared" si="220"/>
        <v>22.963284472731683</v>
      </c>
      <c r="BA728" s="262">
        <f t="shared" si="220"/>
        <v>-22.743064060713042</v>
      </c>
      <c r="BB728" s="262">
        <f t="shared" si="220"/>
        <v>2.2681233492093296</v>
      </c>
      <c r="BC728" s="272">
        <f t="shared" si="220"/>
        <v>-3.0490686501150468</v>
      </c>
      <c r="BD728" s="262"/>
      <c r="BE728" s="80">
        <f>AVERAGEIF($E$7:$E$723,"&lt;10",BE7:BE723)</f>
        <v>2015.6238095238095</v>
      </c>
      <c r="BF728" s="262">
        <f>AVERAGEIF($E$7:$E$723,"&lt;10",BF7:BF723)</f>
        <v>1</v>
      </c>
      <c r="BG728" s="262">
        <f>AVERAGEIF($E$7:$E$723,"&lt;10",BG7:BG723)</f>
        <v>6.3219095477386924</v>
      </c>
    </row>
    <row r="729" spans="1:64" x14ac:dyDescent="0.2">
      <c r="O729" s="274"/>
      <c r="W729" s="275"/>
      <c r="X729" s="275"/>
      <c r="AC729"/>
      <c r="AD729"/>
      <c r="AE729"/>
      <c r="AF729"/>
      <c r="AG729"/>
      <c r="AH729"/>
      <c r="AI729"/>
      <c r="AJ729"/>
      <c r="AK729"/>
      <c r="AL729" s="276"/>
      <c r="AM729"/>
      <c r="AN729" s="74"/>
      <c r="AO729"/>
      <c r="AQ729" s="74"/>
      <c r="AR729"/>
      <c r="AS729"/>
      <c r="AT729"/>
      <c r="AU729"/>
      <c r="AV729"/>
      <c r="AW729"/>
      <c r="AX729" s="74"/>
      <c r="AY729"/>
      <c r="BC729" s="74"/>
      <c r="BD729"/>
      <c r="BE729" s="277"/>
      <c r="BF729"/>
    </row>
    <row r="730" spans="1:64" x14ac:dyDescent="0.2">
      <c r="A730" t="s">
        <v>1224</v>
      </c>
      <c r="I730" s="74"/>
      <c r="J730"/>
      <c r="O730" s="274"/>
      <c r="W730" s="275"/>
      <c r="X730" s="275"/>
      <c r="AC730"/>
      <c r="AD730"/>
      <c r="AE730"/>
      <c r="AF730"/>
      <c r="AG730"/>
      <c r="AH730"/>
      <c r="AI730"/>
      <c r="AJ730"/>
      <c r="AK730"/>
      <c r="AL730" s="276"/>
      <c r="AM730"/>
      <c r="AN730" s="74"/>
      <c r="AO730"/>
      <c r="AQ730" s="74"/>
      <c r="AR730"/>
      <c r="AS730"/>
      <c r="AT730"/>
      <c r="AU730"/>
      <c r="AV730"/>
      <c r="AW730"/>
      <c r="AX730" s="74"/>
      <c r="AY730"/>
      <c r="BC730" s="74"/>
      <c r="BD730"/>
      <c r="BE730" s="277"/>
      <c r="BF730"/>
    </row>
    <row r="731" spans="1:64" x14ac:dyDescent="0.2">
      <c r="A731" t="s">
        <v>981</v>
      </c>
      <c r="B731" s="74">
        <f t="shared" ref="B731:B741" si="221">COUNTIF($C$7:$C$723,"="&amp;$A731)</f>
        <v>11</v>
      </c>
      <c r="E731" s="261">
        <f t="shared" ref="E731:E741" si="222">AVERAGEIFS($E$7:$E$723,$C$7:$C$723,"="&amp;$A731)</f>
        <v>16.272727272727273</v>
      </c>
      <c r="I731" s="278">
        <f t="shared" ref="I731:K741" si="223">AVERAGEIFS(I$7:I$723,$C$7:$C$723,"="&amp;$A731)</f>
        <v>126.62909090909089</v>
      </c>
      <c r="J731" s="262">
        <f t="shared" si="223"/>
        <v>3.4619512362506573</v>
      </c>
      <c r="K731" s="264">
        <f t="shared" si="223"/>
        <v>0.68972377272727281</v>
      </c>
      <c r="L731" s="261"/>
      <c r="M731" s="262">
        <f t="shared" ref="M731:M741" si="224">AVERAGEIFS(M$7:M$723,$C$7:$C$723,"="&amp;$A731)</f>
        <v>2.6307132727272728</v>
      </c>
      <c r="N731" s="261"/>
      <c r="O731" s="264">
        <f t="shared" ref="O731:O741" si="225">AVERAGEIFS(O$7:O$723,$C$7:$C$723,"="&amp;$A731)</f>
        <v>0.64405827272727278</v>
      </c>
      <c r="P731" s="261"/>
      <c r="Q731" s="261"/>
      <c r="R731" s="262">
        <f t="shared" ref="R731:X741" si="226">AVERAGEIFS(R$7:R$723,$C$7:$C$723,"="&amp;$A731)</f>
        <v>11.665224388925644</v>
      </c>
      <c r="S731" s="262">
        <f t="shared" si="226"/>
        <v>10.113654632382001</v>
      </c>
      <c r="T731" s="262">
        <f t="shared" si="226"/>
        <v>9.5437859209762088</v>
      </c>
      <c r="U731" s="262">
        <f t="shared" si="226"/>
        <v>13.524189368767294</v>
      </c>
      <c r="V731" s="262">
        <f t="shared" si="226"/>
        <v>9.7260901915458184</v>
      </c>
      <c r="W731" s="267">
        <f t="shared" si="226"/>
        <v>0.74498987208516165</v>
      </c>
      <c r="X731" s="267">
        <f t="shared" si="226"/>
        <v>0.83023793970366766</v>
      </c>
      <c r="Y731" s="74"/>
      <c r="Z731" s="262">
        <f t="shared" ref="Z731:AA741" si="227">AVERAGEIFS(Z$7:Z$723,$C$7:$C$723,"="&amp;$A731)</f>
        <v>78.239316430346491</v>
      </c>
      <c r="AA731" s="262">
        <f t="shared" si="227"/>
        <v>20.718996311108562</v>
      </c>
      <c r="AB731" s="262"/>
      <c r="AC731" s="262">
        <f t="shared" ref="AC731:AR741" si="228">AVERAGEIFS(AC$7:AC$723,$C$7:$C$723,"="&amp;$A731)</f>
        <v>9.0181818181818176</v>
      </c>
      <c r="AD731" s="262">
        <f t="shared" si="228"/>
        <v>2.9411111111111112</v>
      </c>
      <c r="AE731" s="262">
        <f t="shared" si="228"/>
        <v>2.2136363636363643</v>
      </c>
      <c r="AF731" s="262">
        <f t="shared" si="228"/>
        <v>2.5988888888888888</v>
      </c>
      <c r="AG731" s="262">
        <f t="shared" si="228"/>
        <v>11.318181818181817</v>
      </c>
      <c r="AH731" s="262">
        <f t="shared" si="228"/>
        <v>166.28181818181818</v>
      </c>
      <c r="AI731" s="262">
        <f t="shared" si="228"/>
        <v>5.5309090909090912</v>
      </c>
      <c r="AJ731" s="262">
        <f t="shared" si="228"/>
        <v>17.845454545454544</v>
      </c>
      <c r="AK731" s="262">
        <f t="shared" si="228"/>
        <v>7.7659999999999982</v>
      </c>
      <c r="AL731" s="268">
        <f t="shared" si="228"/>
        <v>37995.454545454544</v>
      </c>
      <c r="AM731" s="262">
        <f t="shared" si="228"/>
        <v>0.41363636363636364</v>
      </c>
      <c r="AN731" s="272">
        <f t="shared" si="228"/>
        <v>1.342222222222222</v>
      </c>
      <c r="AO731" s="262">
        <f t="shared" si="228"/>
        <v>-3.7328557060906107</v>
      </c>
      <c r="AP731" s="262">
        <f t="shared" si="228"/>
        <v>16.986140605017951</v>
      </c>
      <c r="AQ731" s="272">
        <f t="shared" si="228"/>
        <v>29.483676822086391</v>
      </c>
      <c r="AR731" s="262">
        <f t="shared" si="228"/>
        <v>2.5366641181818181</v>
      </c>
      <c r="AS731" s="262">
        <f t="shared" ref="AS731:BC741" si="229">AVERAGEIFS(AS$7:AS$723,$C$7:$C$723,"="&amp;$A731)</f>
        <v>2.6087425237736364</v>
      </c>
      <c r="AT731" s="262">
        <f t="shared" si="229"/>
        <v>2.7963639874784865</v>
      </c>
      <c r="AU731" s="262">
        <f t="shared" si="229"/>
        <v>3.0012204421705433</v>
      </c>
      <c r="AV731" s="262">
        <f t="shared" si="229"/>
        <v>3.2249904683275123</v>
      </c>
      <c r="AW731" s="262">
        <f t="shared" si="229"/>
        <v>14.167981539931999</v>
      </c>
      <c r="AX731" s="272">
        <f t="shared" si="229"/>
        <v>18.866527312082244</v>
      </c>
      <c r="AY731" s="262">
        <f t="shared" si="229"/>
        <v>0.84727272727272718</v>
      </c>
      <c r="AZ731" s="262">
        <f t="shared" si="229"/>
        <v>16.898181818181822</v>
      </c>
      <c r="BA731" s="262">
        <f t="shared" si="229"/>
        <v>-27.461818181818181</v>
      </c>
      <c r="BB731" s="262">
        <f t="shared" si="229"/>
        <v>-0.71727272727272706</v>
      </c>
      <c r="BC731" s="272">
        <f t="shared" si="229"/>
        <v>-11.288181818181815</v>
      </c>
      <c r="BD731" s="262"/>
      <c r="BE731" s="80">
        <f t="shared" ref="BE731:BG741" si="230">AVERAGEIFS(BE$7:BE$723,$C$7:$C$723,"="&amp;$A731)</f>
        <v>2006.4545454545455</v>
      </c>
      <c r="BF731" s="262">
        <f t="shared" si="230"/>
        <v>1.7272727272727273</v>
      </c>
      <c r="BG731" s="262">
        <f t="shared" si="230"/>
        <v>5.3181818181818192</v>
      </c>
    </row>
    <row r="732" spans="1:64" x14ac:dyDescent="0.2">
      <c r="A732" t="s">
        <v>100</v>
      </c>
      <c r="B732" s="74">
        <f t="shared" si="221"/>
        <v>42</v>
      </c>
      <c r="E732" s="261">
        <f t="shared" si="222"/>
        <v>17.142857142857142</v>
      </c>
      <c r="I732" s="278">
        <f t="shared" si="223"/>
        <v>133.64261904761906</v>
      </c>
      <c r="J732" s="262">
        <f t="shared" si="223"/>
        <v>2.4831365808907289</v>
      </c>
      <c r="K732" s="264">
        <f t="shared" si="223"/>
        <v>0.62808095238095252</v>
      </c>
      <c r="L732" s="261"/>
      <c r="M732" s="262">
        <f t="shared" si="224"/>
        <v>2.4483285714285721</v>
      </c>
      <c r="N732" s="261"/>
      <c r="O732" s="264">
        <f t="shared" si="225"/>
        <v>0.54671666666666663</v>
      </c>
      <c r="P732" s="261"/>
      <c r="Q732" s="261"/>
      <c r="R732" s="262">
        <f t="shared" si="226"/>
        <v>14.397084725230394</v>
      </c>
      <c r="S732" s="262">
        <f t="shared" si="226"/>
        <v>14.044042578265884</v>
      </c>
      <c r="T732" s="262">
        <f t="shared" si="226"/>
        <v>11.819007863759126</v>
      </c>
      <c r="U732" s="262">
        <f t="shared" si="226"/>
        <v>13.016274903530295</v>
      </c>
      <c r="V732" s="262">
        <f t="shared" si="226"/>
        <v>13.129063484126375</v>
      </c>
      <c r="W732" s="267">
        <f t="shared" si="226"/>
        <v>0.96648358525906075</v>
      </c>
      <c r="X732" s="267">
        <f t="shared" si="226"/>
        <v>0.70667033644587518</v>
      </c>
      <c r="Y732" s="74"/>
      <c r="Z732" s="262">
        <f t="shared" si="227"/>
        <v>50.809611793457528</v>
      </c>
      <c r="AA732" s="262">
        <f t="shared" si="227"/>
        <v>20.806780027222683</v>
      </c>
      <c r="AB732" s="262"/>
      <c r="AC732" s="262">
        <f t="shared" si="228"/>
        <v>10.028809523809525</v>
      </c>
      <c r="AD732" s="262">
        <f t="shared" si="228"/>
        <v>2.9240540540540545</v>
      </c>
      <c r="AE732" s="262">
        <f t="shared" si="228"/>
        <v>1.862857142857143</v>
      </c>
      <c r="AF732" s="262">
        <f t="shared" si="228"/>
        <v>41.001666666666651</v>
      </c>
      <c r="AG732" s="262">
        <f t="shared" si="228"/>
        <v>19.674358974358981</v>
      </c>
      <c r="AH732" s="262">
        <f t="shared" si="228"/>
        <v>131.72857142857143</v>
      </c>
      <c r="AI732" s="262">
        <f t="shared" si="228"/>
        <v>8.0192857142857132</v>
      </c>
      <c r="AJ732" s="262">
        <f t="shared" si="228"/>
        <v>21.616666666666664</v>
      </c>
      <c r="AK732" s="262">
        <f t="shared" si="228"/>
        <v>10.836749999999999</v>
      </c>
      <c r="AL732" s="268">
        <f t="shared" si="228"/>
        <v>32756.536190476192</v>
      </c>
      <c r="AM732" s="262">
        <f t="shared" si="228"/>
        <v>1.9559523809523807</v>
      </c>
      <c r="AN732" s="272">
        <f t="shared" si="228"/>
        <v>5.7994444444444451</v>
      </c>
      <c r="AO732" s="262">
        <f t="shared" si="228"/>
        <v>-3.29106984486168</v>
      </c>
      <c r="AP732" s="262">
        <f t="shared" si="228"/>
        <v>15.547056529296302</v>
      </c>
      <c r="AQ732" s="272">
        <f t="shared" si="228"/>
        <v>154.96212208505892</v>
      </c>
      <c r="AR732" s="262">
        <f t="shared" si="228"/>
        <v>2.2352700952380955</v>
      </c>
      <c r="AS732" s="262">
        <f t="shared" si="229"/>
        <v>2.3567787548571433</v>
      </c>
      <c r="AT732" s="262">
        <f t="shared" si="229"/>
        <v>2.535627774071191</v>
      </c>
      <c r="AU732" s="262">
        <f t="shared" si="229"/>
        <v>2.730266239677869</v>
      </c>
      <c r="AV732" s="262">
        <f t="shared" si="229"/>
        <v>2.9421562806181343</v>
      </c>
      <c r="AW732" s="262">
        <f t="shared" si="229"/>
        <v>12.800099144462433</v>
      </c>
      <c r="AX732" s="272">
        <f t="shared" si="229"/>
        <v>13.276151349881001</v>
      </c>
      <c r="AY732" s="262">
        <f t="shared" si="229"/>
        <v>1.118095238095238</v>
      </c>
      <c r="AZ732" s="262">
        <f t="shared" si="229"/>
        <v>26.561190476190486</v>
      </c>
      <c r="BA732" s="262">
        <f t="shared" si="229"/>
        <v>-29.561428571428575</v>
      </c>
      <c r="BB732" s="262">
        <f t="shared" si="229"/>
        <v>1.0140476190476189</v>
      </c>
      <c r="BC732" s="272">
        <f t="shared" si="229"/>
        <v>-3.8038095238095235</v>
      </c>
      <c r="BD732" s="262"/>
      <c r="BE732" s="80">
        <f t="shared" si="230"/>
        <v>2005.8809523809523</v>
      </c>
      <c r="BF732" s="262">
        <f t="shared" si="230"/>
        <v>1.9285714285714286</v>
      </c>
      <c r="BG732" s="262">
        <f t="shared" si="230"/>
        <v>12.097560975609758</v>
      </c>
    </row>
    <row r="733" spans="1:64" x14ac:dyDescent="0.2">
      <c r="A733" t="s">
        <v>127</v>
      </c>
      <c r="B733" s="74">
        <f t="shared" si="221"/>
        <v>38</v>
      </c>
      <c r="E733" s="261">
        <f t="shared" si="222"/>
        <v>31.289473684210527</v>
      </c>
      <c r="I733" s="278">
        <f t="shared" si="223"/>
        <v>110.51947368421052</v>
      </c>
      <c r="J733" s="262">
        <f t="shared" si="223"/>
        <v>2.7144696186554915</v>
      </c>
      <c r="K733" s="264">
        <f t="shared" si="223"/>
        <v>0.63066578947368412</v>
      </c>
      <c r="L733" s="261"/>
      <c r="M733" s="262">
        <f t="shared" si="224"/>
        <v>2.4634526315789471</v>
      </c>
      <c r="N733" s="261"/>
      <c r="O733" s="264">
        <f t="shared" si="225"/>
        <v>0.59370206949412363</v>
      </c>
      <c r="P733" s="261"/>
      <c r="Q733" s="261"/>
      <c r="R733" s="262">
        <f t="shared" si="226"/>
        <v>6.1784024629083074</v>
      </c>
      <c r="S733" s="262">
        <f t="shared" si="226"/>
        <v>5.2991239500887604</v>
      </c>
      <c r="T733" s="262">
        <f t="shared" si="226"/>
        <v>7.0604387842952399</v>
      </c>
      <c r="U733" s="262">
        <f t="shared" si="226"/>
        <v>8.314153189124271</v>
      </c>
      <c r="V733" s="262">
        <f t="shared" si="226"/>
        <v>9.1211140414444305</v>
      </c>
      <c r="W733" s="267">
        <f t="shared" si="226"/>
        <v>0.79371204196172518</v>
      </c>
      <c r="X733" s="267">
        <f t="shared" si="226"/>
        <v>3.3834249783492019</v>
      </c>
      <c r="Y733" s="74"/>
      <c r="Z733" s="262">
        <f t="shared" si="227"/>
        <v>69.28982173602499</v>
      </c>
      <c r="AA733" s="262">
        <f t="shared" si="227"/>
        <v>26.690829229034296</v>
      </c>
      <c r="AB733" s="262"/>
      <c r="AC733" s="262">
        <f t="shared" si="228"/>
        <v>4.440526315789473</v>
      </c>
      <c r="AD733" s="262">
        <f t="shared" si="228"/>
        <v>4.7262500000000003</v>
      </c>
      <c r="AE733" s="262">
        <f t="shared" si="228"/>
        <v>2.3139473684210525</v>
      </c>
      <c r="AF733" s="262">
        <f t="shared" si="228"/>
        <v>12.63361111111111</v>
      </c>
      <c r="AG733" s="262">
        <f t="shared" si="228"/>
        <v>39.584210526315779</v>
      </c>
      <c r="AH733" s="262">
        <f t="shared" si="228"/>
        <v>8.0368421052631565</v>
      </c>
      <c r="AI733" s="262">
        <f t="shared" si="228"/>
        <v>11.087428571428571</v>
      </c>
      <c r="AJ733" s="262">
        <f t="shared" si="228"/>
        <v>5.1236842105263145</v>
      </c>
      <c r="AK733" s="262">
        <f t="shared" si="228"/>
        <v>8.5114705882352943</v>
      </c>
      <c r="AL733" s="268">
        <f t="shared" si="228"/>
        <v>60682.201842105263</v>
      </c>
      <c r="AM733" s="262">
        <f t="shared" si="228"/>
        <v>2.83</v>
      </c>
      <c r="AN733" s="272">
        <f t="shared" si="228"/>
        <v>2.0613888888888896</v>
      </c>
      <c r="AO733" s="262">
        <f t="shared" si="228"/>
        <v>-15.906128905799651</v>
      </c>
      <c r="AP733" s="262">
        <f t="shared" si="228"/>
        <v>11.122876675657274</v>
      </c>
      <c r="AQ733" s="272">
        <f t="shared" si="228"/>
        <v>219.89066748332502</v>
      </c>
      <c r="AR733" s="262">
        <f t="shared" si="228"/>
        <v>2.3821708844660194</v>
      </c>
      <c r="AS733" s="262">
        <f t="shared" si="229"/>
        <v>2.55907030899579</v>
      </c>
      <c r="AT733" s="262">
        <f t="shared" si="229"/>
        <v>2.7241807680320771</v>
      </c>
      <c r="AU733" s="262">
        <f t="shared" si="229"/>
        <v>2.9022059418861552</v>
      </c>
      <c r="AV733" s="262">
        <f t="shared" si="229"/>
        <v>3.0942665279685229</v>
      </c>
      <c r="AW733" s="262">
        <f t="shared" si="229"/>
        <v>13.661894431348559</v>
      </c>
      <c r="AX733" s="272">
        <f t="shared" si="229"/>
        <v>14.942355266594776</v>
      </c>
      <c r="AY733" s="262">
        <f t="shared" si="229"/>
        <v>0.55894736842105264</v>
      </c>
      <c r="AZ733" s="262">
        <f t="shared" si="229"/>
        <v>23.095000000000002</v>
      </c>
      <c r="BA733" s="262">
        <f t="shared" si="229"/>
        <v>-14.512894736842105</v>
      </c>
      <c r="BB733" s="262">
        <f t="shared" si="229"/>
        <v>4.0205263157894731</v>
      </c>
      <c r="BC733" s="272">
        <f t="shared" si="229"/>
        <v>0.34710526315789442</v>
      </c>
      <c r="BD733" s="262"/>
      <c r="BE733" s="80">
        <f t="shared" si="230"/>
        <v>1991.5</v>
      </c>
      <c r="BF733" s="262">
        <f t="shared" si="230"/>
        <v>3.6578947368421053</v>
      </c>
      <c r="BG733" s="262">
        <f t="shared" si="230"/>
        <v>9.1947368421052627</v>
      </c>
    </row>
    <row r="734" spans="1:64" x14ac:dyDescent="0.2">
      <c r="A734" t="s">
        <v>109</v>
      </c>
      <c r="B734" s="74">
        <f t="shared" si="221"/>
        <v>19</v>
      </c>
      <c r="E734" s="261">
        <f t="shared" si="222"/>
        <v>14.894736842105264</v>
      </c>
      <c r="I734" s="278">
        <f t="shared" si="223"/>
        <v>190.18736842105264</v>
      </c>
      <c r="J734" s="262">
        <f t="shared" si="223"/>
        <v>4.6196049933862504</v>
      </c>
      <c r="K734" s="264">
        <f t="shared" si="223"/>
        <v>0.81337894736842109</v>
      </c>
      <c r="L734" s="261"/>
      <c r="M734" s="262">
        <f t="shared" si="224"/>
        <v>3.2535157894736844</v>
      </c>
      <c r="N734" s="261"/>
      <c r="O734" s="264">
        <f t="shared" si="225"/>
        <v>0.75670526315789477</v>
      </c>
      <c r="P734" s="261"/>
      <c r="Q734" s="261"/>
      <c r="R734" s="262">
        <f t="shared" si="226"/>
        <v>9.375444024122265</v>
      </c>
      <c r="S734" s="262">
        <f t="shared" si="226"/>
        <v>5.74947980478139</v>
      </c>
      <c r="T734" s="262">
        <f t="shared" si="226"/>
        <v>17.997599516774695</v>
      </c>
      <c r="U734" s="262">
        <f t="shared" si="226"/>
        <v>16.392021072244148</v>
      </c>
      <c r="V734" s="262">
        <f t="shared" si="226"/>
        <v>12.488077910716642</v>
      </c>
      <c r="W734" s="267">
        <f t="shared" si="226"/>
        <v>1.4275958236328454</v>
      </c>
      <c r="X734" s="267">
        <f t="shared" si="226"/>
        <v>2.4021782027054481</v>
      </c>
      <c r="Y734" s="74"/>
      <c r="Z734" s="262">
        <f t="shared" si="227"/>
        <v>68.871502939903834</v>
      </c>
      <c r="AA734" s="262">
        <f t="shared" si="227"/>
        <v>15.610038660717086</v>
      </c>
      <c r="AB734" s="262"/>
      <c r="AC734" s="262">
        <f t="shared" si="228"/>
        <v>8.3521052631578954</v>
      </c>
      <c r="AD734" s="262">
        <f t="shared" si="228"/>
        <v>2.1575000000000002</v>
      </c>
      <c r="AE734" s="262">
        <f t="shared" si="228"/>
        <v>4.0610526315789475</v>
      </c>
      <c r="AF734" s="262">
        <f t="shared" si="228"/>
        <v>6.5761111111111124</v>
      </c>
      <c r="AG734" s="262">
        <f t="shared" si="228"/>
        <v>13.12777777777778</v>
      </c>
      <c r="AH734" s="262">
        <f t="shared" si="228"/>
        <v>213.83684210526314</v>
      </c>
      <c r="AI734" s="262">
        <f t="shared" si="228"/>
        <v>9.8294444444444462</v>
      </c>
      <c r="AJ734" s="262">
        <f t="shared" si="228"/>
        <v>41.584736842105258</v>
      </c>
      <c r="AK734" s="262">
        <f t="shared" si="228"/>
        <v>12.751111111111113</v>
      </c>
      <c r="AL734" s="268">
        <f t="shared" si="228"/>
        <v>76635.891578947369</v>
      </c>
      <c r="AM734" s="262">
        <f t="shared" si="228"/>
        <v>8.8394736842105264</v>
      </c>
      <c r="AN734" s="272">
        <f t="shared" si="228"/>
        <v>1.5864705882352945</v>
      </c>
      <c r="AO734" s="262">
        <f t="shared" si="228"/>
        <v>5.0950403829201258</v>
      </c>
      <c r="AP734" s="262">
        <f t="shared" si="228"/>
        <v>20.985287782792721</v>
      </c>
      <c r="AQ734" s="272">
        <f t="shared" si="228"/>
        <v>93.777223086878649</v>
      </c>
      <c r="AR734" s="262">
        <f t="shared" si="228"/>
        <v>3.182241315789474</v>
      </c>
      <c r="AS734" s="262">
        <f t="shared" si="229"/>
        <v>3.301966445684211</v>
      </c>
      <c r="AT734" s="262">
        <f t="shared" si="229"/>
        <v>3.5755533327892639</v>
      </c>
      <c r="AU734" s="262">
        <f t="shared" si="229"/>
        <v>3.8746109705979794</v>
      </c>
      <c r="AV734" s="262">
        <f t="shared" si="229"/>
        <v>4.2016018377751951</v>
      </c>
      <c r="AW734" s="262">
        <f t="shared" si="229"/>
        <v>18.135973902636124</v>
      </c>
      <c r="AX734" s="272">
        <f t="shared" si="229"/>
        <v>26.292649216017452</v>
      </c>
      <c r="AY734" s="262">
        <f t="shared" si="229"/>
        <v>1.2866666666666666</v>
      </c>
      <c r="AZ734" s="262">
        <f t="shared" si="229"/>
        <v>55.99526315789474</v>
      </c>
      <c r="BA734" s="262">
        <f t="shared" si="229"/>
        <v>-9.0015789473684222</v>
      </c>
      <c r="BB734" s="262">
        <f t="shared" si="229"/>
        <v>7.7026315789473685</v>
      </c>
      <c r="BC734" s="272">
        <f t="shared" si="229"/>
        <v>12.46</v>
      </c>
      <c r="BD734" s="262"/>
      <c r="BE734" s="80">
        <f t="shared" si="230"/>
        <v>2007.9473684210527</v>
      </c>
      <c r="BF734" s="262">
        <f t="shared" si="230"/>
        <v>1.8421052631578947</v>
      </c>
      <c r="BG734" s="262">
        <f t="shared" si="230"/>
        <v>11.205555555555556</v>
      </c>
    </row>
    <row r="735" spans="1:64" x14ac:dyDescent="0.2">
      <c r="A735" t="s">
        <v>90</v>
      </c>
      <c r="B735" s="74">
        <f t="shared" si="221"/>
        <v>264</v>
      </c>
      <c r="E735" s="261">
        <f t="shared" si="222"/>
        <v>14.329545454545455</v>
      </c>
      <c r="I735" s="278">
        <f t="shared" si="223"/>
        <v>73.293901515151504</v>
      </c>
      <c r="J735" s="262">
        <f t="shared" si="223"/>
        <v>2.983660046918359</v>
      </c>
      <c r="K735" s="264">
        <f t="shared" si="223"/>
        <v>0.46748901515151503</v>
      </c>
      <c r="L735" s="261"/>
      <c r="M735" s="262">
        <f t="shared" si="224"/>
        <v>1.7224560606060597</v>
      </c>
      <c r="N735" s="261"/>
      <c r="O735" s="264">
        <f t="shared" si="225"/>
        <v>0.43136426767676755</v>
      </c>
      <c r="P735" s="261"/>
      <c r="Q735" s="261"/>
      <c r="R735" s="262">
        <f t="shared" si="226"/>
        <v>9.1034715133260118</v>
      </c>
      <c r="S735" s="262">
        <f t="shared" si="226"/>
        <v>9.2299194520055554</v>
      </c>
      <c r="T735" s="262">
        <f t="shared" si="226"/>
        <v>11.394679552611306</v>
      </c>
      <c r="U735" s="262">
        <f t="shared" si="226"/>
        <v>12.104150128039752</v>
      </c>
      <c r="V735" s="262">
        <f t="shared" si="226"/>
        <v>11.144666725972657</v>
      </c>
      <c r="W735" s="267">
        <f t="shared" si="226"/>
        <v>1.3159823660913252</v>
      </c>
      <c r="X735" s="267">
        <f t="shared" si="226"/>
        <v>1.3472478834049328</v>
      </c>
      <c r="Y735" s="74"/>
      <c r="Z735" s="262">
        <f t="shared" si="227"/>
        <v>40.801863949625506</v>
      </c>
      <c r="AA735" s="262">
        <f t="shared" si="227"/>
        <v>15.282912713808891</v>
      </c>
      <c r="AB735" s="262"/>
      <c r="AC735" s="262">
        <f t="shared" si="228"/>
        <v>4.8786075949367094</v>
      </c>
      <c r="AD735" s="262">
        <f t="shared" si="228"/>
        <v>3.8822424242424223</v>
      </c>
      <c r="AE735" s="262">
        <f t="shared" si="228"/>
        <v>4.0590295358649788</v>
      </c>
      <c r="AF735" s="262">
        <f t="shared" si="228"/>
        <v>2.4016949152542382</v>
      </c>
      <c r="AG735" s="262">
        <f t="shared" si="228"/>
        <v>14.261466666666658</v>
      </c>
      <c r="AH735" s="262">
        <f t="shared" si="228"/>
        <v>71.41111111111114</v>
      </c>
      <c r="AI735" s="262">
        <f t="shared" si="228"/>
        <v>13.569103773584908</v>
      </c>
      <c r="AJ735" s="262">
        <f t="shared" si="228"/>
        <v>17.135940170940174</v>
      </c>
      <c r="AK735" s="262">
        <f t="shared" si="228"/>
        <v>7.6928491620111732</v>
      </c>
      <c r="AL735" s="268">
        <f t="shared" si="228"/>
        <v>14670.215063291138</v>
      </c>
      <c r="AM735" s="262">
        <f t="shared" si="228"/>
        <v>3.2291983122362886</v>
      </c>
      <c r="AN735" s="272">
        <f t="shared" si="228"/>
        <v>0.76422413793103439</v>
      </c>
      <c r="AO735" s="262">
        <f t="shared" si="228"/>
        <v>7.8240330521283808E-3</v>
      </c>
      <c r="AP735" s="262">
        <f t="shared" si="228"/>
        <v>15.115857910353375</v>
      </c>
      <c r="AQ735" s="272">
        <f t="shared" si="228"/>
        <v>15.337006424189575</v>
      </c>
      <c r="AR735" s="262">
        <f t="shared" si="228"/>
        <v>1.6601813200183659</v>
      </c>
      <c r="AS735" s="262">
        <f t="shared" si="229"/>
        <v>1.7596273556769979</v>
      </c>
      <c r="AT735" s="262">
        <f t="shared" si="229"/>
        <v>1.855550516947551</v>
      </c>
      <c r="AU735" s="262">
        <f t="shared" si="229"/>
        <v>1.9586638166629906</v>
      </c>
      <c r="AV735" s="262">
        <f t="shared" si="229"/>
        <v>2.0695842156575623</v>
      </c>
      <c r="AW735" s="262">
        <f t="shared" si="229"/>
        <v>9.3036072249634643</v>
      </c>
      <c r="AX735" s="272">
        <f t="shared" si="229"/>
        <v>16.187699995864854</v>
      </c>
      <c r="AY735" s="262">
        <f t="shared" si="229"/>
        <v>0.86389830508474608</v>
      </c>
      <c r="AZ735" s="262">
        <f t="shared" si="229"/>
        <v>21.889106410079275</v>
      </c>
      <c r="BA735" s="262">
        <f t="shared" si="229"/>
        <v>-16.864366869663058</v>
      </c>
      <c r="BB735" s="262">
        <f t="shared" si="229"/>
        <v>4.5420507204972909</v>
      </c>
      <c r="BC735" s="272">
        <f t="shared" si="229"/>
        <v>1.1786176710127627</v>
      </c>
      <c r="BD735" s="262"/>
      <c r="BE735" s="80">
        <f t="shared" si="230"/>
        <v>2008.6780303030303</v>
      </c>
      <c r="BF735" s="262">
        <f t="shared" si="230"/>
        <v>1.5303030303030303</v>
      </c>
      <c r="BG735" s="262">
        <f t="shared" si="230"/>
        <v>3.0371555555555556</v>
      </c>
    </row>
    <row r="736" spans="1:64" x14ac:dyDescent="0.2">
      <c r="A736" t="s">
        <v>137</v>
      </c>
      <c r="B736" s="74">
        <f t="shared" si="221"/>
        <v>35</v>
      </c>
      <c r="E736" s="261">
        <f t="shared" si="222"/>
        <v>16.885714285714286</v>
      </c>
      <c r="I736" s="278">
        <f t="shared" si="223"/>
        <v>212.69971428571426</v>
      </c>
      <c r="J736" s="262">
        <f t="shared" si="223"/>
        <v>1.7382496018325164</v>
      </c>
      <c r="K736" s="264">
        <f t="shared" si="223"/>
        <v>0.66164285714285709</v>
      </c>
      <c r="L736" s="261"/>
      <c r="M736" s="262">
        <f t="shared" si="224"/>
        <v>2.5763457142857145</v>
      </c>
      <c r="N736" s="261"/>
      <c r="O736" s="264">
        <f t="shared" si="225"/>
        <v>0.60597714285714288</v>
      </c>
      <c r="P736" s="261"/>
      <c r="Q736" s="261"/>
      <c r="R736" s="262">
        <f t="shared" si="226"/>
        <v>9.1683351156740613</v>
      </c>
      <c r="S736" s="262">
        <f t="shared" si="226"/>
        <v>9.7039115149264283</v>
      </c>
      <c r="T736" s="262">
        <f t="shared" si="226"/>
        <v>9.6472231059346516</v>
      </c>
      <c r="U736" s="262">
        <f t="shared" si="226"/>
        <v>10.094855262522662</v>
      </c>
      <c r="V736" s="262">
        <f t="shared" si="226"/>
        <v>11.770458646048287</v>
      </c>
      <c r="W736" s="267">
        <f t="shared" si="226"/>
        <v>0.9015717214269644</v>
      </c>
      <c r="X736" s="267">
        <f t="shared" si="226"/>
        <v>4.9302584670119556</v>
      </c>
      <c r="Y736" s="74"/>
      <c r="Z736" s="262">
        <f t="shared" si="227"/>
        <v>40.130684510428061</v>
      </c>
      <c r="AA736" s="262">
        <f t="shared" si="227"/>
        <v>28.048547156487285</v>
      </c>
      <c r="AB736" s="262"/>
      <c r="AC736" s="262">
        <f t="shared" si="228"/>
        <v>7.4314285714285733</v>
      </c>
      <c r="AD736" s="262">
        <f t="shared" si="228"/>
        <v>13.061481481481477</v>
      </c>
      <c r="AE736" s="262">
        <f t="shared" si="228"/>
        <v>3.851142857142857</v>
      </c>
      <c r="AF736" s="262">
        <f t="shared" si="228"/>
        <v>12.363939393939392</v>
      </c>
      <c r="AG736" s="262">
        <f t="shared" si="228"/>
        <v>27.282352941176459</v>
      </c>
      <c r="AH736" s="262">
        <f t="shared" si="228"/>
        <v>48.328571428571436</v>
      </c>
      <c r="AI736" s="262">
        <f t="shared" si="228"/>
        <v>6.1663636363636378</v>
      </c>
      <c r="AJ736" s="262">
        <f t="shared" si="228"/>
        <v>13.471142857142857</v>
      </c>
      <c r="AK736" s="262">
        <f t="shared" si="228"/>
        <v>7.4830303030303034</v>
      </c>
      <c r="AL736" s="268">
        <f t="shared" si="228"/>
        <v>109715.34485714285</v>
      </c>
      <c r="AM736" s="262">
        <f t="shared" si="228"/>
        <v>1.270588235294118</v>
      </c>
      <c r="AN736" s="272">
        <f t="shared" si="228"/>
        <v>2.0915624999999998</v>
      </c>
      <c r="AO736" s="262">
        <f t="shared" si="228"/>
        <v>-16.279848569065422</v>
      </c>
      <c r="AP736" s="262">
        <f t="shared" si="228"/>
        <v>11.83310486435518</v>
      </c>
      <c r="AQ736" s="272">
        <f t="shared" si="228"/>
        <v>213.1162064771184</v>
      </c>
      <c r="AR736" s="262">
        <f t="shared" si="228"/>
        <v>2.4769447599999999</v>
      </c>
      <c r="AS736" s="262">
        <f t="shared" si="229"/>
        <v>2.619300951428571</v>
      </c>
      <c r="AT736" s="262">
        <f t="shared" si="229"/>
        <v>2.7901912423450863</v>
      </c>
      <c r="AU736" s="262">
        <f t="shared" si="229"/>
        <v>2.9754611017279196</v>
      </c>
      <c r="AV736" s="262">
        <f t="shared" si="229"/>
        <v>3.1764225337601779</v>
      </c>
      <c r="AW736" s="262">
        <f t="shared" si="229"/>
        <v>14.038320589261758</v>
      </c>
      <c r="AX736" s="272">
        <f t="shared" si="229"/>
        <v>9.6005251211914331</v>
      </c>
      <c r="AY736" s="262">
        <f t="shared" si="229"/>
        <v>0.7094117647058823</v>
      </c>
      <c r="AZ736" s="262">
        <f t="shared" si="229"/>
        <v>24.716857142857148</v>
      </c>
      <c r="BA736" s="262">
        <f t="shared" si="229"/>
        <v>-18.444571428571429</v>
      </c>
      <c r="BB736" s="262">
        <f t="shared" si="229"/>
        <v>3.1680000000000006</v>
      </c>
      <c r="BC736" s="272">
        <f t="shared" si="229"/>
        <v>-0.16742857142857176</v>
      </c>
      <c r="BD736" s="262"/>
      <c r="BE736" s="80">
        <f t="shared" si="230"/>
        <v>2006.1714285714286</v>
      </c>
      <c r="BF736" s="262">
        <f t="shared" si="230"/>
        <v>1.8</v>
      </c>
      <c r="BG736" s="262">
        <f t="shared" si="230"/>
        <v>8.3970588235294112</v>
      </c>
    </row>
    <row r="737" spans="1:59" x14ac:dyDescent="0.2">
      <c r="A737" t="s">
        <v>94</v>
      </c>
      <c r="B737" s="74">
        <f t="shared" si="221"/>
        <v>107</v>
      </c>
      <c r="E737" s="261">
        <f t="shared" si="222"/>
        <v>20.130841121495326</v>
      </c>
      <c r="I737" s="278">
        <f t="shared" si="223"/>
        <v>132.63336448598139</v>
      </c>
      <c r="J737" s="262">
        <f t="shared" si="223"/>
        <v>1.8392781530720337</v>
      </c>
      <c r="K737" s="264">
        <f t="shared" si="223"/>
        <v>0.55652990654205592</v>
      </c>
      <c r="L737" s="261"/>
      <c r="M737" s="262">
        <f t="shared" si="224"/>
        <v>2.1864934579439246</v>
      </c>
      <c r="N737" s="261"/>
      <c r="O737" s="264">
        <f t="shared" si="225"/>
        <v>0.50150514018691594</v>
      </c>
      <c r="P737" s="261"/>
      <c r="Q737" s="261"/>
      <c r="R737" s="262">
        <f t="shared" si="226"/>
        <v>11.58505385517514</v>
      </c>
      <c r="S737" s="262">
        <f t="shared" si="226"/>
        <v>9.8024116635094281</v>
      </c>
      <c r="T737" s="262">
        <f t="shared" si="226"/>
        <v>10.703189125323144</v>
      </c>
      <c r="U737" s="262">
        <f t="shared" si="226"/>
        <v>10.99123584898873</v>
      </c>
      <c r="V737" s="262">
        <f t="shared" si="226"/>
        <v>10.923009839155284</v>
      </c>
      <c r="W737" s="267">
        <f t="shared" si="226"/>
        <v>0.89922286867235357</v>
      </c>
      <c r="X737" s="267">
        <f t="shared" si="226"/>
        <v>1.4042947443998088</v>
      </c>
      <c r="Y737" s="74"/>
      <c r="Z737" s="262">
        <f t="shared" si="227"/>
        <v>38.02821718953841</v>
      </c>
      <c r="AA737" s="262">
        <f t="shared" si="227"/>
        <v>22.186812859824936</v>
      </c>
      <c r="AB737" s="262"/>
      <c r="AC737" s="262">
        <f t="shared" si="228"/>
        <v>6.9111214953271043</v>
      </c>
      <c r="AD737" s="262">
        <f t="shared" si="228"/>
        <v>2.6770999999999994</v>
      </c>
      <c r="AE737" s="262">
        <f t="shared" si="228"/>
        <v>2.2626168224299064</v>
      </c>
      <c r="AF737" s="262">
        <f t="shared" si="228"/>
        <v>5.9490476190476187</v>
      </c>
      <c r="AG737" s="262">
        <f t="shared" si="228"/>
        <v>24.265686274509818</v>
      </c>
      <c r="AH737" s="262">
        <f t="shared" si="228"/>
        <v>70.756074766355141</v>
      </c>
      <c r="AI737" s="262">
        <f t="shared" si="228"/>
        <v>11.999339622641507</v>
      </c>
      <c r="AJ737" s="262">
        <f t="shared" si="228"/>
        <v>15.389719626168224</v>
      </c>
      <c r="AK737" s="262">
        <f t="shared" si="228"/>
        <v>11.261941747572816</v>
      </c>
      <c r="AL737" s="268">
        <f t="shared" si="228"/>
        <v>20233.295233644858</v>
      </c>
      <c r="AM737" s="262">
        <f t="shared" si="228"/>
        <v>1.1883177570093457</v>
      </c>
      <c r="AN737" s="272">
        <f t="shared" si="228"/>
        <v>0.93390476190476179</v>
      </c>
      <c r="AO737" s="262">
        <f t="shared" si="228"/>
        <v>-9.7004260940769846</v>
      </c>
      <c r="AP737" s="262">
        <f t="shared" si="228"/>
        <v>12.854330617742932</v>
      </c>
      <c r="AQ737" s="272">
        <f t="shared" si="228"/>
        <v>120.80282073422431</v>
      </c>
      <c r="AR737" s="262">
        <f t="shared" si="228"/>
        <v>2.076489392523365</v>
      </c>
      <c r="AS737" s="262">
        <f t="shared" si="229"/>
        <v>2.1940422854299073</v>
      </c>
      <c r="AT737" s="262">
        <f t="shared" si="229"/>
        <v>2.3713839750945271</v>
      </c>
      <c r="AU737" s="262">
        <f t="shared" si="229"/>
        <v>2.5648357615171324</v>
      </c>
      <c r="AV737" s="262">
        <f t="shared" si="229"/>
        <v>2.7759206204999267</v>
      </c>
      <c r="AW737" s="262">
        <f t="shared" si="229"/>
        <v>11.982672035064857</v>
      </c>
      <c r="AX737" s="272">
        <f t="shared" si="229"/>
        <v>10.234560853232972</v>
      </c>
      <c r="AY737" s="262">
        <f t="shared" si="229"/>
        <v>1.0930841121495327</v>
      </c>
      <c r="AZ737" s="262">
        <f t="shared" si="229"/>
        <v>24.41672897196262</v>
      </c>
      <c r="BA737" s="262">
        <f t="shared" si="229"/>
        <v>-19.44196261682243</v>
      </c>
      <c r="BB737" s="262">
        <f t="shared" si="229"/>
        <v>4.9492523364486001</v>
      </c>
      <c r="BC737" s="272">
        <f t="shared" si="229"/>
        <v>1.2809345794392519</v>
      </c>
      <c r="BD737" s="262"/>
      <c r="BE737" s="80">
        <f t="shared" si="230"/>
        <v>2002.9158878504672</v>
      </c>
      <c r="BF737" s="262">
        <f t="shared" si="230"/>
        <v>2.2523364485981308</v>
      </c>
      <c r="BG737" s="262">
        <f t="shared" si="230"/>
        <v>9.904901960784315</v>
      </c>
    </row>
    <row r="738" spans="1:59" x14ac:dyDescent="0.2">
      <c r="A738" t="s">
        <v>922</v>
      </c>
      <c r="B738" s="74">
        <f t="shared" si="221"/>
        <v>57</v>
      </c>
      <c r="E738" s="261">
        <f t="shared" si="222"/>
        <v>13.12280701754386</v>
      </c>
      <c r="I738" s="278">
        <f t="shared" si="223"/>
        <v>126.81456140350879</v>
      </c>
      <c r="J738" s="262">
        <f t="shared" si="223"/>
        <v>2.1367109832587716</v>
      </c>
      <c r="K738" s="264">
        <f t="shared" si="223"/>
        <v>0.61168070175438594</v>
      </c>
      <c r="L738" s="261"/>
      <c r="M738" s="262">
        <f t="shared" si="224"/>
        <v>2.2374614035087714</v>
      </c>
      <c r="N738" s="261"/>
      <c r="O738" s="264">
        <f t="shared" si="225"/>
        <v>0.53736491228070182</v>
      </c>
      <c r="P738" s="261"/>
      <c r="Q738" s="261"/>
      <c r="R738" s="262">
        <f t="shared" si="226"/>
        <v>13.791859448128747</v>
      </c>
      <c r="S738" s="262">
        <f t="shared" si="226"/>
        <v>11.742872193754442</v>
      </c>
      <c r="T738" s="262">
        <f t="shared" si="226"/>
        <v>15.140352894574793</v>
      </c>
      <c r="U738" s="262">
        <f t="shared" si="226"/>
        <v>13.802161312283909</v>
      </c>
      <c r="V738" s="262">
        <f t="shared" si="226"/>
        <v>16.644433356428884</v>
      </c>
      <c r="W738" s="267">
        <f t="shared" si="226"/>
        <v>0.83157086703406635</v>
      </c>
      <c r="X738" s="267">
        <f t="shared" si="226"/>
        <v>1.2104958792843035</v>
      </c>
      <c r="Y738" s="74"/>
      <c r="Z738" s="262">
        <f t="shared" si="227"/>
        <v>47.230376974979642</v>
      </c>
      <c r="AA738" s="262">
        <f t="shared" si="227"/>
        <v>24.621055707283897</v>
      </c>
      <c r="AB738" s="262"/>
      <c r="AC738" s="262">
        <f t="shared" si="228"/>
        <v>5.888070175438596</v>
      </c>
      <c r="AD738" s="262">
        <f t="shared" si="228"/>
        <v>11.804285714285713</v>
      </c>
      <c r="AE738" s="262">
        <f t="shared" si="228"/>
        <v>4.2731578947368423</v>
      </c>
      <c r="AF738" s="262">
        <f t="shared" si="228"/>
        <v>9.0585185185185182</v>
      </c>
      <c r="AG738" s="262">
        <f t="shared" si="228"/>
        <v>24.476428571428574</v>
      </c>
      <c r="AH738" s="262">
        <f t="shared" si="228"/>
        <v>67.992857142857147</v>
      </c>
      <c r="AI738" s="262">
        <f t="shared" si="228"/>
        <v>4.2574074074074071</v>
      </c>
      <c r="AJ738" s="262">
        <f t="shared" si="228"/>
        <v>16.591071428571428</v>
      </c>
      <c r="AK738" s="262">
        <f t="shared" si="228"/>
        <v>10.222264150943394</v>
      </c>
      <c r="AL738" s="268">
        <f t="shared" si="228"/>
        <v>124682.72070175437</v>
      </c>
      <c r="AM738" s="262">
        <f t="shared" si="228"/>
        <v>2.9071428571428579</v>
      </c>
      <c r="AN738" s="272">
        <f t="shared" si="228"/>
        <v>0.98961851851851812</v>
      </c>
      <c r="AO738" s="262">
        <f t="shared" si="228"/>
        <v>-8.7790373910292416</v>
      </c>
      <c r="AP738" s="262">
        <f t="shared" si="228"/>
        <v>16.001610708886247</v>
      </c>
      <c r="AQ738" s="272">
        <f t="shared" si="228"/>
        <v>179.7244809744281</v>
      </c>
      <c r="AR738" s="262">
        <f t="shared" si="228"/>
        <v>2.0870012052631579</v>
      </c>
      <c r="AS738" s="262">
        <f t="shared" si="229"/>
        <v>2.2165020157807014</v>
      </c>
      <c r="AT738" s="262">
        <f t="shared" si="229"/>
        <v>2.4061364899704034</v>
      </c>
      <c r="AU738" s="262">
        <f t="shared" si="229"/>
        <v>2.6135924442336567</v>
      </c>
      <c r="AV738" s="262">
        <f t="shared" si="229"/>
        <v>2.8405868997404951</v>
      </c>
      <c r="AW738" s="262">
        <f t="shared" si="229"/>
        <v>12.163819054988414</v>
      </c>
      <c r="AX738" s="272">
        <f t="shared" si="229"/>
        <v>11.496432759666153</v>
      </c>
      <c r="AY738" s="262">
        <f t="shared" si="229"/>
        <v>1.0589473684210524</v>
      </c>
      <c r="AZ738" s="262">
        <f t="shared" si="229"/>
        <v>20.77906432748539</v>
      </c>
      <c r="BA738" s="262">
        <f t="shared" si="229"/>
        <v>-25.849434498311567</v>
      </c>
      <c r="BB738" s="262">
        <f t="shared" si="229"/>
        <v>1.3045698819539553</v>
      </c>
      <c r="BC738" s="272">
        <f t="shared" si="229"/>
        <v>-5.6520827235533524</v>
      </c>
      <c r="BD738" s="262"/>
      <c r="BE738" s="80">
        <f t="shared" si="230"/>
        <v>2009.719298245614</v>
      </c>
      <c r="BF738" s="262">
        <f t="shared" si="230"/>
        <v>1.4210526315789473</v>
      </c>
      <c r="BG738" s="262">
        <f t="shared" si="230"/>
        <v>12.861964285714288</v>
      </c>
    </row>
    <row r="739" spans="1:59" x14ac:dyDescent="0.2">
      <c r="A739" t="s">
        <v>96</v>
      </c>
      <c r="B739" s="74">
        <f t="shared" si="221"/>
        <v>41</v>
      </c>
      <c r="E739" s="261">
        <f t="shared" si="222"/>
        <v>21.097560975609756</v>
      </c>
      <c r="I739" s="278">
        <f t="shared" si="223"/>
        <v>121.600487804878</v>
      </c>
      <c r="J739" s="262">
        <f t="shared" si="223"/>
        <v>2.027060451344791</v>
      </c>
      <c r="K739" s="264">
        <f t="shared" si="223"/>
        <v>0.55730487804878048</v>
      </c>
      <c r="L739" s="261"/>
      <c r="M739" s="262">
        <f t="shared" si="224"/>
        <v>2.1516585365853658</v>
      </c>
      <c r="N739" s="261"/>
      <c r="O739" s="264">
        <f t="shared" si="225"/>
        <v>0.50970731707317074</v>
      </c>
      <c r="P739" s="261"/>
      <c r="Q739" s="261"/>
      <c r="R739" s="262">
        <f t="shared" si="226"/>
        <v>10.020689853522457</v>
      </c>
      <c r="S739" s="262">
        <f t="shared" si="226"/>
        <v>8.4564492581798767</v>
      </c>
      <c r="T739" s="262">
        <f t="shared" si="226"/>
        <v>8.5454635847536444</v>
      </c>
      <c r="U739" s="262">
        <f t="shared" si="226"/>
        <v>9.7330240314234793</v>
      </c>
      <c r="V739" s="262">
        <f t="shared" si="226"/>
        <v>10.844432776875777</v>
      </c>
      <c r="W739" s="267">
        <f t="shared" si="226"/>
        <v>0.91226069147946365</v>
      </c>
      <c r="X739" s="267">
        <f t="shared" si="226"/>
        <v>1.4604113561216518</v>
      </c>
      <c r="Y739" s="74"/>
      <c r="Z739" s="262">
        <f t="shared" si="227"/>
        <v>37.243360836658127</v>
      </c>
      <c r="AA739" s="262">
        <f t="shared" si="227"/>
        <v>24.030228574515888</v>
      </c>
      <c r="AB739" s="262"/>
      <c r="AC739" s="262">
        <f t="shared" si="228"/>
        <v>7.8104878048780488</v>
      </c>
      <c r="AD739" s="262">
        <f t="shared" si="228"/>
        <v>2.8788571428571434</v>
      </c>
      <c r="AE739" s="262">
        <f t="shared" si="228"/>
        <v>2.4334146341463412</v>
      </c>
      <c r="AF739" s="262">
        <f t="shared" si="228"/>
        <v>4.1187804878048775</v>
      </c>
      <c r="AG739" s="262">
        <f t="shared" si="228"/>
        <v>26.1</v>
      </c>
      <c r="AH739" s="262">
        <f t="shared" si="228"/>
        <v>93.96585365853656</v>
      </c>
      <c r="AI739" s="262">
        <f t="shared" si="228"/>
        <v>5.3559999999999999</v>
      </c>
      <c r="AJ739" s="262">
        <f t="shared" si="228"/>
        <v>14.78536585365854</v>
      </c>
      <c r="AK739" s="262">
        <f t="shared" si="228"/>
        <v>12.595999999999998</v>
      </c>
      <c r="AL739" s="268">
        <f t="shared" si="228"/>
        <v>17250.609268292683</v>
      </c>
      <c r="AM739" s="262">
        <f t="shared" si="228"/>
        <v>1.5034146341463419</v>
      </c>
      <c r="AN739" s="272">
        <f t="shared" si="228"/>
        <v>1.1495121951219509</v>
      </c>
      <c r="AO739" s="262">
        <f t="shared" si="228"/>
        <v>-12.835774934033676</v>
      </c>
      <c r="AP739" s="262">
        <f t="shared" si="228"/>
        <v>11.771926042595576</v>
      </c>
      <c r="AQ739" s="272">
        <f t="shared" si="228"/>
        <v>85.594683725057592</v>
      </c>
      <c r="AR739" s="262">
        <f t="shared" si="228"/>
        <v>2.0771314634146347</v>
      </c>
      <c r="AS739" s="262">
        <f t="shared" si="229"/>
        <v>2.1973833204390245</v>
      </c>
      <c r="AT739" s="262">
        <f t="shared" si="229"/>
        <v>2.3517209047625371</v>
      </c>
      <c r="AU739" s="262">
        <f t="shared" si="229"/>
        <v>2.5193159052365175</v>
      </c>
      <c r="AV739" s="262">
        <f t="shared" si="229"/>
        <v>2.7013844319472602</v>
      </c>
      <c r="AW739" s="262">
        <f t="shared" si="229"/>
        <v>11.846936025799977</v>
      </c>
      <c r="AX739" s="272">
        <f t="shared" si="229"/>
        <v>11.034698611217891</v>
      </c>
      <c r="AY739" s="262">
        <f t="shared" si="229"/>
        <v>1.0614634146341462</v>
      </c>
      <c r="AZ739" s="262">
        <f t="shared" si="229"/>
        <v>23.006341463414635</v>
      </c>
      <c r="BA739" s="262">
        <f t="shared" si="229"/>
        <v>-24.367804878048773</v>
      </c>
      <c r="BB739" s="262">
        <f t="shared" si="229"/>
        <v>2.3026829268292688</v>
      </c>
      <c r="BC739" s="272">
        <f t="shared" si="229"/>
        <v>-4.0292682926829269</v>
      </c>
      <c r="BD739" s="262"/>
      <c r="BE739" s="80">
        <f t="shared" si="230"/>
        <v>2001.8536585365853</v>
      </c>
      <c r="BF739" s="262">
        <f t="shared" si="230"/>
        <v>2.2682926829268291</v>
      </c>
      <c r="BG739" s="262">
        <f t="shared" si="230"/>
        <v>9.0410256410256409</v>
      </c>
    </row>
    <row r="740" spans="1:59" x14ac:dyDescent="0.2">
      <c r="A740" t="s">
        <v>947</v>
      </c>
      <c r="B740" s="74">
        <f t="shared" si="221"/>
        <v>45</v>
      </c>
      <c r="E740" s="261">
        <f t="shared" si="222"/>
        <v>13.111111111111111</v>
      </c>
      <c r="I740" s="278">
        <f t="shared" si="223"/>
        <v>83.521111111111111</v>
      </c>
      <c r="J740" s="262">
        <f t="shared" si="223"/>
        <v>4.5031563098559229</v>
      </c>
      <c r="K740" s="264">
        <f t="shared" si="223"/>
        <v>0.72305037777777781</v>
      </c>
      <c r="L740" s="261"/>
      <c r="M740" s="262">
        <f t="shared" si="224"/>
        <v>3.0639823111111113</v>
      </c>
      <c r="N740" s="261"/>
      <c r="O740" s="264">
        <f t="shared" si="225"/>
        <v>0.6744133333333332</v>
      </c>
      <c r="P740" s="261"/>
      <c r="Q740" s="261"/>
      <c r="R740" s="262">
        <f t="shared" si="226"/>
        <v>7.2887570953387781</v>
      </c>
      <c r="S740" s="262">
        <f t="shared" si="226"/>
        <v>8.7017567327920453</v>
      </c>
      <c r="T740" s="262">
        <f t="shared" si="226"/>
        <v>10.83236866935454</v>
      </c>
      <c r="U740" s="262">
        <f t="shared" si="226"/>
        <v>8.4552407221969403</v>
      </c>
      <c r="V740" s="262">
        <f t="shared" si="226"/>
        <v>10.359305746769254</v>
      </c>
      <c r="W740" s="267">
        <f t="shared" si="226"/>
        <v>0.90221380273617835</v>
      </c>
      <c r="X740" s="267">
        <f t="shared" si="226"/>
        <v>0.84861759193689057</v>
      </c>
      <c r="Y740" s="74"/>
      <c r="Z740" s="262">
        <f t="shared" si="227"/>
        <v>167.10390648024182</v>
      </c>
      <c r="AA740" s="262">
        <f t="shared" si="227"/>
        <v>39.302502363135389</v>
      </c>
      <c r="AB740" s="262"/>
      <c r="AC740" s="262">
        <f t="shared" si="228"/>
        <v>2.7664444444444447</v>
      </c>
      <c r="AD740" s="262">
        <f t="shared" si="228"/>
        <v>7.1344444444444433</v>
      </c>
      <c r="AE740" s="262">
        <f t="shared" si="228"/>
        <v>9.0591111111111129</v>
      </c>
      <c r="AF740" s="262">
        <f t="shared" si="228"/>
        <v>2.7468888888888894</v>
      </c>
      <c r="AG740" s="262">
        <f t="shared" si="228"/>
        <v>10.699999999999996</v>
      </c>
      <c r="AH740" s="262">
        <f t="shared" si="228"/>
        <v>91.933333333333309</v>
      </c>
      <c r="AI740" s="262">
        <f t="shared" si="228"/>
        <v>4.529772727272726</v>
      </c>
      <c r="AJ740" s="262">
        <f t="shared" si="228"/>
        <v>13.219772727272726</v>
      </c>
      <c r="AK740" s="262">
        <f t="shared" si="228"/>
        <v>6.82</v>
      </c>
      <c r="AL740" s="268">
        <f t="shared" si="228"/>
        <v>15119.016666666666</v>
      </c>
      <c r="AM740" s="262">
        <f t="shared" si="228"/>
        <v>1.5935555555555554</v>
      </c>
      <c r="AN740" s="272">
        <f t="shared" si="228"/>
        <v>1.0306666666666666</v>
      </c>
      <c r="AO740" s="262">
        <f t="shared" si="228"/>
        <v>-26.840468807815551</v>
      </c>
      <c r="AP740" s="262">
        <f t="shared" si="228"/>
        <v>12.89964954493982</v>
      </c>
      <c r="AQ740" s="272">
        <f t="shared" si="228"/>
        <v>98.626391511449881</v>
      </c>
      <c r="AR740" s="262">
        <f t="shared" si="228"/>
        <v>2.926889447259259</v>
      </c>
      <c r="AS740" s="262">
        <f t="shared" si="229"/>
        <v>3.067711683047408</v>
      </c>
      <c r="AT740" s="262">
        <f t="shared" si="229"/>
        <v>3.2482323930321488</v>
      </c>
      <c r="AU740" s="262">
        <f t="shared" si="229"/>
        <v>3.4429961137731349</v>
      </c>
      <c r="AV740" s="262">
        <f t="shared" si="229"/>
        <v>3.6532596533616042</v>
      </c>
      <c r="AW740" s="262">
        <f t="shared" si="229"/>
        <v>16.339089290473559</v>
      </c>
      <c r="AX740" s="272">
        <f t="shared" si="229"/>
        <v>24.14776729885557</v>
      </c>
      <c r="AY740" s="262">
        <f t="shared" si="229"/>
        <v>0.85454545454545472</v>
      </c>
      <c r="AZ740" s="262">
        <f t="shared" si="229"/>
        <v>14.089111111111119</v>
      </c>
      <c r="BA740" s="262">
        <f t="shared" si="229"/>
        <v>-31.376888888888889</v>
      </c>
      <c r="BB740" s="262">
        <f t="shared" si="229"/>
        <v>-2.0664444444444432</v>
      </c>
      <c r="BC740" s="272">
        <f t="shared" si="229"/>
        <v>-13.328666666666669</v>
      </c>
      <c r="BD740" s="262"/>
      <c r="BE740" s="80">
        <f t="shared" si="230"/>
        <v>2009.8222222222223</v>
      </c>
      <c r="BF740" s="262">
        <f t="shared" si="230"/>
        <v>1.4444444444444444</v>
      </c>
      <c r="BG740" s="262">
        <f t="shared" si="230"/>
        <v>4.0704545454545462</v>
      </c>
    </row>
    <row r="741" spans="1:59" x14ac:dyDescent="0.2">
      <c r="A741" t="s">
        <v>117</v>
      </c>
      <c r="B741" s="74">
        <f t="shared" si="221"/>
        <v>58</v>
      </c>
      <c r="E741" s="261">
        <f t="shared" si="222"/>
        <v>22.948275862068964</v>
      </c>
      <c r="I741" s="278">
        <f t="shared" si="223"/>
        <v>63.237068965517253</v>
      </c>
      <c r="J741" s="262">
        <f t="shared" si="223"/>
        <v>3.4460225794328774</v>
      </c>
      <c r="K741" s="264">
        <f t="shared" si="223"/>
        <v>0.50624620689655164</v>
      </c>
      <c r="L741" s="261"/>
      <c r="M741" s="262">
        <f t="shared" si="224"/>
        <v>2.0283751724137931</v>
      </c>
      <c r="N741" s="261"/>
      <c r="O741" s="264">
        <f t="shared" si="225"/>
        <v>0.481461896551724</v>
      </c>
      <c r="P741" s="261"/>
      <c r="Q741" s="261"/>
      <c r="R741" s="262">
        <f t="shared" si="226"/>
        <v>5.2386890223495914</v>
      </c>
      <c r="S741" s="262">
        <f t="shared" si="226"/>
        <v>5.4484284724264338</v>
      </c>
      <c r="T741" s="262">
        <f t="shared" si="226"/>
        <v>5.8682264748346071</v>
      </c>
      <c r="U741" s="262">
        <f t="shared" si="226"/>
        <v>6.5779137599949156</v>
      </c>
      <c r="V741" s="262">
        <f t="shared" si="226"/>
        <v>5.8594142413658101</v>
      </c>
      <c r="W741" s="267">
        <f t="shared" si="226"/>
        <v>1.0660458418925631</v>
      </c>
      <c r="X741" s="267">
        <f t="shared" si="226"/>
        <v>1.1727943664925127</v>
      </c>
      <c r="Y741" s="74"/>
      <c r="Z741" s="262">
        <f t="shared" si="227"/>
        <v>75.467886471641819</v>
      </c>
      <c r="AA741" s="262">
        <f t="shared" si="227"/>
        <v>23.682876203989721</v>
      </c>
      <c r="AB741" s="262"/>
      <c r="AC741" s="262">
        <f t="shared" si="228"/>
        <v>2.7956896551724135</v>
      </c>
      <c r="AD741" s="262">
        <f t="shared" si="228"/>
        <v>7.5</v>
      </c>
      <c r="AE741" s="262">
        <f t="shared" si="228"/>
        <v>3.0244827586206897</v>
      </c>
      <c r="AF741" s="262">
        <f t="shared" si="228"/>
        <v>2.310862068965517</v>
      </c>
      <c r="AG741" s="262">
        <f t="shared" si="228"/>
        <v>9.5105263157894733</v>
      </c>
      <c r="AH741" s="262">
        <f t="shared" si="228"/>
        <v>57.222413793103442</v>
      </c>
      <c r="AI741" s="262">
        <f t="shared" si="228"/>
        <v>9.5757894736842086</v>
      </c>
      <c r="AJ741" s="262">
        <f t="shared" si="228"/>
        <v>4.5727586206896573</v>
      </c>
      <c r="AK741" s="262">
        <f t="shared" si="228"/>
        <v>6.1903773584905686</v>
      </c>
      <c r="AL741" s="268">
        <f t="shared" si="228"/>
        <v>15313.843965517239</v>
      </c>
      <c r="AM741" s="262">
        <f t="shared" si="228"/>
        <v>2.1947368421052622</v>
      </c>
      <c r="AN741" s="272">
        <f t="shared" si="228"/>
        <v>1.6226315789473689</v>
      </c>
      <c r="AO741" s="262">
        <f t="shared" si="228"/>
        <v>-14.065465870400317</v>
      </c>
      <c r="AP741" s="262">
        <f t="shared" si="228"/>
        <v>10.023936339427792</v>
      </c>
      <c r="AQ741" s="272">
        <f t="shared" si="228"/>
        <v>49.765244768510044</v>
      </c>
      <c r="AR741" s="262">
        <f t="shared" si="228"/>
        <v>2.0148394310344835</v>
      </c>
      <c r="AS741" s="262">
        <f t="shared" si="229"/>
        <v>2.1379126417603449</v>
      </c>
      <c r="AT741" s="262">
        <f t="shared" si="229"/>
        <v>2.2561425912370128</v>
      </c>
      <c r="AU741" s="262">
        <f t="shared" si="229"/>
        <v>2.3820553235027093</v>
      </c>
      <c r="AV741" s="262">
        <f t="shared" si="229"/>
        <v>2.5162043106160783</v>
      </c>
      <c r="AW741" s="262">
        <f t="shared" si="229"/>
        <v>11.30715429815063</v>
      </c>
      <c r="AX741" s="272">
        <f t="shared" si="229"/>
        <v>19.303410874278914</v>
      </c>
      <c r="AY741" s="262">
        <f t="shared" si="229"/>
        <v>0.54421052631578937</v>
      </c>
      <c r="AZ741" s="262">
        <f t="shared" si="229"/>
        <v>16.147931034482763</v>
      </c>
      <c r="BA741" s="262">
        <f t="shared" si="229"/>
        <v>-17.372413793103451</v>
      </c>
      <c r="BB741" s="262">
        <f t="shared" si="229"/>
        <v>-2.3524137931034477</v>
      </c>
      <c r="BC741" s="272">
        <f t="shared" si="229"/>
        <v>-4.9734482758620704</v>
      </c>
      <c r="BD741" s="262"/>
      <c r="BE741" s="80">
        <f t="shared" si="230"/>
        <v>2000.0689655172414</v>
      </c>
      <c r="BF741" s="262">
        <f t="shared" si="230"/>
        <v>2.5862068965517242</v>
      </c>
      <c r="BG741" s="262">
        <f t="shared" si="230"/>
        <v>2.8280701754385968</v>
      </c>
    </row>
    <row r="742" spans="1:59" x14ac:dyDescent="0.2">
      <c r="I742" s="74"/>
      <c r="J742"/>
      <c r="K742" s="274"/>
      <c r="L742"/>
      <c r="M742"/>
      <c r="N742"/>
      <c r="R742"/>
      <c r="S742"/>
      <c r="T742"/>
      <c r="U742"/>
      <c r="V742"/>
      <c r="W742"/>
      <c r="X742"/>
      <c r="AN742" s="279"/>
      <c r="AO742"/>
      <c r="BC742" s="74"/>
      <c r="BD742" s="77"/>
    </row>
    <row r="743" spans="1:59" x14ac:dyDescent="0.2">
      <c r="I743" s="282"/>
      <c r="J743" s="283"/>
      <c r="K743" s="274"/>
      <c r="L743" s="283"/>
      <c r="M743" s="283"/>
      <c r="N743" s="283"/>
      <c r="O743" s="283"/>
      <c r="P743" s="283"/>
      <c r="Q743" s="283"/>
      <c r="R743" s="283"/>
      <c r="S743" s="283"/>
      <c r="T743" s="283"/>
      <c r="U743" s="283"/>
      <c r="V743" s="283"/>
      <c r="W743" s="283"/>
      <c r="X743" s="283"/>
    </row>
    <row r="744" spans="1:59" x14ac:dyDescent="0.2">
      <c r="I744" s="282"/>
      <c r="J744" s="283"/>
      <c r="K744" s="274"/>
      <c r="L744" s="283"/>
      <c r="M744" s="283"/>
      <c r="N744" s="283"/>
      <c r="O744" s="283"/>
      <c r="P744" s="283"/>
      <c r="Q744" s="283"/>
      <c r="R744" s="283"/>
      <c r="S744" s="283"/>
      <c r="T744" s="283"/>
      <c r="U744" s="283"/>
      <c r="V744" s="283"/>
      <c r="W744" s="283"/>
      <c r="X744" s="283"/>
    </row>
    <row r="745" spans="1:59" x14ac:dyDescent="0.2">
      <c r="B745"/>
      <c r="E745"/>
      <c r="F745"/>
      <c r="J745"/>
      <c r="K745" s="284"/>
      <c r="L745"/>
      <c r="M745"/>
      <c r="N745"/>
      <c r="R745"/>
      <c r="S745"/>
      <c r="T745"/>
      <c r="U745"/>
      <c r="V745"/>
      <c r="W745"/>
      <c r="X745"/>
      <c r="Z745"/>
      <c r="AC745"/>
      <c r="AD745"/>
      <c r="AE745"/>
      <c r="AF745"/>
      <c r="AG745"/>
      <c r="AH745"/>
      <c r="AI745"/>
      <c r="AJ745"/>
      <c r="AK745"/>
      <c r="AL745"/>
      <c r="AM745"/>
      <c r="AN745"/>
      <c r="AO745"/>
      <c r="AR745"/>
      <c r="AS745"/>
      <c r="AT745"/>
      <c r="AU745"/>
      <c r="AV745"/>
      <c r="AW745"/>
      <c r="AX745"/>
      <c r="AY745"/>
      <c r="BD745"/>
      <c r="BE745"/>
      <c r="BF745"/>
    </row>
    <row r="746" spans="1:59" x14ac:dyDescent="0.2">
      <c r="B746"/>
      <c r="E746"/>
      <c r="F746"/>
      <c r="J746"/>
      <c r="K746" s="285"/>
      <c r="L746"/>
      <c r="M746"/>
      <c r="N746"/>
      <c r="R746"/>
      <c r="S746"/>
      <c r="T746"/>
      <c r="U746"/>
      <c r="V746"/>
      <c r="W746"/>
      <c r="X746"/>
      <c r="Z746"/>
      <c r="AC746"/>
      <c r="AD746"/>
      <c r="AE746"/>
      <c r="AF746"/>
      <c r="AG746"/>
      <c r="AH746"/>
      <c r="AI746"/>
      <c r="AJ746"/>
      <c r="AK746"/>
      <c r="AL746"/>
      <c r="AM746"/>
      <c r="AN746"/>
      <c r="AO746"/>
      <c r="AR746"/>
      <c r="AS746"/>
      <c r="AT746"/>
      <c r="AU746"/>
      <c r="AV746"/>
      <c r="AW746"/>
      <c r="AX746"/>
      <c r="AY746"/>
      <c r="BD746"/>
      <c r="BE746"/>
      <c r="BF746"/>
    </row>
    <row r="747" spans="1:59" x14ac:dyDescent="0.2">
      <c r="B747"/>
      <c r="E747"/>
      <c r="F747"/>
      <c r="J747"/>
      <c r="K747" s="285"/>
      <c r="L747"/>
      <c r="M747"/>
      <c r="N747"/>
      <c r="R747"/>
      <c r="S747"/>
      <c r="T747"/>
      <c r="U747"/>
      <c r="V747"/>
      <c r="W747"/>
      <c r="X747"/>
      <c r="Z747"/>
      <c r="AC747"/>
      <c r="AD747"/>
      <c r="AE747"/>
      <c r="AF747"/>
      <c r="AG747"/>
      <c r="AH747"/>
      <c r="AI747"/>
      <c r="AJ747"/>
      <c r="AK747"/>
      <c r="AL747"/>
      <c r="AM747"/>
      <c r="AN747"/>
      <c r="AO747"/>
      <c r="AR747"/>
      <c r="AS747"/>
      <c r="AT747"/>
      <c r="AU747"/>
      <c r="AV747"/>
      <c r="AW747"/>
      <c r="AX747"/>
      <c r="AY747"/>
      <c r="BD747"/>
      <c r="BE747"/>
      <c r="BF747"/>
    </row>
    <row r="748" spans="1:59" x14ac:dyDescent="0.2">
      <c r="B748"/>
      <c r="E748"/>
      <c r="F748"/>
      <c r="J748"/>
      <c r="K748" s="285"/>
      <c r="L748"/>
      <c r="M748"/>
      <c r="N748"/>
      <c r="R748"/>
      <c r="S748"/>
      <c r="T748"/>
      <c r="U748"/>
      <c r="V748"/>
      <c r="W748"/>
      <c r="X748"/>
      <c r="Z748"/>
      <c r="AC748"/>
      <c r="AD748"/>
      <c r="AE748"/>
      <c r="AF748"/>
      <c r="AG748"/>
      <c r="AH748"/>
      <c r="AI748"/>
      <c r="AJ748"/>
      <c r="AK748"/>
      <c r="AL748"/>
      <c r="AM748"/>
      <c r="AN748"/>
      <c r="AO748"/>
      <c r="AR748"/>
      <c r="AS748"/>
      <c r="AT748"/>
      <c r="AU748"/>
      <c r="AV748"/>
      <c r="AW748"/>
      <c r="AX748"/>
      <c r="AY748"/>
      <c r="BD748"/>
      <c r="BE748"/>
      <c r="BF748"/>
    </row>
    <row r="749" spans="1:59" x14ac:dyDescent="0.2">
      <c r="B749"/>
      <c r="E749"/>
      <c r="F749"/>
      <c r="J749"/>
      <c r="K749" s="285"/>
      <c r="L749"/>
      <c r="M749"/>
      <c r="N749"/>
      <c r="R749"/>
      <c r="S749"/>
      <c r="T749"/>
      <c r="U749"/>
      <c r="V749"/>
      <c r="W749"/>
      <c r="X749"/>
      <c r="Z749"/>
      <c r="AC749"/>
      <c r="AD749"/>
      <c r="AE749"/>
      <c r="AF749"/>
      <c r="AG749"/>
      <c r="AH749"/>
      <c r="AI749"/>
      <c r="AJ749"/>
      <c r="AK749"/>
      <c r="AL749"/>
      <c r="AM749"/>
      <c r="AN749"/>
      <c r="AO749"/>
      <c r="AR749"/>
      <c r="AS749"/>
      <c r="AT749"/>
      <c r="AU749"/>
      <c r="AV749"/>
      <c r="AW749"/>
      <c r="AX749"/>
      <c r="AY749"/>
      <c r="BD749"/>
      <c r="BE749"/>
      <c r="BF749"/>
    </row>
    <row r="750" spans="1:59" x14ac:dyDescent="0.2">
      <c r="B750"/>
      <c r="E750"/>
      <c r="F750"/>
      <c r="J750"/>
      <c r="L750"/>
      <c r="M750"/>
      <c r="N750"/>
      <c r="R750"/>
      <c r="S750"/>
      <c r="T750"/>
      <c r="U750"/>
      <c r="V750"/>
      <c r="W750"/>
      <c r="X750"/>
      <c r="Z750"/>
      <c r="AC750"/>
      <c r="AD750"/>
      <c r="AE750"/>
      <c r="AF750"/>
      <c r="AG750"/>
      <c r="AH750"/>
      <c r="AI750"/>
      <c r="AJ750"/>
      <c r="AK750"/>
      <c r="AL750"/>
      <c r="AM750"/>
      <c r="AN750"/>
      <c r="AO750"/>
      <c r="AR750"/>
      <c r="AS750"/>
      <c r="AT750"/>
      <c r="AU750"/>
      <c r="AV750"/>
      <c r="AW750"/>
      <c r="AX750"/>
      <c r="AY750"/>
      <c r="BD750"/>
      <c r="BE750"/>
      <c r="BF750"/>
    </row>
    <row r="751" spans="1:59" x14ac:dyDescent="0.2">
      <c r="B751"/>
      <c r="E751"/>
      <c r="F751"/>
      <c r="J751"/>
      <c r="L751"/>
      <c r="M751"/>
      <c r="N751"/>
      <c r="R751"/>
      <c r="S751"/>
      <c r="T751"/>
      <c r="U751"/>
      <c r="V751"/>
      <c r="W751"/>
      <c r="X751"/>
      <c r="Z751"/>
      <c r="AC751"/>
      <c r="AD751"/>
      <c r="AE751"/>
      <c r="AF751"/>
      <c r="AG751"/>
      <c r="AH751"/>
      <c r="AI751"/>
      <c r="AJ751"/>
      <c r="AK751"/>
      <c r="AL751"/>
      <c r="AM751"/>
      <c r="AN751"/>
      <c r="AO751"/>
      <c r="AR751"/>
      <c r="AS751"/>
      <c r="AT751"/>
      <c r="AU751"/>
      <c r="AV751"/>
      <c r="AW751"/>
      <c r="AX751"/>
      <c r="AY751"/>
      <c r="BD751"/>
      <c r="BE751"/>
      <c r="BF751"/>
    </row>
  </sheetData>
  <mergeCells count="2">
    <mergeCell ref="AZ4:BC4"/>
    <mergeCell ref="P5:Q5"/>
  </mergeCells>
  <conditionalFormatting sqref="A463:A464 R538:R716 R717:V723 R7:R533 S7:V716">
    <cfRule type="cellIs" dxfId="21" priority="22" stopIfTrue="1" operator="lessThan">
      <formula>2</formula>
    </cfRule>
  </conditionalFormatting>
  <conditionalFormatting sqref="A255 A257 A335 A420 A426 A428 A430 A466:A467 A516">
    <cfRule type="cellIs" dxfId="20" priority="21" stopIfTrue="1" operator="lessThan">
      <formula>2</formula>
    </cfRule>
  </conditionalFormatting>
  <conditionalFormatting sqref="AQ7:AQ723">
    <cfRule type="cellIs" dxfId="19" priority="20" stopIfTrue="1" operator="lessThan">
      <formula>0</formula>
    </cfRule>
  </conditionalFormatting>
  <conditionalFormatting sqref="AP538:AP723 AP7:AP533">
    <cfRule type="cellIs" dxfId="18" priority="18" stopIfTrue="1" operator="greaterThan">
      <formula>11.99</formula>
    </cfRule>
    <cfRule type="cellIs" dxfId="17" priority="19" stopIfTrue="1" operator="lessThan">
      <formula>8</formula>
    </cfRule>
  </conditionalFormatting>
  <conditionalFormatting sqref="J538:J723 J7:J533">
    <cfRule type="cellIs" dxfId="16" priority="16" stopIfTrue="1" operator="greaterThan">
      <formula>10</formula>
    </cfRule>
    <cfRule type="cellIs" dxfId="15" priority="17" stopIfTrue="1" operator="lessThan">
      <formula>2</formula>
    </cfRule>
  </conditionalFormatting>
  <conditionalFormatting sqref="R534:R535">
    <cfRule type="cellIs" dxfId="14" priority="15" stopIfTrue="1" operator="lessThan">
      <formula>2</formula>
    </cfRule>
  </conditionalFormatting>
  <conditionalFormatting sqref="AP534:AP535">
    <cfRule type="cellIs" dxfId="13" priority="13" stopIfTrue="1" operator="greaterThan">
      <formula>11.99</formula>
    </cfRule>
    <cfRule type="cellIs" dxfId="12" priority="14" stopIfTrue="1" operator="lessThan">
      <formula>8</formula>
    </cfRule>
  </conditionalFormatting>
  <conditionalFormatting sqref="J534:J535">
    <cfRule type="cellIs" dxfId="11" priority="11" stopIfTrue="1" operator="greaterThan">
      <formula>10</formula>
    </cfRule>
    <cfRule type="cellIs" dxfId="10" priority="12" stopIfTrue="1" operator="lessThan">
      <formula>2</formula>
    </cfRule>
  </conditionalFormatting>
  <conditionalFormatting sqref="R536">
    <cfRule type="cellIs" dxfId="9" priority="10" stopIfTrue="1" operator="lessThan">
      <formula>2</formula>
    </cfRule>
  </conditionalFormatting>
  <conditionalFormatting sqref="AP536">
    <cfRule type="cellIs" dxfId="8" priority="8" stopIfTrue="1" operator="greaterThan">
      <formula>11.99</formula>
    </cfRule>
    <cfRule type="cellIs" dxfId="7" priority="9" stopIfTrue="1" operator="lessThan">
      <formula>8</formula>
    </cfRule>
  </conditionalFormatting>
  <conditionalFormatting sqref="J536">
    <cfRule type="cellIs" dxfId="6" priority="6" stopIfTrue="1" operator="greaterThan">
      <formula>10</formula>
    </cfRule>
    <cfRule type="cellIs" dxfId="5" priority="7" stopIfTrue="1" operator="lessThan">
      <formula>2</formula>
    </cfRule>
  </conditionalFormatting>
  <conditionalFormatting sqref="R537">
    <cfRule type="cellIs" dxfId="4" priority="5" stopIfTrue="1" operator="lessThan">
      <formula>2</formula>
    </cfRule>
  </conditionalFormatting>
  <conditionalFormatting sqref="AP537">
    <cfRule type="cellIs" dxfId="3" priority="3" stopIfTrue="1" operator="greaterThan">
      <formula>11.99</formula>
    </cfRule>
    <cfRule type="cellIs" dxfId="2" priority="4" stopIfTrue="1" operator="lessThan">
      <formula>8</formula>
    </cfRule>
  </conditionalFormatting>
  <conditionalFormatting sqref="J537">
    <cfRule type="cellIs" dxfId="1" priority="1" stopIfTrue="1" operator="greaterThan">
      <formula>10</formula>
    </cfRule>
    <cfRule type="cellIs" dxfId="0" priority="2" stopIfTrue="1" operator="lessThan">
      <formula>2</formula>
    </cfRule>
  </conditionalFormatting>
  <hyperlinks>
    <hyperlink ref="C2" r:id="rId1" xr:uid="{A10DE54F-A175-904D-B1AD-23B00CEE875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How to use</vt:lpstr>
      <vt:lpstr>Screener</vt:lpstr>
      <vt:lpstr>Data</vt:lpstr>
      <vt:lpstr>Screener!Print_Area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Microsoft Office User</cp:lastModifiedBy>
  <cp:lastPrinted>2014-09-24T20:17:40Z</cp:lastPrinted>
  <dcterms:created xsi:type="dcterms:W3CDTF">2014-09-23T20:20:59Z</dcterms:created>
  <dcterms:modified xsi:type="dcterms:W3CDTF">2022-11-05T20:52:47Z</dcterms:modified>
</cp:coreProperties>
</file>